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xl/comments2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worksheets/sheet14.xml" ContentType="application/vnd.openxmlformats-officedocument.spreadsheetml.worksheet+xml"/>
  <Override PartName="/xl/worksheets/sheet23.xml" ContentType="application/vnd.openxmlformats-officedocument.spreadsheetml.worksheet+xml"/>
  <Override PartName="/xl/comments9.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795" yWindow="210" windowWidth="6525" windowHeight="7515" tabRatio="846" activeTab="3"/>
  </bookViews>
  <sheets>
    <sheet name="Panel" sheetId="8" r:id="rId1"/>
    <sheet name="Estructura" sheetId="1" r:id="rId2"/>
    <sheet name="Resultado" sheetId="2" r:id="rId3"/>
    <sheet name="Generador" sheetId="7" r:id="rId4"/>
    <sheet name="Ins" sheetId="14" r:id="rId5"/>
    <sheet name="TAB" sheetId="28" r:id="rId6"/>
    <sheet name="A01" sheetId="16" r:id="rId7"/>
    <sheet name="A02" sheetId="30" r:id="rId8"/>
    <sheet name="A12" sheetId="24" r:id="rId9"/>
    <sheet name="A14" sheetId="25" r:id="rId10"/>
    <sheet name="A15" sheetId="18" r:id="rId11"/>
    <sheet name="A17" sheetId="20" r:id="rId12"/>
    <sheet name="A19" sheetId="19" r:id="rId13"/>
    <sheet name="A21" sheetId="17" r:id="rId14"/>
    <sheet name="A22" sheetId="21" r:id="rId15"/>
    <sheet name="A23" sheetId="22" r:id="rId16"/>
    <sheet name="A24" sheetId="23" r:id="rId17"/>
    <sheet name="A26" sheetId="29" r:id="rId18"/>
    <sheet name="A27" sheetId="31" r:id="rId19"/>
    <sheet name="A28" sheetId="32" r:id="rId20"/>
    <sheet name="A29" sheetId="33" r:id="rId21"/>
    <sheet name="A30" sheetId="34" r:id="rId22"/>
    <sheet name="A31" sheetId="35" r:id="rId23"/>
    <sheet name="Combos" sheetId="12" r:id="rId24"/>
    <sheet name="Movil" sheetId="15" r:id="rId25"/>
    <sheet name="Hoja1" sheetId="13" r:id="rId26"/>
    <sheet name="RyC" sheetId="26" r:id="rId27"/>
    <sheet name="MejoresPracticas" sheetId="27" r:id="rId28"/>
  </sheets>
  <calcPr calcId="124519"/>
</workbook>
</file>

<file path=xl/calcChain.xml><?xml version="1.0" encoding="utf-8"?>
<calcChain xmlns="http://schemas.openxmlformats.org/spreadsheetml/2006/main">
  <c r="R114" i="35"/>
  <c r="G395" i="1"/>
  <c r="H286" i="19" l="1"/>
  <c r="H284"/>
  <c r="H283"/>
  <c r="H267" l="1"/>
  <c r="H268"/>
  <c r="R1186" i="1" l="1"/>
  <c r="R8" i="17"/>
  <c r="G1980" i="1"/>
  <c r="G2031"/>
  <c r="G766" i="21"/>
  <c r="N329" i="16" l="1"/>
  <c r="R290"/>
  <c r="R291"/>
  <c r="R185" i="18"/>
  <c r="G356" i="21"/>
  <c r="R352" i="16"/>
  <c r="M26" i="13"/>
  <c r="M27" s="1"/>
  <c r="M28" s="1"/>
  <c r="M29" s="1"/>
  <c r="M30" s="1"/>
  <c r="M31" s="1"/>
  <c r="M32" s="1"/>
  <c r="M33" s="1"/>
  <c r="M34" s="1"/>
  <c r="M35" s="1"/>
  <c r="M36" s="1"/>
  <c r="M37" s="1"/>
  <c r="M38" s="1"/>
  <c r="M39" s="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M97" s="1"/>
  <c r="M98" s="1"/>
  <c r="M99" s="1"/>
  <c r="M100" s="1"/>
  <c r="M101" s="1"/>
  <c r="M102" s="1"/>
  <c r="M103" s="1"/>
  <c r="M104" s="1"/>
  <c r="M105" s="1"/>
  <c r="M106" s="1"/>
  <c r="M107" s="1"/>
  <c r="M108" s="1"/>
  <c r="M109" s="1"/>
  <c r="M110" s="1"/>
  <c r="M111" s="1"/>
  <c r="M112" s="1"/>
  <c r="M113" s="1"/>
  <c r="M114" s="1"/>
  <c r="M115" s="1"/>
  <c r="M116" s="1"/>
  <c r="M117" s="1"/>
  <c r="M118" s="1"/>
  <c r="M119" s="1"/>
  <c r="M120" s="1"/>
  <c r="M121" s="1"/>
  <c r="M122" s="1"/>
  <c r="M123" s="1"/>
  <c r="M124" s="1"/>
  <c r="M125" s="1"/>
  <c r="M126" s="1"/>
  <c r="M127" s="1"/>
  <c r="M128" s="1"/>
  <c r="M129" s="1"/>
  <c r="M130" s="1"/>
  <c r="M131" s="1"/>
  <c r="M132" s="1"/>
  <c r="M133" s="1"/>
  <c r="M25"/>
  <c r="M24"/>
  <c r="M23"/>
  <c r="E88"/>
  <c r="E93" s="1"/>
  <c r="E98" s="1"/>
  <c r="E103" s="1"/>
  <c r="E108" s="1"/>
  <c r="E113" s="1"/>
  <c r="E118" s="1"/>
  <c r="E123" s="1"/>
  <c r="E128" s="1"/>
  <c r="E133" s="1"/>
  <c r="C88"/>
  <c r="C93" s="1"/>
  <c r="C98" s="1"/>
  <c r="C103" s="1"/>
  <c r="C108" s="1"/>
  <c r="C113" s="1"/>
  <c r="C118" s="1"/>
  <c r="C123" s="1"/>
  <c r="C128" s="1"/>
  <c r="C133" s="1"/>
  <c r="B88"/>
  <c r="B93" s="1"/>
  <c r="B98" s="1"/>
  <c r="B103" s="1"/>
  <c r="B108" s="1"/>
  <c r="B113" s="1"/>
  <c r="B118" s="1"/>
  <c r="B123" s="1"/>
  <c r="B128" s="1"/>
  <c r="B133" s="1"/>
  <c r="E87"/>
  <c r="E92" s="1"/>
  <c r="E97" s="1"/>
  <c r="E102" s="1"/>
  <c r="E107" s="1"/>
  <c r="E112" s="1"/>
  <c r="E117" s="1"/>
  <c r="E122" s="1"/>
  <c r="E127" s="1"/>
  <c r="E132" s="1"/>
  <c r="C87"/>
  <c r="C92" s="1"/>
  <c r="C97" s="1"/>
  <c r="C102" s="1"/>
  <c r="C107" s="1"/>
  <c r="C112" s="1"/>
  <c r="C117" s="1"/>
  <c r="C122" s="1"/>
  <c r="C127" s="1"/>
  <c r="C132" s="1"/>
  <c r="B87"/>
  <c r="B92" s="1"/>
  <c r="B97" s="1"/>
  <c r="B102" s="1"/>
  <c r="B107" s="1"/>
  <c r="B112" s="1"/>
  <c r="B117" s="1"/>
  <c r="B122" s="1"/>
  <c r="B127" s="1"/>
  <c r="B132" s="1"/>
  <c r="E86"/>
  <c r="E91" s="1"/>
  <c r="E96" s="1"/>
  <c r="E101" s="1"/>
  <c r="E106" s="1"/>
  <c r="E111" s="1"/>
  <c r="E116" s="1"/>
  <c r="E121" s="1"/>
  <c r="E126" s="1"/>
  <c r="E131" s="1"/>
  <c r="C86"/>
  <c r="C91" s="1"/>
  <c r="C96" s="1"/>
  <c r="C101" s="1"/>
  <c r="C106" s="1"/>
  <c r="C111" s="1"/>
  <c r="C116" s="1"/>
  <c r="C121" s="1"/>
  <c r="C126" s="1"/>
  <c r="C131" s="1"/>
  <c r="B86"/>
  <c r="B91" s="1"/>
  <c r="B96" s="1"/>
  <c r="B101" s="1"/>
  <c r="B106" s="1"/>
  <c r="B111" s="1"/>
  <c r="B116" s="1"/>
  <c r="B121" s="1"/>
  <c r="B126" s="1"/>
  <c r="B131" s="1"/>
  <c r="E85"/>
  <c r="E90" s="1"/>
  <c r="E95" s="1"/>
  <c r="E100" s="1"/>
  <c r="E105" s="1"/>
  <c r="E110" s="1"/>
  <c r="E115" s="1"/>
  <c r="E120" s="1"/>
  <c r="E125" s="1"/>
  <c r="E130" s="1"/>
  <c r="C85"/>
  <c r="C90" s="1"/>
  <c r="C95" s="1"/>
  <c r="C100" s="1"/>
  <c r="C105" s="1"/>
  <c r="C110" s="1"/>
  <c r="C115" s="1"/>
  <c r="C120" s="1"/>
  <c r="C125" s="1"/>
  <c r="C130" s="1"/>
  <c r="B85"/>
  <c r="B90" s="1"/>
  <c r="B95" s="1"/>
  <c r="B100" s="1"/>
  <c r="B105" s="1"/>
  <c r="B110" s="1"/>
  <c r="B115" s="1"/>
  <c r="B120" s="1"/>
  <c r="B125" s="1"/>
  <c r="B130" s="1"/>
  <c r="E84"/>
  <c r="E89" s="1"/>
  <c r="E94" s="1"/>
  <c r="E99" s="1"/>
  <c r="E104" s="1"/>
  <c r="E109" s="1"/>
  <c r="E114" s="1"/>
  <c r="E119" s="1"/>
  <c r="E124" s="1"/>
  <c r="E129" s="1"/>
  <c r="D84"/>
  <c r="D85" s="1"/>
  <c r="D86" s="1"/>
  <c r="D87" s="1"/>
  <c r="D88" s="1"/>
  <c r="D89" s="1"/>
  <c r="D90" s="1"/>
  <c r="D91" s="1"/>
  <c r="D92" s="1"/>
  <c r="D93" s="1"/>
  <c r="D94" s="1"/>
  <c r="D95" s="1"/>
  <c r="D96" s="1"/>
  <c r="D97" s="1"/>
  <c r="D98" s="1"/>
  <c r="D99" s="1"/>
  <c r="D100" s="1"/>
  <c r="D101" s="1"/>
  <c r="D102" s="1"/>
  <c r="D103" s="1"/>
  <c r="D104" s="1"/>
  <c r="D105" s="1"/>
  <c r="D106" s="1"/>
  <c r="D107" s="1"/>
  <c r="D108" s="1"/>
  <c r="D109" s="1"/>
  <c r="D110" s="1"/>
  <c r="D111" s="1"/>
  <c r="D112" s="1"/>
  <c r="D113" s="1"/>
  <c r="D114" s="1"/>
  <c r="D115" s="1"/>
  <c r="D116" s="1"/>
  <c r="D117" s="1"/>
  <c r="D118" s="1"/>
  <c r="D119" s="1"/>
  <c r="D120" s="1"/>
  <c r="D121" s="1"/>
  <c r="D122" s="1"/>
  <c r="D123" s="1"/>
  <c r="D124" s="1"/>
  <c r="D125" s="1"/>
  <c r="D126" s="1"/>
  <c r="D127" s="1"/>
  <c r="D128" s="1"/>
  <c r="D129" s="1"/>
  <c r="D130" s="1"/>
  <c r="D131" s="1"/>
  <c r="D132" s="1"/>
  <c r="D133" s="1"/>
  <c r="C84"/>
  <c r="C89" s="1"/>
  <c r="C94" s="1"/>
  <c r="C99" s="1"/>
  <c r="C104" s="1"/>
  <c r="C109" s="1"/>
  <c r="C114" s="1"/>
  <c r="C119" s="1"/>
  <c r="C124" s="1"/>
  <c r="C129" s="1"/>
  <c r="B84"/>
  <c r="B89" s="1"/>
  <c r="B94" s="1"/>
  <c r="B99" s="1"/>
  <c r="B104" s="1"/>
  <c r="B109" s="1"/>
  <c r="B114" s="1"/>
  <c r="B119" s="1"/>
  <c r="B124" s="1"/>
  <c r="B129" s="1"/>
  <c r="E39"/>
  <c r="E44" s="1"/>
  <c r="E49" s="1"/>
  <c r="E54" s="1"/>
  <c r="E59" s="1"/>
  <c r="E64" s="1"/>
  <c r="E69" s="1"/>
  <c r="E74" s="1"/>
  <c r="E79" s="1"/>
  <c r="C39"/>
  <c r="C44" s="1"/>
  <c r="C49" s="1"/>
  <c r="C54" s="1"/>
  <c r="C59" s="1"/>
  <c r="C64" s="1"/>
  <c r="C69" s="1"/>
  <c r="C74" s="1"/>
  <c r="C79" s="1"/>
  <c r="B39"/>
  <c r="B44" s="1"/>
  <c r="B49" s="1"/>
  <c r="B54" s="1"/>
  <c r="B59" s="1"/>
  <c r="B64" s="1"/>
  <c r="B69" s="1"/>
  <c r="B74" s="1"/>
  <c r="B79" s="1"/>
  <c r="E38"/>
  <c r="E43" s="1"/>
  <c r="E48" s="1"/>
  <c r="E53" s="1"/>
  <c r="E58" s="1"/>
  <c r="E63" s="1"/>
  <c r="E68" s="1"/>
  <c r="E73" s="1"/>
  <c r="E78" s="1"/>
  <c r="E83" s="1"/>
  <c r="C38"/>
  <c r="C43" s="1"/>
  <c r="C48" s="1"/>
  <c r="C53" s="1"/>
  <c r="C58" s="1"/>
  <c r="C63" s="1"/>
  <c r="C68" s="1"/>
  <c r="C73" s="1"/>
  <c r="C78" s="1"/>
  <c r="C83" s="1"/>
  <c r="B38"/>
  <c r="B43" s="1"/>
  <c r="B48" s="1"/>
  <c r="B53" s="1"/>
  <c r="B58" s="1"/>
  <c r="B63" s="1"/>
  <c r="B68" s="1"/>
  <c r="B73" s="1"/>
  <c r="B78" s="1"/>
  <c r="B83" s="1"/>
  <c r="E37"/>
  <c r="E42" s="1"/>
  <c r="E47" s="1"/>
  <c r="E52" s="1"/>
  <c r="E57" s="1"/>
  <c r="E62" s="1"/>
  <c r="E67" s="1"/>
  <c r="E72" s="1"/>
  <c r="E77" s="1"/>
  <c r="E82" s="1"/>
  <c r="C37"/>
  <c r="C42" s="1"/>
  <c r="C47" s="1"/>
  <c r="C52" s="1"/>
  <c r="C57" s="1"/>
  <c r="C62" s="1"/>
  <c r="C67" s="1"/>
  <c r="C72" s="1"/>
  <c r="C77" s="1"/>
  <c r="C82" s="1"/>
  <c r="B37"/>
  <c r="B42" s="1"/>
  <c r="B47" s="1"/>
  <c r="B52" s="1"/>
  <c r="B57" s="1"/>
  <c r="B62" s="1"/>
  <c r="B67" s="1"/>
  <c r="B72" s="1"/>
  <c r="B77" s="1"/>
  <c r="B82" s="1"/>
  <c r="E36"/>
  <c r="E41" s="1"/>
  <c r="E46" s="1"/>
  <c r="E51" s="1"/>
  <c r="E56" s="1"/>
  <c r="E61" s="1"/>
  <c r="E66" s="1"/>
  <c r="E71" s="1"/>
  <c r="E76" s="1"/>
  <c r="E81" s="1"/>
  <c r="C36"/>
  <c r="C41" s="1"/>
  <c r="C46" s="1"/>
  <c r="C51" s="1"/>
  <c r="C56" s="1"/>
  <c r="C61" s="1"/>
  <c r="C66" s="1"/>
  <c r="C71" s="1"/>
  <c r="C76" s="1"/>
  <c r="C81" s="1"/>
  <c r="B36"/>
  <c r="B41" s="1"/>
  <c r="B46" s="1"/>
  <c r="B51" s="1"/>
  <c r="B56" s="1"/>
  <c r="B61" s="1"/>
  <c r="B66" s="1"/>
  <c r="B71" s="1"/>
  <c r="B76" s="1"/>
  <c r="B81" s="1"/>
  <c r="E35"/>
  <c r="E40" s="1"/>
  <c r="E45" s="1"/>
  <c r="E50" s="1"/>
  <c r="E55" s="1"/>
  <c r="E60" s="1"/>
  <c r="E65" s="1"/>
  <c r="E70" s="1"/>
  <c r="E75" s="1"/>
  <c r="E80" s="1"/>
  <c r="D35"/>
  <c r="D36" s="1"/>
  <c r="D37" s="1"/>
  <c r="D38" s="1"/>
  <c r="D39" s="1"/>
  <c r="D40" s="1"/>
  <c r="D41" s="1"/>
  <c r="D42" s="1"/>
  <c r="D43" s="1"/>
  <c r="D44" s="1"/>
  <c r="D45" s="1"/>
  <c r="D46" s="1"/>
  <c r="D47" s="1"/>
  <c r="D48" s="1"/>
  <c r="D49" s="1"/>
  <c r="D50" s="1"/>
  <c r="D51" s="1"/>
  <c r="D52" s="1"/>
  <c r="D53" s="1"/>
  <c r="D54" s="1"/>
  <c r="D55" s="1"/>
  <c r="D56" s="1"/>
  <c r="D57" s="1"/>
  <c r="D58" s="1"/>
  <c r="D59" s="1"/>
  <c r="D60" s="1"/>
  <c r="D61" s="1"/>
  <c r="D62" s="1"/>
  <c r="D63" s="1"/>
  <c r="D64" s="1"/>
  <c r="D65" s="1"/>
  <c r="D66" s="1"/>
  <c r="D67" s="1"/>
  <c r="D68" s="1"/>
  <c r="D69" s="1"/>
  <c r="D70" s="1"/>
  <c r="D71" s="1"/>
  <c r="D72" s="1"/>
  <c r="D73" s="1"/>
  <c r="D74" s="1"/>
  <c r="D75" s="1"/>
  <c r="D76" s="1"/>
  <c r="D77" s="1"/>
  <c r="D78" s="1"/>
  <c r="D79" s="1"/>
  <c r="D80" s="1"/>
  <c r="D81" s="1"/>
  <c r="D82" s="1"/>
  <c r="D83" s="1"/>
  <c r="C35"/>
  <c r="C40" s="1"/>
  <c r="C45" s="1"/>
  <c r="C50" s="1"/>
  <c r="C55" s="1"/>
  <c r="C60" s="1"/>
  <c r="C65" s="1"/>
  <c r="C70" s="1"/>
  <c r="C75" s="1"/>
  <c r="C80" s="1"/>
  <c r="B35"/>
  <c r="B40" s="1"/>
  <c r="B45" s="1"/>
  <c r="B50" s="1"/>
  <c r="B55" s="1"/>
  <c r="B60" s="1"/>
  <c r="B65" s="1"/>
  <c r="B70" s="1"/>
  <c r="B75" s="1"/>
  <c r="B80" s="1"/>
  <c r="E34"/>
  <c r="E33"/>
  <c r="E32"/>
  <c r="E31"/>
  <c r="E30"/>
  <c r="E29"/>
  <c r="B34"/>
  <c r="B33"/>
  <c r="B32"/>
  <c r="B31"/>
  <c r="B30"/>
  <c r="B29"/>
  <c r="C34"/>
  <c r="C33"/>
  <c r="C32"/>
  <c r="C31"/>
  <c r="C30"/>
  <c r="C29"/>
  <c r="D29"/>
  <c r="D30" s="1"/>
  <c r="D31" s="1"/>
  <c r="D32" s="1"/>
  <c r="D33" s="1"/>
  <c r="D34" s="1"/>
  <c r="D28"/>
  <c r="D27"/>
  <c r="D26"/>
  <c r="D25"/>
  <c r="T22" i="14" l="1"/>
  <c r="T25"/>
  <c r="T26"/>
  <c r="T11"/>
  <c r="T10"/>
  <c r="T9"/>
  <c r="T8"/>
  <c r="T7"/>
  <c r="T6"/>
  <c r="T5"/>
  <c r="T4"/>
  <c r="S6"/>
  <c r="S5"/>
  <c r="S4"/>
  <c r="E3" i="13"/>
  <c r="E4" s="1"/>
  <c r="E5" s="1"/>
  <c r="E6" s="1"/>
  <c r="E7" s="1"/>
  <c r="E8" s="1"/>
  <c r="E9" s="1"/>
  <c r="E10" s="1"/>
  <c r="E11" s="1"/>
  <c r="E12" s="1"/>
  <c r="E13" s="1"/>
  <c r="E14" s="1"/>
  <c r="E15" s="1"/>
  <c r="E16" s="1"/>
  <c r="E17" s="1"/>
  <c r="E18" s="1"/>
  <c r="E5" i="12"/>
  <c r="E6" s="1"/>
  <c r="E7" s="1"/>
  <c r="E8" s="1"/>
  <c r="E9" s="1"/>
  <c r="E10" s="1"/>
  <c r="E11" s="1"/>
  <c r="B5"/>
  <c r="B6" s="1"/>
  <c r="B7" s="1"/>
  <c r="B8" s="1"/>
  <c r="B9" s="1"/>
  <c r="B10" s="1"/>
  <c r="B11" s="1"/>
  <c r="A5"/>
  <c r="A6" s="1"/>
  <c r="A7" s="1"/>
  <c r="A8" s="1"/>
  <c r="A9" s="1"/>
  <c r="A10" s="1"/>
  <c r="A11" s="1"/>
  <c r="F4"/>
  <c r="F5" s="1"/>
  <c r="N96" i="14"/>
  <c r="J4"/>
  <c r="J5" s="1"/>
  <c r="J6" s="1"/>
  <c r="J7" s="1"/>
  <c r="J8" s="1"/>
  <c r="J9" s="1"/>
  <c r="J10" s="1"/>
  <c r="J11" s="1"/>
  <c r="J12" s="1"/>
  <c r="J13" s="1"/>
  <c r="J14" s="1"/>
  <c r="J15" s="1"/>
  <c r="J16" s="1"/>
  <c r="J17" s="1"/>
  <c r="J18" s="1"/>
  <c r="J19" s="1"/>
  <c r="J20" s="1"/>
  <c r="J21" s="1"/>
  <c r="J22" s="1"/>
  <c r="J23" s="1"/>
  <c r="J24" s="1"/>
  <c r="J25" s="1"/>
  <c r="J26" s="1"/>
  <c r="J27" s="1"/>
  <c r="J28" s="1"/>
  <c r="J29" s="1"/>
  <c r="J30" s="1"/>
  <c r="J31" s="1"/>
  <c r="J32" s="1"/>
  <c r="J33" s="1"/>
  <c r="J34" s="1"/>
  <c r="J35" s="1"/>
  <c r="J36" s="1"/>
  <c r="J37" s="1"/>
  <c r="J38" s="1"/>
  <c r="J39" s="1"/>
  <c r="J40" s="1"/>
  <c r="J41" s="1"/>
  <c r="J42" s="1"/>
  <c r="J43" s="1"/>
  <c r="J44" s="1"/>
  <c r="J45" s="1"/>
  <c r="J46" s="1"/>
  <c r="J47" s="1"/>
  <c r="J48" s="1"/>
  <c r="J49" s="1"/>
  <c r="J50" s="1"/>
  <c r="J51" s="1"/>
  <c r="J52" s="1"/>
  <c r="J53" s="1"/>
  <c r="J54" s="1"/>
  <c r="J55" s="1"/>
  <c r="J56" s="1"/>
  <c r="J57" s="1"/>
  <c r="J58" s="1"/>
  <c r="J59" s="1"/>
  <c r="J60" s="1"/>
  <c r="J61" s="1"/>
  <c r="J62" s="1"/>
  <c r="J63" s="1"/>
  <c r="J64" s="1"/>
  <c r="J65" s="1"/>
  <c r="J66" s="1"/>
  <c r="J67" s="1"/>
  <c r="J68" s="1"/>
  <c r="J69" s="1"/>
  <c r="J70" s="1"/>
  <c r="J71" s="1"/>
  <c r="J72" s="1"/>
  <c r="J73" s="1"/>
  <c r="J74" s="1"/>
  <c r="J75" s="1"/>
  <c r="J76" s="1"/>
  <c r="J77" s="1"/>
  <c r="J78" s="1"/>
  <c r="J79" s="1"/>
  <c r="J80" s="1"/>
  <c r="J81" s="1"/>
  <c r="J82" s="1"/>
  <c r="J83" s="1"/>
  <c r="J84" s="1"/>
  <c r="J85" s="1"/>
  <c r="J86" s="1"/>
  <c r="J87" s="1"/>
  <c r="J88" s="1"/>
  <c r="J89" s="1"/>
  <c r="J90" s="1"/>
  <c r="J91" s="1"/>
  <c r="J92" s="1"/>
  <c r="J93" s="1"/>
  <c r="J94" s="1"/>
  <c r="J95" s="1"/>
  <c r="J96" s="1"/>
  <c r="H96"/>
  <c r="F4"/>
  <c r="N95"/>
  <c r="H95"/>
  <c r="N94"/>
  <c r="H94"/>
  <c r="N93"/>
  <c r="H93"/>
  <c r="N92"/>
  <c r="H92"/>
  <c r="N91"/>
  <c r="H91"/>
  <c r="N90"/>
  <c r="H90"/>
  <c r="N89"/>
  <c r="H89"/>
  <c r="N88"/>
  <c r="H88"/>
  <c r="N87"/>
  <c r="H87"/>
  <c r="N86"/>
  <c r="H86"/>
  <c r="N85"/>
  <c r="H85"/>
  <c r="N84"/>
  <c r="H84"/>
  <c r="N83"/>
  <c r="H83"/>
  <c r="N82"/>
  <c r="H82"/>
  <c r="N81"/>
  <c r="H81"/>
  <c r="N80"/>
  <c r="H80"/>
  <c r="N79"/>
  <c r="H79"/>
  <c r="N78"/>
  <c r="H78"/>
  <c r="N77"/>
  <c r="H77"/>
  <c r="N76"/>
  <c r="H76"/>
  <c r="N75"/>
  <c r="H75"/>
  <c r="N74"/>
  <c r="H74"/>
  <c r="N73"/>
  <c r="H73"/>
  <c r="N72"/>
  <c r="H72"/>
  <c r="N71"/>
  <c r="H71"/>
  <c r="N70"/>
  <c r="H70"/>
  <c r="N69"/>
  <c r="H69"/>
  <c r="N68"/>
  <c r="H68"/>
  <c r="N67"/>
  <c r="H67"/>
  <c r="N66"/>
  <c r="H66"/>
  <c r="N65"/>
  <c r="H65"/>
  <c r="N64"/>
  <c r="H64"/>
  <c r="N63"/>
  <c r="H63"/>
  <c r="N62"/>
  <c r="H62"/>
  <c r="N61"/>
  <c r="H61"/>
  <c r="N60"/>
  <c r="H60"/>
  <c r="N59"/>
  <c r="H59"/>
  <c r="N58"/>
  <c r="H58"/>
  <c r="N57"/>
  <c r="H57"/>
  <c r="N56"/>
  <c r="H56"/>
  <c r="N55"/>
  <c r="H55"/>
  <c r="N54"/>
  <c r="H54"/>
  <c r="N53"/>
  <c r="H53"/>
  <c r="N52"/>
  <c r="H52"/>
  <c r="N51"/>
  <c r="H51"/>
  <c r="N50"/>
  <c r="H50"/>
  <c r="N49"/>
  <c r="H49"/>
  <c r="B52"/>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N48"/>
  <c r="H48"/>
  <c r="N47"/>
  <c r="H47"/>
  <c r="N46"/>
  <c r="H46"/>
  <c r="N45"/>
  <c r="H45"/>
  <c r="N44"/>
  <c r="H44"/>
  <c r="N43"/>
  <c r="H43"/>
  <c r="N42"/>
  <c r="H42"/>
  <c r="N41"/>
  <c r="H41"/>
  <c r="N40"/>
  <c r="H40"/>
  <c r="N39"/>
  <c r="H39"/>
  <c r="N37"/>
  <c r="N35"/>
  <c r="H35"/>
  <c r="N34"/>
  <c r="H34"/>
  <c r="N33"/>
  <c r="N32"/>
  <c r="N29"/>
  <c r="N28"/>
  <c r="S27"/>
  <c r="N27"/>
  <c r="H27"/>
  <c r="S26"/>
  <c r="S25"/>
  <c r="N25"/>
  <c r="S24"/>
  <c r="N24"/>
  <c r="S23"/>
  <c r="S22"/>
  <c r="N22"/>
  <c r="H22"/>
  <c r="S21"/>
  <c r="N21"/>
  <c r="H21"/>
  <c r="S20"/>
  <c r="N20"/>
  <c r="H20"/>
  <c r="S19"/>
  <c r="S18"/>
  <c r="S17"/>
  <c r="N17"/>
  <c r="H17"/>
  <c r="S16"/>
  <c r="S15"/>
  <c r="S14"/>
  <c r="N14"/>
  <c r="S13"/>
  <c r="S12"/>
  <c r="N12"/>
  <c r="S11"/>
  <c r="N11"/>
  <c r="S10"/>
  <c r="N10"/>
  <c r="S9"/>
  <c r="N9"/>
  <c r="S8"/>
  <c r="S7"/>
  <c r="N7"/>
  <c r="N6"/>
  <c r="H6"/>
  <c r="N5"/>
  <c r="K5"/>
  <c r="K6" s="1"/>
  <c r="K7" s="1"/>
  <c r="K8" s="1"/>
  <c r="K9" s="1"/>
  <c r="K10" s="1"/>
  <c r="K11" s="1"/>
  <c r="K12" s="1"/>
  <c r="K13" s="1"/>
  <c r="K14" s="1"/>
  <c r="K15" s="1"/>
  <c r="K16" s="1"/>
  <c r="K17" s="1"/>
  <c r="K18" s="1"/>
  <c r="K19" s="1"/>
  <c r="K20" s="1"/>
  <c r="K21" s="1"/>
  <c r="K22" s="1"/>
  <c r="K23" s="1"/>
  <c r="K24" s="1"/>
  <c r="K25" s="1"/>
  <c r="K26" s="1"/>
  <c r="K27" s="1"/>
  <c r="K28" s="1"/>
  <c r="K29" s="1"/>
  <c r="K30" s="1"/>
  <c r="K31" s="1"/>
  <c r="K32" s="1"/>
  <c r="K33" s="1"/>
  <c r="K34" s="1"/>
  <c r="K35" s="1"/>
  <c r="K36" s="1"/>
  <c r="K37" s="1"/>
  <c r="K38" s="1"/>
  <c r="K39" s="1"/>
  <c r="K40" s="1"/>
  <c r="K41" s="1"/>
  <c r="K42" s="1"/>
  <c r="K43" s="1"/>
  <c r="K44" s="1"/>
  <c r="K45" s="1"/>
  <c r="K46" s="1"/>
  <c r="K47" s="1"/>
  <c r="K48" s="1"/>
  <c r="K49" s="1"/>
  <c r="K50" s="1"/>
  <c r="K51" s="1"/>
  <c r="K52" s="1"/>
  <c r="K53" s="1"/>
  <c r="K54" s="1"/>
  <c r="K55" s="1"/>
  <c r="K56" s="1"/>
  <c r="K57" s="1"/>
  <c r="K58" s="1"/>
  <c r="K59" s="1"/>
  <c r="K60" s="1"/>
  <c r="K61" s="1"/>
  <c r="K62" s="1"/>
  <c r="K63" s="1"/>
  <c r="K64" s="1"/>
  <c r="K65" s="1"/>
  <c r="K66" s="1"/>
  <c r="K67" s="1"/>
  <c r="K68" s="1"/>
  <c r="K69" s="1"/>
  <c r="K70" s="1"/>
  <c r="K71" s="1"/>
  <c r="K72" s="1"/>
  <c r="K73" s="1"/>
  <c r="K74" s="1"/>
  <c r="K75" s="1"/>
  <c r="K76" s="1"/>
  <c r="K77" s="1"/>
  <c r="K78" s="1"/>
  <c r="K79" s="1"/>
  <c r="K80" s="1"/>
  <c r="K81" s="1"/>
  <c r="K82" s="1"/>
  <c r="K83" s="1"/>
  <c r="K84" s="1"/>
  <c r="K85" s="1"/>
  <c r="K86" s="1"/>
  <c r="K87" s="1"/>
  <c r="K88" s="1"/>
  <c r="K89" s="1"/>
  <c r="K90" s="1"/>
  <c r="K91" s="1"/>
  <c r="K92" s="1"/>
  <c r="K93" s="1"/>
  <c r="K94" s="1"/>
  <c r="K95" s="1"/>
  <c r="K96" s="1"/>
  <c r="I5"/>
  <c r="I6" s="1"/>
  <c r="I7" s="1"/>
  <c r="I8" s="1"/>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70" s="1"/>
  <c r="I71" s="1"/>
  <c r="I72" s="1"/>
  <c r="I73" s="1"/>
  <c r="I74" s="1"/>
  <c r="I75" s="1"/>
  <c r="I76" s="1"/>
  <c r="I77" s="1"/>
  <c r="I78" s="1"/>
  <c r="I79" s="1"/>
  <c r="I80" s="1"/>
  <c r="I81" s="1"/>
  <c r="I82" s="1"/>
  <c r="I83" s="1"/>
  <c r="I84" s="1"/>
  <c r="I85" s="1"/>
  <c r="I86" s="1"/>
  <c r="I87" s="1"/>
  <c r="I88" s="1"/>
  <c r="I89" s="1"/>
  <c r="I90" s="1"/>
  <c r="I91" s="1"/>
  <c r="I92" s="1"/>
  <c r="I93" s="1"/>
  <c r="I94" s="1"/>
  <c r="I95" s="1"/>
  <c r="I96" s="1"/>
  <c r="H5"/>
  <c r="A5"/>
  <c r="A6" s="1"/>
  <c r="A7" s="1"/>
  <c r="A8" s="1"/>
  <c r="A9" s="1"/>
  <c r="A10" s="1"/>
  <c r="A11" s="1"/>
  <c r="A12" s="1"/>
  <c r="A13" s="1"/>
  <c r="A14" s="1"/>
  <c r="A15" s="1"/>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N4"/>
  <c r="L4"/>
  <c r="L5" s="1"/>
  <c r="L6" s="1"/>
  <c r="L7" s="1"/>
  <c r="L8" s="1"/>
  <c r="L9" s="1"/>
  <c r="L10" s="1"/>
  <c r="L11" s="1"/>
  <c r="L12" s="1"/>
  <c r="L13" s="1"/>
  <c r="L14" s="1"/>
  <c r="L15" s="1"/>
  <c r="H4"/>
  <c r="R4485" i="1"/>
  <c r="R4421"/>
  <c r="R4420"/>
  <c r="F6" i="12" l="1"/>
  <c r="F7" s="1"/>
  <c r="F8" s="1"/>
  <c r="F9" s="1"/>
  <c r="F10" s="1"/>
  <c r="F11" s="1"/>
  <c r="L16" i="14"/>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F5"/>
  <c r="F6" s="1"/>
  <c r="F7" s="1"/>
  <c r="M4"/>
  <c r="M5" s="1"/>
  <c r="M6" s="1"/>
  <c r="M7" s="1"/>
  <c r="M8" s="1"/>
  <c r="M9" l="1"/>
  <c r="M10" s="1"/>
  <c r="M11" s="1"/>
  <c r="M12" s="1"/>
  <c r="M13" s="1"/>
  <c r="M14" s="1"/>
  <c r="M15" s="1"/>
  <c r="N8"/>
  <c r="F8"/>
  <c r="H7"/>
  <c r="N23"/>
  <c r="H23"/>
  <c r="H30"/>
  <c r="N30"/>
  <c r="M16" l="1"/>
  <c r="M17" s="1"/>
  <c r="M18" s="1"/>
  <c r="N15"/>
  <c r="N13"/>
  <c r="N16"/>
  <c r="N19"/>
  <c r="F9"/>
  <c r="H8"/>
  <c r="N26"/>
  <c r="M19" l="1"/>
  <c r="M20" s="1"/>
  <c r="M21" s="1"/>
  <c r="M22" s="1"/>
  <c r="M23" s="1"/>
  <c r="M24" s="1"/>
  <c r="M25" s="1"/>
  <c r="M26" s="1"/>
  <c r="M27" s="1"/>
  <c r="M28" s="1"/>
  <c r="M29" s="1"/>
  <c r="M30" s="1"/>
  <c r="M31" s="1"/>
  <c r="M32" s="1"/>
  <c r="M33" s="1"/>
  <c r="M34" s="1"/>
  <c r="M35" s="1"/>
  <c r="M36" s="1"/>
  <c r="N18"/>
  <c r="F10"/>
  <c r="H9"/>
  <c r="N31"/>
  <c r="M37" l="1"/>
  <c r="M38" s="1"/>
  <c r="N36"/>
  <c r="F11"/>
  <c r="H10"/>
  <c r="H26"/>
  <c r="M39" l="1"/>
  <c r="M40" s="1"/>
  <c r="M41" s="1"/>
  <c r="M42" s="1"/>
  <c r="M43" s="1"/>
  <c r="M44" s="1"/>
  <c r="M45" s="1"/>
  <c r="M46" s="1"/>
  <c r="M47" s="1"/>
  <c r="M48" s="1"/>
  <c r="M49" s="1"/>
  <c r="M50" s="1"/>
  <c r="M51" s="1"/>
  <c r="M52" s="1"/>
  <c r="M53" s="1"/>
  <c r="M54" s="1"/>
  <c r="M55" s="1"/>
  <c r="M56" s="1"/>
  <c r="M57" s="1"/>
  <c r="M58" s="1"/>
  <c r="M59" s="1"/>
  <c r="M60" s="1"/>
  <c r="M61" s="1"/>
  <c r="M62" s="1"/>
  <c r="M63" s="1"/>
  <c r="M64" s="1"/>
  <c r="M65" s="1"/>
  <c r="M66" s="1"/>
  <c r="M67" s="1"/>
  <c r="M68" s="1"/>
  <c r="M69" s="1"/>
  <c r="M70" s="1"/>
  <c r="M71" s="1"/>
  <c r="M72" s="1"/>
  <c r="M73" s="1"/>
  <c r="M74" s="1"/>
  <c r="M75" s="1"/>
  <c r="M76" s="1"/>
  <c r="M77" s="1"/>
  <c r="M78" s="1"/>
  <c r="M79" s="1"/>
  <c r="M80" s="1"/>
  <c r="M81" s="1"/>
  <c r="M82" s="1"/>
  <c r="M83" s="1"/>
  <c r="M84" s="1"/>
  <c r="M85" s="1"/>
  <c r="M86" s="1"/>
  <c r="M87" s="1"/>
  <c r="M88" s="1"/>
  <c r="M89" s="1"/>
  <c r="M90" s="1"/>
  <c r="M91" s="1"/>
  <c r="M92" s="1"/>
  <c r="M93" s="1"/>
  <c r="M94" s="1"/>
  <c r="M95" s="1"/>
  <c r="M96" s="1"/>
  <c r="N38"/>
  <c r="F12"/>
  <c r="H11"/>
  <c r="F13" l="1"/>
  <c r="H12"/>
  <c r="F14" l="1"/>
  <c r="H13"/>
  <c r="F15" l="1"/>
  <c r="H14"/>
  <c r="H16"/>
  <c r="F16" l="1"/>
  <c r="F17" s="1"/>
  <c r="F18" s="1"/>
  <c r="H15"/>
  <c r="F19" l="1"/>
  <c r="H18"/>
  <c r="F20" l="1"/>
  <c r="F21" s="1"/>
  <c r="F22" s="1"/>
  <c r="F23" s="1"/>
  <c r="F24" s="1"/>
  <c r="H19"/>
  <c r="F25" l="1"/>
  <c r="H24"/>
  <c r="F26" l="1"/>
  <c r="F27" s="1"/>
  <c r="F28" s="1"/>
  <c r="H25"/>
  <c r="F29" l="1"/>
  <c r="H28"/>
  <c r="F30" l="1"/>
  <c r="F31" s="1"/>
  <c r="H31" s="1"/>
  <c r="H29"/>
  <c r="F32" l="1"/>
  <c r="F33" l="1"/>
  <c r="H32"/>
  <c r="F34" l="1"/>
  <c r="F35" s="1"/>
  <c r="F36" s="1"/>
  <c r="H33"/>
  <c r="F37" l="1"/>
  <c r="H36"/>
  <c r="F38" l="1"/>
  <c r="H37"/>
  <c r="F39" l="1"/>
  <c r="F40" s="1"/>
  <c r="F41" s="1"/>
  <c r="F42" s="1"/>
  <c r="F43" s="1"/>
  <c r="F44" s="1"/>
  <c r="F45" s="1"/>
  <c r="F46" s="1"/>
  <c r="F47" s="1"/>
  <c r="F48" s="1"/>
  <c r="F49" s="1"/>
  <c r="F50" s="1"/>
  <c r="F51" s="1"/>
  <c r="F52" s="1"/>
  <c r="F53" s="1"/>
  <c r="F54" s="1"/>
  <c r="F55" s="1"/>
  <c r="F56" s="1"/>
  <c r="F57" s="1"/>
  <c r="F58" s="1"/>
  <c r="F59" s="1"/>
  <c r="F60" s="1"/>
  <c r="F61" s="1"/>
  <c r="F62" s="1"/>
  <c r="F63" s="1"/>
  <c r="F64" s="1"/>
  <c r="F65" s="1"/>
  <c r="F66" s="1"/>
  <c r="F67" s="1"/>
  <c r="F68" s="1"/>
  <c r="F69" s="1"/>
  <c r="F70" s="1"/>
  <c r="F71" s="1"/>
  <c r="F72" s="1"/>
  <c r="F73" s="1"/>
  <c r="F74" s="1"/>
  <c r="F75" s="1"/>
  <c r="F76" s="1"/>
  <c r="F77" s="1"/>
  <c r="F78" s="1"/>
  <c r="F79" s="1"/>
  <c r="F80" s="1"/>
  <c r="F81" s="1"/>
  <c r="F82" s="1"/>
  <c r="F83" s="1"/>
  <c r="F84" s="1"/>
  <c r="F85" s="1"/>
  <c r="F86" s="1"/>
  <c r="F87" s="1"/>
  <c r="F88" s="1"/>
  <c r="F89" s="1"/>
  <c r="F90" s="1"/>
  <c r="F91" s="1"/>
  <c r="F92" s="1"/>
  <c r="F93" s="1"/>
  <c r="F94" s="1"/>
  <c r="F95" s="1"/>
  <c r="F96" s="1"/>
  <c r="H38"/>
</calcChain>
</file>

<file path=xl/comments1.xml><?xml version="1.0" encoding="utf-8"?>
<comments xmlns="http://schemas.openxmlformats.org/spreadsheetml/2006/main">
  <authors>
    <author>MAURO</author>
    <author>Angel Mauro Avellaneda Barreto</author>
    <author>Mauro Avellaneda</author>
    <author>Mauro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P1" authorId="2">
      <text>
        <r>
          <rPr>
            <b/>
            <sz val="9"/>
            <color indexed="81"/>
            <rFont val="Tahoma"/>
            <family val="2"/>
          </rPr>
          <t>Mauro Avellaneda:</t>
        </r>
        <r>
          <rPr>
            <sz val="9"/>
            <color indexed="81"/>
            <rFont val="Tahoma"/>
            <family val="2"/>
          </rPr>
          <t xml:space="preserve">
Tambien se usa para indicar si un bloque hijo es editable en cuadricula (valor de 3000 o superior)
O si un bloque hijo se le cambia el orden, valores entre 2000 y 2999</t>
        </r>
      </text>
    </comment>
    <comment ref="R1" authorId="1">
      <text>
        <r>
          <rPr>
            <b/>
            <sz val="9"/>
            <color indexed="81"/>
            <rFont val="Tahoma"/>
            <family val="2"/>
          </rPr>
          <t>Angel Mauro Avellaneda Barreto:</t>
        </r>
        <r>
          <rPr>
            <sz val="9"/>
            <color indexed="81"/>
            <rFont val="Tahoma"/>
            <family val="2"/>
          </rPr>
          <t xml:space="preserve">
Si quiere un GrupoCampos despues del campo ponga -1
</t>
        </r>
      </text>
    </comment>
    <comment ref="L853" authorId="3">
      <text>
        <r>
          <rPr>
            <b/>
            <sz val="9"/>
            <color indexed="81"/>
            <rFont val="Tahoma"/>
            <family val="2"/>
          </rPr>
          <t>Desarrollo:</t>
        </r>
        <r>
          <rPr>
            <sz val="9"/>
            <color indexed="81"/>
            <rFont val="Tahoma"/>
            <family val="2"/>
          </rPr>
          <t xml:space="preserve">
Esto solo se deja para mantener la plantilla en forma estandar, pero el cupo viene de la olab11</t>
        </r>
      </text>
    </comment>
    <comment ref="L1052" authorId="3">
      <text>
        <r>
          <rPr>
            <b/>
            <sz val="9"/>
            <color indexed="81"/>
            <rFont val="Tahoma"/>
            <family val="2"/>
          </rPr>
          <t>Desarrollo:</t>
        </r>
        <r>
          <rPr>
            <sz val="9"/>
            <color indexed="81"/>
            <rFont val="Tahoma"/>
            <family val="2"/>
          </rPr>
          <t xml:space="preserve">
Esto solo se deja para mantener la plantilla en forma estandar, pero el cupo viene de la olab11</t>
        </r>
      </text>
    </comment>
    <comment ref="L1220" authorId="3">
      <text>
        <r>
          <rPr>
            <b/>
            <sz val="9"/>
            <color indexed="81"/>
            <rFont val="Tahoma"/>
            <family val="2"/>
          </rPr>
          <t>Desarrollo:</t>
        </r>
        <r>
          <rPr>
            <sz val="9"/>
            <color indexed="81"/>
            <rFont val="Tahoma"/>
            <family val="2"/>
          </rPr>
          <t xml:space="preserve">
Esto solo se deja para mantener la plantilla en forma estandar, pero el cupo viene de la olab11</t>
        </r>
      </text>
    </comment>
  </commentList>
</comments>
</file>

<file path=xl/comments2.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3.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4.xml><?xml version="1.0" encoding="utf-8"?>
<comments xmlns="http://schemas.openxmlformats.org/spreadsheetml/2006/main">
  <authors>
    <author>Windows User</author>
    <author>MAURO</author>
    <author>Angel Mauro Avellaneda Barreto</author>
  </authors>
  <commentList>
    <comment ref="A1" authorId="0">
      <text>
        <r>
          <rPr>
            <b/>
            <sz val="9"/>
            <color indexed="81"/>
            <rFont val="Tahoma"/>
            <family val="2"/>
          </rPr>
          <t xml:space="preserve">Mauro: </t>
        </r>
        <r>
          <rPr>
            <sz val="9"/>
            <color indexed="81"/>
            <rFont val="Tahoma"/>
            <family val="2"/>
          </rPr>
          <t xml:space="preserve">Se pueden usar colores para indicar lo siguiente:
</t>
        </r>
        <r>
          <rPr>
            <b/>
            <i/>
            <sz val="9"/>
            <color indexed="81"/>
            <rFont val="Tahoma"/>
            <family val="2"/>
          </rPr>
          <t>Purpura</t>
        </r>
        <r>
          <rPr>
            <sz val="9"/>
            <color indexed="81"/>
            <rFont val="Tahoma"/>
            <family val="2"/>
          </rPr>
          <t xml:space="preserve">: Es una tabla que se crea dinamicamente.
</t>
        </r>
        <r>
          <rPr>
            <b/>
            <i/>
            <sz val="9"/>
            <color indexed="81"/>
            <rFont val="Tahoma"/>
            <family val="2"/>
          </rPr>
          <t>Amarillo</t>
        </r>
        <r>
          <rPr>
            <sz val="9"/>
            <color indexed="81"/>
            <rFont val="Tahoma"/>
            <family val="2"/>
          </rPr>
          <t>: Para describir un modulo (es decir que el modulo no tiene tabla como tal)</t>
        </r>
      </text>
    </comment>
    <comment ref="L1" authorId="1">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2">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2">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5.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6.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7.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8.xml><?xml version="1.0" encoding="utf-8"?>
<comments xmlns="http://schemas.openxmlformats.org/spreadsheetml/2006/main">
  <authors>
    <author>MAURO</author>
    <author>Angel Mauro Avellaneda Barreto</author>
    <author>Mauro Avellaneda</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 ref="G412" authorId="2">
      <text>
        <r>
          <rPr>
            <b/>
            <sz val="9"/>
            <color indexed="81"/>
            <rFont val="Tahoma"/>
            <family val="2"/>
          </rPr>
          <t>Mauro Avellaneda:</t>
        </r>
        <r>
          <rPr>
            <sz val="9"/>
            <color indexed="81"/>
            <rFont val="Tahoma"/>
            <family val="2"/>
          </rPr>
          <t xml:space="preserve">
Este modulo se paso a core...</t>
        </r>
      </text>
    </comment>
  </commentList>
</comments>
</file>

<file path=xl/comments9.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0.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1.xml><?xml version="1.0" encoding="utf-8"?>
<comments xmlns="http://schemas.openxmlformats.org/spreadsheetml/2006/main">
  <authors>
    <author>Windows User</author>
    <author>MAURO</author>
    <author>Angel Mauro Avellaneda Barreto</author>
  </authors>
  <commentList>
    <comment ref="A1" authorId="0">
      <text>
        <r>
          <rPr>
            <b/>
            <sz val="9"/>
            <color indexed="81"/>
            <rFont val="Tahoma"/>
            <family val="2"/>
          </rPr>
          <t xml:space="preserve">Mauro: </t>
        </r>
        <r>
          <rPr>
            <sz val="9"/>
            <color indexed="81"/>
            <rFont val="Tahoma"/>
            <family val="2"/>
          </rPr>
          <t xml:space="preserve">Se pueden usar colores para indicar lo siguiente:
</t>
        </r>
        <r>
          <rPr>
            <b/>
            <i/>
            <sz val="9"/>
            <color indexed="81"/>
            <rFont val="Tahoma"/>
            <family val="2"/>
          </rPr>
          <t>Purpura</t>
        </r>
        <r>
          <rPr>
            <sz val="9"/>
            <color indexed="81"/>
            <rFont val="Tahoma"/>
            <family val="2"/>
          </rPr>
          <t xml:space="preserve">: Es una tabla que se crea dinamicamente.
</t>
        </r>
        <r>
          <rPr>
            <b/>
            <i/>
            <sz val="9"/>
            <color indexed="81"/>
            <rFont val="Tahoma"/>
            <family val="2"/>
          </rPr>
          <t>Amarillo</t>
        </r>
        <r>
          <rPr>
            <sz val="9"/>
            <color indexed="81"/>
            <rFont val="Tahoma"/>
            <family val="2"/>
          </rPr>
          <t>: Para describir un modulo (es decir que el modulo no tiene tabla como tal)</t>
        </r>
      </text>
    </comment>
    <comment ref="L1" authorId="1">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2">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2">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2.xml><?xml version="1.0" encoding="utf-8"?>
<comments xmlns="http://schemas.openxmlformats.org/spreadsheetml/2006/main">
  <authors>
    <author>Windows User</author>
    <author>MAURO</author>
    <author>Angel Mauro Avellaneda Barreto</author>
  </authors>
  <commentList>
    <comment ref="A1" authorId="0">
      <text>
        <r>
          <rPr>
            <b/>
            <sz val="9"/>
            <color indexed="81"/>
            <rFont val="Tahoma"/>
            <family val="2"/>
          </rPr>
          <t xml:space="preserve">Mauro: </t>
        </r>
        <r>
          <rPr>
            <sz val="9"/>
            <color indexed="81"/>
            <rFont val="Tahoma"/>
            <family val="2"/>
          </rPr>
          <t xml:space="preserve">Se pueden usar colores para indicar lo siguiente:
</t>
        </r>
        <r>
          <rPr>
            <b/>
            <i/>
            <sz val="9"/>
            <color indexed="81"/>
            <rFont val="Tahoma"/>
            <family val="2"/>
          </rPr>
          <t>Purpura</t>
        </r>
        <r>
          <rPr>
            <sz val="9"/>
            <color indexed="81"/>
            <rFont val="Tahoma"/>
            <family val="2"/>
          </rPr>
          <t xml:space="preserve">: Es una tabla que se crea dinamicamente.
</t>
        </r>
        <r>
          <rPr>
            <b/>
            <i/>
            <sz val="9"/>
            <color indexed="81"/>
            <rFont val="Tahoma"/>
            <family val="2"/>
          </rPr>
          <t>Amarillo</t>
        </r>
        <r>
          <rPr>
            <sz val="9"/>
            <color indexed="81"/>
            <rFont val="Tahoma"/>
            <family val="2"/>
          </rPr>
          <t>: Para describir un modulo (es decir que el modulo no tiene tabla como tal)</t>
        </r>
      </text>
    </comment>
    <comment ref="L1" authorId="1">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2">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2">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3.xml><?xml version="1.0" encoding="utf-8"?>
<comments xmlns="http://schemas.openxmlformats.org/spreadsheetml/2006/main">
  <authors>
    <author>Windows User</author>
    <author>MAURO</author>
    <author>Angel Mauro Avellaneda Barreto</author>
  </authors>
  <commentList>
    <comment ref="A1" authorId="0">
      <text>
        <r>
          <rPr>
            <b/>
            <sz val="9"/>
            <color indexed="81"/>
            <rFont val="Tahoma"/>
            <family val="2"/>
          </rPr>
          <t xml:space="preserve">Mauro: </t>
        </r>
        <r>
          <rPr>
            <sz val="9"/>
            <color indexed="81"/>
            <rFont val="Tahoma"/>
            <family val="2"/>
          </rPr>
          <t xml:space="preserve">Se pueden usar colores para indicar lo siguiente:
</t>
        </r>
        <r>
          <rPr>
            <b/>
            <i/>
            <sz val="9"/>
            <color indexed="81"/>
            <rFont val="Tahoma"/>
            <family val="2"/>
          </rPr>
          <t>Purpura</t>
        </r>
        <r>
          <rPr>
            <sz val="9"/>
            <color indexed="81"/>
            <rFont val="Tahoma"/>
            <family val="2"/>
          </rPr>
          <t xml:space="preserve">: Es una tabla que se crea dinamicamente.
</t>
        </r>
        <r>
          <rPr>
            <b/>
            <i/>
            <sz val="9"/>
            <color indexed="81"/>
            <rFont val="Tahoma"/>
            <family val="2"/>
          </rPr>
          <t>Amarillo</t>
        </r>
        <r>
          <rPr>
            <sz val="9"/>
            <color indexed="81"/>
            <rFont val="Tahoma"/>
            <family val="2"/>
          </rPr>
          <t>: Para describir un modulo (es decir que el modulo no tiene tabla como tal)</t>
        </r>
      </text>
    </comment>
    <comment ref="L1" authorId="1">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2">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2">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4.xml><?xml version="1.0" encoding="utf-8"?>
<comments xmlns="http://schemas.openxmlformats.org/spreadsheetml/2006/main">
  <authors>
    <author>Windows User</author>
    <author>MAURO</author>
    <author>Angel Mauro Avellaneda Barreto</author>
  </authors>
  <commentList>
    <comment ref="A1" authorId="0">
      <text>
        <r>
          <rPr>
            <b/>
            <sz val="9"/>
            <color indexed="81"/>
            <rFont val="Tahoma"/>
            <family val="2"/>
          </rPr>
          <t xml:space="preserve">Mauro: </t>
        </r>
        <r>
          <rPr>
            <sz val="9"/>
            <color indexed="81"/>
            <rFont val="Tahoma"/>
            <family val="2"/>
          </rPr>
          <t xml:space="preserve">Se pueden usar colores para indicar lo siguiente:
</t>
        </r>
        <r>
          <rPr>
            <b/>
            <i/>
            <sz val="9"/>
            <color indexed="81"/>
            <rFont val="Tahoma"/>
            <family val="2"/>
          </rPr>
          <t>Purpura</t>
        </r>
        <r>
          <rPr>
            <sz val="9"/>
            <color indexed="81"/>
            <rFont val="Tahoma"/>
            <family val="2"/>
          </rPr>
          <t xml:space="preserve">: Es una tabla que se crea dinamicamente.
</t>
        </r>
        <r>
          <rPr>
            <b/>
            <i/>
            <sz val="9"/>
            <color indexed="81"/>
            <rFont val="Tahoma"/>
            <family val="2"/>
          </rPr>
          <t>Amarillo</t>
        </r>
        <r>
          <rPr>
            <sz val="9"/>
            <color indexed="81"/>
            <rFont val="Tahoma"/>
            <family val="2"/>
          </rPr>
          <t>: Para describir un modulo (es decir que el modulo no tiene tabla como tal)</t>
        </r>
      </text>
    </comment>
    <comment ref="L1" authorId="1">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2">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2">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comments15.xml><?xml version="1.0" encoding="utf-8"?>
<comments xmlns="http://schemas.openxmlformats.org/spreadsheetml/2006/main">
  <authors>
    <author>MAURO</author>
    <author>Angel Mauro Avellaneda Barreto</author>
    <author>Mauro Avellaneda</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P1" authorId="2">
      <text>
        <r>
          <rPr>
            <b/>
            <sz val="9"/>
            <color indexed="81"/>
            <rFont val="Tahoma"/>
            <family val="2"/>
          </rPr>
          <t>Mauro Avellaneda:</t>
        </r>
        <r>
          <rPr>
            <sz val="9"/>
            <color indexed="81"/>
            <rFont val="Tahoma"/>
            <family val="2"/>
          </rPr>
          <t xml:space="preserve">
Tambien se usa para indicar si un bloque hijo es editable en cuadricula (valor de 3000 o superior)
O si un bloque hijo se le cambia el orden, valores entre 2000 y 2999</t>
        </r>
      </text>
    </comment>
    <comment ref="R1" authorId="1">
      <text>
        <r>
          <rPr>
            <b/>
            <sz val="9"/>
            <color indexed="81"/>
            <rFont val="Tahoma"/>
            <family val="2"/>
          </rPr>
          <t>Angel Mauro Avellaneda Barreto:</t>
        </r>
        <r>
          <rPr>
            <sz val="9"/>
            <color indexed="81"/>
            <rFont val="Tahoma"/>
            <family val="2"/>
          </rPr>
          <t xml:space="preserve">
Si quiere un GrupoCampos despues del campo ponga -1
</t>
        </r>
      </text>
    </comment>
  </commentList>
</comments>
</file>

<file path=xl/comments16.xml><?xml version="1.0" encoding="utf-8"?>
<comments xmlns="http://schemas.openxmlformats.org/spreadsheetml/2006/main">
  <authors>
    <author>MAURO</author>
    <author>Angel Mauro Avellaneda Barreto</author>
    <author>Mauro Avellaneda</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P1" authorId="2">
      <text>
        <r>
          <rPr>
            <b/>
            <sz val="9"/>
            <color indexed="81"/>
            <rFont val="Tahoma"/>
            <family val="2"/>
          </rPr>
          <t>Mauro Avellaneda:</t>
        </r>
        <r>
          <rPr>
            <sz val="9"/>
            <color indexed="81"/>
            <rFont val="Tahoma"/>
            <family val="2"/>
          </rPr>
          <t xml:space="preserve">
Tambien se usa para indicar si un bloque hijo es editable en cuadricula (valor de 3000 o superior)
O si un bloque hijo se le cambia el orden, valores entre 2000 y 2999</t>
        </r>
      </text>
    </comment>
    <comment ref="R1" authorId="1">
      <text>
        <r>
          <rPr>
            <b/>
            <sz val="9"/>
            <color indexed="81"/>
            <rFont val="Tahoma"/>
            <family val="2"/>
          </rPr>
          <t>Angel Mauro Avellaneda Barreto:</t>
        </r>
        <r>
          <rPr>
            <sz val="9"/>
            <color indexed="81"/>
            <rFont val="Tahoma"/>
            <family val="2"/>
          </rPr>
          <t xml:space="preserve">
Si quiere un GrupoCampos despues del campo ponga -1
</t>
        </r>
      </text>
    </comment>
  </commentList>
</comments>
</file>

<file path=xl/comments17.xml><?xml version="1.0" encoding="utf-8"?>
<comments xmlns="http://schemas.openxmlformats.org/spreadsheetml/2006/main">
  <authors>
    <author>MAURO</author>
    <author>Angel Mauro Avellaneda Barreto</author>
    <author>Mauro Avellaneda</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P1" authorId="2">
      <text>
        <r>
          <rPr>
            <b/>
            <sz val="9"/>
            <color indexed="81"/>
            <rFont val="Tahoma"/>
            <family val="2"/>
          </rPr>
          <t>Mauro Avellaneda:</t>
        </r>
        <r>
          <rPr>
            <sz val="9"/>
            <color indexed="81"/>
            <rFont val="Tahoma"/>
            <family val="2"/>
          </rPr>
          <t xml:space="preserve">
Tambien se usa para indicar si un bloque hijo es editable en cuadricula (valor de 3000 o superior)
O si un bloque hijo se le cambia el orden, valores entre 2000 y 2999</t>
        </r>
      </text>
    </comment>
    <comment ref="R1" authorId="1">
      <text>
        <r>
          <rPr>
            <b/>
            <sz val="9"/>
            <color indexed="81"/>
            <rFont val="Tahoma"/>
            <family val="2"/>
          </rPr>
          <t>Angel Mauro Avellaneda Barreto:</t>
        </r>
        <r>
          <rPr>
            <sz val="9"/>
            <color indexed="81"/>
            <rFont val="Tahoma"/>
            <family val="2"/>
          </rPr>
          <t xml:space="preserve">
Si quiere un GrupoCampos despues del campo ponga -1
</t>
        </r>
      </text>
    </comment>
  </commentList>
</comments>
</file>

<file path=xl/comments18.xml><?xml version="1.0" encoding="utf-8"?>
<comments xmlns="http://schemas.openxmlformats.org/spreadsheetml/2006/main">
  <authors>
    <author>MAURO</author>
    <author>Angel Mauro Avellaneda Barreto</author>
    <author>Mauro Avellaneda</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P1" authorId="2">
      <text>
        <r>
          <rPr>
            <b/>
            <sz val="9"/>
            <color indexed="81"/>
            <rFont val="Tahoma"/>
            <family val="2"/>
          </rPr>
          <t>Mauro Avellaneda:</t>
        </r>
        <r>
          <rPr>
            <sz val="9"/>
            <color indexed="81"/>
            <rFont val="Tahoma"/>
            <family val="2"/>
          </rPr>
          <t xml:space="preserve">
Tambien se usa para indicar si un bloque hijo es editable en cuadricula (valor de 3000 o superior)
O si un bloque hijo se le cambia el orden, valores entre 2000 y 2999</t>
        </r>
      </text>
    </comment>
    <comment ref="R1" authorId="1">
      <text>
        <r>
          <rPr>
            <b/>
            <sz val="9"/>
            <color indexed="81"/>
            <rFont val="Tahoma"/>
            <family val="2"/>
          </rPr>
          <t>Angel Mauro Avellaneda Barreto:</t>
        </r>
        <r>
          <rPr>
            <sz val="9"/>
            <color indexed="81"/>
            <rFont val="Tahoma"/>
            <family val="2"/>
          </rPr>
          <t xml:space="preserve">
Si quiere un GrupoCampos despues del campo ponga -1
</t>
        </r>
      </text>
    </comment>
  </commentList>
</comments>
</file>

<file path=xl/comments19.xml><?xml version="1.0" encoding="utf-8"?>
<comments xmlns="http://schemas.openxmlformats.org/spreadsheetml/2006/main">
  <authors>
    <author>MAURO</author>
    <author>Angel Mauro Avellaneda Barreto</author>
    <author>Mauro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 ref="L158" authorId="2">
      <text>
        <r>
          <rPr>
            <b/>
            <sz val="9"/>
            <color indexed="81"/>
            <rFont val="Tahoma"/>
            <family val="2"/>
          </rPr>
          <t>Desarrollo:</t>
        </r>
        <r>
          <rPr>
            <sz val="9"/>
            <color indexed="81"/>
            <rFont val="Tahoma"/>
            <family val="2"/>
          </rPr>
          <t xml:space="preserve">
Esto solo se deja para mantener la plantilla en forma estandar, pero el cupo viene de la olab11</t>
        </r>
      </text>
    </comment>
  </commentList>
</comments>
</file>

<file path=xl/comments20.xml><?xml version="1.0" encoding="utf-8"?>
<comments xmlns="http://schemas.openxmlformats.org/spreadsheetml/2006/main">
  <authors>
    <author>MAURO</author>
    <author>Angel Mauro Avellaneda Barreto</author>
  </authors>
  <commentList>
    <comment ref="L1" authorId="0">
      <text>
        <r>
          <rPr>
            <b/>
            <sz val="9"/>
            <color indexed="81"/>
            <rFont val="Tahoma"/>
            <family val="2"/>
          </rPr>
          <t xml:space="preserve">MAURO: </t>
        </r>
        <r>
          <rPr>
            <sz val="9"/>
            <color indexed="81"/>
            <rFont val="Tahoma"/>
            <family val="2"/>
          </rPr>
          <t>Los tipos especiales son: 
iTexto = 1
iMoneda = 2
iCombo = 3
iMemo = 4
iNumero = 5
iConsecutivo = 6
iFecha = 7
iTercero = 8
iBusqueda = 9
iComboTexto = 13
iBusquedaTexto = 19
idEntidad = 51
idTablaPadre = 52
iAnexoDB = 91
iAnexoId = 92</t>
        </r>
      </text>
    </comment>
    <comment ref="M1" authorId="1">
      <text>
        <r>
          <rPr>
            <b/>
            <sz val="9"/>
            <color indexed="81"/>
            <rFont val="Tahoma"/>
            <family val="2"/>
          </rPr>
          <t xml:space="preserve">Angel Mauro Avellaneda Barreto:
</t>
        </r>
        <r>
          <rPr>
            <sz val="9"/>
            <color indexed="81"/>
            <rFont val="Tahoma"/>
            <family val="2"/>
          </rPr>
          <t xml:space="preserve">Tipos especiales:
1 - Campo Oculto que se muestra
2 - Campo Oculto que </t>
        </r>
        <r>
          <rPr>
            <b/>
            <sz val="9"/>
            <color indexed="81"/>
            <rFont val="Tahoma"/>
            <family val="2"/>
          </rPr>
          <t>NO se muestra</t>
        </r>
        <r>
          <rPr>
            <sz val="9"/>
            <color indexed="81"/>
            <rFont val="Tahoma"/>
            <family val="2"/>
          </rPr>
          <t xml:space="preserve">
3 - Campo No Editable - Como si fuera llave
31 - Combo Hijo.
71 - Hora
72 - Minuto
73 - Hora Oculta
74 - Minuto Oculto</t>
        </r>
      </text>
    </comment>
    <comment ref="R1" authorId="1">
      <text>
        <r>
          <rPr>
            <b/>
            <sz val="9"/>
            <color indexed="81"/>
            <rFont val="Tahoma"/>
            <family val="2"/>
          </rPr>
          <t>Angel Mauro Avellaneda Barreto:</t>
        </r>
        <r>
          <rPr>
            <sz val="9"/>
            <color indexed="81"/>
            <rFont val="Tahoma"/>
            <family val="2"/>
          </rPr>
          <t xml:space="preserve">
Si quiere un GrupoCampos despues del campo ponga -1</t>
        </r>
      </text>
    </comment>
  </commentList>
</comments>
</file>

<file path=xl/sharedStrings.xml><?xml version="1.0" encoding="utf-8"?>
<sst xmlns="http://schemas.openxmlformats.org/spreadsheetml/2006/main" count="28886" uniqueCount="6916">
  <si>
    <t>even05consec</t>
  </si>
  <si>
    <t>even05fecha</t>
  </si>
  <si>
    <t>even05idtercero</t>
  </si>
  <si>
    <t>even05publicar</t>
  </si>
  <si>
    <t>even02estado</t>
  </si>
  <si>
    <t>even14estadoevento</t>
  </si>
  <si>
    <t>even14id</t>
  </si>
  <si>
    <t>even14nombre</t>
  </si>
  <si>
    <t>even05noticia</t>
  </si>
  <si>
    <t>Noticias</t>
  </si>
  <si>
    <t>eventonoticia.php</t>
  </si>
  <si>
    <t>ofer16fechabase</t>
  </si>
  <si>
    <t>ofer16id</t>
  </si>
  <si>
    <t>ofer16nombre</t>
  </si>
  <si>
    <t>Actividades por curso</t>
  </si>
  <si>
    <t>ofer20agendaorigenact</t>
  </si>
  <si>
    <t>ofer20id</t>
  </si>
  <si>
    <t>ofer20nombre</t>
  </si>
  <si>
    <t>Clases de items</t>
  </si>
  <si>
    <t>acreclaseitem.php</t>
  </si>
  <si>
    <t>Items Evaluacion</t>
  </si>
  <si>
    <t>acreitem.php</t>
  </si>
  <si>
    <t>ofer23tiporespuesta</t>
  </si>
  <si>
    <t>1 - Aceptada - No Aceptada - Pendiente</t>
  </si>
  <si>
    <t>ofer24evaluacion</t>
  </si>
  <si>
    <t>ofer24consec</t>
  </si>
  <si>
    <t>ofer24id</t>
  </si>
  <si>
    <t>ofer24titulo</t>
  </si>
  <si>
    <t>ofer23vigente</t>
  </si>
  <si>
    <t>Evaluaciones</t>
  </si>
  <si>
    <t>acreevaluacion.php</t>
  </si>
  <si>
    <t>ofer25evaluacioncuerpo</t>
  </si>
  <si>
    <t>ofer25idevaluacion</t>
  </si>
  <si>
    <t>ofer25iditem</t>
  </si>
  <si>
    <t>ofer25id</t>
  </si>
  <si>
    <t>ofer25orden</t>
  </si>
  <si>
    <t>Items de la evaluacion</t>
  </si>
  <si>
    <t>acreevaluacionitem.php</t>
  </si>
  <si>
    <t>ofer26evaluacioncurso</t>
  </si>
  <si>
    <t>ofer30ofertahistestcampus</t>
  </si>
  <si>
    <t>ofer30idoferta</t>
  </si>
  <si>
    <t>ofer30consec</t>
  </si>
  <si>
    <t>ofer30id</t>
  </si>
  <si>
    <t>ofer30fecha</t>
  </si>
  <si>
    <t>ofer30minuto</t>
  </si>
  <si>
    <t>ofer30hora</t>
  </si>
  <si>
    <t>ofer30idactor</t>
  </si>
  <si>
    <t>ofer30estadoorigen</t>
  </si>
  <si>
    <t>ofer30estadodestino</t>
  </si>
  <si>
    <t>ofer30anotacion</t>
  </si>
  <si>
    <t>Cambios de situacion</t>
  </si>
  <si>
    <t>exte02controlarNAVs</t>
  </si>
  <si>
    <t>unad40idescuela</t>
  </si>
  <si>
    <t>unad40idprograma</t>
  </si>
  <si>
    <t>exte03programa</t>
  </si>
  <si>
    <t>exte03consec</t>
  </si>
  <si>
    <t>exte03id</t>
  </si>
  <si>
    <t>exte03nombre</t>
  </si>
  <si>
    <t>exte03idcoordinador</t>
  </si>
  <si>
    <t>exte03idescuela</t>
  </si>
  <si>
    <t>Programas</t>
  </si>
  <si>
    <t>unadprograma.php</t>
  </si>
  <si>
    <t>unad48cursoaula</t>
  </si>
  <si>
    <t>unad48idcurso</t>
  </si>
  <si>
    <t>unad48consec</t>
  </si>
  <si>
    <t>unad48id</t>
  </si>
  <si>
    <t>unad48identificador</t>
  </si>
  <si>
    <t>unad48numestudiantes</t>
  </si>
  <si>
    <t>Aulas adicionales</t>
  </si>
  <si>
    <t>unad40numestaula1</t>
  </si>
  <si>
    <t>ofer05idioma</t>
  </si>
  <si>
    <t>unad11idncontents</t>
  </si>
  <si>
    <t>unad11iddatateca</t>
  </si>
  <si>
    <t>unad11idcampus</t>
  </si>
  <si>
    <t>programas</t>
  </si>
  <si>
    <t>c_programas</t>
  </si>
  <si>
    <t>pro_descripcion</t>
  </si>
  <si>
    <t>ofer08tipostandard</t>
  </si>
  <si>
    <t>bita11paginas</t>
  </si>
  <si>
    <t>bita11consec</t>
  </si>
  <si>
    <t>bita11id</t>
  </si>
  <si>
    <t>bita11idsistema</t>
  </si>
  <si>
    <t>bita11carpeta</t>
  </si>
  <si>
    <t>bita11nombre</t>
  </si>
  <si>
    <t>bita11vigente</t>
  </si>
  <si>
    <t>bita11tipo</t>
  </si>
  <si>
    <t>bita12pagcambios</t>
  </si>
  <si>
    <t>bita12idpagina</t>
  </si>
  <si>
    <t>bita12consec</t>
  </si>
  <si>
    <t>bita12id</t>
  </si>
  <si>
    <t>bita12detalle</t>
  </si>
  <si>
    <t>bita12fecha</t>
  </si>
  <si>
    <t>bita14tipopagina</t>
  </si>
  <si>
    <t>bita14id</t>
  </si>
  <si>
    <t>bita14nombre</t>
  </si>
  <si>
    <t>bita12usuario</t>
  </si>
  <si>
    <t>bita13pagnota</t>
  </si>
  <si>
    <t>bita13idpagina</t>
  </si>
  <si>
    <t>bita13consec</t>
  </si>
  <si>
    <t>bita13id</t>
  </si>
  <si>
    <t>bita13cuerpo</t>
  </si>
  <si>
    <t>bita13fecha</t>
  </si>
  <si>
    <t>bita13usuario</t>
  </si>
  <si>
    <t>bita13resuelta</t>
  </si>
  <si>
    <t>bitapaginas.php</t>
  </si>
  <si>
    <t>Paginas</t>
  </si>
  <si>
    <t>Cambios en las paginas</t>
  </si>
  <si>
    <t>bitapagcambio.php</t>
  </si>
  <si>
    <t>bitapagnota.php</t>
  </si>
  <si>
    <t>CSS</t>
  </si>
  <si>
    <t>De terceros</t>
  </si>
  <si>
    <t>Anexos</t>
  </si>
  <si>
    <t>Imagen</t>
  </si>
  <si>
    <t>Para mantenimiento</t>
  </si>
  <si>
    <t>bita09sigla</t>
  </si>
  <si>
    <t>bita15ayudagrupo</t>
  </si>
  <si>
    <t>bita15consec</t>
  </si>
  <si>
    <t>bita15id</t>
  </si>
  <si>
    <t>bita15nombre</t>
  </si>
  <si>
    <t>bita15orden</t>
  </si>
  <si>
    <t>bita15detalle</t>
  </si>
  <si>
    <t>bita16ayudanota</t>
  </si>
  <si>
    <t>bita16idproyecto</t>
  </si>
  <si>
    <t>bita16idbloque</t>
  </si>
  <si>
    <t>bita16consec</t>
  </si>
  <si>
    <t>bita16id</t>
  </si>
  <si>
    <t>bita16vigente</t>
  </si>
  <si>
    <t>bita16publico</t>
  </si>
  <si>
    <t>bita16fecha</t>
  </si>
  <si>
    <t>bita16orden</t>
  </si>
  <si>
    <t>bita16idayudagrupo</t>
  </si>
  <si>
    <t>bita16titulo</t>
  </si>
  <si>
    <t>bita16cuerpo</t>
  </si>
  <si>
    <t>bita17ayudamod</t>
  </si>
  <si>
    <t>bita17idayudanota</t>
  </si>
  <si>
    <t>bita17consec</t>
  </si>
  <si>
    <t>bita17id</t>
  </si>
  <si>
    <t>bita17idsolicitante</t>
  </si>
  <si>
    <t>bita17fecha</t>
  </si>
  <si>
    <t>bita17minuto</t>
  </si>
  <si>
    <t>bita17hora</t>
  </si>
  <si>
    <t>bita17cuerpo</t>
  </si>
  <si>
    <t>bita17estado</t>
  </si>
  <si>
    <t>bita17idaprueba</t>
  </si>
  <si>
    <t>bita17fechaaprueba</t>
  </si>
  <si>
    <t>bita17horaaprueba</t>
  </si>
  <si>
    <t>bita17minutoaprueba</t>
  </si>
  <si>
    <t>bita18subproducto</t>
  </si>
  <si>
    <t>bita18consec</t>
  </si>
  <si>
    <t>bita18id</t>
  </si>
  <si>
    <t>bita18detalle</t>
  </si>
  <si>
    <t>bita18titulo</t>
  </si>
  <si>
    <t>bita19ayudanotasubprod</t>
  </si>
  <si>
    <t>bita19idayudanota</t>
  </si>
  <si>
    <t>bita19idsubprod</t>
  </si>
  <si>
    <t>bita19id</t>
  </si>
  <si>
    <t>bita19vigente</t>
  </si>
  <si>
    <t>bita18idproyecto</t>
  </si>
  <si>
    <t>bita18publico</t>
  </si>
  <si>
    <t>bita18orden</t>
  </si>
  <si>
    <t>bita18mostrargrupo</t>
  </si>
  <si>
    <t>bita09proyecto</t>
  </si>
  <si>
    <t>bita10proyectobloque</t>
  </si>
  <si>
    <t>bita10consec</t>
  </si>
  <si>
    <t>bita10id</t>
  </si>
  <si>
    <t>bita10publico</t>
  </si>
  <si>
    <t>bita10titulo</t>
  </si>
  <si>
    <t>bita10detalle</t>
  </si>
  <si>
    <t>bita10idproyecto</t>
  </si>
  <si>
    <t>bita09consec</t>
  </si>
  <si>
    <t>bita09id</t>
  </si>
  <si>
    <t>bita09publico</t>
  </si>
  <si>
    <t>bita09titulo</t>
  </si>
  <si>
    <t>bita09descripcion</t>
  </si>
  <si>
    <t>Proyectos</t>
  </si>
  <si>
    <t>bitaproyecto.php</t>
  </si>
  <si>
    <t>Bloques de proyecto</t>
  </si>
  <si>
    <t>Grupos de ayuda</t>
  </si>
  <si>
    <t>bitaayudagrupo.php</t>
  </si>
  <si>
    <t>Notas de ayuda</t>
  </si>
  <si>
    <t>bitaayudanota.php</t>
  </si>
  <si>
    <t>Solicitudes de modificacion</t>
  </si>
  <si>
    <t>bitaayudamod.php</t>
  </si>
  <si>
    <t>Subproductos</t>
  </si>
  <si>
    <t>Nota - Subproducto</t>
  </si>
  <si>
    <t>bitaayudanotasub.php</t>
  </si>
  <si>
    <t>bitasubproducto.php</t>
  </si>
  <si>
    <t>bita20estadomod</t>
  </si>
  <si>
    <t>bita20id</t>
  </si>
  <si>
    <t>bita20nombre</t>
  </si>
  <si>
    <t>JavaScript</t>
  </si>
  <si>
    <t>Inicia</t>
  </si>
  <si>
    <t>Sin definir</t>
  </si>
  <si>
    <t>De sistema</t>
  </si>
  <si>
    <t>De Idioma</t>
  </si>
  <si>
    <t>BITACORA</t>
  </si>
  <si>
    <t>lg/</t>
  </si>
  <si>
    <t>Todas</t>
  </si>
  <si>
    <t>ofer31programacoordinador</t>
  </si>
  <si>
    <t>ofer31idprograma</t>
  </si>
  <si>
    <t>ofer31per_aca</t>
  </si>
  <si>
    <t>ofer31id</t>
  </si>
  <si>
    <t>ofer31idcoordinador</t>
  </si>
  <si>
    <t>ofer31detalle</t>
  </si>
  <si>
    <t>Coordinadores de programa</t>
  </si>
  <si>
    <t>unad48per_aca</t>
  </si>
  <si>
    <t>ofer08obligaacreditar</t>
  </si>
  <si>
    <t>ofer08notaacredita</t>
  </si>
  <si>
    <t>-- Peraca 0 es la plantilla sobre la 40 y los otros son los de la oferta</t>
  </si>
  <si>
    <t>ofer08numestaula1</t>
  </si>
  <si>
    <t>unad48diainicial</t>
  </si>
  <si>
    <t>unad48idnav</t>
  </si>
  <si>
    <t>ofer26consec</t>
  </si>
  <si>
    <t>ofer26id</t>
  </si>
  <si>
    <t>ofer26idcurso</t>
  </si>
  <si>
    <t>ofer26idevaluacion</t>
  </si>
  <si>
    <t>ofer26idper_aca</t>
  </si>
  <si>
    <t>ofer26fecha</t>
  </si>
  <si>
    <t>ofer26idactor</t>
  </si>
  <si>
    <t>ofer26numpreguntas</t>
  </si>
  <si>
    <t>ofer26porcentaje</t>
  </si>
  <si>
    <t>ofer26numrespuestas</t>
  </si>
  <si>
    <t>Evaluaciones por curso</t>
  </si>
  <si>
    <t>acreevalcurso.php</t>
  </si>
  <si>
    <t>ofer27evalcursoitem</t>
  </si>
  <si>
    <t>ofer27idevalcurso</t>
  </si>
  <si>
    <t>ofer27iditem</t>
  </si>
  <si>
    <t>ofer27id</t>
  </si>
  <si>
    <t>ofer27orden</t>
  </si>
  <si>
    <t>ofer27respuesta</t>
  </si>
  <si>
    <t>Items de evaluacion por curso</t>
  </si>
  <si>
    <t>acreevalcursoitem.php</t>
  </si>
  <si>
    <t>ofer08puntajeacredita</t>
  </si>
  <si>
    <t>ofer08idevalacredita</t>
  </si>
  <si>
    <t>ofer26cerrada</t>
  </si>
  <si>
    <t>ofer19diasem</t>
  </si>
  <si>
    <t>Feriados</t>
  </si>
  <si>
    <t>ofer22agendaorigenact</t>
  </si>
  <si>
    <t>ofer22id</t>
  </si>
  <si>
    <t>ofer22nombre</t>
  </si>
  <si>
    <t>De donde viene el registro. 0 - Viene del curso, 1 - Del estudiante, 2- De otro estudiante. 11 del tutor.</t>
  </si>
  <si>
    <t>agendas.php</t>
  </si>
  <si>
    <t>ofer17cargaxnav</t>
  </si>
  <si>
    <t>ofer17per_aca</t>
  </si>
  <si>
    <t>ofer17curso</t>
  </si>
  <si>
    <t>ofer17idagenda</t>
  </si>
  <si>
    <t>ofer17diacierre</t>
  </si>
  <si>
    <t>ofer18cargaxnavxdia</t>
  </si>
  <si>
    <t>ofer18per_aca</t>
  </si>
  <si>
    <t>ofer18curso</t>
  </si>
  <si>
    <t>ofer18idactividad</t>
  </si>
  <si>
    <t>ofer17numestudiantes</t>
  </si>
  <si>
    <t>ofer18fechainicio</t>
  </si>
  <si>
    <t>ofer18fechacierrre</t>
  </si>
  <si>
    <t>ofer18fecharetro</t>
  </si>
  <si>
    <t>ofer17numaula</t>
  </si>
  <si>
    <t>1 por ahora</t>
  </si>
  <si>
    <t>ofer18numaula</t>
  </si>
  <si>
    <t>ofer17nav</t>
  </si>
  <si>
    <t>ofer18diaini</t>
  </si>
  <si>
    <t>ofer18duracion</t>
  </si>
  <si>
    <t>ofer18diasretro</t>
  </si>
  <si>
    <t>Carga por Nav</t>
  </si>
  <si>
    <t>agencarganav.php</t>
  </si>
  <si>
    <t>ofer21idaula</t>
  </si>
  <si>
    <t>ofer21origen</t>
  </si>
  <si>
    <t>extescuela.php</t>
  </si>
  <si>
    <t>Escuelas</t>
  </si>
  <si>
    <t>ofer08estadocampus</t>
  </si>
  <si>
    <t>ofer15estadocampus</t>
  </si>
  <si>
    <t>ofer15id</t>
  </si>
  <si>
    <t>ofer15nombre</t>
  </si>
  <si>
    <t>No Ofertado</t>
  </si>
  <si>
    <t>Por revisar.</t>
  </si>
  <si>
    <t>Por Actualizar Contents</t>
  </si>
  <si>
    <t>Acreditado</t>
  </si>
  <si>
    <t>Para Migrar</t>
  </si>
  <si>
    <t>Para Restaurar</t>
  </si>
  <si>
    <t>Restaurado</t>
  </si>
  <si>
    <t>ofer11idescuela</t>
  </si>
  <si>
    <t>ofer08idescuela</t>
  </si>
  <si>
    <t>ofer09nivel</t>
  </si>
  <si>
    <t>1 A nivel de escuela y 2 a nivel de curso</t>
  </si>
  <si>
    <t>ofer10claserol</t>
  </si>
  <si>
    <t>ofer09claserol</t>
  </si>
  <si>
    <t>ofer10rol</t>
  </si>
  <si>
    <t>Roles</t>
  </si>
  <si>
    <t>oferrol.php</t>
  </si>
  <si>
    <t>ofer11actores</t>
  </si>
  <si>
    <t>ofer11per_aca</t>
  </si>
  <si>
    <t>ofer11idcurso</t>
  </si>
  <si>
    <t>ofer11idrol</t>
  </si>
  <si>
    <t>ofer11id</t>
  </si>
  <si>
    <t>ofer11idtercero</t>
  </si>
  <si>
    <t>ofer11detalle</t>
  </si>
  <si>
    <t>oferactor.php</t>
  </si>
  <si>
    <t>ofer08fechaoferta</t>
  </si>
  <si>
    <t>ofer08fechacancela</t>
  </si>
  <si>
    <t>ofer12ofertahistorico</t>
  </si>
  <si>
    <t>ofer12idoferta</t>
  </si>
  <si>
    <t>ofer12consec</t>
  </si>
  <si>
    <t>ofer12id</t>
  </si>
  <si>
    <t>ofer12fechaoferta</t>
  </si>
  <si>
    <t>ofer12fechacancela</t>
  </si>
  <si>
    <t>Historio del cambio de fechas</t>
  </si>
  <si>
    <t>Historico de oferta</t>
  </si>
  <si>
    <t>ofer12idtercero</t>
  </si>
  <si>
    <t>ofer10orden</t>
  </si>
  <si>
    <t>ofer13clase</t>
  </si>
  <si>
    <t>ofer29clasenota</t>
  </si>
  <si>
    <t>ofer29id</t>
  </si>
  <si>
    <t>ofer29nombre</t>
  </si>
  <si>
    <t>exte02permiteditaragenda</t>
  </si>
  <si>
    <t>Tipos de parametros</t>
  </si>
  <si>
    <t>unad27dbalterna</t>
  </si>
  <si>
    <t>unad27id</t>
  </si>
  <si>
    <t>unad27nombre</t>
  </si>
  <si>
    <t>unad29reportenivel</t>
  </si>
  <si>
    <t>unad29id</t>
  </si>
  <si>
    <t>unad29nombre</t>
  </si>
  <si>
    <t>unad30reportebloque</t>
  </si>
  <si>
    <t>unad30id</t>
  </si>
  <si>
    <t>unad30nombre</t>
  </si>
  <si>
    <t>unad31tipoitem</t>
  </si>
  <si>
    <t>unad31id</t>
  </si>
  <si>
    <t>unad31nombre</t>
  </si>
  <si>
    <t>unad32reportealineacion</t>
  </si>
  <si>
    <t>unad32id</t>
  </si>
  <si>
    <t>unad32nombre</t>
  </si>
  <si>
    <t>unad33reportefuente</t>
  </si>
  <si>
    <t>unad33id</t>
  </si>
  <si>
    <t>unad33nombre</t>
  </si>
  <si>
    <t>unad34reportetipofuente</t>
  </si>
  <si>
    <t>unad34id</t>
  </si>
  <si>
    <t>unad34nombre</t>
  </si>
  <si>
    <t>unad35tipoparam</t>
  </si>
  <si>
    <t>unad35id</t>
  </si>
  <si>
    <t>unad35nombre</t>
  </si>
  <si>
    <t>Combos para variables de parametros</t>
  </si>
  <si>
    <t>Formato item</t>
  </si>
  <si>
    <t>unad36ctabla</t>
  </si>
  <si>
    <t>unad36ccondi</t>
  </si>
  <si>
    <t>unad36corden</t>
  </si>
  <si>
    <t>unad36reportecombos</t>
  </si>
  <si>
    <t>unad36id</t>
  </si>
  <si>
    <t>unad36titulo</t>
  </si>
  <si>
    <t>unad36consec</t>
  </si>
  <si>
    <t>unad36cid</t>
  </si>
  <si>
    <t>unad36cnombre</t>
  </si>
  <si>
    <t>unad37rptitemformato</t>
  </si>
  <si>
    <t>unad37id</t>
  </si>
  <si>
    <t>unad37nombre</t>
  </si>
  <si>
    <t>unadrptitem.php</t>
  </si>
  <si>
    <t>unadfpdf.php</t>
  </si>
  <si>
    <t>Tamanos de pagina</t>
  </si>
  <si>
    <t>unad38pagtamano</t>
  </si>
  <si>
    <t>unad38id</t>
  </si>
  <si>
    <t>unad38nombre</t>
  </si>
  <si>
    <t>unad38ancho</t>
  </si>
  <si>
    <t>unad38alto</t>
  </si>
  <si>
    <t>unad38fpdf</t>
  </si>
  <si>
    <t>unadrptparam.php</t>
  </si>
  <si>
    <t>moni01cuota0</t>
  </si>
  <si>
    <t>moni01cuota4</t>
  </si>
  <si>
    <t>moni01cuota3</t>
  </si>
  <si>
    <t>moni01cuota2</t>
  </si>
  <si>
    <t>moni01cuota1</t>
  </si>
  <si>
    <t>moni01intervaloalerta</t>
  </si>
  <si>
    <t>Inicialización de periodos.</t>
  </si>
  <si>
    <t>oferiniciar.php</t>
  </si>
  <si>
    <t>ccor04idgrupoconsec</t>
  </si>
  <si>
    <t>ccor05grupoconsec</t>
  </si>
  <si>
    <t>ccor05consec</t>
  </si>
  <si>
    <t>ccor05id</t>
  </si>
  <si>
    <t>ccor05nombre</t>
  </si>
  <si>
    <t>ccor05xtipo</t>
  </si>
  <si>
    <t>Grupos de consecutivos</t>
  </si>
  <si>
    <t>ccorgrupoconsec.php</t>
  </si>
  <si>
    <t>ccor01idgrupoconsec</t>
  </si>
  <si>
    <t>unad24sede</t>
  </si>
  <si>
    <t>Sedes</t>
  </si>
  <si>
    <t>unadsede.php</t>
  </si>
  <si>
    <t>ccor04idsede</t>
  </si>
  <si>
    <t>unad24idzona</t>
  </si>
  <si>
    <t>unad24idclase</t>
  </si>
  <si>
    <t>Clase de sede</t>
  </si>
  <si>
    <t>unadclasesede.php</t>
  </si>
  <si>
    <t>unad26clasesede</t>
  </si>
  <si>
    <t>unad26consec</t>
  </si>
  <si>
    <t>unad26id</t>
  </si>
  <si>
    <t>unad26nombre</t>
  </si>
  <si>
    <t>Menus</t>
  </si>
  <si>
    <t>Terceros</t>
  </si>
  <si>
    <t>unad17mes</t>
  </si>
  <si>
    <t>unad17id</t>
  </si>
  <si>
    <t>unad17nombre</t>
  </si>
  <si>
    <t>unad17sigla</t>
  </si>
  <si>
    <t>unad17dias</t>
  </si>
  <si>
    <t>Meses</t>
  </si>
  <si>
    <t>unad18pais</t>
  </si>
  <si>
    <t>unad18nombre</t>
  </si>
  <si>
    <t>unad18codigo</t>
  </si>
  <si>
    <t>Paises</t>
  </si>
  <si>
    <t>unadpais.php</t>
  </si>
  <si>
    <t>unad19depto</t>
  </si>
  <si>
    <t>unad19codigo</t>
  </si>
  <si>
    <t>unad19nombre</t>
  </si>
  <si>
    <t>unad19codpais</t>
  </si>
  <si>
    <t>Departamentos</t>
  </si>
  <si>
    <t>unaddepto.php</t>
  </si>
  <si>
    <t>unad20ciudad</t>
  </si>
  <si>
    <t>Ciudad</t>
  </si>
  <si>
    <t>unadciudad.php</t>
  </si>
  <si>
    <t>unad20codigo</t>
  </si>
  <si>
    <t>unad20nombre</t>
  </si>
  <si>
    <t>unad20coddepto</t>
  </si>
  <si>
    <t>unad20codpais</t>
  </si>
  <si>
    <t>unad21codigo</t>
  </si>
  <si>
    <t>unad21nombre</t>
  </si>
  <si>
    <t>unad21predet</t>
  </si>
  <si>
    <t>unad21id</t>
  </si>
  <si>
    <t>unad21orden</t>
  </si>
  <si>
    <t>Estado Civil</t>
  </si>
  <si>
    <t>unadestadocivil.php</t>
  </si>
  <si>
    <t>unad21estadocivil</t>
  </si>
  <si>
    <t>unad22combos</t>
  </si>
  <si>
    <t>unad22idmodulo</t>
  </si>
  <si>
    <t>unad22consec</t>
  </si>
  <si>
    <t>unad22codopcion</t>
  </si>
  <si>
    <t>unad22nombre</t>
  </si>
  <si>
    <t>unad22orden</t>
  </si>
  <si>
    <t>unad22activa</t>
  </si>
  <si>
    <t>Combos Generales</t>
  </si>
  <si>
    <t>unadcombos.php</t>
  </si>
  <si>
    <t>unadterceros.php</t>
  </si>
  <si>
    <t>bita01tiposolicitud</t>
  </si>
  <si>
    <t>bita01consec</t>
  </si>
  <si>
    <t>bita01id</t>
  </si>
  <si>
    <t>bita01activa</t>
  </si>
  <si>
    <t>bita01nombre</t>
  </si>
  <si>
    <t>bita02estado</t>
  </si>
  <si>
    <t>bita02id</t>
  </si>
  <si>
    <t>bita02nombre</t>
  </si>
  <si>
    <t>bita03prioridad</t>
  </si>
  <si>
    <t>bita03id</t>
  </si>
  <si>
    <t>bita03nombre</t>
  </si>
  <si>
    <t>bita04bitacora</t>
  </si>
  <si>
    <t>bita04consec</t>
  </si>
  <si>
    <t>bita04id</t>
  </si>
  <si>
    <t>bita04idtiposolicitud</t>
  </si>
  <si>
    <t>bita04idsolicita</t>
  </si>
  <si>
    <t>bita04fecha</t>
  </si>
  <si>
    <t>bita04hora</t>
  </si>
  <si>
    <t>bita04minuto</t>
  </si>
  <si>
    <t>bita04cead</t>
  </si>
  <si>
    <t>bita04ticketsau</t>
  </si>
  <si>
    <t>bita04detalle</t>
  </si>
  <si>
    <t>bita04idatiende</t>
  </si>
  <si>
    <t>bita04fechaprobable</t>
  </si>
  <si>
    <t>bita04fecharesuelve</t>
  </si>
  <si>
    <t>bita05bitacoranota</t>
  </si>
  <si>
    <t>bita05idbitacora</t>
  </si>
  <si>
    <t>bita05consec</t>
  </si>
  <si>
    <t>bita05id</t>
  </si>
  <si>
    <t>bita05fecha</t>
  </si>
  <si>
    <t>bita05hora</t>
  </si>
  <si>
    <t>bita05minuto</t>
  </si>
  <si>
    <t>bita05idtercero</t>
  </si>
  <si>
    <t>bita05contenido</t>
  </si>
  <si>
    <t>bita05descartada</t>
  </si>
  <si>
    <t>bita04estado</t>
  </si>
  <si>
    <t>bita04prioridad</t>
  </si>
  <si>
    <t>unad07usuarios</t>
  </si>
  <si>
    <t>Usuarios</t>
  </si>
  <si>
    <t>Modulo</t>
  </si>
  <si>
    <t>App</t>
  </si>
  <si>
    <t>*</t>
  </si>
  <si>
    <t>BusquedaId</t>
  </si>
  <si>
    <t>BusquedaRef</t>
  </si>
  <si>
    <t>DELETE FROM WG04COMPONENTEDET</t>
  </si>
  <si>
    <t>Nombre</t>
  </si>
  <si>
    <t>Grupo Menu</t>
  </si>
  <si>
    <t>Id Paginas</t>
  </si>
  <si>
    <t>id pag det</t>
  </si>
  <si>
    <t>pagina</t>
  </si>
  <si>
    <t>OrdenCampo</t>
  </si>
  <si>
    <t>TipoEspecial</t>
  </si>
  <si>
    <t>upddb</t>
  </si>
  <si>
    <t>DELETE FROM WG05HIJOS</t>
  </si>
  <si>
    <t>ValidarTextoNumerico</t>
  </si>
  <si>
    <t>OrigenCombo</t>
  </si>
  <si>
    <t>CodigoCombo</t>
  </si>
  <si>
    <t>NombreCombo</t>
  </si>
  <si>
    <t>Texto</t>
  </si>
  <si>
    <t>Numero</t>
  </si>
  <si>
    <t>O+</t>
  </si>
  <si>
    <t>A+</t>
  </si>
  <si>
    <t>B+</t>
  </si>
  <si>
    <t>AB+</t>
  </si>
  <si>
    <t>O-</t>
  </si>
  <si>
    <t>A-</t>
  </si>
  <si>
    <t>B-</t>
  </si>
  <si>
    <t>AB-</t>
  </si>
  <si>
    <t>bittiposolicitud.php</t>
  </si>
  <si>
    <t>Bitacoras</t>
  </si>
  <si>
    <t>Bloques de servidores para el tablero</t>
  </si>
  <si>
    <t>exte02per_aca</t>
  </si>
  <si>
    <t>unad46tipoperiodo</t>
  </si>
  <si>
    <t>unad46id</t>
  </si>
  <si>
    <t>unad46nombre</t>
  </si>
  <si>
    <t>Periodos Academicos</t>
  </si>
  <si>
    <t>unadperaca.php</t>
  </si>
  <si>
    <t>exte02vigente</t>
  </si>
  <si>
    <t>exte02disponibleagendas</t>
  </si>
  <si>
    <t>exte02id</t>
  </si>
  <si>
    <t>exte02nombre</t>
  </si>
  <si>
    <t>exte02titulo</t>
  </si>
  <si>
    <t>exte02tipoperiodo</t>
  </si>
  <si>
    <t>exte02diasactividades</t>
  </si>
  <si>
    <t>bitbitacora.php</t>
  </si>
  <si>
    <t>Memo</t>
  </si>
  <si>
    <t>Anotaciones</t>
  </si>
  <si>
    <t>Modulos</t>
  </si>
  <si>
    <t>Permisos</t>
  </si>
  <si>
    <t>Permiso por modulo</t>
  </si>
  <si>
    <t>Perfiles</t>
  </si>
  <si>
    <t>Permisos por perfil</t>
  </si>
  <si>
    <t>sisperfilpermiso.php</t>
  </si>
  <si>
    <t>Grupos de menus</t>
  </si>
  <si>
    <t>Menu groups</t>
  </si>
  <si>
    <t>Sistemas</t>
  </si>
  <si>
    <t>unad01publico</t>
  </si>
  <si>
    <t>unad01instalado</t>
  </si>
  <si>
    <t>unad01mayor</t>
  </si>
  <si>
    <t>unad01menor</t>
  </si>
  <si>
    <t>unad01correccion</t>
  </si>
  <si>
    <t>unad01sistema</t>
  </si>
  <si>
    <t>unad01id</t>
  </si>
  <si>
    <t>unad01nombre</t>
  </si>
  <si>
    <t>unad01descripcion</t>
  </si>
  <si>
    <t>unad02modulos</t>
  </si>
  <si>
    <t>unad02id</t>
  </si>
  <si>
    <t>unad02nombre</t>
  </si>
  <si>
    <t>unad02idsistema</t>
  </si>
  <si>
    <t>unad03permisos</t>
  </si>
  <si>
    <t>unad03id</t>
  </si>
  <si>
    <t>unad03nombre</t>
  </si>
  <si>
    <t>unad04modulopermisos</t>
  </si>
  <si>
    <t>unad04idmodulo</t>
  </si>
  <si>
    <t>unad04idpermiso</t>
  </si>
  <si>
    <t>unad04vigente</t>
  </si>
  <si>
    <t>unad05perfiles</t>
  </si>
  <si>
    <t>unad05id</t>
  </si>
  <si>
    <t>unad05nombre</t>
  </si>
  <si>
    <t>unad06perfilmodpermiso</t>
  </si>
  <si>
    <t>unad06idperfil</t>
  </si>
  <si>
    <t>unad06idmodulo</t>
  </si>
  <si>
    <t>unad06idpermiso</t>
  </si>
  <si>
    <t>unad06vigente</t>
  </si>
  <si>
    <t>unad07idperfil</t>
  </si>
  <si>
    <t>unad07idtercero</t>
  </si>
  <si>
    <t>unad07vigente</t>
  </si>
  <si>
    <t>unad08grupomenu</t>
  </si>
  <si>
    <t>unad08id</t>
  </si>
  <si>
    <t>unad08nombre</t>
  </si>
  <si>
    <t>unad08pagina</t>
  </si>
  <si>
    <t>unad08titulo</t>
  </si>
  <si>
    <t>unad08nombre_en</t>
  </si>
  <si>
    <t>unad08nombre_pt</t>
  </si>
  <si>
    <t>unad09orden</t>
  </si>
  <si>
    <t>unad09movil</t>
  </si>
  <si>
    <t>unad09nombre_en</t>
  </si>
  <si>
    <t>unad09nombre_pt</t>
  </si>
  <si>
    <t>unad09modulomenu</t>
  </si>
  <si>
    <t>unad09idmodulo</t>
  </si>
  <si>
    <t>unad09consec</t>
  </si>
  <si>
    <t>unad09nombre</t>
  </si>
  <si>
    <t>unad09pagina</t>
  </si>
  <si>
    <t>unad09grupo</t>
  </si>
  <si>
    <t>unad11terceros</t>
  </si>
  <si>
    <t>unad11tipodoc</t>
  </si>
  <si>
    <t>unad11doc</t>
  </si>
  <si>
    <t>unad11id</t>
  </si>
  <si>
    <t>unad11pais</t>
  </si>
  <si>
    <t>unad11usuario</t>
  </si>
  <si>
    <t>unad11dv</t>
  </si>
  <si>
    <t>unad11nombre1</t>
  </si>
  <si>
    <t>unad11nombre2</t>
  </si>
  <si>
    <t>unad11apellido1</t>
  </si>
  <si>
    <t>unad11apellido2</t>
  </si>
  <si>
    <t>unad11genero</t>
  </si>
  <si>
    <t>unad11fechanace</t>
  </si>
  <si>
    <t>unad11rh</t>
  </si>
  <si>
    <t>unad11ecivil</t>
  </si>
  <si>
    <t>unad11razonsocial</t>
  </si>
  <si>
    <t>unad11direccion</t>
  </si>
  <si>
    <t>unad11telefono</t>
  </si>
  <si>
    <t>unad11correo</t>
  </si>
  <si>
    <t>ofer32per_aca</t>
  </si>
  <si>
    <t>ofer32curso</t>
  </si>
  <si>
    <t>ofer32numaula</t>
  </si>
  <si>
    <t>ofer32fase</t>
  </si>
  <si>
    <t>ofer32unidad</t>
  </si>
  <si>
    <t>ofer32idactividad</t>
  </si>
  <si>
    <t>ofer32prevfechainicio</t>
  </si>
  <si>
    <t>ofer32prevfechacierrre</t>
  </si>
  <si>
    <t>ofer32prevfecharetro</t>
  </si>
  <si>
    <t>ofer32prevorden</t>
  </si>
  <si>
    <t>ofer32prevpeso</t>
  </si>
  <si>
    <t>ofer32prevdetalle</t>
  </si>
  <si>
    <t>ofer32consec</t>
  </si>
  <si>
    <t>ofer32id</t>
  </si>
  <si>
    <t>ofer32motivonovedad</t>
  </si>
  <si>
    <t>ofer32novedadagenda</t>
  </si>
  <si>
    <t>Novedades en las agendas</t>
  </si>
  <si>
    <t>agenovedad.php</t>
  </si>
  <si>
    <t>ofer33motivonovedad</t>
  </si>
  <si>
    <t>ofer33consec</t>
  </si>
  <si>
    <t>ofer33id</t>
  </si>
  <si>
    <t>ofer33nombre</t>
  </si>
  <si>
    <t>ofer33justificar</t>
  </si>
  <si>
    <t>Motivos de novedad</t>
  </si>
  <si>
    <t>agemotivonovedad.php</t>
  </si>
  <si>
    <t>ofer32fechainicio</t>
  </si>
  <si>
    <t>ofer32fechacierrre</t>
  </si>
  <si>
    <t>ofer32fecharetro</t>
  </si>
  <si>
    <t>ofer32orden</t>
  </si>
  <si>
    <t>ofer32peso</t>
  </si>
  <si>
    <t>ofer32detalle</t>
  </si>
  <si>
    <t>ofer32estado</t>
  </si>
  <si>
    <t>ofer32fechanovedad</t>
  </si>
  <si>
    <t>ofer34estadonovedad</t>
  </si>
  <si>
    <t>ofer34id</t>
  </si>
  <si>
    <t>ofer34nombre</t>
  </si>
  <si>
    <t>ofer32descnovedad</t>
  </si>
  <si>
    <t>even02publicado</t>
  </si>
  <si>
    <t>even02idzona</t>
  </si>
  <si>
    <t>unad11sitioweb</t>
  </si>
  <si>
    <t>unad11nacionalidad</t>
  </si>
  <si>
    <t>unad11deptoorigen</t>
  </si>
  <si>
    <t>unad11ciudadorigen</t>
  </si>
  <si>
    <t>unad11deptodoc</t>
  </si>
  <si>
    <t>unad11ciudaddoc</t>
  </si>
  <si>
    <t>unad11clave</t>
  </si>
  <si>
    <t>unad11idmoodle</t>
  </si>
  <si>
    <t>unad07fechavence</t>
  </si>
  <si>
    <t>unadsistema.php</t>
  </si>
  <si>
    <t>unadmodulos.php</t>
  </si>
  <si>
    <t>unadpermisos.php</t>
  </si>
  <si>
    <t>unadpermisomodulo.php</t>
  </si>
  <si>
    <t>unadperfil.php</t>
  </si>
  <si>
    <t>unadgrupomenu.php</t>
  </si>
  <si>
    <t>unadmenus.php</t>
  </si>
  <si>
    <t>ccor01id</t>
  </si>
  <si>
    <t>ccor01nombre</t>
  </si>
  <si>
    <t>Tipos de consecutivos</t>
  </si>
  <si>
    <t>ccortipoconsec.php</t>
  </si>
  <si>
    <t>ccor01activo</t>
  </si>
  <si>
    <t>ccor01tipoconsecutivo</t>
  </si>
  <si>
    <t>ccor02formaenvio</t>
  </si>
  <si>
    <t>ccor02consec</t>
  </si>
  <si>
    <t>ccor01consec</t>
  </si>
  <si>
    <t>ccor02id</t>
  </si>
  <si>
    <t>ccor02nombre</t>
  </si>
  <si>
    <t>ccor02activo</t>
  </si>
  <si>
    <t>Formas de envio</t>
  </si>
  <si>
    <t>ccorformaenvio.php</t>
  </si>
  <si>
    <t>ccor03estadoconsec</t>
  </si>
  <si>
    <t>ccor03id</t>
  </si>
  <si>
    <t>ccor03nombre</t>
  </si>
  <si>
    <t>ccor04vigencia</t>
  </si>
  <si>
    <t>ccor04consec</t>
  </si>
  <si>
    <t>ccor04id</t>
  </si>
  <si>
    <t>ccor04idtercero</t>
  </si>
  <si>
    <t>ccor04idcargo</t>
  </si>
  <si>
    <t>ccor04fechasolicita</t>
  </si>
  <si>
    <t>ccor04destinoent</t>
  </si>
  <si>
    <t>ccor04destinodep</t>
  </si>
  <si>
    <t>ccor04destinoter</t>
  </si>
  <si>
    <t>ccor04detalle</t>
  </si>
  <si>
    <t>ccor04estado</t>
  </si>
  <si>
    <t>ccor04visado</t>
  </si>
  <si>
    <t>ccor04formaenvio</t>
  </si>
  <si>
    <t>ccor04comprobante</t>
  </si>
  <si>
    <t>ccor04fechaenvio</t>
  </si>
  <si>
    <t>ccor04detalleanula</t>
  </si>
  <si>
    <t>ccor04fechaanula</t>
  </si>
  <si>
    <t>ccor04consecutivos</t>
  </si>
  <si>
    <t>ccor04etiqueta</t>
  </si>
  <si>
    <t>ccor04idtipoconsec</t>
  </si>
  <si>
    <t>unad10vigencia</t>
  </si>
  <si>
    <t>unad10codigo</t>
  </si>
  <si>
    <t>unad10salariomin</t>
  </si>
  <si>
    <t>unad23zona</t>
  </si>
  <si>
    <t>unad23codigo</t>
  </si>
  <si>
    <t>unad23id</t>
  </si>
  <si>
    <t>unad23nombre</t>
  </si>
  <si>
    <t>unad24codigo</t>
  </si>
  <si>
    <t>unad24id</t>
  </si>
  <si>
    <t>unad24nombre</t>
  </si>
  <si>
    <t>unad24codciudad</t>
  </si>
  <si>
    <t>unad24prefijoconsec</t>
  </si>
  <si>
    <t>Moneda</t>
  </si>
  <si>
    <t>Consecutivos</t>
  </si>
  <si>
    <t>ccorconsecutivos.php</t>
  </si>
  <si>
    <t>unad25cargo</t>
  </si>
  <si>
    <t>unad25id</t>
  </si>
  <si>
    <t>unad25consec</t>
  </si>
  <si>
    <t>unad25nombre</t>
  </si>
  <si>
    <t>unad25activo</t>
  </si>
  <si>
    <t>Vigencias</t>
  </si>
  <si>
    <t>unadvigencia.php</t>
  </si>
  <si>
    <t>Zonas</t>
  </si>
  <si>
    <t>unadzona.php</t>
  </si>
  <si>
    <t>ofer08idcursonav</t>
  </si>
  <si>
    <t>ofer08idcursoncontents</t>
  </si>
  <si>
    <t>unad40idcursoncontents</t>
  </si>
  <si>
    <t>unas24coddepto</t>
  </si>
  <si>
    <t>unad24codpais</t>
  </si>
  <si>
    <t>Cargos</t>
  </si>
  <si>
    <t>unadcargo.php</t>
  </si>
  <si>
    <t>moni01servidor</t>
  </si>
  <si>
    <t>moni01consec</t>
  </si>
  <si>
    <t>moni01id</t>
  </si>
  <si>
    <t>moni01nombre</t>
  </si>
  <si>
    <t>moni01rutaacceso</t>
  </si>
  <si>
    <t>moni01activo</t>
  </si>
  <si>
    <t>moni01rutawebserv</t>
  </si>
  <si>
    <t>moni01detalle</t>
  </si>
  <si>
    <t>moni02servanotacion</t>
  </si>
  <si>
    <t>OAI</t>
  </si>
  <si>
    <t>moni02idservidor</t>
  </si>
  <si>
    <t>moni02consec</t>
  </si>
  <si>
    <t>moni02id</t>
  </si>
  <si>
    <t>moni02fecha</t>
  </si>
  <si>
    <t>moni02idusuairo</t>
  </si>
  <si>
    <t>moni02hora</t>
  </si>
  <si>
    <t>moni02minuto</t>
  </si>
  <si>
    <t>moni02anotacion</t>
  </si>
  <si>
    <t>moni03servciclo</t>
  </si>
  <si>
    <t>moni03consec</t>
  </si>
  <si>
    <t>moni03idservidor</t>
  </si>
  <si>
    <t>moni03id</t>
  </si>
  <si>
    <t>moni03fechaini</t>
  </si>
  <si>
    <t>moni03horaini</t>
  </si>
  <si>
    <t>moni03minutoini</t>
  </si>
  <si>
    <t>moni03fechafin</t>
  </si>
  <si>
    <t>moni03horafin</t>
  </si>
  <si>
    <t>moni03minutofin</t>
  </si>
  <si>
    <t>moni03dias</t>
  </si>
  <si>
    <t>moni03minutos</t>
  </si>
  <si>
    <t>moni04parametros</t>
  </si>
  <si>
    <t>moni04id</t>
  </si>
  <si>
    <t>moni04activo</t>
  </si>
  <si>
    <t>moni04mailppal</t>
  </si>
  <si>
    <t>moni04mailsec</t>
  </si>
  <si>
    <t>moni04mailterc</t>
  </si>
  <si>
    <t>moni04enviasec</t>
  </si>
  <si>
    <t>moni04enviaterc</t>
  </si>
  <si>
    <t>Servidores</t>
  </si>
  <si>
    <t>moniservidor.php</t>
  </si>
  <si>
    <t>moniservanotacion.php</t>
  </si>
  <si>
    <t>Ciclos de servicio</t>
  </si>
  <si>
    <t>moniservciclo.php</t>
  </si>
  <si>
    <t>Parametros del sistema</t>
  </si>
  <si>
    <t>moniparametros.php</t>
  </si>
  <si>
    <t>moni05cuotadisco</t>
  </si>
  <si>
    <t>moni04smtp</t>
  </si>
  <si>
    <t>moni04smtpserver</t>
  </si>
  <si>
    <t>moni04smtpremitente</t>
  </si>
  <si>
    <t>moni04smtpusuario</t>
  </si>
  <si>
    <t>moni04smtppwd</t>
  </si>
  <si>
    <t>moni04smtppuerto</t>
  </si>
  <si>
    <t>moni05idservidor</t>
  </si>
  <si>
    <t>moni05consec</t>
  </si>
  <si>
    <t>moni05id</t>
  </si>
  <si>
    <t>moni05log</t>
  </si>
  <si>
    <t>moni05fecha</t>
  </si>
  <si>
    <t>moni05hora</t>
  </si>
  <si>
    <t>moni05minuto</t>
  </si>
  <si>
    <t>moni05tiemporesp</t>
  </si>
  <si>
    <t>moni05disco0</t>
  </si>
  <si>
    <t>moni05disco1</t>
  </si>
  <si>
    <t>moni05disco2</t>
  </si>
  <si>
    <t>moni05disco3</t>
  </si>
  <si>
    <t>moni05disco4</t>
  </si>
  <si>
    <t>moni05memoria</t>
  </si>
  <si>
    <t>moni05procesador</t>
  </si>
  <si>
    <t>moni01disco1</t>
  </si>
  <si>
    <t>moni01disco2</t>
  </si>
  <si>
    <t>moni01disco3</t>
  </si>
  <si>
    <t>moni01disco4</t>
  </si>
  <si>
    <t>Log de monitoreo</t>
  </si>
  <si>
    <t>monilog.php</t>
  </si>
  <si>
    <t>moni04smtpssl</t>
  </si>
  <si>
    <t>moni04smtpautenticacion</t>
  </si>
  <si>
    <t>Reportes</t>
  </si>
  <si>
    <t>Items</t>
  </si>
  <si>
    <t>nada1</t>
  </si>
  <si>
    <t>nada2</t>
  </si>
  <si>
    <t>Parametros</t>
  </si>
  <si>
    <t>Consultas SQL</t>
  </si>
  <si>
    <t>Variables de agregado</t>
  </si>
  <si>
    <t>unad12titulo</t>
  </si>
  <si>
    <t>unad12tampagina</t>
  </si>
  <si>
    <t>unad12orientacion</t>
  </si>
  <si>
    <t>unad12fuente</t>
  </si>
  <si>
    <t>unad12tamfuente</t>
  </si>
  <si>
    <t>unad12bizq</t>
  </si>
  <si>
    <t>unad12bder</t>
  </si>
  <si>
    <t>unad12bsup</t>
  </si>
  <si>
    <t>unad12binf</t>
  </si>
  <si>
    <t>unad12altoencab</t>
  </si>
  <si>
    <t>unad12altopie</t>
  </si>
  <si>
    <t>unad12formato</t>
  </si>
  <si>
    <t>unad12filaini</t>
  </si>
  <si>
    <t>unad12dborigen</t>
  </si>
  <si>
    <t>unad12vernumpag</t>
  </si>
  <si>
    <t>unad12verfirma</t>
  </si>
  <si>
    <t>unad12id</t>
  </si>
  <si>
    <t>unad12reportes</t>
  </si>
  <si>
    <t>unad12consec</t>
  </si>
  <si>
    <t>unad12sistema</t>
  </si>
  <si>
    <t>unad12niveles</t>
  </si>
  <si>
    <t>unad12sololectura</t>
  </si>
  <si>
    <t>unad13reporteitem</t>
  </si>
  <si>
    <t>unad13idreporte</t>
  </si>
  <si>
    <t>unad13consec</t>
  </si>
  <si>
    <t>unad13id</t>
  </si>
  <si>
    <t>unad13nivel</t>
  </si>
  <si>
    <t>unad13secuencia</t>
  </si>
  <si>
    <t>unad13bloque</t>
  </si>
  <si>
    <t>unad13tipo</t>
  </si>
  <si>
    <t>unad13orden</t>
  </si>
  <si>
    <t>unad13izquierda</t>
  </si>
  <si>
    <t>unad13arriba</t>
  </si>
  <si>
    <t>unad13linea</t>
  </si>
  <si>
    <t>unad13ancho</t>
  </si>
  <si>
    <t>unad13alto</t>
  </si>
  <si>
    <t>unad13valor</t>
  </si>
  <si>
    <t>unad13alineacion</t>
  </si>
  <si>
    <t>unad13fuente</t>
  </si>
  <si>
    <t>unad13tipofuente</t>
  </si>
  <si>
    <t>unad13tamfuente</t>
  </si>
  <si>
    <t>unad13colorfuente</t>
  </si>
  <si>
    <t>ofer26idacreditador</t>
  </si>
  <si>
    <t>ofer26porcacreditador</t>
  </si>
  <si>
    <t>ofer26cerradaacreditador</t>
  </si>
  <si>
    <t>ofer27respacredita</t>
  </si>
  <si>
    <t>ofer27retroacredita</t>
  </si>
  <si>
    <t>ofer27tiporespuesta</t>
  </si>
  <si>
    <t>ofer26fechaacredita</t>
  </si>
  <si>
    <t>ofer26minimo</t>
  </si>
  <si>
    <t>ofer24minimo</t>
  </si>
  <si>
    <t>unad13bordes</t>
  </si>
  <si>
    <t>unad13colorlinea</t>
  </si>
  <si>
    <t>unad13relleno</t>
  </si>
  <si>
    <t>unad13colorfondo</t>
  </si>
  <si>
    <t>unad13filaexcel</t>
  </si>
  <si>
    <t>unad13colexcel</t>
  </si>
  <si>
    <t>unad13formato</t>
  </si>
  <si>
    <t>unad14resporteparam</t>
  </si>
  <si>
    <t>unad14idreporte</t>
  </si>
  <si>
    <t>unad14consec</t>
  </si>
  <si>
    <t>unad14id</t>
  </si>
  <si>
    <t>unad14nivel</t>
  </si>
  <si>
    <t>unad14titulo</t>
  </si>
  <si>
    <t>unad14etiqueta</t>
  </si>
  <si>
    <t>unad14tipo</t>
  </si>
  <si>
    <t>unad14campo</t>
  </si>
  <si>
    <t>unad14idcombo</t>
  </si>
  <si>
    <t>unad15reporteconsulta</t>
  </si>
  <si>
    <t>unad15idreporte</t>
  </si>
  <si>
    <t>unad15idnivel</t>
  </si>
  <si>
    <t>unad15secuencia</t>
  </si>
  <si>
    <t>unad15id</t>
  </si>
  <si>
    <t>unad15numcampos</t>
  </si>
  <si>
    <t>unad15etiquetas</t>
  </si>
  <si>
    <t>unad15anchos</t>
  </si>
  <si>
    <t>unad15campos</t>
  </si>
  <si>
    <t>unad15tablas</t>
  </si>
  <si>
    <t>unad15condicion</t>
  </si>
  <si>
    <t>unad15agrupar</t>
  </si>
  <si>
    <t>unad15orden</t>
  </si>
  <si>
    <t>unad15teniendo</t>
  </si>
  <si>
    <t>unad15entabla</t>
  </si>
  <si>
    <t>unad15conlineas</t>
  </si>
  <si>
    <t>unad15conetiquetas</t>
  </si>
  <si>
    <t>unad15forzarnuevapag</t>
  </si>
  <si>
    <t>unad16reporteagregado</t>
  </si>
  <si>
    <t>unad16idrptconsulta</t>
  </si>
  <si>
    <t>unad16consec</t>
  </si>
  <si>
    <t>unad16id</t>
  </si>
  <si>
    <t>unad16agregado</t>
  </si>
  <si>
    <t>unad16campo</t>
  </si>
  <si>
    <t>unad16variable</t>
  </si>
  <si>
    <t>Base de datos para archivos</t>
  </si>
  <si>
    <t>Archivos subidos</t>
  </si>
  <si>
    <t>Niveles en los reportes</t>
  </si>
  <si>
    <t>Bloques para reportes</t>
  </si>
  <si>
    <t>Tipos de items en los reportes</t>
  </si>
  <si>
    <t>Alineacion en los reportes</t>
  </si>
  <si>
    <t>Fuentes en los reportes</t>
  </si>
  <si>
    <t>Tipos de fuentes en los reportes</t>
  </si>
  <si>
    <t>unadrptsql.php</t>
  </si>
  <si>
    <t>unadrptsqlagregado.php</t>
  </si>
  <si>
    <t>unaddbalterna.php</t>
  </si>
  <si>
    <t>undrptcombo.php</t>
  </si>
  <si>
    <t>unadrptpagtamano.php</t>
  </si>
  <si>
    <t>ofer01params</t>
  </si>
  <si>
    <t>ofer01id</t>
  </si>
  <si>
    <t>ofer01per_aca</t>
  </si>
  <si>
    <t>ofer01perfiladmin</t>
  </si>
  <si>
    <t>ofer01perfilcoordinador</t>
  </si>
  <si>
    <t>ofer01perfildecano</t>
  </si>
  <si>
    <t>ofer01perfildirector</t>
  </si>
  <si>
    <t>per_aca</t>
  </si>
  <si>
    <t>consecutivo</t>
  </si>
  <si>
    <t>descripcion</t>
  </si>
  <si>
    <t>oferparams.php</t>
  </si>
  <si>
    <t>estado</t>
  </si>
  <si>
    <t>ano</t>
  </si>
  <si>
    <t>semestre</t>
  </si>
  <si>
    <t>fecha_inicio</t>
  </si>
  <si>
    <t>fecha_fin</t>
  </si>
  <si>
    <t>descripcion_modalidad</t>
  </si>
  <si>
    <t>nivel</t>
  </si>
  <si>
    <t>habilitar_consulta</t>
  </si>
  <si>
    <t>ESTRUCTURA ANTIGUA</t>
  </si>
  <si>
    <t>c_pensum</t>
  </si>
  <si>
    <t>mat_descripcion</t>
  </si>
  <si>
    <t>mat_sem</t>
  </si>
  <si>
    <t>mat_pro</t>
  </si>
  <si>
    <t>intensidad</t>
  </si>
  <si>
    <t>valor</t>
  </si>
  <si>
    <t>codigo_escuela</t>
  </si>
  <si>
    <t>nota_minima_aprobatoria</t>
  </si>
  <si>
    <t>materias</t>
  </si>
  <si>
    <t>ofer02id</t>
  </si>
  <si>
    <t>ofer02consec</t>
  </si>
  <si>
    <t>ofer02nombre</t>
  </si>
  <si>
    <t>ofer03id</t>
  </si>
  <si>
    <t>ofer04id</t>
  </si>
  <si>
    <t>ofer06id</t>
  </si>
  <si>
    <t>ofer06idagenda</t>
  </si>
  <si>
    <t>ofer04nombre</t>
  </si>
  <si>
    <t>ofer04consec</t>
  </si>
  <si>
    <t>ofer02cursofase</t>
  </si>
  <si>
    <t>Fases</t>
  </si>
  <si>
    <t>oferfase.php</t>
  </si>
  <si>
    <t>ofer03cursounidad</t>
  </si>
  <si>
    <t>ofer03consec</t>
  </si>
  <si>
    <t>ofer03nombre</t>
  </si>
  <si>
    <t>oferunidad.php</t>
  </si>
  <si>
    <t>ofer07id</t>
  </si>
  <si>
    <t>ofer06agendaactividad</t>
  </si>
  <si>
    <t>ofer05agenda</t>
  </si>
  <si>
    <t>ofer05id</t>
  </si>
  <si>
    <t>ofer05nombre</t>
  </si>
  <si>
    <t>ofer05consec</t>
  </si>
  <si>
    <t>ofer05detalle</t>
  </si>
  <si>
    <t>ofer04cursoactividad</t>
  </si>
  <si>
    <t>Actividades</t>
  </si>
  <si>
    <t>oferactividad.php</t>
  </si>
  <si>
    <t>Agendas</t>
  </si>
  <si>
    <t>oferagenda.php</t>
  </si>
  <si>
    <t>ofer06idfase</t>
  </si>
  <si>
    <t>ofer06idunidad</t>
  </si>
  <si>
    <t>ofer06idactividad</t>
  </si>
  <si>
    <t>ofer06orden</t>
  </si>
  <si>
    <t>ofer06diaini</t>
  </si>
  <si>
    <t>ofer06dias</t>
  </si>
  <si>
    <t>ofer06diasretro</t>
  </si>
  <si>
    <t>ofer06peso</t>
  </si>
  <si>
    <t>ofer07estadooferta</t>
  </si>
  <si>
    <t>ofer08oferta</t>
  </si>
  <si>
    <t>ofer08idper_aca</t>
  </si>
  <si>
    <t>ofer08idcurso</t>
  </si>
  <si>
    <t>ofer08cead</t>
  </si>
  <si>
    <t>ofer08id</t>
  </si>
  <si>
    <t>ofer08estadooferta</t>
  </si>
  <si>
    <t>ofer08idagenda</t>
  </si>
  <si>
    <t>ofer08diainical</t>
  </si>
  <si>
    <t>ofer08numestudiantes</t>
  </si>
  <si>
    <t>ofer07nombre</t>
  </si>
  <si>
    <t>Actividades de la agenda</t>
  </si>
  <si>
    <t>oferagenactividad.php</t>
  </si>
  <si>
    <t>Oferta</t>
  </si>
  <si>
    <t>oferoferta.php</t>
  </si>
  <si>
    <t>ofer09id</t>
  </si>
  <si>
    <t>ofer09nombre</t>
  </si>
  <si>
    <t>ofer10consec</t>
  </si>
  <si>
    <t>ofer10id</t>
  </si>
  <si>
    <t>ofer10nombre</t>
  </si>
  <si>
    <t>Actores</t>
  </si>
  <si>
    <t>exte01escuela</t>
  </si>
  <si>
    <t>exte01nombre</t>
  </si>
  <si>
    <t>exte01id</t>
  </si>
  <si>
    <t>unadusuarios.php</t>
  </si>
  <si>
    <t>ofer08origen</t>
  </si>
  <si>
    <t>ofer08migrados</t>
  </si>
  <si>
    <t>ofer08idnav</t>
  </si>
  <si>
    <t>unad39nav</t>
  </si>
  <si>
    <t>unad39consec</t>
  </si>
  <si>
    <t>unad39id</t>
  </si>
  <si>
    <t>ofer08fecharestaurado</t>
  </si>
  <si>
    <t>ofer08idusariorestaura</t>
  </si>
  <si>
    <t>ofer08fechaaccede</t>
  </si>
  <si>
    <t>ofer08usuarioconfirmaacceso</t>
  </si>
  <si>
    <t>ofer08fechasolicrestaurar</t>
  </si>
  <si>
    <t>ofer13idoferta</t>
  </si>
  <si>
    <t>ofer13consec</t>
  </si>
  <si>
    <t>ofer13id</t>
  </si>
  <si>
    <t>ofer13idusuario</t>
  </si>
  <si>
    <t>ofer13hora</t>
  </si>
  <si>
    <t>ofer13fecha</t>
  </si>
  <si>
    <t>ofer13minuto</t>
  </si>
  <si>
    <t>ofer08fechaaprobado</t>
  </si>
  <si>
    <t>ofer08idaprueba</t>
  </si>
  <si>
    <t>ofer13ofertaanotacion</t>
  </si>
  <si>
    <t>ofer13anotacion</t>
  </si>
  <si>
    <t>unad39activo</t>
  </si>
  <si>
    <t>unad39numestudiantes</t>
  </si>
  <si>
    <t>unad39nombre</t>
  </si>
  <si>
    <t>NAVs</t>
  </si>
  <si>
    <t>unadnav.php</t>
  </si>
  <si>
    <t>ESTRUCTURA DEFINIDA</t>
  </si>
  <si>
    <t>ofer14per_acaparams</t>
  </si>
  <si>
    <t>ofer14idper_aca</t>
  </si>
  <si>
    <t>Parametros por periodo</t>
  </si>
  <si>
    <t>ofer14fechaini60</t>
  </si>
  <si>
    <t>ofer14fechafin60</t>
  </si>
  <si>
    <t>ofer14fechaini40</t>
  </si>
  <si>
    <t>ofer14fechafin40</t>
  </si>
  <si>
    <t>ofer14fechainisupletorio</t>
  </si>
  <si>
    <t>ofer14fechafinsupletorio</t>
  </si>
  <si>
    <t>ofer14fechainihabilitacion</t>
  </si>
  <si>
    <t>ofer14fechafinhabilitacion</t>
  </si>
  <si>
    <t>unad40curso</t>
  </si>
  <si>
    <t>unad40consec</t>
  </si>
  <si>
    <t>unad40id</t>
  </si>
  <si>
    <t>unad40nombre</t>
  </si>
  <si>
    <t>Cursos</t>
  </si>
  <si>
    <t>unadcurso.php</t>
  </si>
  <si>
    <t>unad40idagenda</t>
  </si>
  <si>
    <t>unad40diainical</t>
  </si>
  <si>
    <t>unad40numestudiantes</t>
  </si>
  <si>
    <t>unad40idnav</t>
  </si>
  <si>
    <t>unad40tipocurso</t>
  </si>
  <si>
    <t>unad41tipocurso</t>
  </si>
  <si>
    <t>unad41id</t>
  </si>
  <si>
    <t>unad41nombre</t>
  </si>
  <si>
    <t>unad41consec</t>
  </si>
  <si>
    <t>Tipos de cursos</t>
  </si>
  <si>
    <t>unadtipocurso.php</t>
  </si>
  <si>
    <t>unad40tipostandard</t>
  </si>
  <si>
    <t>unad42tipostandard</t>
  </si>
  <si>
    <t>unad42consec</t>
  </si>
  <si>
    <t>unad42id</t>
  </si>
  <si>
    <t>unad42nombre</t>
  </si>
  <si>
    <t>Tipos de standard</t>
  </si>
  <si>
    <t>unadtipostandard.php</t>
  </si>
  <si>
    <t>unad40nivelformacion</t>
  </si>
  <si>
    <t>unad43nivelformacion</t>
  </si>
  <si>
    <t>unad43consec</t>
  </si>
  <si>
    <t>unad43id</t>
  </si>
  <si>
    <t>unad43nombre</t>
  </si>
  <si>
    <t>Niveles de formacion</t>
  </si>
  <si>
    <t>unadnivelformacion.php</t>
  </si>
  <si>
    <t>unad40numcreditos</t>
  </si>
  <si>
    <t>ofer01perfilrevisor</t>
  </si>
  <si>
    <t>ofer01perfilacreditador</t>
  </si>
  <si>
    <t>ofer21agenda</t>
  </si>
  <si>
    <t>ofer21idtercero</t>
  </si>
  <si>
    <t>ofer21per_aca</t>
  </si>
  <si>
    <t>ofer21idcurso</t>
  </si>
  <si>
    <t>ofer21idfase</t>
  </si>
  <si>
    <t>ofer21idunidad</t>
  </si>
  <si>
    <t>ofer21idactividad</t>
  </si>
  <si>
    <t>ofer21id</t>
  </si>
  <si>
    <t>ofer21orden</t>
  </si>
  <si>
    <t>ofer21fechaini</t>
  </si>
  <si>
    <t>ofer21fechafin</t>
  </si>
  <si>
    <t>ofer21fecharetro</t>
  </si>
  <si>
    <t>ofer21peso</t>
  </si>
  <si>
    <t>ofer21consec</t>
  </si>
  <si>
    <t>ofer21terceroorigen</t>
  </si>
  <si>
    <t>ofer04paraestudiantes</t>
  </si>
  <si>
    <t>ofer21enfirme</t>
  </si>
  <si>
    <t>En las actividades de usuario se deja N hasta que el usuario la aplique.</t>
  </si>
  <si>
    <t>ofer21anotacion</t>
  </si>
  <si>
    <t>ofer19diasperaca</t>
  </si>
  <si>
    <t>ofer19per_aca</t>
  </si>
  <si>
    <t>ofer19orden</t>
  </si>
  <si>
    <t>ofer19fecha</t>
  </si>
  <si>
    <t>ofer19festivo</t>
  </si>
  <si>
    <t>ofer19numdia</t>
  </si>
  <si>
    <t>ofer18unidad</t>
  </si>
  <si>
    <t>ofer18fase</t>
  </si>
  <si>
    <t>ofer22claseitem</t>
  </si>
  <si>
    <t>1 - Aspectos Generales, 2 - Elmentos especificos…</t>
  </si>
  <si>
    <t>ofer23itemevaluacion</t>
  </si>
  <si>
    <t>El diseño del curso corresponde a los colores….</t>
  </si>
  <si>
    <t>ofer22consec</t>
  </si>
  <si>
    <t>ofer23consec</t>
  </si>
  <si>
    <t>ofer23id</t>
  </si>
  <si>
    <t>ofer23idclaseitem</t>
  </si>
  <si>
    <t>ofer23titulo</t>
  </si>
  <si>
    <t>ofer08fechaacredita</t>
  </si>
  <si>
    <t>ofer08idacredita</t>
  </si>
  <si>
    <t>ofer11fechaacceso</t>
  </si>
  <si>
    <t>unad40idevaluacion</t>
  </si>
  <si>
    <t>ofer23cuerpo</t>
  </si>
  <si>
    <t>ofer23instrucciones</t>
  </si>
  <si>
    <t>ofer24estandard</t>
  </si>
  <si>
    <t>ofer23peso</t>
  </si>
  <si>
    <t>ofer18peso</t>
  </si>
  <si>
    <t>ofer18orden</t>
  </si>
  <si>
    <t>ofer05cerrada</t>
  </si>
  <si>
    <t>ofer05serie</t>
  </si>
  <si>
    <t>ofer05propietario</t>
  </si>
  <si>
    <t>ofer18detalle</t>
  </si>
  <si>
    <t>ofer07detalle</t>
  </si>
  <si>
    <t>ofer05idcurso</t>
  </si>
  <si>
    <t>ofer22aulamiembros</t>
  </si>
  <si>
    <t>ofer22idtercero</t>
  </si>
  <si>
    <t>ofer22idper_aca</t>
  </si>
  <si>
    <t>ofer22idcurso</t>
  </si>
  <si>
    <t>ofer22idaula</t>
  </si>
  <si>
    <t>ofer22detalle</t>
  </si>
  <si>
    <t>Aula - participantes</t>
  </si>
  <si>
    <t>ageaulamiembro.php</t>
  </si>
  <si>
    <t>ofer27retroalimentacion</t>
  </si>
  <si>
    <t>ofer02idcurso</t>
  </si>
  <si>
    <t>ofer03idcurso</t>
  </si>
  <si>
    <t>ofer04idcurso</t>
  </si>
  <si>
    <t>unad44id</t>
  </si>
  <si>
    <t>unad44nombre</t>
  </si>
  <si>
    <t>unad44orden</t>
  </si>
  <si>
    <t>unad44bloque</t>
  </si>
  <si>
    <t>unad45bloquecampus</t>
  </si>
  <si>
    <t>exte02rutaagendas</t>
  </si>
  <si>
    <t>ofer04detalle</t>
  </si>
  <si>
    <t>ofer04retroalimentacion</t>
  </si>
  <si>
    <t>ofer04idtipoactividad</t>
  </si>
  <si>
    <t>Agendas Ava</t>
  </si>
  <si>
    <t>ofer28tipoactividad</t>
  </si>
  <si>
    <t>ofer28id</t>
  </si>
  <si>
    <t>ofer28nombre</t>
  </si>
  <si>
    <t>Agendas AVA</t>
  </si>
  <si>
    <t>ofer08restaurado</t>
  </si>
  <si>
    <t>ofer13atendida</t>
  </si>
  <si>
    <t>ofer13fechaatendida</t>
  </si>
  <si>
    <t>ofer13idatiende</t>
  </si>
  <si>
    <t>ofer13detalle</t>
  </si>
  <si>
    <t>oferagendaava.php</t>
  </si>
  <si>
    <t>ofer04paraava</t>
  </si>
  <si>
    <t>ofer02fechabase</t>
  </si>
  <si>
    <t>even01tipoevento</t>
  </si>
  <si>
    <t>even01id</t>
  </si>
  <si>
    <t>even01nombre</t>
  </si>
  <si>
    <t>even02evento</t>
  </si>
  <si>
    <t>even02nombre</t>
  </si>
  <si>
    <t>even02id</t>
  </si>
  <si>
    <t>even02consec</t>
  </si>
  <si>
    <t>even02tipo</t>
  </si>
  <si>
    <t>even02lugar</t>
  </si>
  <si>
    <t>even02idorganizador</t>
  </si>
  <si>
    <t>even02contacto</t>
  </si>
  <si>
    <t>even02detalle</t>
  </si>
  <si>
    <t>even03idevento</t>
  </si>
  <si>
    <t>even03id</t>
  </si>
  <si>
    <t>even04estadoasistencia</t>
  </si>
  <si>
    <t>even04id</t>
  </si>
  <si>
    <t>Eventos</t>
  </si>
  <si>
    <t>evenregistro.php</t>
  </si>
  <si>
    <t>Participantes</t>
  </si>
  <si>
    <t>evenparticipante.php</t>
  </si>
  <si>
    <t>even02inihora</t>
  </si>
  <si>
    <t>even02iniminuto</t>
  </si>
  <si>
    <t>even02inifecha</t>
  </si>
  <si>
    <t>even02finfecha</t>
  </si>
  <si>
    <t>even02finhora</t>
  </si>
  <si>
    <t>even02finminuto</t>
  </si>
  <si>
    <t>even02insfechaini</t>
  </si>
  <si>
    <t>even02insfechafin</t>
  </si>
  <si>
    <t>even02idcertificado</t>
  </si>
  <si>
    <t>even02idrubrica</t>
  </si>
  <si>
    <t>even02idcead</t>
  </si>
  <si>
    <t>even05id</t>
  </si>
  <si>
    <t>even02peraca</t>
  </si>
  <si>
    <t>even04eventoparticipante</t>
  </si>
  <si>
    <t>even04idevento</t>
  </si>
  <si>
    <t>even04idparticipante</t>
  </si>
  <si>
    <t>even04institucion</t>
  </si>
  <si>
    <t>even04cargo</t>
  </si>
  <si>
    <t>even04correo</t>
  </si>
  <si>
    <t>even04telefono</t>
  </si>
  <si>
    <t>even03eventocurso</t>
  </si>
  <si>
    <t>even03idcurso</t>
  </si>
  <si>
    <t>even03vigente</t>
  </si>
  <si>
    <t>evencurso.php</t>
  </si>
  <si>
    <t>even06certificados</t>
  </si>
  <si>
    <t>even06consec</t>
  </si>
  <si>
    <t>even06id</t>
  </si>
  <si>
    <t>even06titulo</t>
  </si>
  <si>
    <t>even06origenimagen</t>
  </si>
  <si>
    <t>even06idimagen</t>
  </si>
  <si>
    <t>Certificados</t>
  </si>
  <si>
    <t>evencertificado.php</t>
  </si>
  <si>
    <t>even07certvariable</t>
  </si>
  <si>
    <t>even07idcertificado</t>
  </si>
  <si>
    <t>even07consec</t>
  </si>
  <si>
    <t>even07id</t>
  </si>
  <si>
    <t>Variables</t>
  </si>
  <si>
    <t>evencertvariable.php</t>
  </si>
  <si>
    <t>even07idvariable</t>
  </si>
  <si>
    <t>even07izquierda</t>
  </si>
  <si>
    <t>even07ancho</t>
  </si>
  <si>
    <t>even07arriba</t>
  </si>
  <si>
    <t>even07fuente</t>
  </si>
  <si>
    <t>even07tipofuente</t>
  </si>
  <si>
    <t>even07fuentetam</t>
  </si>
  <si>
    <t>even07fuentecolor</t>
  </si>
  <si>
    <t>even07alineacion</t>
  </si>
  <si>
    <t>even08pregunta</t>
  </si>
  <si>
    <t>even08id</t>
  </si>
  <si>
    <t>even08titulo</t>
  </si>
  <si>
    <t>Preguntas</t>
  </si>
  <si>
    <t>even09rubrica</t>
  </si>
  <si>
    <t>even09consec</t>
  </si>
  <si>
    <t>even09id</t>
  </si>
  <si>
    <t>even09titulo</t>
  </si>
  <si>
    <t>even09vigente</t>
  </si>
  <si>
    <t>even10idrubrica</t>
  </si>
  <si>
    <t>even10id</t>
  </si>
  <si>
    <t>even10orden</t>
  </si>
  <si>
    <t>Rubricas</t>
  </si>
  <si>
    <t>evenrubrica.php</t>
  </si>
  <si>
    <t>even11evaluacion</t>
  </si>
  <si>
    <t>even11idevento</t>
  </si>
  <si>
    <t>even11idrubrica</t>
  </si>
  <si>
    <t>even11idasistente</t>
  </si>
  <si>
    <t>even11id</t>
  </si>
  <si>
    <t>even11fecha</t>
  </si>
  <si>
    <t>even11hora</t>
  </si>
  <si>
    <t>even11minuto</t>
  </si>
  <si>
    <t>evenevaluacion.php</t>
  </si>
  <si>
    <t>even12evalitem</t>
  </si>
  <si>
    <t>even12idevaluacion</t>
  </si>
  <si>
    <t>even12idpregunta</t>
  </si>
  <si>
    <t>even12id</t>
  </si>
  <si>
    <t>even12orden</t>
  </si>
  <si>
    <t>even12respuesta</t>
  </si>
  <si>
    <t>evenevaluaitem.php</t>
  </si>
  <si>
    <t>even13estadoasistencia</t>
  </si>
  <si>
    <t>even13id</t>
  </si>
  <si>
    <t>even13nombre</t>
  </si>
  <si>
    <t>eve05eventonoticia</t>
  </si>
  <si>
    <t>even05idevento</t>
  </si>
  <si>
    <t>bita04idtiposolicitante</t>
  </si>
  <si>
    <t>unad47tablero</t>
  </si>
  <si>
    <t>unad47peraca</t>
  </si>
  <si>
    <t>unad47idtercero</t>
  </si>
  <si>
    <t>unad47idrol</t>
  </si>
  <si>
    <t>unad47idcurso</t>
  </si>
  <si>
    <t>unad47activo</t>
  </si>
  <si>
    <t>unad47idcead</t>
  </si>
  <si>
    <t>unad47idceadasiste</t>
  </si>
  <si>
    <t>Cead al cual la persona asiste</t>
  </si>
  <si>
    <t>0 para campus virtual</t>
  </si>
  <si>
    <t>unad47retirado</t>
  </si>
  <si>
    <t>unad47idgrupo</t>
  </si>
  <si>
    <t>unad47idnav</t>
  </si>
  <si>
    <t>unad01dbver</t>
  </si>
  <si>
    <t>unad01doctercero</t>
  </si>
  <si>
    <t>unad01fechasincro</t>
  </si>
  <si>
    <t>unad01config</t>
  </si>
  <si>
    <t>unad01usuario</t>
  </si>
  <si>
    <t>unad01clave</t>
  </si>
  <si>
    <t>unad02peraca</t>
  </si>
  <si>
    <t>ofer18agenda</t>
  </si>
  <si>
    <t>ofer18agnocierre</t>
  </si>
  <si>
    <t>ofer18mescierre</t>
  </si>
  <si>
    <t>ofer18diacierre</t>
  </si>
  <si>
    <t>ofer18vigente</t>
  </si>
  <si>
    <t>ofer18nomfase</t>
  </si>
  <si>
    <t>ofer18nomunidad</t>
  </si>
  <si>
    <t>ofer18nomidactividad</t>
  </si>
  <si>
    <t>ofer18id</t>
  </si>
  <si>
    <t>ofer18diainicio</t>
  </si>
  <si>
    <t>ofer18mesinicio</t>
  </si>
  <si>
    <t>ofer18agnoinicio</t>
  </si>
  <si>
    <t>agem01estado</t>
  </si>
  <si>
    <t>agem01id</t>
  </si>
  <si>
    <t>agem01nombre</t>
  </si>
  <si>
    <t>ofer18estado</t>
  </si>
  <si>
    <t>unad11claveapps</t>
  </si>
  <si>
    <t>unad47numaula</t>
  </si>
  <si>
    <t>Tablero</t>
  </si>
  <si>
    <t>unadtablero.php</t>
  </si>
  <si>
    <t>unad47id</t>
  </si>
  <si>
    <t>unad47sincronizado</t>
  </si>
  <si>
    <t>ofer18sincronizado</t>
  </si>
  <si>
    <t>even15vars</t>
  </si>
  <si>
    <t>even15id</t>
  </si>
  <si>
    <t>even15nombre</t>
  </si>
  <si>
    <t>Librerias</t>
  </si>
  <si>
    <t>unad01mantener</t>
  </si>
  <si>
    <t>unad01ruv</t>
  </si>
  <si>
    <t>ofer09equivalmoodle</t>
  </si>
  <si>
    <t>unad47idmoodle</t>
  </si>
  <si>
    <t>unad47fechaini</t>
  </si>
  <si>
    <t>unad47horaini</t>
  </si>
  <si>
    <t>unad47minini</t>
  </si>
  <si>
    <t>unad47banderaimportacion</t>
  </si>
  <si>
    <t>unad47fechamod</t>
  </si>
  <si>
    <t>unad47horamod</t>
  </si>
  <si>
    <t>unad47minmod</t>
  </si>
  <si>
    <t>Id de moodle</t>
  </si>
  <si>
    <t>fecha inicial</t>
  </si>
  <si>
    <t>fecha de modificacion del registro</t>
  </si>
  <si>
    <t>unad39nombrecomun</t>
  </si>
  <si>
    <t>ofer08idnavalista</t>
  </si>
  <si>
    <t>exte02previo1</t>
  </si>
  <si>
    <t>exte02previo2</t>
  </si>
  <si>
    <t>unad45idbloque</t>
  </si>
  <si>
    <t>unad45campus</t>
  </si>
  <si>
    <t>Bloques de servidores</t>
  </si>
  <si>
    <t>unadbloque.php</t>
  </si>
  <si>
    <t>unad39rutalogin</t>
  </si>
  <si>
    <t>unad39idbloque</t>
  </si>
  <si>
    <t>unad44consec</t>
  </si>
  <si>
    <t>unad49equivaltablero</t>
  </si>
  <si>
    <t>unad49nomcampus</t>
  </si>
  <si>
    <t>unad49nomcurso</t>
  </si>
  <si>
    <t>unad49id</t>
  </si>
  <si>
    <t>unad49idnav</t>
  </si>
  <si>
    <t>unad49idcurso</t>
  </si>
  <si>
    <t>unad49idperaca</t>
  </si>
  <si>
    <t>Equivalencias Tablero</t>
  </si>
  <si>
    <t>unadequivaltablero.php</t>
  </si>
  <si>
    <t>unad39autenticador</t>
  </si>
  <si>
    <t>ofer98nada</t>
  </si>
  <si>
    <t>Importación masiva</t>
  </si>
  <si>
    <t>ofermasiva.php</t>
  </si>
  <si>
    <t>ofer97asignaciones</t>
  </si>
  <si>
    <t>ofer97peraca</t>
  </si>
  <si>
    <t>ofer97curso</t>
  </si>
  <si>
    <t>ofer97idrol1</t>
  </si>
  <si>
    <t>ofer97doc1</t>
  </si>
  <si>
    <t>ofer97nom1</t>
  </si>
  <si>
    <t>ofer97tel1</t>
  </si>
  <si>
    <t>ofer97mail1</t>
  </si>
  <si>
    <t>ofer97idrol2</t>
  </si>
  <si>
    <t>ofer97doc2</t>
  </si>
  <si>
    <t>ofer97nom2</t>
  </si>
  <si>
    <t>ofer97tel2</t>
  </si>
  <si>
    <t>ofer97mail2</t>
  </si>
  <si>
    <t>ofer97idrol3</t>
  </si>
  <si>
    <t>ofer97doc3</t>
  </si>
  <si>
    <t>ofer97nom3</t>
  </si>
  <si>
    <t>ofer97tel3</t>
  </si>
  <si>
    <t>ofer97mail3</t>
  </si>
  <si>
    <t>ofer97idrol4</t>
  </si>
  <si>
    <t>ofer97doc4</t>
  </si>
  <si>
    <t>ofer97nom4</t>
  </si>
  <si>
    <t>ofer97tel4</t>
  </si>
  <si>
    <t>ofer97mail4</t>
  </si>
  <si>
    <t>ofer97idrol5</t>
  </si>
  <si>
    <t>ofer97doc5</t>
  </si>
  <si>
    <t>ofer97nom5</t>
  </si>
  <si>
    <t>ofer97tel5</t>
  </si>
  <si>
    <t>ofer97mail5</t>
  </si>
  <si>
    <t>ofer97idrol6</t>
  </si>
  <si>
    <t>ofer97doc6</t>
  </si>
  <si>
    <t>ofer97nom6</t>
  </si>
  <si>
    <t>ofer97tel6</t>
  </si>
  <si>
    <t>ofer97mail6</t>
  </si>
  <si>
    <t>Reporte de asignaciones</t>
  </si>
  <si>
    <t>oferrptasignaciones.php</t>
  </si>
  <si>
    <t>ofer23paraevaluar</t>
  </si>
  <si>
    <t>ofer23paraacreditar</t>
  </si>
  <si>
    <t>ofer27paraevaluar</t>
  </si>
  <si>
    <t>ofer27paraacreditar</t>
  </si>
  <si>
    <t>ofer22generacion</t>
  </si>
  <si>
    <t>ofer96rpttotal</t>
  </si>
  <si>
    <t>ofer96peraca</t>
  </si>
  <si>
    <t>ofer96curso</t>
  </si>
  <si>
    <t>ofer96escuela</t>
  </si>
  <si>
    <t>ofer96nav</t>
  </si>
  <si>
    <t>ofer96estandar</t>
  </si>
  <si>
    <t>Consolidado</t>
  </si>
  <si>
    <t>oferrptconsolidado.php</t>
  </si>
  <si>
    <t>ofer95estadistico</t>
  </si>
  <si>
    <t>ofer95peraca</t>
  </si>
  <si>
    <t>ofer95escuela</t>
  </si>
  <si>
    <t>Estadistico</t>
  </si>
  <si>
    <t>oferrptestadistico.php</t>
  </si>
  <si>
    <t>ofer95estandar</t>
  </si>
  <si>
    <t>ofer95estna</t>
  </si>
  <si>
    <t>ofer95est0</t>
  </si>
  <si>
    <t>ofer95est1</t>
  </si>
  <si>
    <t>ofer95est2</t>
  </si>
  <si>
    <t>ofer95est4</t>
  </si>
  <si>
    <t>ofer95est7</t>
  </si>
  <si>
    <t>ofer95est8</t>
  </si>
  <si>
    <t>ofer95est9</t>
  </si>
  <si>
    <t>ofer95est10</t>
  </si>
  <si>
    <t>ofer95est15</t>
  </si>
  <si>
    <t>ofer95est19</t>
  </si>
  <si>
    <t>ofer95est20</t>
  </si>
  <si>
    <t>ofer95total</t>
  </si>
  <si>
    <t>ofer95id</t>
  </si>
  <si>
    <t>ofer26idevalprevia</t>
  </si>
  <si>
    <t>bita21informediario</t>
  </si>
  <si>
    <t>bita21consec</t>
  </si>
  <si>
    <t>bita21id</t>
  </si>
  <si>
    <t>bita21idusuario</t>
  </si>
  <si>
    <t>bita21minutofinal</t>
  </si>
  <si>
    <t>bita21horafinal</t>
  </si>
  <si>
    <t>bita21fechafinal</t>
  </si>
  <si>
    <t>bita21fechainicio</t>
  </si>
  <si>
    <t>bita21horainicio</t>
  </si>
  <si>
    <t>bita21minutoinicio</t>
  </si>
  <si>
    <t>bita21novedades</t>
  </si>
  <si>
    <t>bit22idinforme</t>
  </si>
  <si>
    <t>bit22consec</t>
  </si>
  <si>
    <t>bit22id</t>
  </si>
  <si>
    <t>bita21num1</t>
  </si>
  <si>
    <t>bita21num2</t>
  </si>
  <si>
    <t>bita21num3</t>
  </si>
  <si>
    <t>bita21num4</t>
  </si>
  <si>
    <t>bita21num5</t>
  </si>
  <si>
    <t>bita21num6</t>
  </si>
  <si>
    <t>bita21num7</t>
  </si>
  <si>
    <t>bita21num8</t>
  </si>
  <si>
    <t>bita21num9</t>
  </si>
  <si>
    <t>bita21num10</t>
  </si>
  <si>
    <t>1 correo, 2 peticiones, 3 quejas, 4 reclamos, 5 sugerencias, 6 felicitaciones, 7 atenciones telefo, 8 atencion presencial, 9 Servicio remoto, 10 otros.</t>
  </si>
  <si>
    <t>bit22numreferencia</t>
  </si>
  <si>
    <t>bit22detalle</t>
  </si>
  <si>
    <t>bit23id</t>
  </si>
  <si>
    <t>bit23consec</t>
  </si>
  <si>
    <t>bit23idinforme</t>
  </si>
  <si>
    <t>bit23idorigen</t>
  </si>
  <si>
    <t>bit23idarchivo</t>
  </si>
  <si>
    <t>bit23descripcion</t>
  </si>
  <si>
    <t>bit22estado</t>
  </si>
  <si>
    <t>Pendiente, Resuelto, Devuelto</t>
  </si>
  <si>
    <t>bita24tipoproceso</t>
  </si>
  <si>
    <t>bita24id</t>
  </si>
  <si>
    <t>bita24nombre</t>
  </si>
  <si>
    <t>bita23informeanexo</t>
  </si>
  <si>
    <t>bita22informerespuesta</t>
  </si>
  <si>
    <t>Informe diario</t>
  </si>
  <si>
    <t>bitainformediario.php</t>
  </si>
  <si>
    <t>bit22tipoproceso</t>
  </si>
  <si>
    <t>Casos atendidos</t>
  </si>
  <si>
    <t>bitadiariocaso.php</t>
  </si>
  <si>
    <t>bitadiarioanexo.php</t>
  </si>
  <si>
    <t>bita22idtiposolicitud</t>
  </si>
  <si>
    <t>ofer08fechaestadocampus</t>
  </si>
  <si>
    <t>bita21cerrado</t>
  </si>
  <si>
    <t>unad50id</t>
  </si>
  <si>
    <t>unad50actual</t>
  </si>
  <si>
    <t>unad50modelo</t>
  </si>
  <si>
    <t>unad50nombre</t>
  </si>
  <si>
    <t>unad50server</t>
  </si>
  <si>
    <t>unad50db</t>
  </si>
  <si>
    <t>unad50usuario</t>
  </si>
  <si>
    <t>unad50pwd</t>
  </si>
  <si>
    <t>unad50dbalterna</t>
  </si>
  <si>
    <t>unad50consec</t>
  </si>
  <si>
    <t>unad51archivos</t>
  </si>
  <si>
    <t>unad51consec</t>
  </si>
  <si>
    <t>unad51id</t>
  </si>
  <si>
    <t>unad51nombre</t>
  </si>
  <si>
    <t>unad51detalle</t>
  </si>
  <si>
    <t>unad51mime</t>
  </si>
  <si>
    <t>unad51archivo</t>
  </si>
  <si>
    <t>unad51consultas</t>
  </si>
  <si>
    <t>bit24tema</t>
  </si>
  <si>
    <t>bita24consec</t>
  </si>
  <si>
    <t>bita24vigente</t>
  </si>
  <si>
    <t>Temas</t>
  </si>
  <si>
    <t>bitatema.php</t>
  </si>
  <si>
    <t>ofer94historico</t>
  </si>
  <si>
    <t>ofer94consec</t>
  </si>
  <si>
    <t>ofer94idcurso</t>
  </si>
  <si>
    <t>Historico por curso</t>
  </si>
  <si>
    <t>oferrpthistorico.php</t>
  </si>
  <si>
    <t>Auditoria</t>
  </si>
  <si>
    <t>unad52auditoria</t>
  </si>
  <si>
    <t>unad52id</t>
  </si>
  <si>
    <t>unad52idistema</t>
  </si>
  <si>
    <t>unad52codmodulo</t>
  </si>
  <si>
    <t>unad52idtercero</t>
  </si>
  <si>
    <t>unad52fecha</t>
  </si>
  <si>
    <t>unad52hora</t>
  </si>
  <si>
    <t>unad52minuto</t>
  </si>
  <si>
    <t>unad52segundo</t>
  </si>
  <si>
    <t>unad52codaccion</t>
  </si>
  <si>
    <t>unad52idregistro</t>
  </si>
  <si>
    <t>unad52detalle</t>
  </si>
  <si>
    <t>unadauditoria.php</t>
  </si>
  <si>
    <t>bita09arquitectura</t>
  </si>
  <si>
    <t>bita09fechaproduccion</t>
  </si>
  <si>
    <t>bita09documentacion</t>
  </si>
  <si>
    <t>bita09propiedadintelectual</t>
  </si>
  <si>
    <t>bita09impacto</t>
  </si>
  <si>
    <t>bita25arquitectura</t>
  </si>
  <si>
    <t>bita25consec</t>
  </si>
  <si>
    <t>bita25id</t>
  </si>
  <si>
    <t>bita25nombre</t>
  </si>
  <si>
    <t>bita25detalle</t>
  </si>
  <si>
    <t>Arquitecturas de proyecto</t>
  </si>
  <si>
    <t>bitaarquitectura.php</t>
  </si>
  <si>
    <t>bita31equipo</t>
  </si>
  <si>
    <t>bita31consec</t>
  </si>
  <si>
    <t>bita31id</t>
  </si>
  <si>
    <t>bita31nombre</t>
  </si>
  <si>
    <t>bita31rol</t>
  </si>
  <si>
    <t>bita31ip</t>
  </si>
  <si>
    <t>bita31activo</t>
  </si>
  <si>
    <t>bita31hostname</t>
  </si>
  <si>
    <t>bita31dns</t>
  </si>
  <si>
    <t>bita31tipoequipo</t>
  </si>
  <si>
    <t>bita32tipoequipo</t>
  </si>
  <si>
    <t>bita32consec</t>
  </si>
  <si>
    <t>bita32id</t>
  </si>
  <si>
    <t>bita32nombre</t>
  </si>
  <si>
    <t>Tipo de equipo</t>
  </si>
  <si>
    <t>bitatipoequipo.php</t>
  </si>
  <si>
    <t>bita31encluster</t>
  </si>
  <si>
    <t>Equipos de computo</t>
  </si>
  <si>
    <t>bitaequipo.php</t>
  </si>
  <si>
    <t>bita31marca</t>
  </si>
  <si>
    <t>bita31modelo</t>
  </si>
  <si>
    <t>bita31fichatecnica</t>
  </si>
  <si>
    <t>bita33equipomarca</t>
  </si>
  <si>
    <t>bita33consec</t>
  </si>
  <si>
    <t>bita33id</t>
  </si>
  <si>
    <t>bita33nombre</t>
  </si>
  <si>
    <t>Marcas de equipos</t>
  </si>
  <si>
    <t>bitaequipomarca.php</t>
  </si>
  <si>
    <t>bita31numactivofijo</t>
  </si>
  <si>
    <t>bita31serie</t>
  </si>
  <si>
    <t>bita31idzona</t>
  </si>
  <si>
    <t>bita31idsede</t>
  </si>
  <si>
    <t>bita31posicion</t>
  </si>
  <si>
    <t>bita31rac</t>
  </si>
  <si>
    <t>bita31procesadorcantidad</t>
  </si>
  <si>
    <t>bita31procesadortipo</t>
  </si>
  <si>
    <t>bita31procesadorvelocidad</t>
  </si>
  <si>
    <t>bita31propietario</t>
  </si>
  <si>
    <t>bita31dimensiones</t>
  </si>
  <si>
    <t>bita31color</t>
  </si>
  <si>
    <t>bita31consumoenergia</t>
  </si>
  <si>
    <t>bita31peso</t>
  </si>
  <si>
    <t>bita31verbios</t>
  </si>
  <si>
    <t>bita31firmware</t>
  </si>
  <si>
    <t>bita31red</t>
  </si>
  <si>
    <t>bita31raid</t>
  </si>
  <si>
    <t>bita31memoria</t>
  </si>
  <si>
    <t>bita31raidcontrol</t>
  </si>
  <si>
    <t>bita31discosinternos</t>
  </si>
  <si>
    <t>bita31video</t>
  </si>
  <si>
    <t>bita31fuentes</t>
  </si>
  <si>
    <t>bita31adicionales</t>
  </si>
  <si>
    <t>bita31sonombre</t>
  </si>
  <si>
    <t>bita31soidioma</t>
  </si>
  <si>
    <t>bita31soparticiones</t>
  </si>
  <si>
    <t>bita31soswap</t>
  </si>
  <si>
    <t>bita31soantivirus</t>
  </si>
  <si>
    <t>bita31sobackup</t>
  </si>
  <si>
    <t>bita31somonitor</t>
  </si>
  <si>
    <t>bita34equipoparche</t>
  </si>
  <si>
    <t>bita34idservidor</t>
  </si>
  <si>
    <t>bita34consec</t>
  </si>
  <si>
    <t>bita34id</t>
  </si>
  <si>
    <t>bita34detalle</t>
  </si>
  <si>
    <t>bita34fecha</t>
  </si>
  <si>
    <t>bita34idresponsable</t>
  </si>
  <si>
    <t>Actualizaciones</t>
  </si>
  <si>
    <t>bitaequipoactualiza.php</t>
  </si>
  <si>
    <t>bita35equiporol</t>
  </si>
  <si>
    <t>bita35idservidor</t>
  </si>
  <si>
    <t>bita35consec</t>
  </si>
  <si>
    <t>bita35id</t>
  </si>
  <si>
    <t>bita35fechainicio</t>
  </si>
  <si>
    <t>bita35fechafin</t>
  </si>
  <si>
    <t>bita35rol</t>
  </si>
  <si>
    <t>bita35ambiente</t>
  </si>
  <si>
    <t>bita35disponibilidad</t>
  </si>
  <si>
    <t>bita35criticidad</t>
  </si>
  <si>
    <t>bita36consec</t>
  </si>
  <si>
    <t>bita36id</t>
  </si>
  <si>
    <t>bita36nombre</t>
  </si>
  <si>
    <t>Ambientes</t>
  </si>
  <si>
    <t>bitaequipoambiente.php</t>
  </si>
  <si>
    <t>bita36equipoambiente</t>
  </si>
  <si>
    <t>bita37criticidad</t>
  </si>
  <si>
    <t>bita37consec</t>
  </si>
  <si>
    <t>bita37id</t>
  </si>
  <si>
    <t>bita37nombre</t>
  </si>
  <si>
    <t>Criticidad</t>
  </si>
  <si>
    <t>bitaequipocriticidad.php</t>
  </si>
  <si>
    <t>bita31idmonitoreo</t>
  </si>
  <si>
    <t>bitaequiporol.php</t>
  </si>
  <si>
    <t>bita31fechacompra</t>
  </si>
  <si>
    <t>bita31fechagarantia</t>
  </si>
  <si>
    <t>bita31infogarantia</t>
  </si>
  <si>
    <t>bita38idservidor</t>
  </si>
  <si>
    <t>his38equiposoporte</t>
  </si>
  <si>
    <t>bita38consec</t>
  </si>
  <si>
    <t>bita38id</t>
  </si>
  <si>
    <t>bita38infosoporte</t>
  </si>
  <si>
    <t>bita38fechainicial</t>
  </si>
  <si>
    <t>bita38fechafinal</t>
  </si>
  <si>
    <t>bita38telcontacto</t>
  </si>
  <si>
    <t>bita38mailcontacto</t>
  </si>
  <si>
    <t>bita38telcontacto2</t>
  </si>
  <si>
    <t>bita38mailcontacto2</t>
  </si>
  <si>
    <t>bita39equipoalmext</t>
  </si>
  <si>
    <t>Informacion de soporte</t>
  </si>
  <si>
    <t>bitaequiposoporte.php</t>
  </si>
  <si>
    <t>bita39idservidor</t>
  </si>
  <si>
    <t>bita39consec</t>
  </si>
  <si>
    <t>bita39id</t>
  </si>
  <si>
    <t>bita39almacena</t>
  </si>
  <si>
    <t>bita39tipo</t>
  </si>
  <si>
    <t>bita39capacidad</t>
  </si>
  <si>
    <t>bita39numhba</t>
  </si>
  <si>
    <t>bita39velhba</t>
  </si>
  <si>
    <t>Almacenamiento externo</t>
  </si>
  <si>
    <t>bitaequipoalmext.php</t>
  </si>
  <si>
    <t>bita40equipored</t>
  </si>
  <si>
    <t>bita40idequipo</t>
  </si>
  <si>
    <t>bita40consec</t>
  </si>
  <si>
    <t>bita40id</t>
  </si>
  <si>
    <t>bita40ipestatica</t>
  </si>
  <si>
    <t>bita40ipilo</t>
  </si>
  <si>
    <t>bita40nic1activa</t>
  </si>
  <si>
    <t>Configuracion de red</t>
  </si>
  <si>
    <t>bitaequipored.php</t>
  </si>
  <si>
    <t>bita40nic1ip</t>
  </si>
  <si>
    <t>bita40nic1tipoid</t>
  </si>
  <si>
    <t>bita40nic1mac</t>
  </si>
  <si>
    <t>bita40nic1gateway</t>
  </si>
  <si>
    <t>bita40nic1velocidad</t>
  </si>
  <si>
    <t>bita40nic1vlan</t>
  </si>
  <si>
    <t>bita40nic1marcanic</t>
  </si>
  <si>
    <t>bita40nic1dns1</t>
  </si>
  <si>
    <t>bita40nic1dns2</t>
  </si>
  <si>
    <t>bita40nic1ipv6</t>
  </si>
  <si>
    <t>bita40nic1ipv6prefix</t>
  </si>
  <si>
    <t>bita40nic1ipv6gateway</t>
  </si>
  <si>
    <t>bita41equipousuario</t>
  </si>
  <si>
    <t>bita41idequipo</t>
  </si>
  <si>
    <t>bita41consec</t>
  </si>
  <si>
    <t>bita41id</t>
  </si>
  <si>
    <t>bita41fechainicial</t>
  </si>
  <si>
    <t>bita41fechafinal</t>
  </si>
  <si>
    <t>bita41idusuario</t>
  </si>
  <si>
    <t>bita41formaacceso</t>
  </si>
  <si>
    <t>bita41nivelpermisos</t>
  </si>
  <si>
    <t>bita41nota</t>
  </si>
  <si>
    <t>bitaequipousuario.php</t>
  </si>
  <si>
    <t>bita42formaacceso</t>
  </si>
  <si>
    <t>bita43nivelpermisos</t>
  </si>
  <si>
    <t>bita42consec</t>
  </si>
  <si>
    <t>bita42id</t>
  </si>
  <si>
    <t>bita42nombre</t>
  </si>
  <si>
    <t>bita43consec</t>
  </si>
  <si>
    <t>bita43id</t>
  </si>
  <si>
    <t>bita43nombre</t>
  </si>
  <si>
    <t>Formas de acceso</t>
  </si>
  <si>
    <t>Niveles de permisos</t>
  </si>
  <si>
    <t>bitaequipformaacc.php</t>
  </si>
  <si>
    <t>bitaequiponivelpermiso.php</t>
  </si>
  <si>
    <t>bita44equipoapps</t>
  </si>
  <si>
    <t>bita44idequipo</t>
  </si>
  <si>
    <t>bita44consec</t>
  </si>
  <si>
    <t>bita44id</t>
  </si>
  <si>
    <t>bita44fechainstalacion</t>
  </si>
  <si>
    <t>bita44fecharetiro</t>
  </si>
  <si>
    <t>bita44nombre</t>
  </si>
  <si>
    <t>bita44detalle</t>
  </si>
  <si>
    <t>Aplicaciones</t>
  </si>
  <si>
    <t>bitaequipoapp.php</t>
  </si>
  <si>
    <t>bita45equipodbs</t>
  </si>
  <si>
    <t>bita46equiposervicios</t>
  </si>
  <si>
    <t>bita45idequipo</t>
  </si>
  <si>
    <t>bita45consec</t>
  </si>
  <si>
    <t>bita45id</t>
  </si>
  <si>
    <t>bita45nombre</t>
  </si>
  <si>
    <t>bita45fechainstalacion</t>
  </si>
  <si>
    <t>bita45fecharetiro</t>
  </si>
  <si>
    <t>bita45detalle</t>
  </si>
  <si>
    <t>bita46idequipo</t>
  </si>
  <si>
    <t>bita46consec</t>
  </si>
  <si>
    <t>bita46id</t>
  </si>
  <si>
    <t>bita46nombre</t>
  </si>
  <si>
    <t>bita46fechainstalacion</t>
  </si>
  <si>
    <t>bita46fecharetiro</t>
  </si>
  <si>
    <t>bita46detalle</t>
  </si>
  <si>
    <t>Bases de datos</t>
  </si>
  <si>
    <t>Servicios</t>
  </si>
  <si>
    <t>bitaequipodbs.php</t>
  </si>
  <si>
    <t>bitaequiposervicio.php</t>
  </si>
  <si>
    <t>bita47equiposervred</t>
  </si>
  <si>
    <t>bita47idequipo</t>
  </si>
  <si>
    <t>bita47consec</t>
  </si>
  <si>
    <t>bita47id</t>
  </si>
  <si>
    <t>bita47nomdiagrama</t>
  </si>
  <si>
    <t>bita47idorigen</t>
  </si>
  <si>
    <t>bita47idarchivo</t>
  </si>
  <si>
    <t>bita47permisosfirewall</t>
  </si>
  <si>
    <t>bita48equipopuertos</t>
  </si>
  <si>
    <t>bita48idequipo</t>
  </si>
  <si>
    <t>bita48consec</t>
  </si>
  <si>
    <t>bita48id</t>
  </si>
  <si>
    <t>bita48fecha</t>
  </si>
  <si>
    <t>bita48puerto</t>
  </si>
  <si>
    <t>bita48servicio</t>
  </si>
  <si>
    <t>bita48abierto</t>
  </si>
  <si>
    <t>bita48fecharetiro</t>
  </si>
  <si>
    <t>Puertos</t>
  </si>
  <si>
    <t>bitaequipopuerto.php</t>
  </si>
  <si>
    <t>bita49equipomant</t>
  </si>
  <si>
    <t>bita49consec</t>
  </si>
  <si>
    <t>bita49idequipo</t>
  </si>
  <si>
    <t>bita49id</t>
  </si>
  <si>
    <t>bita49detalle</t>
  </si>
  <si>
    <t>bita49idusuario</t>
  </si>
  <si>
    <t>bita49fecha</t>
  </si>
  <si>
    <t>Notas de mantenimiento</t>
  </si>
  <si>
    <t>bitaequipomant.php</t>
  </si>
  <si>
    <t>bita50equiporecomen</t>
  </si>
  <si>
    <t>bita50idequipo</t>
  </si>
  <si>
    <t>bita50consec</t>
  </si>
  <si>
    <t>bita50id</t>
  </si>
  <si>
    <t>bita50detalle</t>
  </si>
  <si>
    <t>bita50orden</t>
  </si>
  <si>
    <t>bita50idproceso</t>
  </si>
  <si>
    <t>Recomendaciones</t>
  </si>
  <si>
    <t>bitaequiporecomen.php</t>
  </si>
  <si>
    <t>bita51equiporespon</t>
  </si>
  <si>
    <t>bita51idequipo</t>
  </si>
  <si>
    <t>bita51consec</t>
  </si>
  <si>
    <t>bita51id</t>
  </si>
  <si>
    <t>bita51idresponsable</t>
  </si>
  <si>
    <t>bita51fechainicial</t>
  </si>
  <si>
    <t>bita51fechafinal</t>
  </si>
  <si>
    <t>bita51activo</t>
  </si>
  <si>
    <t>Responsables</t>
  </si>
  <si>
    <t>bitaequiporespon.php</t>
  </si>
  <si>
    <t>Servicios de red</t>
  </si>
  <si>
    <t>ofer15orden</t>
  </si>
  <si>
    <t>ofer15tono</t>
  </si>
  <si>
    <t>Estado campus</t>
  </si>
  <si>
    <t>oferestcam.php</t>
  </si>
  <si>
    <t>Panel</t>
  </si>
  <si>
    <t>unad11fechaclaveapps</t>
  </si>
  <si>
    <t>unad11fechatablero</t>
  </si>
  <si>
    <t>unad54navperaca</t>
  </si>
  <si>
    <t>unad54idnav</t>
  </si>
  <si>
    <t>unad54peraca</t>
  </si>
  <si>
    <t>unad54id</t>
  </si>
  <si>
    <t>unad54rutalogin</t>
  </si>
  <si>
    <t>unad54activo</t>
  </si>
  <si>
    <t>unad54alias</t>
  </si>
  <si>
    <t>unad54numestudiantes</t>
  </si>
  <si>
    <t>Autenticadores</t>
  </si>
  <si>
    <t>unadnavautentica.php</t>
  </si>
  <si>
    <t>unad55autenticador</t>
  </si>
  <si>
    <t>unad55consec</t>
  </si>
  <si>
    <t>unad55id</t>
  </si>
  <si>
    <t>unad55nombre</t>
  </si>
  <si>
    <t>unad55tabla</t>
  </si>
  <si>
    <t>unad55dbservidor</t>
  </si>
  <si>
    <t>unad55dbpuerto</t>
  </si>
  <si>
    <t>unad55dbusuario</t>
  </si>
  <si>
    <t>unad55dbpwd</t>
  </si>
  <si>
    <t>unad55campoclave</t>
  </si>
  <si>
    <t>unad55campousuario</t>
  </si>
  <si>
    <t>unad55campoid</t>
  </si>
  <si>
    <t>unad54autenticador</t>
  </si>
  <si>
    <t>Autenticadores por peraca</t>
  </si>
  <si>
    <t>unadautenticador.php</t>
  </si>
  <si>
    <t>unad55dbnombre</t>
  </si>
  <si>
    <t>unad48idcursonav</t>
  </si>
  <si>
    <t>unad56opiniones</t>
  </si>
  <si>
    <t>unad56idtema</t>
  </si>
  <si>
    <t>unad56idtercero</t>
  </si>
  <si>
    <t>unad56consec</t>
  </si>
  <si>
    <t>unad56id</t>
  </si>
  <si>
    <t>unad56fecha</t>
  </si>
  <si>
    <t>unad56hora</t>
  </si>
  <si>
    <t>unad56minuto</t>
  </si>
  <si>
    <t>unad56opinion</t>
  </si>
  <si>
    <t>unad56relevante</t>
  </si>
  <si>
    <t>unad56revisada</t>
  </si>
  <si>
    <t>unad56calificacion</t>
  </si>
  <si>
    <t>unad57temas</t>
  </si>
  <si>
    <t>unad57consec</t>
  </si>
  <si>
    <t>unad57id</t>
  </si>
  <si>
    <t>unad57nombre</t>
  </si>
  <si>
    <t>Temas de consulta</t>
  </si>
  <si>
    <t>unadtemas.php</t>
  </si>
  <si>
    <t>Opiniones</t>
  </si>
  <si>
    <t>unadopinion.php</t>
  </si>
  <si>
    <t>0 o 1 para aula 1 y el resto el num de aula</t>
  </si>
  <si>
    <t>unad58rolmoodle</t>
  </si>
  <si>
    <t>unad58id</t>
  </si>
  <si>
    <t>unad58nombre</t>
  </si>
  <si>
    <t>unad58orden</t>
  </si>
  <si>
    <t>ofer15prevnombre</t>
  </si>
  <si>
    <t>ofer15prevtono</t>
  </si>
  <si>
    <t>ofer15prevorden</t>
  </si>
  <si>
    <t>unad40idrubricacertifica</t>
  </si>
  <si>
    <t>ofer18perfil</t>
  </si>
  <si>
    <t>Temas de mesa de ayuda</t>
  </si>
  <si>
    <t>sistemaayuda.php</t>
  </si>
  <si>
    <t>Mesa de ayuda</t>
  </si>
  <si>
    <t>genmaconsola.php</t>
  </si>
  <si>
    <t>genmesaayuda.php</t>
  </si>
  <si>
    <t>Respuestas</t>
  </si>
  <si>
    <t>gensolrpta.php</t>
  </si>
  <si>
    <t>bita61vigente</t>
  </si>
  <si>
    <t>bita61nombre</t>
  </si>
  <si>
    <t>bita61idresponsable</t>
  </si>
  <si>
    <t>bita61detalle</t>
  </si>
  <si>
    <t>bita61temaconsulta</t>
  </si>
  <si>
    <t>bita61id</t>
  </si>
  <si>
    <t>bita61identidad</t>
  </si>
  <si>
    <t>bita61consec</t>
  </si>
  <si>
    <t>bita62solicitud</t>
  </si>
  <si>
    <t>bita62identidad</t>
  </si>
  <si>
    <t>bita62consec</t>
  </si>
  <si>
    <t>bita62id</t>
  </si>
  <si>
    <t>bita62fecha</t>
  </si>
  <si>
    <t>bita62hora</t>
  </si>
  <si>
    <t>bita62minuto</t>
  </si>
  <si>
    <t>bita62estado</t>
  </si>
  <si>
    <t>bita62idtema</t>
  </si>
  <si>
    <t>bita62idtercero</t>
  </si>
  <si>
    <t>bita62opinion</t>
  </si>
  <si>
    <t>bita62calificacion</t>
  </si>
  <si>
    <t>bita62relevante</t>
  </si>
  <si>
    <t>bita62revisada</t>
  </si>
  <si>
    <t>bita62idresponsable</t>
  </si>
  <si>
    <t>bita62fechacierra</t>
  </si>
  <si>
    <t>bita62horacierra</t>
  </si>
  <si>
    <t>bita62minutocierra</t>
  </si>
  <si>
    <t>bita63consec</t>
  </si>
  <si>
    <t>bita63id</t>
  </si>
  <si>
    <t>bita63respuesta</t>
  </si>
  <si>
    <t>bita63idusuario</t>
  </si>
  <si>
    <t>bita63fecha</t>
  </si>
  <si>
    <t>bita63hora</t>
  </si>
  <si>
    <t>bita63minuto</t>
  </si>
  <si>
    <t>bita63solicitudrpta</t>
  </si>
  <si>
    <t>bita63identidad</t>
  </si>
  <si>
    <t>bita63idsolicitud</t>
  </si>
  <si>
    <t>bita60estadomesa</t>
  </si>
  <si>
    <t>bita60id</t>
  </si>
  <si>
    <t>bita60nombre</t>
  </si>
  <si>
    <t>bita60orden</t>
  </si>
  <si>
    <t>bita60tono</t>
  </si>
  <si>
    <t>ofer08motivocancela</t>
  </si>
  <si>
    <t>ofer95est12</t>
  </si>
  <si>
    <t>ofer95acredita</t>
  </si>
  <si>
    <t>ofer08procesado</t>
  </si>
  <si>
    <t>bita32clase</t>
  </si>
  <si>
    <t>bita52claseequipo</t>
  </si>
  <si>
    <t>bita52id</t>
  </si>
  <si>
    <t>bita52nombre</t>
  </si>
  <si>
    <t>bita31idanfitrion</t>
  </si>
  <si>
    <t>bita53procesoequipo</t>
  </si>
  <si>
    <t>bita53id</t>
  </si>
  <si>
    <t>bita53nombre</t>
  </si>
  <si>
    <t>bita53consec</t>
  </si>
  <si>
    <t>bita53orden</t>
  </si>
  <si>
    <t>Procesos en los equipos de computo</t>
  </si>
  <si>
    <t>bitaprocesoequipo.php</t>
  </si>
  <si>
    <t>ofer35reversiones</t>
  </si>
  <si>
    <t>ofer35peraca</t>
  </si>
  <si>
    <t>ofer35consec</t>
  </si>
  <si>
    <t>ofer35id</t>
  </si>
  <si>
    <t>ofer35estadoorigen</t>
  </si>
  <si>
    <t>ofer35estadodestino</t>
  </si>
  <si>
    <t>ofer35causal</t>
  </si>
  <si>
    <t>ofer35idusuario</t>
  </si>
  <si>
    <t>ofer35aplicada</t>
  </si>
  <si>
    <t>ofer35fechaaplicada</t>
  </si>
  <si>
    <t>ofer36reversioncurso</t>
  </si>
  <si>
    <t>ofer36idreversion</t>
  </si>
  <si>
    <t>ofer36id</t>
  </si>
  <si>
    <t>ofer36idcurso</t>
  </si>
  <si>
    <t>Reversiones</t>
  </si>
  <si>
    <t>Cursos Incluidos</t>
  </si>
  <si>
    <t>oferreversion.php</t>
  </si>
  <si>
    <t>oferreversioncurso.php</t>
  </si>
  <si>
    <t>OIL</t>
  </si>
  <si>
    <t>olab01laboratorios</t>
  </si>
  <si>
    <t>olab01consec</t>
  </si>
  <si>
    <t>olab01id</t>
  </si>
  <si>
    <t>olab01nombre</t>
  </si>
  <si>
    <t>olab01idzona</t>
  </si>
  <si>
    <t>olab01idsede</t>
  </si>
  <si>
    <t>olablaboratorios.php</t>
  </si>
  <si>
    <t>Laboratorios</t>
  </si>
  <si>
    <t>olab01propio</t>
  </si>
  <si>
    <t>olab01activo</t>
  </si>
  <si>
    <t>olab01idconvenio</t>
  </si>
  <si>
    <t>olab02convenios</t>
  </si>
  <si>
    <t>olab02consec</t>
  </si>
  <si>
    <t>olab02id</t>
  </si>
  <si>
    <t>olab02activo</t>
  </si>
  <si>
    <t>olab02nombre</t>
  </si>
  <si>
    <t>olab03convenioperaca</t>
  </si>
  <si>
    <t>olab03idconvenio</t>
  </si>
  <si>
    <t>olab03idperaca</t>
  </si>
  <si>
    <t>olab03id</t>
  </si>
  <si>
    <t>olab03activo</t>
  </si>
  <si>
    <t>olab03detalle</t>
  </si>
  <si>
    <t>olab02conpago</t>
  </si>
  <si>
    <t>olab02idresponsable</t>
  </si>
  <si>
    <t>olab02detalle</t>
  </si>
  <si>
    <t>olab01detalle</t>
  </si>
  <si>
    <t>olab04idcurso</t>
  </si>
  <si>
    <t>olab04idlaboratorio</t>
  </si>
  <si>
    <t>olab04laboratoriocurso</t>
  </si>
  <si>
    <t>olab04id</t>
  </si>
  <si>
    <t>olab04activo</t>
  </si>
  <si>
    <t>olab04detalle</t>
  </si>
  <si>
    <t>olab05roles</t>
  </si>
  <si>
    <t>olab05consec</t>
  </si>
  <si>
    <t>olab05id</t>
  </si>
  <si>
    <t>olab05nombre</t>
  </si>
  <si>
    <t>olab05activo</t>
  </si>
  <si>
    <t>olab06laboratorioactor</t>
  </si>
  <si>
    <t>olab06idlaboratorio</t>
  </si>
  <si>
    <t>olab06idactor</t>
  </si>
  <si>
    <t>olab06id</t>
  </si>
  <si>
    <t>olab06vigente</t>
  </si>
  <si>
    <t>olab06fechaingreso</t>
  </si>
  <si>
    <t>olab06fecharetiro</t>
  </si>
  <si>
    <t>olablaboratoriocurso.php</t>
  </si>
  <si>
    <t>olablaboratorioactor.php</t>
  </si>
  <si>
    <t>Convenios</t>
  </si>
  <si>
    <t>olabconvenios.php</t>
  </si>
  <si>
    <t>Periodos</t>
  </si>
  <si>
    <t>olabconvenioperaca.php</t>
  </si>
  <si>
    <t>olabroles.php</t>
  </si>
  <si>
    <t>olab07config</t>
  </si>
  <si>
    <t>olab07id</t>
  </si>
  <si>
    <t>olab07idperaca</t>
  </si>
  <si>
    <t>olab08oferta</t>
  </si>
  <si>
    <t>olab08idperaca</t>
  </si>
  <si>
    <t>olab08idcurso</t>
  </si>
  <si>
    <t>olab08idcead</t>
  </si>
  <si>
    <t>olab08id</t>
  </si>
  <si>
    <t>olab08idescuela</t>
  </si>
  <si>
    <t>olab08idzona</t>
  </si>
  <si>
    <t>olab09idoferta</t>
  </si>
  <si>
    <t>olab09id</t>
  </si>
  <si>
    <t>olab10horarios</t>
  </si>
  <si>
    <t>olab10consec</t>
  </si>
  <si>
    <t>olab10id</t>
  </si>
  <si>
    <t>olab10fecha</t>
  </si>
  <si>
    <t>olab10hora</t>
  </si>
  <si>
    <t>olab10minuto</t>
  </si>
  <si>
    <t>olab10horafinal</t>
  </si>
  <si>
    <t>olab10minutofinal</t>
  </si>
  <si>
    <t>olab11cupos</t>
  </si>
  <si>
    <t>olab11consec</t>
  </si>
  <si>
    <t>olab11id</t>
  </si>
  <si>
    <t>olab08numgrupo</t>
  </si>
  <si>
    <t>olab08idresponsable</t>
  </si>
  <si>
    <t>olab08idlaboratorio</t>
  </si>
  <si>
    <t>olab08numcupos</t>
  </si>
  <si>
    <t>olab09ofertanota</t>
  </si>
  <si>
    <t>olab09consec</t>
  </si>
  <si>
    <t>olab09nota</t>
  </si>
  <si>
    <t>olab09idusuario</t>
  </si>
  <si>
    <t>olab09fecha</t>
  </si>
  <si>
    <t>olab09hora</t>
  </si>
  <si>
    <t>olab09minuto</t>
  </si>
  <si>
    <t>olab10idoferta</t>
  </si>
  <si>
    <t>olab11idoferta</t>
  </si>
  <si>
    <t>olab11idestudiante</t>
  </si>
  <si>
    <t>olabparams.php</t>
  </si>
  <si>
    <t>Oferta de laboratorios</t>
  </si>
  <si>
    <t>olaboferta.php</t>
  </si>
  <si>
    <t>Horarios</t>
  </si>
  <si>
    <t>Cupos</t>
  </si>
  <si>
    <t>olabofertacupo.php</t>
  </si>
  <si>
    <t>olab11fechainscribe</t>
  </si>
  <si>
    <t>olab11horainscribe</t>
  </si>
  <si>
    <t>olab11minutoinscribe</t>
  </si>
  <si>
    <t>nada</t>
  </si>
  <si>
    <t>unad40incluyelaboratorio</t>
  </si>
  <si>
    <t>ofer37cerficacion</t>
  </si>
  <si>
    <t>Certificacion</t>
  </si>
  <si>
    <t>ofercerfifica.php</t>
  </si>
  <si>
    <t>unad11bloqueado</t>
  </si>
  <si>
    <t>unad11modf</t>
  </si>
  <si>
    <t>unad11modm</t>
  </si>
  <si>
    <t>unad40codigoflorida</t>
  </si>
  <si>
    <t>unad57vigente</t>
  </si>
  <si>
    <t>ofer37proceso</t>
  </si>
  <si>
    <t>ofer37id</t>
  </si>
  <si>
    <t>ofer37nombre</t>
  </si>
  <si>
    <t>ofer37visible</t>
  </si>
  <si>
    <t>ofer37orden</t>
  </si>
  <si>
    <t>olab08cerrado</t>
  </si>
  <si>
    <t>unad11aceptanotificacion</t>
  </si>
  <si>
    <t>unad11correonotifica</t>
  </si>
  <si>
    <t>unad11correoinstitucional</t>
  </si>
  <si>
    <t>unad47origen</t>
  </si>
  <si>
    <t>0 Matricula formal, 1 matricula manual</t>
  </si>
  <si>
    <t>ofer08metodomatricula</t>
  </si>
  <si>
    <t>Si la matricula viene de RyC o si se hace manual</t>
  </si>
  <si>
    <t>Proceso que se debe realizar, acreditación certificación casos especiales.</t>
  </si>
  <si>
    <t>matr01matricula</t>
  </si>
  <si>
    <t>matr01peraca</t>
  </si>
  <si>
    <t>matr01idprograma</t>
  </si>
  <si>
    <t>matr01tercero</t>
  </si>
  <si>
    <t>matr01id</t>
  </si>
  <si>
    <t>matr01idceadasiste</t>
  </si>
  <si>
    <t>matr01idceadmatricula</t>
  </si>
  <si>
    <t>Matricula</t>
  </si>
  <si>
    <t>matrmatricula.php</t>
  </si>
  <si>
    <t>unad59svalor</t>
  </si>
  <si>
    <t>unad59ivalor</t>
  </si>
  <si>
    <t>unad59params</t>
  </si>
  <si>
    <t>unad59idtercero</t>
  </si>
  <si>
    <t>unad59idmodulo</t>
  </si>
  <si>
    <t>unad59idpreferencia</t>
  </si>
  <si>
    <t>unad60preferencias</t>
  </si>
  <si>
    <t>unad60idmodulo</t>
  </si>
  <si>
    <t>unad60codigo</t>
  </si>
  <si>
    <t>unad60nombre</t>
  </si>
  <si>
    <t>unad60tipo</t>
  </si>
  <si>
    <t>olab08numjornadas</t>
  </si>
  <si>
    <t>olab08numinscritos</t>
  </si>
  <si>
    <t>olab10porcnota</t>
  </si>
  <si>
    <t>olab10tematica</t>
  </si>
  <si>
    <t>olab10materiales</t>
  </si>
  <si>
    <t>olab11asiste2</t>
  </si>
  <si>
    <t>olab11asiste1</t>
  </si>
  <si>
    <t>olab11asiste3</t>
  </si>
  <si>
    <t>olab11asiste4</t>
  </si>
  <si>
    <t>olab11asiste5</t>
  </si>
  <si>
    <t>olab11nota</t>
  </si>
  <si>
    <t>olab11parcial1</t>
  </si>
  <si>
    <t>olab11parcial2</t>
  </si>
  <si>
    <t>olab11parcial3</t>
  </si>
  <si>
    <t>olab11parcial4</t>
  </si>
  <si>
    <t>olab11parcial5</t>
  </si>
  <si>
    <t>matr01zonaasiste</t>
  </si>
  <si>
    <t>unad57cuerpo</t>
  </si>
  <si>
    <t>unad57vervaloracion</t>
  </si>
  <si>
    <t>Actas de compromiso</t>
  </si>
  <si>
    <t>olabactacom.php</t>
  </si>
  <si>
    <t>Firmantes</t>
  </si>
  <si>
    <t>olab14id</t>
  </si>
  <si>
    <t>olab14fecha</t>
  </si>
  <si>
    <t>olab15actacompfirma</t>
  </si>
  <si>
    <t>olab15idacta</t>
  </si>
  <si>
    <t>olab15peraca</t>
  </si>
  <si>
    <t>olab15idestudiante</t>
  </si>
  <si>
    <t>olab15id</t>
  </si>
  <si>
    <t>olab15fecha</t>
  </si>
  <si>
    <t>olab15hora</t>
  </si>
  <si>
    <t>olab15minuto</t>
  </si>
  <si>
    <t>olab14actacomp</t>
  </si>
  <si>
    <t>olab14consec</t>
  </si>
  <si>
    <t>olab14activa</t>
  </si>
  <si>
    <t>olab14nombre</t>
  </si>
  <si>
    <t>olab14cuerpo</t>
  </si>
  <si>
    <t>agen01idtercero</t>
  </si>
  <si>
    <t>agen01consec</t>
  </si>
  <si>
    <t>agen01id</t>
  </si>
  <si>
    <t>agen01origen</t>
  </si>
  <si>
    <t>agen02origenes</t>
  </si>
  <si>
    <t>agen02id</t>
  </si>
  <si>
    <t>agen02nombre</t>
  </si>
  <si>
    <t>agen03anotacion</t>
  </si>
  <si>
    <t>agen03idactividad</t>
  </si>
  <si>
    <t>agen01actividades</t>
  </si>
  <si>
    <t>agen01peraca</t>
  </si>
  <si>
    <t>agen01curso</t>
  </si>
  <si>
    <t>agen01aula</t>
  </si>
  <si>
    <t>agen01grupo</t>
  </si>
  <si>
    <t>agen01idactividad</t>
  </si>
  <si>
    <t>agen01idunidad</t>
  </si>
  <si>
    <t>agen01idfase</t>
  </si>
  <si>
    <t>agen01detalle</t>
  </si>
  <si>
    <t>agen01inidia</t>
  </si>
  <si>
    <t>agen01findia</t>
  </si>
  <si>
    <t>agen01peso</t>
  </si>
  <si>
    <t>agen01cumplida</t>
  </si>
  <si>
    <t>de 0 a 10</t>
  </si>
  <si>
    <t>agen03consec</t>
  </si>
  <si>
    <t>agen03id</t>
  </si>
  <si>
    <t>agen03fecha</t>
  </si>
  <si>
    <t>agen03hora</t>
  </si>
  <si>
    <t>agen03minuto</t>
  </si>
  <si>
    <t>agen03origennota</t>
  </si>
  <si>
    <t>agen03descartada</t>
  </si>
  <si>
    <t>agenactividad.php</t>
  </si>
  <si>
    <t>Novedades</t>
  </si>
  <si>
    <t>agenactnovedad.php</t>
  </si>
  <si>
    <t>agen01fechamod</t>
  </si>
  <si>
    <t>agen01nota</t>
  </si>
  <si>
    <t>agen01minmod</t>
  </si>
  <si>
    <t>olab17actores</t>
  </si>
  <si>
    <t>olab17idactor</t>
  </si>
  <si>
    <t>olab17idrol</t>
  </si>
  <si>
    <t>olab17id</t>
  </si>
  <si>
    <t>olab17activo</t>
  </si>
  <si>
    <t>olab17detalle</t>
  </si>
  <si>
    <t>olabactor.php</t>
  </si>
  <si>
    <t>olab17zona</t>
  </si>
  <si>
    <t>olab05idrol</t>
  </si>
  <si>
    <t>olab18cambioresp</t>
  </si>
  <si>
    <t>olab18idoferta</t>
  </si>
  <si>
    <t>Cambio de responsable</t>
  </si>
  <si>
    <t>olab18consec</t>
  </si>
  <si>
    <t>olab18id</t>
  </si>
  <si>
    <t>olab18fecha</t>
  </si>
  <si>
    <t>olab18idresponsable</t>
  </si>
  <si>
    <t>olab18notificar</t>
  </si>
  <si>
    <t>olab18infonotifica</t>
  </si>
  <si>
    <t>olab18idusuario</t>
  </si>
  <si>
    <t>olab08realizado</t>
  </si>
  <si>
    <t>olab09paraestudiantes</t>
  </si>
  <si>
    <t>olab19cambiohorario</t>
  </si>
  <si>
    <t>olab19idoferta</t>
  </si>
  <si>
    <t>olab19idhorario</t>
  </si>
  <si>
    <t>olab19consec</t>
  </si>
  <si>
    <t>olab19id</t>
  </si>
  <si>
    <t>olab19fechaorigen</t>
  </si>
  <si>
    <t>olab19horaorigen</t>
  </si>
  <si>
    <t>olab19minorigen</t>
  </si>
  <si>
    <t>olab19fecha</t>
  </si>
  <si>
    <t>olab19hora</t>
  </si>
  <si>
    <t>olab19minuto</t>
  </si>
  <si>
    <t>olab19horafinal</t>
  </si>
  <si>
    <t>olab19minutofinal</t>
  </si>
  <si>
    <t>Cambios de horarios</t>
  </si>
  <si>
    <t>olab20notificahorario</t>
  </si>
  <si>
    <t>olab20idestudiante</t>
  </si>
  <si>
    <t>olab20idcambio</t>
  </si>
  <si>
    <t>olab20id</t>
  </si>
  <si>
    <t>olab19retiro</t>
  </si>
  <si>
    <t>olab10retirado</t>
  </si>
  <si>
    <t>olab20fechanotifica</t>
  </si>
  <si>
    <t>olab20minnotifica</t>
  </si>
  <si>
    <t>olab20horanotifica</t>
  </si>
  <si>
    <t>olab20correoenviado</t>
  </si>
  <si>
    <t>Notificacion de estudiantes</t>
  </si>
  <si>
    <t>olabofertacamnotif.php</t>
  </si>
  <si>
    <t>olab19motivo</t>
  </si>
  <si>
    <t>olab20idcupo</t>
  </si>
  <si>
    <t>unad11nuevodoc</t>
  </si>
  <si>
    <t>unad11idtercero</t>
  </si>
  <si>
    <t>Cambios de documento</t>
  </si>
  <si>
    <t>unadcambiadoc.php</t>
  </si>
  <si>
    <t>olab21reversiones</t>
  </si>
  <si>
    <t>olab21idestudiante</t>
  </si>
  <si>
    <t>olab21consec</t>
  </si>
  <si>
    <t>olab21id</t>
  </si>
  <si>
    <t>olab21fecha</t>
  </si>
  <si>
    <t>olab21hora</t>
  </si>
  <si>
    <t>olab21minuto</t>
  </si>
  <si>
    <t>olab21idusuario</t>
  </si>
  <si>
    <t>olab21causal</t>
  </si>
  <si>
    <t>olab21idcupo</t>
  </si>
  <si>
    <t>olab21aplicar</t>
  </si>
  <si>
    <t>olab21motivorechazo</t>
  </si>
  <si>
    <t>Reversar Inscripciones</t>
  </si>
  <si>
    <t>olabreversar.php</t>
  </si>
  <si>
    <t>olab22rptest</t>
  </si>
  <si>
    <t>olab22idestudiante</t>
  </si>
  <si>
    <t>olab22nada</t>
  </si>
  <si>
    <t>Consultar estudiante</t>
  </si>
  <si>
    <t>olabrptestudiante.php</t>
  </si>
  <si>
    <t>olab22idusuario</t>
  </si>
  <si>
    <t>unad61origenmatricula</t>
  </si>
  <si>
    <t>unad61id</t>
  </si>
  <si>
    <t>unad61nombre</t>
  </si>
  <si>
    <t>unad61bloquea</t>
  </si>
  <si>
    <t>olab23matricula</t>
  </si>
  <si>
    <t>olab23fecha</t>
  </si>
  <si>
    <t>olab23minuto</t>
  </si>
  <si>
    <t>olab23idtercero</t>
  </si>
  <si>
    <t>olab23estado</t>
  </si>
  <si>
    <t>olab23detalle</t>
  </si>
  <si>
    <t>olab23curso</t>
  </si>
  <si>
    <t>olab23peraca</t>
  </si>
  <si>
    <t>olab23nav</t>
  </si>
  <si>
    <t>Procesar Matricula</t>
  </si>
  <si>
    <t>olabprocmatr.php</t>
  </si>
  <si>
    <t>unad62estadomatr</t>
  </si>
  <si>
    <t>unad62id</t>
  </si>
  <si>
    <t>unad62nombre</t>
  </si>
  <si>
    <t>ofer38matricula</t>
  </si>
  <si>
    <t>ofer38idoferta</t>
  </si>
  <si>
    <t>ofer38idtercero</t>
  </si>
  <si>
    <t>ofer38idrol</t>
  </si>
  <si>
    <t>ofer38id</t>
  </si>
  <si>
    <t>ofer38fechamat</t>
  </si>
  <si>
    <t>ofer38horamat</t>
  </si>
  <si>
    <t>ofer38minmat</t>
  </si>
  <si>
    <t>ofer38usuario</t>
  </si>
  <si>
    <t>ofer38activo</t>
  </si>
  <si>
    <t>ofer38detalle</t>
  </si>
  <si>
    <t>Matricula del curso</t>
  </si>
  <si>
    <t>ofermatricula.php</t>
  </si>
  <si>
    <t>unad63bloqueo</t>
  </si>
  <si>
    <t>unad63consec</t>
  </si>
  <si>
    <t>unad63id</t>
  </si>
  <si>
    <t>unad63peraca</t>
  </si>
  <si>
    <t>unad63titulo</t>
  </si>
  <si>
    <t>unad63detalle</t>
  </si>
  <si>
    <t>unad63dbservidor</t>
  </si>
  <si>
    <t>unad63dbpuerto</t>
  </si>
  <si>
    <t>unad63dbnombre</t>
  </si>
  <si>
    <t>unad63dbusuario</t>
  </si>
  <si>
    <t>unad63dbclave</t>
  </si>
  <si>
    <t>unad63condicion</t>
  </si>
  <si>
    <t>unad63tabla</t>
  </si>
  <si>
    <t>unad63campo</t>
  </si>
  <si>
    <t>unad63vigente</t>
  </si>
  <si>
    <t>Bloqueos</t>
  </si>
  <si>
    <t>unadbloqueo.php</t>
  </si>
  <si>
    <t>unad63redir</t>
  </si>
  <si>
    <t>unad63tipobloqueo</t>
  </si>
  <si>
    <t>unad63tiporesultado</t>
  </si>
  <si>
    <t>existente - faltante</t>
  </si>
  <si>
    <t>mensaje - bloqueo</t>
  </si>
  <si>
    <t>unad65bloqueados</t>
  </si>
  <si>
    <t>unad65id</t>
  </si>
  <si>
    <t>unad65idbloqueo</t>
  </si>
  <si>
    <t>unad65idtercero</t>
  </si>
  <si>
    <t>unad65documento</t>
  </si>
  <si>
    <t>Documentos Bloqueados</t>
  </si>
  <si>
    <t>unad65detalle</t>
  </si>
  <si>
    <t>unad63tipocontrol</t>
  </si>
  <si>
    <t>Sencillo compuesto</t>
  </si>
  <si>
    <t>unad64idbloqueo</t>
  </si>
  <si>
    <t>unad64codopcion</t>
  </si>
  <si>
    <t>unad64id</t>
  </si>
  <si>
    <t>unad64campo</t>
  </si>
  <si>
    <t>unad64tabla</t>
  </si>
  <si>
    <t>unad64condicion</t>
  </si>
  <si>
    <t>unad64tiporesultado</t>
  </si>
  <si>
    <t>unad64redir</t>
  </si>
  <si>
    <t>unad67bloqueovarpost</t>
  </si>
  <si>
    <t>unad64bloqueosegcon</t>
  </si>
  <si>
    <t>Consultas Adicionales</t>
  </si>
  <si>
    <t>unad64idsegcon</t>
  </si>
  <si>
    <t>unad64consec</t>
  </si>
  <si>
    <t>unad64nomvar</t>
  </si>
  <si>
    <t>unad64valor</t>
  </si>
  <si>
    <t>Variables POST</t>
  </si>
  <si>
    <t>unad63titulolink</t>
  </si>
  <si>
    <t>unad63origendatos</t>
  </si>
  <si>
    <t>unad68bloqueoorigendato</t>
  </si>
  <si>
    <t>unad68id</t>
  </si>
  <si>
    <t>unad68nombre</t>
  </si>
  <si>
    <t>unad63redirmetodo</t>
  </si>
  <si>
    <t>olab11inforetro</t>
  </si>
  <si>
    <t>olab24matriculamanual</t>
  </si>
  <si>
    <t>olab24consec</t>
  </si>
  <si>
    <t>olab24id</t>
  </si>
  <si>
    <t>olab24idestudiante</t>
  </si>
  <si>
    <t>olab24idperaca</t>
  </si>
  <si>
    <t>olab24idcurso</t>
  </si>
  <si>
    <t>olab24idgrupo</t>
  </si>
  <si>
    <t>olab24idusuario</t>
  </si>
  <si>
    <t>olab24fecha</t>
  </si>
  <si>
    <t>olab24hora</t>
  </si>
  <si>
    <t>olab24idcupo</t>
  </si>
  <si>
    <t>olab24causal</t>
  </si>
  <si>
    <t>olab24minuto</t>
  </si>
  <si>
    <t>Matricula manual</t>
  </si>
  <si>
    <t>olabmatriculaman.php</t>
  </si>
  <si>
    <t>olab24idcead</t>
  </si>
  <si>
    <t>olab25centrarnotas</t>
  </si>
  <si>
    <t>olab25idcurso</t>
  </si>
  <si>
    <t>olab25idperaca</t>
  </si>
  <si>
    <t>olab25id</t>
  </si>
  <si>
    <t>olab25fechaproyectada</t>
  </si>
  <si>
    <t>olab25puntajelab</t>
  </si>
  <si>
    <t>olab25numgrupos</t>
  </si>
  <si>
    <t>olab25numestudiantes</t>
  </si>
  <si>
    <t>olab25cerrado</t>
  </si>
  <si>
    <t>olab25fechaaplicado</t>
  </si>
  <si>
    <t>olab25horaaplicado</t>
  </si>
  <si>
    <t>olab25minaplicado</t>
  </si>
  <si>
    <t>Cierre de notas</t>
  </si>
  <si>
    <t>olabcierrenotas.php</t>
  </si>
  <si>
    <t>olab11puntaje</t>
  </si>
  <si>
    <t>olab25idescuela</t>
  </si>
  <si>
    <t>olab16estadogrupo</t>
  </si>
  <si>
    <t>olab16id</t>
  </si>
  <si>
    <t>olab16nombre</t>
  </si>
  <si>
    <t>olab16orden</t>
  </si>
  <si>
    <t>even09idproceso</t>
  </si>
  <si>
    <t>even08proceso</t>
  </si>
  <si>
    <t>even08nombre</t>
  </si>
  <si>
    <t>even10rubricadet</t>
  </si>
  <si>
    <t>even10consec</t>
  </si>
  <si>
    <t>even10tiporespuesta</t>
  </si>
  <si>
    <t>even10pregunta</t>
  </si>
  <si>
    <t>evenrubpreg.php</t>
  </si>
  <si>
    <t>olab25conpuntaje</t>
  </si>
  <si>
    <t>unad05aplicativo</t>
  </si>
  <si>
    <t>Exportar notas</t>
  </si>
  <si>
    <t>olabexportar.php</t>
  </si>
  <si>
    <t>olab25exportada</t>
  </si>
  <si>
    <t>olab25fechaexportada</t>
  </si>
  <si>
    <t>olab25usuarioexporta</t>
  </si>
  <si>
    <t>olab27modnota</t>
  </si>
  <si>
    <t>olab27id</t>
  </si>
  <si>
    <t>olab27consec</t>
  </si>
  <si>
    <t>olab27estado</t>
  </si>
  <si>
    <t>olab27idperaca</t>
  </si>
  <si>
    <t>olab27idcurso</t>
  </si>
  <si>
    <t>olab27idestudiante</t>
  </si>
  <si>
    <t>olab27idcupo</t>
  </si>
  <si>
    <t>olab27notafinal</t>
  </si>
  <si>
    <t>olab27causalcambio</t>
  </si>
  <si>
    <t>olab27idusuario</t>
  </si>
  <si>
    <t>olab27fechasolicita</t>
  </si>
  <si>
    <t>olab27horasol</t>
  </si>
  <si>
    <t>olab27minsol</t>
  </si>
  <si>
    <t>olab27idaprueba</t>
  </si>
  <si>
    <t>olab27fechaaprueba</t>
  </si>
  <si>
    <t>olab27horaaprueba</t>
  </si>
  <si>
    <t>olab27causalniega</t>
  </si>
  <si>
    <t>olab27minaprueba</t>
  </si>
  <si>
    <t>olab27aplicada</t>
  </si>
  <si>
    <t>olab27fechaaplicada</t>
  </si>
  <si>
    <t>olab27usuarioaplica</t>
  </si>
  <si>
    <t>olab27puntajefinal</t>
  </si>
  <si>
    <t>olab27notaorigen</t>
  </si>
  <si>
    <t>even16encuesta</t>
  </si>
  <si>
    <t>even16consec</t>
  </si>
  <si>
    <t>even16id</t>
  </si>
  <si>
    <t>even16idproceso</t>
  </si>
  <si>
    <t>even17proceso</t>
  </si>
  <si>
    <t>even17id</t>
  </si>
  <si>
    <t>even17nombre</t>
  </si>
  <si>
    <t>Encuesta</t>
  </si>
  <si>
    <t>evenencuesta.php</t>
  </si>
  <si>
    <t>even16encabezado</t>
  </si>
  <si>
    <t>even16idusuario</t>
  </si>
  <si>
    <t>even16fechainicio</t>
  </si>
  <si>
    <t>even16fechafin</t>
  </si>
  <si>
    <t>even16publicada</t>
  </si>
  <si>
    <t>even16idbloqueo</t>
  </si>
  <si>
    <t>even18encuestapregunta</t>
  </si>
  <si>
    <t>even18idencuesta</t>
  </si>
  <si>
    <t>even18consec</t>
  </si>
  <si>
    <t>even18id</t>
  </si>
  <si>
    <t>even18idgrupo</t>
  </si>
  <si>
    <t>even19encuestagrupo</t>
  </si>
  <si>
    <t>even19idencuesta</t>
  </si>
  <si>
    <t>even19consec</t>
  </si>
  <si>
    <t>even19id</t>
  </si>
  <si>
    <t>even19nombre</t>
  </si>
  <si>
    <t>even18pregunta</t>
  </si>
  <si>
    <t>even20tiporespuesta</t>
  </si>
  <si>
    <t>even20id</t>
  </si>
  <si>
    <t>even20nombre</t>
  </si>
  <si>
    <t>even18opcional</t>
  </si>
  <si>
    <t>even18tiporespuesta</t>
  </si>
  <si>
    <t>Grupos de preguntas</t>
  </si>
  <si>
    <t>even21encuestaaplica</t>
  </si>
  <si>
    <t>even22encuestarpta</t>
  </si>
  <si>
    <t>even22tiporespuesta</t>
  </si>
  <si>
    <t>even22idaplica</t>
  </si>
  <si>
    <t>even22idpregunta</t>
  </si>
  <si>
    <t>even22opcional</t>
  </si>
  <si>
    <t>even22irespuesta</t>
  </si>
  <si>
    <t>even22nota</t>
  </si>
  <si>
    <t>even22relevante</t>
  </si>
  <si>
    <t>even22id</t>
  </si>
  <si>
    <t>even18rpta0</t>
  </si>
  <si>
    <t>even18rpta1</t>
  </si>
  <si>
    <t>even18rpta2</t>
  </si>
  <si>
    <t>even18rpta3</t>
  </si>
  <si>
    <t>even18rpta4</t>
  </si>
  <si>
    <t>even18rpta5</t>
  </si>
  <si>
    <t>even18concomentario</t>
  </si>
  <si>
    <t>even21id</t>
  </si>
  <si>
    <t>even21idencuesta</t>
  </si>
  <si>
    <t>even21idtercero</t>
  </si>
  <si>
    <t>even21idperaca</t>
  </si>
  <si>
    <t>even21idcurso</t>
  </si>
  <si>
    <t>even21idbloquedo</t>
  </si>
  <si>
    <t>even21fechapresenta</t>
  </si>
  <si>
    <t>even21terminada</t>
  </si>
  <si>
    <t>even16porperiodo</t>
  </si>
  <si>
    <t>even16porcurso</t>
  </si>
  <si>
    <t>even16porbloqueo</t>
  </si>
  <si>
    <t>Encuestas aplicadas</t>
  </si>
  <si>
    <t>encuesta.php</t>
  </si>
  <si>
    <t>even23encpregopcion</t>
  </si>
  <si>
    <t>even23idrespuesta</t>
  </si>
  <si>
    <t>even23valor</t>
  </si>
  <si>
    <t>even23id</t>
  </si>
  <si>
    <t>even23opcion</t>
  </si>
  <si>
    <t>Opciones de respuesta</t>
  </si>
  <si>
    <t>Modificacion de notas</t>
  </si>
  <si>
    <t>olabmodnota.php</t>
  </si>
  <si>
    <t>Aprobar Modificaciones</t>
  </si>
  <si>
    <t>olabmodaprueba.php</t>
  </si>
  <si>
    <t>Aplicar Modificaciones</t>
  </si>
  <si>
    <t>olabmodaplica.php</t>
  </si>
  <si>
    <t>olab27aprobada</t>
  </si>
  <si>
    <t>olab08numasistentes</t>
  </si>
  <si>
    <t>olab08numhoras</t>
  </si>
  <si>
    <t>olab08numaprueban</t>
  </si>
  <si>
    <t>even18rpta6</t>
  </si>
  <si>
    <t>even18rpta7</t>
  </si>
  <si>
    <t>even18rpta8</t>
  </si>
  <si>
    <t>even18rpta9</t>
  </si>
  <si>
    <t>even22rpta0</t>
  </si>
  <si>
    <t>even22rpta1</t>
  </si>
  <si>
    <t>even22rpta2</t>
  </si>
  <si>
    <t>even22rpta3</t>
  </si>
  <si>
    <t>even22rpta4</t>
  </si>
  <si>
    <t>even22rpta5</t>
  </si>
  <si>
    <t>even22rpta6</t>
  </si>
  <si>
    <t>even22rpta7</t>
  </si>
  <si>
    <t>even22rpta8</t>
  </si>
  <si>
    <t>even22rpta9</t>
  </si>
  <si>
    <t>ofer08copiaidusuario</t>
  </si>
  <si>
    <t>ofer08copiafecha</t>
  </si>
  <si>
    <t>ofer08copiaruta</t>
  </si>
  <si>
    <t>ccor06params</t>
  </si>
  <si>
    <t>ccor06vigencia</t>
  </si>
  <si>
    <t>ccor06consec</t>
  </si>
  <si>
    <t>ccor06maxconsec</t>
  </si>
  <si>
    <t>ccor06id</t>
  </si>
  <si>
    <t>ccorparams.php</t>
  </si>
  <si>
    <t>ccor06idperfilusuario</t>
  </si>
  <si>
    <t>ccor06idperfilsupervisor</t>
  </si>
  <si>
    <t>ccor07idtercero</t>
  </si>
  <si>
    <t>ccor07id</t>
  </si>
  <si>
    <t>ccor07idzona</t>
  </si>
  <si>
    <t>ccor07idcead</t>
  </si>
  <si>
    <t>ccor07maxconsec</t>
  </si>
  <si>
    <t>ccor07actores</t>
  </si>
  <si>
    <t>ccor07consec</t>
  </si>
  <si>
    <t>ccor07activo</t>
  </si>
  <si>
    <t>ccorperfil.php</t>
  </si>
  <si>
    <t>ccor07nivel</t>
  </si>
  <si>
    <t>ccor05prefijo</t>
  </si>
  <si>
    <t>ccor08nivelusuario</t>
  </si>
  <si>
    <t>ccor08id</t>
  </si>
  <si>
    <t>ccor08nombre</t>
  </si>
  <si>
    <t>ccor09usuarios</t>
  </si>
  <si>
    <t>ccor09id</t>
  </si>
  <si>
    <t>ccorusuario.php</t>
  </si>
  <si>
    <t>Visar consecutivos</t>
  </si>
  <si>
    <t>ccorvisar.php</t>
  </si>
  <si>
    <t>bita06tema</t>
  </si>
  <si>
    <t>bita06consec</t>
  </si>
  <si>
    <t>bita06id</t>
  </si>
  <si>
    <t>bita06activo</t>
  </si>
  <si>
    <t>bita06nombre</t>
  </si>
  <si>
    <t>Temas de solicitud</t>
  </si>
  <si>
    <t>bita04idtema</t>
  </si>
  <si>
    <t>bita07tiposolicitante</t>
  </si>
  <si>
    <t>bita07consec</t>
  </si>
  <si>
    <t>bita07id</t>
  </si>
  <si>
    <t>bita07activo</t>
  </si>
  <si>
    <t>bita07nombre</t>
  </si>
  <si>
    <t>Tipos de solicitantes</t>
  </si>
  <si>
    <t>bittiposolicitante.php</t>
  </si>
  <si>
    <t>bita07predet</t>
  </si>
  <si>
    <t>bita04orden</t>
  </si>
  <si>
    <t>ofer14fechaini25poc</t>
  </si>
  <si>
    <t>ofer14fechafin25poc</t>
  </si>
  <si>
    <t>exte02descripcionperaca</t>
  </si>
  <si>
    <t>Correo SMTP</t>
  </si>
  <si>
    <t>unad69smtp</t>
  </si>
  <si>
    <t>unad69consec</t>
  </si>
  <si>
    <t>unad69id</t>
  </si>
  <si>
    <t>unad69vigente</t>
  </si>
  <si>
    <t>unad69modelo</t>
  </si>
  <si>
    <t>unad69titulo</t>
  </si>
  <si>
    <t>unad69servidorsmtp</t>
  </si>
  <si>
    <t>unad69puertomail</t>
  </si>
  <si>
    <t>unad69autenticacion</t>
  </si>
  <si>
    <t>unad69usuariomail</t>
  </si>
  <si>
    <t>unad69pwdmail</t>
  </si>
  <si>
    <t>unad69topehora</t>
  </si>
  <si>
    <t>unad69topedia</t>
  </si>
  <si>
    <t>unad69confirmado</t>
  </si>
  <si>
    <t>unadsmtp.php</t>
  </si>
  <si>
    <t>ofer01idsmtp</t>
  </si>
  <si>
    <t>bitatemasol.php</t>
  </si>
  <si>
    <t>ofer08idresponsablepti</t>
  </si>
  <si>
    <t>bita04idelabora</t>
  </si>
  <si>
    <t>ofer05idperaca</t>
  </si>
  <si>
    <t>exte02fechainslab</t>
  </si>
  <si>
    <t>ext02fechafinlab</t>
  </si>
  <si>
    <t>ext02fechainssalidas</t>
  </si>
  <si>
    <t>ext02fechafinsalidas</t>
  </si>
  <si>
    <t>ofer04idagenda</t>
  </si>
  <si>
    <t>ofer02idagenda</t>
  </si>
  <si>
    <t>ofer03idagenda</t>
  </si>
  <si>
    <t>unad70origenidtabla</t>
  </si>
  <si>
    <t>unad70origencamporev</t>
  </si>
  <si>
    <t>unad70mensaje</t>
  </si>
  <si>
    <t>unad70etiqueta</t>
  </si>
  <si>
    <t>unad70bloqueoelimina</t>
  </si>
  <si>
    <t>unad70idtabla</t>
  </si>
  <si>
    <t>unad70idtablabloquea</t>
  </si>
  <si>
    <t>unad70origennomtabla</t>
  </si>
  <si>
    <t>Tabla para bloqueos</t>
  </si>
  <si>
    <t>CampoId</t>
  </si>
  <si>
    <t>Codigo de tabla</t>
  </si>
  <si>
    <t>Fila final</t>
  </si>
  <si>
    <t>Num Bloqueo</t>
  </si>
  <si>
    <t>even24encuestaperaca</t>
  </si>
  <si>
    <t>even24idencuesta</t>
  </si>
  <si>
    <t>even24idperaca</t>
  </si>
  <si>
    <t>even24id</t>
  </si>
  <si>
    <t>even24fechainicial</t>
  </si>
  <si>
    <t>even24fechafinal</t>
  </si>
  <si>
    <t>Periodos que aplican</t>
  </si>
  <si>
    <t>even25encuestacurso</t>
  </si>
  <si>
    <t>even25idencuesta</t>
  </si>
  <si>
    <t>even25idcurso</t>
  </si>
  <si>
    <t>even25id</t>
  </si>
  <si>
    <t>even25activo</t>
  </si>
  <si>
    <t>Cursos que aplican</t>
  </si>
  <si>
    <t>2016</t>
  </si>
  <si>
    <t>03</t>
  </si>
  <si>
    <t>lg_1916_es.php</t>
  </si>
  <si>
    <t>lg_1916_en.php</t>
  </si>
  <si>
    <t>lg_1916_pt.php</t>
  </si>
  <si>
    <t>lg_1919_es.php</t>
  </si>
  <si>
    <t>lg_1919_en.php</t>
  </si>
  <si>
    <t>lg_1919_pt.php</t>
  </si>
  <si>
    <t>lg_1918_es.php</t>
  </si>
  <si>
    <t>lg_1918_en.php</t>
  </si>
  <si>
    <t>lg_1918_pt.php</t>
  </si>
  <si>
    <t>lg_1924_es.php</t>
  </si>
  <si>
    <t>lg_1924_en.php</t>
  </si>
  <si>
    <t>lg_1924_pt.php</t>
  </si>
  <si>
    <t>lg_1925_es.php</t>
  </si>
  <si>
    <t>lg_1925_en.php</t>
  </si>
  <si>
    <t>lg_1925_pt.php</t>
  </si>
  <si>
    <t>lib1916.php</t>
  </si>
  <si>
    <t>lib1919.php</t>
  </si>
  <si>
    <t>lib1918.php</t>
  </si>
  <si>
    <t>lib1924.php</t>
  </si>
  <si>
    <t>lib1925.php</t>
  </si>
  <si>
    <t>ac_1916.js</t>
  </si>
  <si>
    <t>lg_1921_es.php</t>
  </si>
  <si>
    <t>lg_1921_en.php</t>
  </si>
  <si>
    <t>lg_1921_pt.php</t>
  </si>
  <si>
    <t>lib1921.php</t>
  </si>
  <si>
    <t>even16caracter</t>
  </si>
  <si>
    <t>even16tamanomuestra</t>
  </si>
  <si>
    <t>even27caracterencuesta</t>
  </si>
  <si>
    <t>even27id</t>
  </si>
  <si>
    <t>even27nombre</t>
  </si>
  <si>
    <t>even28encuestamuestra</t>
  </si>
  <si>
    <t>even28idencuesta</t>
  </si>
  <si>
    <t>even28orden</t>
  </si>
  <si>
    <t>even28idtercero</t>
  </si>
  <si>
    <t>even28realizada</t>
  </si>
  <si>
    <t>even29encpregresp</t>
  </si>
  <si>
    <t>evenpregunta.php</t>
  </si>
  <si>
    <t>lg_1929_es.php</t>
  </si>
  <si>
    <t>lg_1929_en.php</t>
  </si>
  <si>
    <t>lg_1929_pt.php</t>
  </si>
  <si>
    <t>lib1929.php</t>
  </si>
  <si>
    <t>even26frontal</t>
  </si>
  <si>
    <t>even18orden</t>
  </si>
  <si>
    <t>even29idpregunta</t>
  </si>
  <si>
    <t>even29consec</t>
  </si>
  <si>
    <t>even29id</t>
  </si>
  <si>
    <t>even29etiqueta</t>
  </si>
  <si>
    <t>even29detalle</t>
  </si>
  <si>
    <t>lg_1926_es.php</t>
  </si>
  <si>
    <t>lg_1926_en.php</t>
  </si>
  <si>
    <t>lg_1926_pt.php</t>
  </si>
  <si>
    <t>18</t>
  </si>
  <si>
    <t>lib1926.php</t>
  </si>
  <si>
    <t>even18divergente</t>
  </si>
  <si>
    <t>even18rptatotal</t>
  </si>
  <si>
    <t>even18idpregcondiciona</t>
  </si>
  <si>
    <t>even18valorcondiciona</t>
  </si>
  <si>
    <t>even21depto</t>
  </si>
  <si>
    <t>even21ciudad</t>
  </si>
  <si>
    <t>even21fechanace</t>
  </si>
  <si>
    <t>even21agnos</t>
  </si>
  <si>
    <t>even21pais</t>
  </si>
  <si>
    <t>even21perfil</t>
  </si>
  <si>
    <t>even30perfilencuesta</t>
  </si>
  <si>
    <t>even30id</t>
  </si>
  <si>
    <t>even30nombre</t>
  </si>
  <si>
    <t>even21idzona</t>
  </si>
  <si>
    <t>even21idcead</t>
  </si>
  <si>
    <t>even21idprograma</t>
  </si>
  <si>
    <t>even22divergente</t>
  </si>
  <si>
    <t>even22idpregcondiciona</t>
  </si>
  <si>
    <t>even22valorcondiciona</t>
  </si>
  <si>
    <t>even21obligatoria</t>
  </si>
  <si>
    <t>unad24activa</t>
  </si>
  <si>
    <t>even00params</t>
  </si>
  <si>
    <t>even00id</t>
  </si>
  <si>
    <t>even00encuestafecha</t>
  </si>
  <si>
    <t>even00encuestaminuto</t>
  </si>
  <si>
    <t>unad11encuestafecha</t>
  </si>
  <si>
    <t>unad11encuestaminuto</t>
  </si>
  <si>
    <t>even00encuestabloqueo</t>
  </si>
  <si>
    <t>ofer28activa</t>
  </si>
  <si>
    <t>ofer38grupo</t>
  </si>
  <si>
    <t>Sesiones</t>
  </si>
  <si>
    <t>unad71iporigen</t>
  </si>
  <si>
    <t>unad71fechaini</t>
  </si>
  <si>
    <t>unad71horaini</t>
  </si>
  <si>
    <t>unad71minutoini</t>
  </si>
  <si>
    <t>unad71fechafin</t>
  </si>
  <si>
    <t>unad71horafin</t>
  </si>
  <si>
    <t>unad71minutofin</t>
  </si>
  <si>
    <t>unad71tiempototal</t>
  </si>
  <si>
    <t>unad71navegador</t>
  </si>
  <si>
    <t>unad71sistoperativo</t>
  </si>
  <si>
    <t>unad71sesion</t>
  </si>
  <si>
    <t>unad71id</t>
  </si>
  <si>
    <t>unad71idtercero</t>
  </si>
  <si>
    <t>unad71latgrados</t>
  </si>
  <si>
    <t>unad71latdecimas</t>
  </si>
  <si>
    <t>unad71longrados</t>
  </si>
  <si>
    <t>unad71longdecimas</t>
  </si>
  <si>
    <t>unad11latgrados</t>
  </si>
  <si>
    <t>unad11latdecimas</t>
  </si>
  <si>
    <t>unad11longrados</t>
  </si>
  <si>
    <t>unad11longdecimas</t>
  </si>
  <si>
    <t>No Cumple</t>
  </si>
  <si>
    <t>Insuficiente Cumplimiento</t>
  </si>
  <si>
    <t>Deficiente Cumplimiento</t>
  </si>
  <si>
    <t>Cumple</t>
  </si>
  <si>
    <t>Cumple Totalmente</t>
  </si>
  <si>
    <t>evenparam.php</t>
  </si>
  <si>
    <t>ofer38origenmatricula</t>
  </si>
  <si>
    <t>0 para manual y el codigo de aplicación.</t>
  </si>
  <si>
    <t>Cursos ofertados</t>
  </si>
  <si>
    <t>olabrptoferta.php</t>
  </si>
  <si>
    <t>olab31rptoferta</t>
  </si>
  <si>
    <t>olab31idperaca</t>
  </si>
  <si>
    <t>Copias de seguridad</t>
  </si>
  <si>
    <t>Exclusiones</t>
  </si>
  <si>
    <t>Registro de copias de seguridad</t>
  </si>
  <si>
    <t>unad77jueves</t>
  </si>
  <si>
    <t>unad77viernes</t>
  </si>
  <si>
    <t>unad77sabado</t>
  </si>
  <si>
    <t>unad77domingo</t>
  </si>
  <si>
    <t>unad77enviarpormail</t>
  </si>
  <si>
    <t>unad77email</t>
  </si>
  <si>
    <t>unad77rutacopia</t>
  </si>
  <si>
    <t>unad77origendb</t>
  </si>
  <si>
    <t>unad34dbalterna</t>
  </si>
  <si>
    <t>unad78copiaexclusion</t>
  </si>
  <si>
    <t>unad78idcopia</t>
  </si>
  <si>
    <t>unad77id</t>
  </si>
  <si>
    <t>unad79consec</t>
  </si>
  <si>
    <t>unad79id</t>
  </si>
  <si>
    <t>unad79fecha</t>
  </si>
  <si>
    <t>unad79hora</t>
  </si>
  <si>
    <t>unad79minuto</t>
  </si>
  <si>
    <t>unad79email</t>
  </si>
  <si>
    <t>unad79rutacopia</t>
  </si>
  <si>
    <t>unad87copiatipoex</t>
  </si>
  <si>
    <t>unad87id</t>
  </si>
  <si>
    <t>unad87nombre</t>
  </si>
  <si>
    <t>unad76tipocopia</t>
  </si>
  <si>
    <t>unad76id</t>
  </si>
  <si>
    <t>unad76nombre</t>
  </si>
  <si>
    <t>unad77copias</t>
  </si>
  <si>
    <t>unad77consec</t>
  </si>
  <si>
    <t>unad77lunes</t>
  </si>
  <si>
    <t>unad77martes</t>
  </si>
  <si>
    <t>unad77miercoles</t>
  </si>
  <si>
    <t>unad77tipocopia</t>
  </si>
  <si>
    <t>unad77idsmtp</t>
  </si>
  <si>
    <t>unad77idftp</t>
  </si>
  <si>
    <t>unad78consec</t>
  </si>
  <si>
    <t>unad78id</t>
  </si>
  <si>
    <t>unad78tabla</t>
  </si>
  <si>
    <t>unad78tipoexclusion</t>
  </si>
  <si>
    <t>unad79copiaregistro</t>
  </si>
  <si>
    <t>unad79idcopia</t>
  </si>
  <si>
    <t>unad77rutawebservice</t>
  </si>
  <si>
    <t>Servicios FTP</t>
  </si>
  <si>
    <t>Archivos enviados</t>
  </si>
  <si>
    <t>unad72ftp</t>
  </si>
  <si>
    <t>unad72identidad</t>
  </si>
  <si>
    <t>unad72consec</t>
  </si>
  <si>
    <t>unad72id</t>
  </si>
  <si>
    <t>unad72activo</t>
  </si>
  <si>
    <t>unad72nombre</t>
  </si>
  <si>
    <t>unad72tiposerver</t>
  </si>
  <si>
    <t>unad72ftppasivo</t>
  </si>
  <si>
    <t>unad72servidor</t>
  </si>
  <si>
    <t>unad72usuario</t>
  </si>
  <si>
    <t>unad72clave</t>
  </si>
  <si>
    <t>unad72puerto</t>
  </si>
  <si>
    <t>unad72rutabase</t>
  </si>
  <si>
    <t>unad73ftpenvio</t>
  </si>
  <si>
    <t>unad73identidad</t>
  </si>
  <si>
    <t>unad73idftp</t>
  </si>
  <si>
    <t>unad73consec</t>
  </si>
  <si>
    <t>unad73id</t>
  </si>
  <si>
    <t>unad73carpeta</t>
  </si>
  <si>
    <t>unad73archivo</t>
  </si>
  <si>
    <t>unad73fecha</t>
  </si>
  <si>
    <t>unad73horaini</t>
  </si>
  <si>
    <t>unad73minini</t>
  </si>
  <si>
    <t>unad73horafin</t>
  </si>
  <si>
    <t>unad73minfin</t>
  </si>
  <si>
    <t>unad73detalle</t>
  </si>
  <si>
    <t>unad74ftptiposerver</t>
  </si>
  <si>
    <t>unad74id</t>
  </si>
  <si>
    <t>unad74nombre</t>
  </si>
  <si>
    <t>bitacopiadb.php</t>
  </si>
  <si>
    <t>bitaftp.php</t>
  </si>
  <si>
    <t>even32encuestarol</t>
  </si>
  <si>
    <t>even32idencuesta</t>
  </si>
  <si>
    <t>even32idrol</t>
  </si>
  <si>
    <t>even32id</t>
  </si>
  <si>
    <t>even32activo</t>
  </si>
  <si>
    <t>Roles que aplican</t>
  </si>
  <si>
    <t>even16porrol</t>
  </si>
  <si>
    <t>olab17peraca</t>
  </si>
  <si>
    <t>unadrptsesiones.php</t>
  </si>
  <si>
    <t>unad40incluyesalida</t>
  </si>
  <si>
    <t>ofer08incluyelaboratorio</t>
  </si>
  <si>
    <t>ofer08puntajelaboratorio</t>
  </si>
  <si>
    <t>ofer08incluyesalida</t>
  </si>
  <si>
    <t>ofer08puntajesalida</t>
  </si>
  <si>
    <t>unad11skype</t>
  </si>
  <si>
    <t>unad11mostrarskype</t>
  </si>
  <si>
    <t>unad11mostrarcelular</t>
  </si>
  <si>
    <t>unad11mostrarcorreo</t>
  </si>
  <si>
    <t>unad53grupo</t>
  </si>
  <si>
    <t>unad53id</t>
  </si>
  <si>
    <t>unad53codigo</t>
  </si>
  <si>
    <t>unad53idnivel</t>
  </si>
  <si>
    <t>Grupos</t>
  </si>
  <si>
    <t>even33perfilacompana</t>
  </si>
  <si>
    <t>even33consec</t>
  </si>
  <si>
    <t>even33id</t>
  </si>
  <si>
    <t>even33nombre</t>
  </si>
  <si>
    <t>even33interno</t>
  </si>
  <si>
    <t>even33idperfil</t>
  </si>
  <si>
    <t>Tipo de acompanantes</t>
  </si>
  <si>
    <t>eventipoacomp.php</t>
  </si>
  <si>
    <t>even34actores</t>
  </si>
  <si>
    <t>even34idperaca</t>
  </si>
  <si>
    <t>even34idcurso</t>
  </si>
  <si>
    <t>even34idperfil</t>
  </si>
  <si>
    <t>even34id</t>
  </si>
  <si>
    <t>even34activo</t>
  </si>
  <si>
    <t>even34idtercero</t>
  </si>
  <si>
    <t>even34perfilpublico</t>
  </si>
  <si>
    <t>evenactoracomp.php</t>
  </si>
  <si>
    <t>even35jornadas</t>
  </si>
  <si>
    <t>even35idactor</t>
  </si>
  <si>
    <t>even35consec</t>
  </si>
  <si>
    <t>even35id</t>
  </si>
  <si>
    <t>even35fecha</t>
  </si>
  <si>
    <t>even35horaini</t>
  </si>
  <si>
    <t>even35horafin</t>
  </si>
  <si>
    <t>even35minini</t>
  </si>
  <si>
    <t>even35minfin</t>
  </si>
  <si>
    <t>even35programa</t>
  </si>
  <si>
    <t>even35informe</t>
  </si>
  <si>
    <t>even35estado</t>
  </si>
  <si>
    <t>even36estadojornada</t>
  </si>
  <si>
    <t>even36id</t>
  </si>
  <si>
    <t>even36nombre</t>
  </si>
  <si>
    <t>Jornadas acompanamiento</t>
  </si>
  <si>
    <t>evenjornadaacom.php</t>
  </si>
  <si>
    <t>even34porgrupo</t>
  </si>
  <si>
    <t>even37acomplistagrupos</t>
  </si>
  <si>
    <t>even37idgrupo</t>
  </si>
  <si>
    <t>even37id</t>
  </si>
  <si>
    <t>even37activo</t>
  </si>
  <si>
    <t>Grupos asociados</t>
  </si>
  <si>
    <t>3 - director y 4 tutor.</t>
  </si>
  <si>
    <t>mdl_user</t>
  </si>
  <si>
    <t>0, en programacion, 1 programada, 2 aplazada, 9 cancelada, 7 ejecutada, 5 NO EJECUTADA</t>
  </si>
  <si>
    <t>even38asistencia</t>
  </si>
  <si>
    <t>even38idjornada</t>
  </si>
  <si>
    <t>even38idtercero</t>
  </si>
  <si>
    <t>even38id</t>
  </si>
  <si>
    <t>even38hora</t>
  </si>
  <si>
    <t>even38min</t>
  </si>
  <si>
    <t>even38observacion</t>
  </si>
  <si>
    <t>even38revisada</t>
  </si>
  <si>
    <t>even38conforme</t>
  </si>
  <si>
    <t>even38idrevisa</t>
  </si>
  <si>
    <t>even38fecharevisa</t>
  </si>
  <si>
    <t>even38notarevisa</t>
  </si>
  <si>
    <t>even35numestudiantes</t>
  </si>
  <si>
    <t>even35numnoconformes</t>
  </si>
  <si>
    <t>even35horainiproceso</t>
  </si>
  <si>
    <t>even35mininiproceso</t>
  </si>
  <si>
    <t>even35horafinproceso</t>
  </si>
  <si>
    <t>even35minfinproceso</t>
  </si>
  <si>
    <t>even39mensajes</t>
  </si>
  <si>
    <t>even39idjornada</t>
  </si>
  <si>
    <t>even39consec</t>
  </si>
  <si>
    <t>even39id</t>
  </si>
  <si>
    <t>even39hora</t>
  </si>
  <si>
    <t>even39minuto</t>
  </si>
  <si>
    <t>even39mensaje</t>
  </si>
  <si>
    <t>even39idproceso</t>
  </si>
  <si>
    <t>even38idsesion</t>
  </si>
  <si>
    <t>Asistencia</t>
  </si>
  <si>
    <t>even35tiempototal</t>
  </si>
  <si>
    <t>Mensajes</t>
  </si>
  <si>
    <t>ofer08tablacidusuario</t>
  </si>
  <si>
    <t>ofer08tablacfecha</t>
  </si>
  <si>
    <t>ofer08tablacruta</t>
  </si>
  <si>
    <t>even35idcurso</t>
  </si>
  <si>
    <t>even37idjornada</t>
  </si>
  <si>
    <t>Revision Campus</t>
  </si>
  <si>
    <t>ofercampus.php</t>
  </si>
  <si>
    <t>ofer11fecharegistro</t>
  </si>
  <si>
    <t>ofer08tiporeporte</t>
  </si>
  <si>
    <t>Reporte de oferta</t>
  </si>
  <si>
    <t>ofer08idprograma</t>
  </si>
  <si>
    <t>ofer08nomprograma</t>
  </si>
  <si>
    <t>ofer39mensaje</t>
  </si>
  <si>
    <t>ofer39per_aca</t>
  </si>
  <si>
    <t>ofer39idestadocampus</t>
  </si>
  <si>
    <t>ofer39consec</t>
  </si>
  <si>
    <t>ofer39id</t>
  </si>
  <si>
    <t>ofer40mensajeactor</t>
  </si>
  <si>
    <t>ofer40idmensaje</t>
  </si>
  <si>
    <t>ofer40idrol</t>
  </si>
  <si>
    <t>ofer40id</t>
  </si>
  <si>
    <t>ofer40activo</t>
  </si>
  <si>
    <t>Mensajes de cambio de estado</t>
  </si>
  <si>
    <t>ofermsgcambest.php</t>
  </si>
  <si>
    <t>Roles incluidos</t>
  </si>
  <si>
    <t>ofer39activo</t>
  </si>
  <si>
    <t>unad80foro</t>
  </si>
  <si>
    <t>unad80idproceso</t>
  </si>
  <si>
    <t>unad80idref</t>
  </si>
  <si>
    <t>unad80idpadre</t>
  </si>
  <si>
    <t>unad80consec</t>
  </si>
  <si>
    <t>unad80id</t>
  </si>
  <si>
    <t>unad80mensaje</t>
  </si>
  <si>
    <t>unad80ifecha</t>
  </si>
  <si>
    <t>unad80minuto</t>
  </si>
  <si>
    <t>unad80hora</t>
  </si>
  <si>
    <t>unad80usuario</t>
  </si>
  <si>
    <t>Foro</t>
  </si>
  <si>
    <t>unadforo.php</t>
  </si>
  <si>
    <t>olab08idtipooferta</t>
  </si>
  <si>
    <t>olab32tipooferta</t>
  </si>
  <si>
    <t>olab32id</t>
  </si>
  <si>
    <t>olab32nombre</t>
  </si>
  <si>
    <t>olab01tipooferta</t>
  </si>
  <si>
    <t>Lugares de practica</t>
  </si>
  <si>
    <t>olablugarpractica.php</t>
  </si>
  <si>
    <t>Estos son grupos de participantes para las charlas</t>
  </si>
  <si>
    <t>ofer41grupos</t>
  </si>
  <si>
    <t>ofer41codigo</t>
  </si>
  <si>
    <t>ofer41id</t>
  </si>
  <si>
    <t>ofer41detalle</t>
  </si>
  <si>
    <t>Grupos de estudiantes</t>
  </si>
  <si>
    <t>ofergrupoest.php</t>
  </si>
  <si>
    <t>unad39moddlemovile</t>
  </si>
  <si>
    <t>unad39moddlemovurl</t>
  </si>
  <si>
    <t>olab19idlaboratorio</t>
  </si>
  <si>
    <t>olab19idlabprevio</t>
  </si>
  <si>
    <t>ext02ofertalaboratorios</t>
  </si>
  <si>
    <t>ofer14ciclobase</t>
  </si>
  <si>
    <t>ofer08enlista</t>
  </si>
  <si>
    <t>En lista para algun proceso</t>
  </si>
  <si>
    <t>ofer26tipoevaluacion</t>
  </si>
  <si>
    <t>ofer42tipoevaluacion</t>
  </si>
  <si>
    <t>ofer42id</t>
  </si>
  <si>
    <t>ofer42nombre</t>
  </si>
  <si>
    <t>olab25puntajesalida</t>
  </si>
  <si>
    <t>unad11fechaterminos</t>
  </si>
  <si>
    <t>unad71proximidad</t>
  </si>
  <si>
    <t>even16tienepropietario</t>
  </si>
  <si>
    <t>even40encuestaprop</t>
  </si>
  <si>
    <t>even40idencuesta</t>
  </si>
  <si>
    <t>even40idpropietario</t>
  </si>
  <si>
    <t>even40id</t>
  </si>
  <si>
    <t>even40activo</t>
  </si>
  <si>
    <t>Propietarios</t>
  </si>
  <si>
    <t>unad11minutotablero</t>
  </si>
  <si>
    <t>unad88opciones</t>
  </si>
  <si>
    <t>unad88id</t>
  </si>
  <si>
    <t>unad88tableromsgcerrado</t>
  </si>
  <si>
    <t>unad88tablerotiempoupd</t>
  </si>
  <si>
    <t>unad88tableroestado</t>
  </si>
  <si>
    <t>Opciones</t>
  </si>
  <si>
    <t>unadopciones.php</t>
  </si>
  <si>
    <t>ofer43cursoforo</t>
  </si>
  <si>
    <t>ofer43idcurso</t>
  </si>
  <si>
    <t>ofer43consec</t>
  </si>
  <si>
    <t>ofer43id</t>
  </si>
  <si>
    <t>ofer43publicado</t>
  </si>
  <si>
    <t>ofer43orden</t>
  </si>
  <si>
    <t>ofer43cuerpo</t>
  </si>
  <si>
    <t>ofer44cursoanexo</t>
  </si>
  <si>
    <t>ofer44idcurso</t>
  </si>
  <si>
    <t>ofer44consec</t>
  </si>
  <si>
    <t>ofer44id</t>
  </si>
  <si>
    <t>ofer44publicado</t>
  </si>
  <si>
    <t>ofer44idorigen</t>
  </si>
  <si>
    <t>ofer44idarchivo</t>
  </si>
  <si>
    <t>ofer44titulo</t>
  </si>
  <si>
    <t>ofer38codgrupo</t>
  </si>
  <si>
    <t>unad49idtercero</t>
  </si>
  <si>
    <t>unadrptgeo.php</t>
  </si>
  <si>
    <t>unad71estado</t>
  </si>
  <si>
    <t>unad81estadosesion</t>
  </si>
  <si>
    <t>unad81id</t>
  </si>
  <si>
    <t>unad81nombre</t>
  </si>
  <si>
    <t>0 Sin Analizar, 1 Frecuente, 2 falsa, 3 Lejana, 4 Varios Sitios al dia</t>
  </si>
  <si>
    <t>unad82puntosfrec</t>
  </si>
  <si>
    <t>unad82idtercero</t>
  </si>
  <si>
    <t>unad82latgrados</t>
  </si>
  <si>
    <t>unad82latdecimas</t>
  </si>
  <si>
    <t>unad82longrados</t>
  </si>
  <si>
    <t>unad82longdecimas</t>
  </si>
  <si>
    <t>unad82ip</t>
  </si>
  <si>
    <t>unad82fechareg</t>
  </si>
  <si>
    <t>unad82consec</t>
  </si>
  <si>
    <t>unad82id</t>
  </si>
  <si>
    <t>Puntos blancos</t>
  </si>
  <si>
    <t>unadpuntosblancos.php</t>
  </si>
  <si>
    <t>unad11fechacrea</t>
  </si>
  <si>
    <t>unad11mincrea</t>
  </si>
  <si>
    <t>unad83excluidogeo</t>
  </si>
  <si>
    <t>unad83consec</t>
  </si>
  <si>
    <t>unad83id</t>
  </si>
  <si>
    <t>unad83idtercero</t>
  </si>
  <si>
    <t>unad83fechasolicita</t>
  </si>
  <si>
    <t>unad83motivo</t>
  </si>
  <si>
    <t>unad83idusuario</t>
  </si>
  <si>
    <t>unad83fechaaplica</t>
  </si>
  <si>
    <t>unad83horaaplica</t>
  </si>
  <si>
    <t>unad83minaplica</t>
  </si>
  <si>
    <t>unad83aplicado</t>
  </si>
  <si>
    <t>Exclusiones de geolocalizacion</t>
  </si>
  <si>
    <t>unadgeoexcl.php</t>
  </si>
  <si>
    <t>unad11noubicar</t>
  </si>
  <si>
    <t>bita83updcorreos</t>
  </si>
  <si>
    <t>bita83id</t>
  </si>
  <si>
    <t>Actualizacion de correos</t>
  </si>
  <si>
    <t>bitaupdcorreo.php</t>
  </si>
  <si>
    <t>unad49ifechaini</t>
  </si>
  <si>
    <t>unad49ifechafin</t>
  </si>
  <si>
    <t>unad49ip</t>
  </si>
  <si>
    <t>Reporte Geolocalizacion</t>
  </si>
  <si>
    <t>unad49fallidas</t>
  </si>
  <si>
    <t>unad49frecuente</t>
  </si>
  <si>
    <t>unad49lejana</t>
  </si>
  <si>
    <t>unad49variossitios</t>
  </si>
  <si>
    <t>unad49rptgeo</t>
  </si>
  <si>
    <t>unad51fechacreado</t>
  </si>
  <si>
    <t>unad51fechavista</t>
  </si>
  <si>
    <t>unad51peso</t>
  </si>
  <si>
    <t>unad50puerto</t>
  </si>
  <si>
    <t>unad51fechaupd</t>
  </si>
  <si>
    <t>unad84contcursos</t>
  </si>
  <si>
    <t>ofer84id</t>
  </si>
  <si>
    <t>ofer84nombre</t>
  </si>
  <si>
    <t>unad40idtablero</t>
  </si>
  <si>
    <t>ofer84numcursos</t>
  </si>
  <si>
    <t>unad11idtablero</t>
  </si>
  <si>
    <t>ofer85id</t>
  </si>
  <si>
    <t>ofer85nombre</t>
  </si>
  <si>
    <t>unad85contperaca</t>
  </si>
  <si>
    <t>ofer85consec</t>
  </si>
  <si>
    <t>Contenedores</t>
  </si>
  <si>
    <t>unadcontperaca.php</t>
  </si>
  <si>
    <t>unad63bloqueado</t>
  </si>
  <si>
    <t>Iniciar periodo</t>
  </si>
  <si>
    <t>oilperaca.php</t>
  </si>
  <si>
    <t>Este es equivalente al 146 unadperaca.php</t>
  </si>
  <si>
    <t>olabperaca.php</t>
  </si>
  <si>
    <t>olabacademico.php</t>
  </si>
  <si>
    <t>ofer45cambiorubricas</t>
  </si>
  <si>
    <t>ofer45nada</t>
  </si>
  <si>
    <t>ofer45idrubrica</t>
  </si>
  <si>
    <t>Cambio de rubricas</t>
  </si>
  <si>
    <t>ofercambiorubrica.php</t>
  </si>
  <si>
    <t>unad88appsestado</t>
  </si>
  <si>
    <t>unad88congeolocaliza</t>
  </si>
  <si>
    <t>unad88constadium</t>
  </si>
  <si>
    <t>unad88conbiblioteca</t>
  </si>
  <si>
    <t>unad88conbibliotecaedu</t>
  </si>
  <si>
    <t>unad88appsmsg</t>
  </si>
  <si>
    <t>El contenedor en el que esta su informacion.</t>
  </si>
  <si>
    <t>unad88loginmail</t>
  </si>
  <si>
    <t>unad89loginsmtp</t>
  </si>
  <si>
    <t>unad89idopciones</t>
  </si>
  <si>
    <t>unad89idsmtp</t>
  </si>
  <si>
    <t>unad89id</t>
  </si>
  <si>
    <t>unad89activo</t>
  </si>
  <si>
    <t>unad89enviosddia</t>
  </si>
  <si>
    <t>SMTPS para login</t>
  </si>
  <si>
    <t>unad01ruta</t>
  </si>
  <si>
    <t>sys11id</t>
  </si>
  <si>
    <t>aure01min</t>
  </si>
  <si>
    <t>aure01codigo</t>
  </si>
  <si>
    <t>aure01fechaaplica</t>
  </si>
  <si>
    <t>aure01minaplica</t>
  </si>
  <si>
    <t>aure01idtercero</t>
  </si>
  <si>
    <t>aure01consec</t>
  </si>
  <si>
    <t>aure01id</t>
  </si>
  <si>
    <t>aure01fecha</t>
  </si>
  <si>
    <t>aure01ip</t>
  </si>
  <si>
    <t>aure01punto</t>
  </si>
  <si>
    <t>aure01login</t>
  </si>
  <si>
    <t>unad88doblelogest</t>
  </si>
  <si>
    <t>Solicitudes de login</t>
  </si>
  <si>
    <t>ofer46actividades</t>
  </si>
  <si>
    <t>ofer46idoferta</t>
  </si>
  <si>
    <t>ofer46consec</t>
  </si>
  <si>
    <t>ofer46id</t>
  </si>
  <si>
    <t>ofer46idperaca</t>
  </si>
  <si>
    <t>ofer46idcurso</t>
  </si>
  <si>
    <t>ofer46idtercero</t>
  </si>
  <si>
    <t>ofer46idestadocurso</t>
  </si>
  <si>
    <t>ofer46idaccion</t>
  </si>
  <si>
    <t>ofer46fecha</t>
  </si>
  <si>
    <t>ofer46hora</t>
  </si>
  <si>
    <t>ofer46minuto</t>
  </si>
  <si>
    <t>ofer46idrolactor</t>
  </si>
  <si>
    <t>ofer46detalle</t>
  </si>
  <si>
    <t>Reporte de gestores</t>
  </si>
  <si>
    <t>ofer47id</t>
  </si>
  <si>
    <t>ofer48responsablesvimep</t>
  </si>
  <si>
    <t>ofer48idperaca</t>
  </si>
  <si>
    <t>ofer48idgestor</t>
  </si>
  <si>
    <t>ofer48id</t>
  </si>
  <si>
    <t>ofer48meta</t>
  </si>
  <si>
    <t>Actividades por gestor</t>
  </si>
  <si>
    <t>ofer47actividad</t>
  </si>
  <si>
    <t>ofer47nombre</t>
  </si>
  <si>
    <t>ofer08iddirector</t>
  </si>
  <si>
    <t>ofer08idresplaboratorio</t>
  </si>
  <si>
    <t>ofer08idrespsalida</t>
  </si>
  <si>
    <t>ofer08idrespvimep</t>
  </si>
  <si>
    <t>ofergestores.php</t>
  </si>
  <si>
    <t>pag1746.php</t>
  </si>
  <si>
    <t>ofer08numrevisiones</t>
  </si>
  <si>
    <t>ofer10marcador</t>
  </si>
  <si>
    <t>unad88rutacongresos</t>
  </si>
  <si>
    <t>unad88rutaryc</t>
  </si>
  <si>
    <t>aure01idsmtp</t>
  </si>
  <si>
    <t>unad11fechaconfmail</t>
  </si>
  <si>
    <t>unad11rolunad</t>
  </si>
  <si>
    <t>unad11exluirdobleaut</t>
  </si>
  <si>
    <t>contacto.php</t>
  </si>
  <si>
    <t>Datos de contacto</t>
  </si>
  <si>
    <t>Cambios masivos de rol</t>
  </si>
  <si>
    <t>unadcambiorol.php</t>
  </si>
  <si>
    <t>olab37tutores</t>
  </si>
  <si>
    <t>olab37idperaca</t>
  </si>
  <si>
    <t>olab37idproceso</t>
  </si>
  <si>
    <t>olab37idtutor</t>
  </si>
  <si>
    <t>olab37id</t>
  </si>
  <si>
    <t>olab37activo</t>
  </si>
  <si>
    <t>olab37observacion</t>
  </si>
  <si>
    <t>Tutores salidas de campo</t>
  </si>
  <si>
    <t>olabtutorsalida.php</t>
  </si>
  <si>
    <t>unad90controlip</t>
  </si>
  <si>
    <t>unad90id</t>
  </si>
  <si>
    <t>unad90ip</t>
  </si>
  <si>
    <t>unad90accion</t>
  </si>
  <si>
    <t>Autorizar todo, Denegar Todo, Permitir Estudiantes especificos, Permitir hasta 50, Permitir hasta 20, permitir hasta 5, hacer seguimiento</t>
  </si>
  <si>
    <t>unad90latgrados</t>
  </si>
  <si>
    <t>unad90latdecimas</t>
  </si>
  <si>
    <t>unad90longrados</t>
  </si>
  <si>
    <t>unad90longdecimas</t>
  </si>
  <si>
    <t>unad90detalle</t>
  </si>
  <si>
    <t>Control de Direcciones IP</t>
  </si>
  <si>
    <t>unadcontrolip.php</t>
  </si>
  <si>
    <t>unad91controltercero</t>
  </si>
  <si>
    <t>unad91idip</t>
  </si>
  <si>
    <t>unad91idtercero</t>
  </si>
  <si>
    <t>unad91id</t>
  </si>
  <si>
    <t>unad91permitir</t>
  </si>
  <si>
    <t>Autorizados</t>
  </si>
  <si>
    <t>unad92ipacciones</t>
  </si>
  <si>
    <t>unad92id</t>
  </si>
  <si>
    <t>unad92nombre</t>
  </si>
  <si>
    <t>unad92orden</t>
  </si>
  <si>
    <t>unad91observacion</t>
  </si>
  <si>
    <t>unad90fechageo</t>
  </si>
  <si>
    <t>unad90direccion</t>
  </si>
  <si>
    <t>unad90pais</t>
  </si>
  <si>
    <t>unad90depto</t>
  </si>
  <si>
    <t>unad90codpostal</t>
  </si>
  <si>
    <t>ofer08idorigenoferta</t>
  </si>
  <si>
    <t>ofer08grupominest</t>
  </si>
  <si>
    <t>ofer08grupoidforma</t>
  </si>
  <si>
    <t>ofer08grupomaxest</t>
  </si>
  <si>
    <t>ofer49formagrupos</t>
  </si>
  <si>
    <t>ofer49id</t>
  </si>
  <si>
    <t>ofer49nombre</t>
  </si>
  <si>
    <t>unad11correonotificanuevo</t>
  </si>
  <si>
    <t>Esto es para cuando quieren cambiar de correo</t>
  </si>
  <si>
    <t>Asignacion automatica, Asignacion por tutor, Sin grupos</t>
  </si>
  <si>
    <t>ofer10perfilest15</t>
  </si>
  <si>
    <t>ofer10perfilest19</t>
  </si>
  <si>
    <t>ofer10perfilest01</t>
  </si>
  <si>
    <t>ofer10perfilest04</t>
  </si>
  <si>
    <t>ofer10perfilest02</t>
  </si>
  <si>
    <t>ofer10perfilest99</t>
  </si>
  <si>
    <t>ofer10perfilest07</t>
  </si>
  <si>
    <t>ofer10perfilest08</t>
  </si>
  <si>
    <t>ofer10perfilest09</t>
  </si>
  <si>
    <t>ofer10perfilest10</t>
  </si>
  <si>
    <t>ofer10perfilest11</t>
  </si>
  <si>
    <t>ofer10perfilest12</t>
  </si>
  <si>
    <t>ofer10perfilestcer15</t>
  </si>
  <si>
    <t>ofer10perfilestcer19</t>
  </si>
  <si>
    <t>ofer10perfilestcer01</t>
  </si>
  <si>
    <t>ofer10perfilestcer99</t>
  </si>
  <si>
    <t>ofer10perfilestcer02</t>
  </si>
  <si>
    <t>ofer10perfilestcer04</t>
  </si>
  <si>
    <t>ofer10perfilestcer09</t>
  </si>
  <si>
    <t>matriculaoai</t>
  </si>
  <si>
    <t>idnumber</t>
  </si>
  <si>
    <t>role</t>
  </si>
  <si>
    <t>grupo</t>
  </si>
  <si>
    <t>peraca</t>
  </si>
  <si>
    <t>cod_curso</t>
  </si>
  <si>
    <t>fecha</t>
  </si>
  <si>
    <t>minuto</t>
  </si>
  <si>
    <t>control</t>
  </si>
  <si>
    <t>unad11idzona</t>
  </si>
  <si>
    <t>unad11idcead</t>
  </si>
  <si>
    <t>unad11idprograma</t>
  </si>
  <si>
    <t>unad11presentacion</t>
  </si>
  <si>
    <t>unad11fechaactualiza</t>
  </si>
  <si>
    <t>unad11idescuela</t>
  </si>
  <si>
    <t>unad93rastros</t>
  </si>
  <si>
    <t>unad93id</t>
  </si>
  <si>
    <t>unad93codmodulo</t>
  </si>
  <si>
    <t>unad93idtercero</t>
  </si>
  <si>
    <t>unad93fecha</t>
  </si>
  <si>
    <t>unad93hora</t>
  </si>
  <si>
    <t>unad93minuto</t>
  </si>
  <si>
    <t>unad93segundo</t>
  </si>
  <si>
    <t>unad93codaccion</t>
  </si>
  <si>
    <t>unad93detalle</t>
  </si>
  <si>
    <t>unad93idcurso</t>
  </si>
  <si>
    <t>unad94accionrastro</t>
  </si>
  <si>
    <t>unad94id</t>
  </si>
  <si>
    <t>unad94nombre</t>
  </si>
  <si>
    <t>unad93url</t>
  </si>
  <si>
    <t>unad93idusuario</t>
  </si>
  <si>
    <t>Seguimiento de acciones</t>
  </si>
  <si>
    <t>unadrptrastros.php</t>
  </si>
  <si>
    <t>Documentos</t>
  </si>
  <si>
    <t>unaddocumento.php</t>
  </si>
  <si>
    <t>bita83variable</t>
  </si>
  <si>
    <t>unad11fechaclave</t>
  </si>
  <si>
    <t>ofer50idperaca</t>
  </si>
  <si>
    <t>ofer50idescuela</t>
  </si>
  <si>
    <t>Avance</t>
  </si>
  <si>
    <t>oferrptavance.php</t>
  </si>
  <si>
    <t>ofer50rptavance</t>
  </si>
  <si>
    <t>ofercohortes.php</t>
  </si>
  <si>
    <t>Cohortes</t>
  </si>
  <si>
    <t>ofer52cohortes</t>
  </si>
  <si>
    <t>ofer52idperaca</t>
  </si>
  <si>
    <t>ofer52consec</t>
  </si>
  <si>
    <t>ofer52id</t>
  </si>
  <si>
    <t>ofer52acrefechaentregaescuela</t>
  </si>
  <si>
    <t>ofer52acrefechaentregavimep</t>
  </si>
  <si>
    <t>ofer52certfechaentregaescuela</t>
  </si>
  <si>
    <t>ofer52certfechaentregavimep</t>
  </si>
  <si>
    <t>ofer08idcohorte</t>
  </si>
  <si>
    <t>unad01orden</t>
  </si>
  <si>
    <t>unad01icono</t>
  </si>
  <si>
    <t>unad01iconohd</t>
  </si>
  <si>
    <t>unad11fechaultingreso</t>
  </si>
  <si>
    <t>olab11fechanota</t>
  </si>
  <si>
    <t>core01estprograma</t>
  </si>
  <si>
    <t>core01idtercero</t>
  </si>
  <si>
    <t>core01idprograma</t>
  </si>
  <si>
    <t>core01id</t>
  </si>
  <si>
    <t>core01fechainicio</t>
  </si>
  <si>
    <t>core01idplandeestudios</t>
  </si>
  <si>
    <t>core01fechafinaliza</t>
  </si>
  <si>
    <t>core01idestado</t>
  </si>
  <si>
    <t>core02estadoprograma</t>
  </si>
  <si>
    <t>core02id</t>
  </si>
  <si>
    <t>core02nombre</t>
  </si>
  <si>
    <t>core01peracainicial</t>
  </si>
  <si>
    <t>Esto me permite determinar quienes son nuevos en que peraca</t>
  </si>
  <si>
    <t>core01numcredelectivos</t>
  </si>
  <si>
    <t>core01numcredespecificos</t>
  </si>
  <si>
    <t>core01numcredbasicos</t>
  </si>
  <si>
    <t>core01numcredbasicosaprob</t>
  </si>
  <si>
    <t>core01numcredespecificosaprob</t>
  </si>
  <si>
    <t>core01numcredelectivosaprob</t>
  </si>
  <si>
    <t>core01peracafinal</t>
  </si>
  <si>
    <t>core01idescuela</t>
  </si>
  <si>
    <t>core01idzona</t>
  </si>
  <si>
    <t>core011idcead</t>
  </si>
  <si>
    <t>core03plandeestudios</t>
  </si>
  <si>
    <t>Estudiantes</t>
  </si>
  <si>
    <t>coreestudiante.php</t>
  </si>
  <si>
    <t>core03idtercero</t>
  </si>
  <si>
    <t>core03idcurso</t>
  </si>
  <si>
    <t>core03id</t>
  </si>
  <si>
    <t>core03idprograma</t>
  </si>
  <si>
    <t>core03itipocurso</t>
  </si>
  <si>
    <t>Basico, especifico o electivo</t>
  </si>
  <si>
    <t>Tabla</t>
  </si>
  <si>
    <t>Campo</t>
  </si>
  <si>
    <t>Tipo Campo</t>
  </si>
  <si>
    <t>Largo</t>
  </si>
  <si>
    <t>Llave</t>
  </si>
  <si>
    <t>core03nota75</t>
  </si>
  <si>
    <t>core03nota25</t>
  </si>
  <si>
    <t>core03fechanota75</t>
  </si>
  <si>
    <t>core03fechanota25</t>
  </si>
  <si>
    <t>core03fechainclusion</t>
  </si>
  <si>
    <t>El plan de estudios se puede ir construyendo debido a los creditos electivos</t>
  </si>
  <si>
    <t>core03idusuarionota75</t>
  </si>
  <si>
    <t>core03idusuarionota25</t>
  </si>
  <si>
    <t>core03notafinal</t>
  </si>
  <si>
    <t>core03estado</t>
  </si>
  <si>
    <t>0 Disponible para matricula, 1 Pendiente de prerequisito, 5 Homologado, 7 Calificado, 9 Excludio</t>
  </si>
  <si>
    <t>core01notaminima</t>
  </si>
  <si>
    <t>core01notamaxima</t>
  </si>
  <si>
    <t>Plan de estudios</t>
  </si>
  <si>
    <t>coreplanest.php</t>
  </si>
  <si>
    <t>core04matricula</t>
  </si>
  <si>
    <t>core05actividades</t>
  </si>
  <si>
    <t>core04peraca</t>
  </si>
  <si>
    <t>core04tercero</t>
  </si>
  <si>
    <t>core04idcurso</t>
  </si>
  <si>
    <t>core04idaula</t>
  </si>
  <si>
    <t>core04id</t>
  </si>
  <si>
    <t>core04idnav</t>
  </si>
  <si>
    <t>core04idgrupo</t>
  </si>
  <si>
    <t>core04fechamatricula</t>
  </si>
  <si>
    <t>core04origenmatricula</t>
  </si>
  <si>
    <t>core04tienenota</t>
  </si>
  <si>
    <t>core04nota75</t>
  </si>
  <si>
    <t>core04nota25</t>
  </si>
  <si>
    <t>core04fechanota75</t>
  </si>
  <si>
    <t>core04idusuarionota75</t>
  </si>
  <si>
    <t>core04fechanota25</t>
  </si>
  <si>
    <t>core04idusuarionota25</t>
  </si>
  <si>
    <t>core04notahabilita</t>
  </si>
  <si>
    <t>core04fechanotahabilita</t>
  </si>
  <si>
    <t>core04idusuarionotahab</t>
  </si>
  <si>
    <t>core04notafinal</t>
  </si>
  <si>
    <t>core04estado</t>
  </si>
  <si>
    <t>corematricula.php</t>
  </si>
  <si>
    <t>core04idrol</t>
  </si>
  <si>
    <t>core05idmatricula</t>
  </si>
  <si>
    <t>core05idactividad</t>
  </si>
  <si>
    <t>core05idfase</t>
  </si>
  <si>
    <t>core05idunidad</t>
  </si>
  <si>
    <t>core05id</t>
  </si>
  <si>
    <t>core05peraca</t>
  </si>
  <si>
    <t>core05tercero</t>
  </si>
  <si>
    <t>core05idcurso</t>
  </si>
  <si>
    <t>core05idgrupo</t>
  </si>
  <si>
    <t>core05idaula</t>
  </si>
  <si>
    <t>core05idnav</t>
  </si>
  <si>
    <t>core04idcead</t>
  </si>
  <si>
    <t>core04idagenda</t>
  </si>
  <si>
    <t>core05fechaapertura</t>
  </si>
  <si>
    <t>core05fechacierre</t>
  </si>
  <si>
    <t>core05fecharetro</t>
  </si>
  <si>
    <t>core05idtutor</t>
  </si>
  <si>
    <t>core05puntaje75</t>
  </si>
  <si>
    <t>core05puntaje25</t>
  </si>
  <si>
    <t>core05nota</t>
  </si>
  <si>
    <t>core05fechanota</t>
  </si>
  <si>
    <t>core05acumula75</t>
  </si>
  <si>
    <t>core05acumula25</t>
  </si>
  <si>
    <t>core05retroalimentacion</t>
  </si>
  <si>
    <t>core06grupos</t>
  </si>
  <si>
    <t>core06peraca</t>
  </si>
  <si>
    <t>core06idcurso</t>
  </si>
  <si>
    <t>core06idaula</t>
  </si>
  <si>
    <t>core06consec</t>
  </si>
  <si>
    <t>core06id</t>
  </si>
  <si>
    <t>core06grupoidforma</t>
  </si>
  <si>
    <t>core06grupominest</t>
  </si>
  <si>
    <t>core06grupomaxest</t>
  </si>
  <si>
    <t>core06idtutor</t>
  </si>
  <si>
    <t>core06iddirector</t>
  </si>
  <si>
    <t>core07idperaca</t>
  </si>
  <si>
    <t>core07idcurso</t>
  </si>
  <si>
    <t>core07idcead</t>
  </si>
  <si>
    <t>core07numestudiantes</t>
  </si>
  <si>
    <t>core07idescuela</t>
  </si>
  <si>
    <t>core07numnuevos</t>
  </si>
  <si>
    <t>coregrupo.php</t>
  </si>
  <si>
    <t>Totales de matricula</t>
  </si>
  <si>
    <t>core07idzona</t>
  </si>
  <si>
    <t>core07idprograma</t>
  </si>
  <si>
    <t>core03notahomologa</t>
  </si>
  <si>
    <t>core03fechanotahomologa</t>
  </si>
  <si>
    <t>core03idusuarionotahomo</t>
  </si>
  <si>
    <t>core03formanota</t>
  </si>
  <si>
    <t>core03detallehomologa</t>
  </si>
  <si>
    <t>core04notasupletorio</t>
  </si>
  <si>
    <t>core04fechanotasupletorio</t>
  </si>
  <si>
    <t>core04idusuarionotasup</t>
  </si>
  <si>
    <t>core05tipoactividad</t>
  </si>
  <si>
    <t>core06idestudiantelider</t>
  </si>
  <si>
    <t>core04estadoengrupo</t>
  </si>
  <si>
    <t>0 Ninguno, 1 Solicitando ingreso, 2 aprobado, 7 Lider del grupo</t>
  </si>
  <si>
    <t>core06codigogrupo</t>
  </si>
  <si>
    <t>core06fechatopearmado</t>
  </si>
  <si>
    <t>0 activo, 3 aplazado, 7 Terminado,  9 retirado</t>
  </si>
  <si>
    <t>core03idestprograma</t>
  </si>
  <si>
    <t>core03nivelcurso</t>
  </si>
  <si>
    <t>core03peracaaprueba</t>
  </si>
  <si>
    <t>0 pendiente, 1 Matricula directa, 2 Homologacion, 3 Validacion (suficiencia)</t>
  </si>
  <si>
    <t>RyC para estudiante, OAI, OIL, Manual…</t>
  </si>
  <si>
    <t>1 Individual, 2 Colaborativa, 11 Labotarotio, 12 Salida de campo</t>
  </si>
  <si>
    <t>core03obligatorio</t>
  </si>
  <si>
    <t>core03numcreditos</t>
  </si>
  <si>
    <t>core01fechaultmatricula</t>
  </si>
  <si>
    <t>ofer08idioma</t>
  </si>
  <si>
    <t>core07matriculaest</t>
  </si>
  <si>
    <t>Asignacion automatica, Asignacion por tutor</t>
  </si>
  <si>
    <t>core06numinscritos</t>
  </si>
  <si>
    <t>core06estado</t>
  </si>
  <si>
    <t>0 En armado, 1 para llenado, 9 Completo</t>
  </si>
  <si>
    <t>cara01encuesta</t>
  </si>
  <si>
    <t>cara01idperaca</t>
  </si>
  <si>
    <t>cara01idtercero</t>
  </si>
  <si>
    <t>cara01fechaencuesta</t>
  </si>
  <si>
    <t>cara01agnos</t>
  </si>
  <si>
    <t>cara01sexo</t>
  </si>
  <si>
    <t>cara01estrato</t>
  </si>
  <si>
    <t>cara01pais</t>
  </si>
  <si>
    <t>cara01depto</t>
  </si>
  <si>
    <t>cara01ciudad</t>
  </si>
  <si>
    <t>cara01direccion</t>
  </si>
  <si>
    <t>cara01nomciudad</t>
  </si>
  <si>
    <t>cara01zonares</t>
  </si>
  <si>
    <t>cara01estcivil</t>
  </si>
  <si>
    <t>cara01nomcontacto</t>
  </si>
  <si>
    <t>cara01parentezcocontacto</t>
  </si>
  <si>
    <t>cara01celcontacto</t>
  </si>
  <si>
    <t>cara01correocontacto</t>
  </si>
  <si>
    <t>cara01idzona</t>
  </si>
  <si>
    <t>cara01id</t>
  </si>
  <si>
    <t>cara01idcead</t>
  </si>
  <si>
    <t>caracterizacion.php</t>
  </si>
  <si>
    <t>cara01matconvenio</t>
  </si>
  <si>
    <t>cara01completa</t>
  </si>
  <si>
    <t>cara01raizal</t>
  </si>
  <si>
    <t>cara01palenquero</t>
  </si>
  <si>
    <t>cara01afrocolombiano</t>
  </si>
  <si>
    <t>cara01otracomunnegras</t>
  </si>
  <si>
    <t>cara01rom</t>
  </si>
  <si>
    <t>cara01indigenas</t>
  </si>
  <si>
    <t>cara02indigenas</t>
  </si>
  <si>
    <t>cara02consec</t>
  </si>
  <si>
    <t>cara02id</t>
  </si>
  <si>
    <t>cara02nombre</t>
  </si>
  <si>
    <t>Comunidades indigenas</t>
  </si>
  <si>
    <t>caraindigenas.php</t>
  </si>
  <si>
    <t>cara01victimadesplazado</t>
  </si>
  <si>
    <t>cara01idconfirmadesp</t>
  </si>
  <si>
    <t>cara01fechaconfirmadesp</t>
  </si>
  <si>
    <t>cara01victimaacr</t>
  </si>
  <si>
    <t>cara01idconfirmacr</t>
  </si>
  <si>
    <t>cara01fechaconfirmacr</t>
  </si>
  <si>
    <t>cara01inpecfuncionario</t>
  </si>
  <si>
    <t>cara01inpecrecluso</t>
  </si>
  <si>
    <t>cara01inpectiempocondena</t>
  </si>
  <si>
    <t>cara01centroreclusion</t>
  </si>
  <si>
    <t>cara03consec</t>
  </si>
  <si>
    <t>cara03centroreclusion</t>
  </si>
  <si>
    <t>cara03id</t>
  </si>
  <si>
    <t>cara03nombre</t>
  </si>
  <si>
    <t>Centros de reclusion</t>
  </si>
  <si>
    <t>caracentroreclusion.php</t>
  </si>
  <si>
    <t>Esta tabla se debe retirar</t>
  </si>
  <si>
    <t>caraconsolidado.php</t>
  </si>
  <si>
    <t>cara01discsensorial</t>
  </si>
  <si>
    <t>cara01discfisica</t>
  </si>
  <si>
    <t>cara01disccognitiva</t>
  </si>
  <si>
    <t>cara01idconfirmadisc</t>
  </si>
  <si>
    <t>cara01fechaconfirmadisc</t>
  </si>
  <si>
    <t>cara01fam_tipovivienda</t>
  </si>
  <si>
    <t>cara01fam_vivecon</t>
  </si>
  <si>
    <t>cara01fam_numpersgrupofam</t>
  </si>
  <si>
    <t>cara01fam_hijos</t>
  </si>
  <si>
    <t>cara01fam_personasacargo</t>
  </si>
  <si>
    <t>cara01fam_dependeecon</t>
  </si>
  <si>
    <t>cara01fam_escolaridadpadre</t>
  </si>
  <si>
    <t>cara01fam_escolaridadmadre</t>
  </si>
  <si>
    <t>cara01fam_numhermanos</t>
  </si>
  <si>
    <t>cara01fam_posicionherm</t>
  </si>
  <si>
    <t>cara01fam_familiaunad</t>
  </si>
  <si>
    <t>cara01acad_tipocolegio</t>
  </si>
  <si>
    <t>cara01acad_modalidadbach</t>
  </si>
  <si>
    <t>cara01acad_estudioprev</t>
  </si>
  <si>
    <t>cara01acad_ultnivelest</t>
  </si>
  <si>
    <t>cara01acad_obtubodiploma</t>
  </si>
  <si>
    <t>cara01acad_hatomadovirtual</t>
  </si>
  <si>
    <t>cara01acad_tiemposinest</t>
  </si>
  <si>
    <t>cara01acad_razonestudio</t>
  </si>
  <si>
    <t>cara04consec</t>
  </si>
  <si>
    <t>cara04id</t>
  </si>
  <si>
    <t>cara04nombre</t>
  </si>
  <si>
    <t>cara04activo</t>
  </si>
  <si>
    <t>cara04orden</t>
  </si>
  <si>
    <t>cara04razonestudio</t>
  </si>
  <si>
    <t>Razones para estudiar</t>
  </si>
  <si>
    <t>cararazonestudio.php</t>
  </si>
  <si>
    <t>cara01acad_primeraopc</t>
  </si>
  <si>
    <t>cara01acad_programagusto</t>
  </si>
  <si>
    <t>cara01acad_razonunad</t>
  </si>
  <si>
    <t>cara05consec</t>
  </si>
  <si>
    <t>cara05id</t>
  </si>
  <si>
    <t>cara05activo</t>
  </si>
  <si>
    <t>cara05orden</t>
  </si>
  <si>
    <t>cara05nombre</t>
  </si>
  <si>
    <t>cara05razonunad</t>
  </si>
  <si>
    <t>Razones para ingresar a la UNAD</t>
  </si>
  <si>
    <t>cararazonunad.php</t>
  </si>
  <si>
    <t>cara01campus_compescrito</t>
  </si>
  <si>
    <t>cara01campus_portatil</t>
  </si>
  <si>
    <t>cara01campus_tableta</t>
  </si>
  <si>
    <t>cara01campus_telefono</t>
  </si>
  <si>
    <t>cara01campus_energia</t>
  </si>
  <si>
    <t>cara01campus_internetreside</t>
  </si>
  <si>
    <t>cara01campus_expvirtual</t>
  </si>
  <si>
    <t>cara01campus_ofimatica</t>
  </si>
  <si>
    <t>cara01campus_foros</t>
  </si>
  <si>
    <t>cara01campus_conversiones</t>
  </si>
  <si>
    <t>cara01campus_usocorreo</t>
  </si>
  <si>
    <t>cara01campus_aprendtexto</t>
  </si>
  <si>
    <t>cara01campus_aprendvideo</t>
  </si>
  <si>
    <t>cara01campus_aprendmapas</t>
  </si>
  <si>
    <t>cara01campus_aprendeanima</t>
  </si>
  <si>
    <t>cara01campus_mediocomunica</t>
  </si>
  <si>
    <t>cara01lab_situacion</t>
  </si>
  <si>
    <t>cara01lab_sector</t>
  </si>
  <si>
    <t>cara01lab_caracterjuri</t>
  </si>
  <si>
    <t>cara01lab_cargo</t>
  </si>
  <si>
    <t>cara01lab_antiguedad</t>
  </si>
  <si>
    <t>cara01lab_tipocontrato</t>
  </si>
  <si>
    <t>cara01lab_rangoingreso</t>
  </si>
  <si>
    <t>cara01lab_tiempoacadem</t>
  </si>
  <si>
    <t>cara01lab_tipoempresa</t>
  </si>
  <si>
    <t>cara01lab_tiempoindepen</t>
  </si>
  <si>
    <t>cara01lab_debebusctrab</t>
  </si>
  <si>
    <t>cara01lab_origendinero</t>
  </si>
  <si>
    <t>cara01bien_baloncesto</t>
  </si>
  <si>
    <t>cara01bien_voleibol</t>
  </si>
  <si>
    <t>cara01bien_futbolsala</t>
  </si>
  <si>
    <t>cara01bien_artesmarc</t>
  </si>
  <si>
    <t>cara01bien_tenisdemesa</t>
  </si>
  <si>
    <t>cara01bien_ajedrez</t>
  </si>
  <si>
    <t>cara01bien_juegosautoc</t>
  </si>
  <si>
    <t>cara01bien_deporteint</t>
  </si>
  <si>
    <t>cara01bien_teatro</t>
  </si>
  <si>
    <t>cara01bien_danza</t>
  </si>
  <si>
    <t>cara01bien_musica</t>
  </si>
  <si>
    <t>cara01bien_circo</t>
  </si>
  <si>
    <t>cara01bien_artplast</t>
  </si>
  <si>
    <t>cara01bien_cuenteria</t>
  </si>
  <si>
    <t>cara01bien_interesrepdeporte</t>
  </si>
  <si>
    <t>cara01bien_interesreparte</t>
  </si>
  <si>
    <t>cara01bien_arteint</t>
  </si>
  <si>
    <t>cara01bien_interpreta</t>
  </si>
  <si>
    <t>cara01bien_nivelinter</t>
  </si>
  <si>
    <t>cara01bien_danza_mod</t>
  </si>
  <si>
    <t>cara01bien_danza_clas</t>
  </si>
  <si>
    <t>cara01bien_danza_cont</t>
  </si>
  <si>
    <t>cara01bien_danza_folk</t>
  </si>
  <si>
    <t>cara01bien_niveldanza</t>
  </si>
  <si>
    <t>cara01bien_emprendedor</t>
  </si>
  <si>
    <t>cara01bien_nombreemp</t>
  </si>
  <si>
    <t>cara01bien_capacempren</t>
  </si>
  <si>
    <t>cara01bien_tipocapacita</t>
  </si>
  <si>
    <t>cara01bien_impvidasalud</t>
  </si>
  <si>
    <t>cara01bien_estraautocuid</t>
  </si>
  <si>
    <t>cara01bien_pv_personal</t>
  </si>
  <si>
    <t>cara01bien_pv_familiar</t>
  </si>
  <si>
    <t>cara01bien_pv_academ</t>
  </si>
  <si>
    <t>cara01bien_pv_labora</t>
  </si>
  <si>
    <t>cara01bien_pv_pareja</t>
  </si>
  <si>
    <t>cara01bien_amb</t>
  </si>
  <si>
    <t>cara01bien_amb_agu</t>
  </si>
  <si>
    <t>cara01bien_amb_bom</t>
  </si>
  <si>
    <t>cara01bien_amb_car</t>
  </si>
  <si>
    <t>cara01bien_amb_info</t>
  </si>
  <si>
    <t>cara01bien_amb_temas</t>
  </si>
  <si>
    <t>cara01fichaper</t>
  </si>
  <si>
    <t>cara01fichafam</t>
  </si>
  <si>
    <t>cara01fichaaca</t>
  </si>
  <si>
    <t>cara01fichalab</t>
  </si>
  <si>
    <t>cara01fichabien</t>
  </si>
  <si>
    <t>cara01psico_costoemocion</t>
  </si>
  <si>
    <t>cara01psico_reaccionimpre</t>
  </si>
  <si>
    <t>cara01psico_estres</t>
  </si>
  <si>
    <t>cara01psico_pocotiempo</t>
  </si>
  <si>
    <t>cara01psico_actitudvida</t>
  </si>
  <si>
    <t>cara01psico_duda</t>
  </si>
  <si>
    <t>cara01psico_problemapers</t>
  </si>
  <si>
    <t>cara01psico_satisfaccion</t>
  </si>
  <si>
    <t>cara01psico_discusiones</t>
  </si>
  <si>
    <t>cara01psico_atencion</t>
  </si>
  <si>
    <t>cara01niveldigital</t>
  </si>
  <si>
    <t>cara01nivellectura</t>
  </si>
  <si>
    <t>cara01nivelrazona</t>
  </si>
  <si>
    <t>cara01nivelingles</t>
  </si>
  <si>
    <t>cara01fichapsico</t>
  </si>
  <si>
    <t>cara01fichadigital</t>
  </si>
  <si>
    <t>cara01fichalectura</t>
  </si>
  <si>
    <t>cara01ficharazona</t>
  </si>
  <si>
    <t>cara01fichaingles</t>
  </si>
  <si>
    <t>cara01idconsejero</t>
  </si>
  <si>
    <t>cara01fechainicio</t>
  </si>
  <si>
    <t>Fecha de inicio de la prueba</t>
  </si>
  <si>
    <t>unad18sufijo</t>
  </si>
  <si>
    <t>unad18imgbandera</t>
  </si>
  <si>
    <t>cara06grupopreg</t>
  </si>
  <si>
    <t>cara06id</t>
  </si>
  <si>
    <t>cara06idgrupo</t>
  </si>
  <si>
    <t>cara06nombre</t>
  </si>
  <si>
    <t>caragrupopreg.php</t>
  </si>
  <si>
    <t>cara07bloqueeval</t>
  </si>
  <si>
    <t>cara07id</t>
  </si>
  <si>
    <t>cara07nombre</t>
  </si>
  <si>
    <t>cara08pregunta</t>
  </si>
  <si>
    <t>cara08idbloque</t>
  </si>
  <si>
    <t>cara08consec</t>
  </si>
  <si>
    <t>cara08id</t>
  </si>
  <si>
    <t>cara08titulo</t>
  </si>
  <si>
    <t>cara08cuerpo</t>
  </si>
  <si>
    <t>cara08tipopreg</t>
  </si>
  <si>
    <t>cara08usosiniciales</t>
  </si>
  <si>
    <t>cara08usostotales</t>
  </si>
  <si>
    <t>cara08activa</t>
  </si>
  <si>
    <t>Preguntas Competencias digitales</t>
  </si>
  <si>
    <t>carapregcd.php</t>
  </si>
  <si>
    <t>cara08idgrupo</t>
  </si>
  <si>
    <t>cara09pregrpta</t>
  </si>
  <si>
    <t>cara09idpregunta</t>
  </si>
  <si>
    <t>cara09consec</t>
  </si>
  <si>
    <t>cara09id</t>
  </si>
  <si>
    <t>cara09valor</t>
  </si>
  <si>
    <t>cara09contenido</t>
  </si>
  <si>
    <t>cara50consolidado</t>
  </si>
  <si>
    <t>cara50idperaca</t>
  </si>
  <si>
    <t>cara50idzona</t>
  </si>
  <si>
    <t>cara50idcentro</t>
  </si>
  <si>
    <t>carapreglc.php</t>
  </si>
  <si>
    <t>Preguntas Lectura critica</t>
  </si>
  <si>
    <t>Preguntas Razonamiento cuantitativo</t>
  </si>
  <si>
    <t>carapregrc.php</t>
  </si>
  <si>
    <t>Preguntas Ingles</t>
  </si>
  <si>
    <t>carapregen.php</t>
  </si>
  <si>
    <t>cara10pregprueba</t>
  </si>
  <si>
    <t>cara10idcara</t>
  </si>
  <si>
    <t>cara10idbloque</t>
  </si>
  <si>
    <t>cara10consec</t>
  </si>
  <si>
    <t>cara10idpregunta</t>
  </si>
  <si>
    <t>cara10id</t>
  </si>
  <si>
    <t>cara10idrpta</t>
  </si>
  <si>
    <t>cara10puntaje</t>
  </si>
  <si>
    <t>Preguntas de la prueba</t>
  </si>
  <si>
    <t>cara01telefono1</t>
  </si>
  <si>
    <t>cara01telefono2</t>
  </si>
  <si>
    <t>cara01correopersonal</t>
  </si>
  <si>
    <t>cara01idprograma</t>
  </si>
  <si>
    <t>cara01idescuela</t>
  </si>
  <si>
    <t>cara08nivelpregunta</t>
  </si>
  <si>
    <t>cara10nivelpregunta</t>
  </si>
  <si>
    <t>cara01fichabiolog</t>
  </si>
  <si>
    <t>cara01fichaquimica</t>
  </si>
  <si>
    <t>cara01fichafisica</t>
  </si>
  <si>
    <t>cara01tipocaracterizacion</t>
  </si>
  <si>
    <t>Preguntas Biologia</t>
  </si>
  <si>
    <t>Preguntas Fisica</t>
  </si>
  <si>
    <t>Preguntas Quimica</t>
  </si>
  <si>
    <t>carapregbio.php</t>
  </si>
  <si>
    <t>carapregfisica.php</t>
  </si>
  <si>
    <t>carapregquimica.php</t>
  </si>
  <si>
    <t>cara11tipocaract</t>
  </si>
  <si>
    <t>cara11consec</t>
  </si>
  <si>
    <t>cara11id</t>
  </si>
  <si>
    <t>cara11nombre</t>
  </si>
  <si>
    <t>cara11ficha1</t>
  </si>
  <si>
    <t>cara11ficha2</t>
  </si>
  <si>
    <t>cara11ficha3</t>
  </si>
  <si>
    <t>cara11ficha4</t>
  </si>
  <si>
    <t>cara11ficha5</t>
  </si>
  <si>
    <t>cara11ficha6</t>
  </si>
  <si>
    <t>cara11ficha7</t>
  </si>
  <si>
    <t>Tipos de ficha</t>
  </si>
  <si>
    <t>caratipoficha.php</t>
  </si>
  <si>
    <t>exte03tipocaracteriza</t>
  </si>
  <si>
    <t>cara11ficha1pregprof</t>
  </si>
  <si>
    <t>cara11ficha1pregbas</t>
  </si>
  <si>
    <t>cara11ficha2pregbas</t>
  </si>
  <si>
    <t>cara11ficha2pregprof</t>
  </si>
  <si>
    <t>cara11ficha3pregbas</t>
  </si>
  <si>
    <t>cara11ficha3pregprof</t>
  </si>
  <si>
    <t>cara11ficha4pregbas</t>
  </si>
  <si>
    <t>cara11ficha4pregprof</t>
  </si>
  <si>
    <t>cara11ficha5pregbas</t>
  </si>
  <si>
    <t>cara11ficha5pregprof</t>
  </si>
  <si>
    <t>cara11ficha6pregbas</t>
  </si>
  <si>
    <t>cara11ficha6pregprof</t>
  </si>
  <si>
    <t>cara11ficha7pregbas</t>
  </si>
  <si>
    <t>cara11ficha7pregprof</t>
  </si>
  <si>
    <t>core09id</t>
  </si>
  <si>
    <t>core10programaversion</t>
  </si>
  <si>
    <t>core10idprograma</t>
  </si>
  <si>
    <t>core10consec</t>
  </si>
  <si>
    <t>core10id</t>
  </si>
  <si>
    <t>core10fechaversion</t>
  </si>
  <si>
    <t>core10idtipocaracterizacion</t>
  </si>
  <si>
    <t>core09programa</t>
  </si>
  <si>
    <t>core09codigo</t>
  </si>
  <si>
    <t>core09nombre</t>
  </si>
  <si>
    <t>core09idescuela</t>
  </si>
  <si>
    <t>core09iddirector</t>
  </si>
  <si>
    <t>core09idversionactual</t>
  </si>
  <si>
    <t>Programas académicos</t>
  </si>
  <si>
    <t>coreprograma.php</t>
  </si>
  <si>
    <t>Versiones del programa</t>
  </si>
  <si>
    <t>core12escuela</t>
  </si>
  <si>
    <t>core12codigo</t>
  </si>
  <si>
    <t>core12id</t>
  </si>
  <si>
    <t>core12nombre</t>
  </si>
  <si>
    <t>core12iddecano</t>
  </si>
  <si>
    <t>core12idadministrador</t>
  </si>
  <si>
    <t>coreescuela.php</t>
  </si>
  <si>
    <t>core11plandeestudio</t>
  </si>
  <si>
    <t>core11idversionprograma</t>
  </si>
  <si>
    <t>core11idcurso</t>
  </si>
  <si>
    <t>core11id</t>
  </si>
  <si>
    <t>core11idprograma</t>
  </si>
  <si>
    <t>core11tiporegistro</t>
  </si>
  <si>
    <t>core13tiporegistroprog</t>
  </si>
  <si>
    <t>core13id</t>
  </si>
  <si>
    <t>core13nombre</t>
  </si>
  <si>
    <t>0 Basico - 1 Especifico - 2 Electivo - 3 Requisito grado</t>
  </si>
  <si>
    <t>core11numcreditos</t>
  </si>
  <si>
    <t>core11idprerequisito</t>
  </si>
  <si>
    <t>core11fechaingresa</t>
  </si>
  <si>
    <t>core10numcredbasicos</t>
  </si>
  <si>
    <t>core10numcredespecificos</t>
  </si>
  <si>
    <t>core10numcredelectivos</t>
  </si>
  <si>
    <t>core11nivelaplica</t>
  </si>
  <si>
    <t>core11obligarorio</t>
  </si>
  <si>
    <t>Esta tabla pasa a ser la core12</t>
  </si>
  <si>
    <t>coreprogramaversion.php</t>
  </si>
  <si>
    <t>core10numregcalificado</t>
  </si>
  <si>
    <t>Esta tabla pasa a ser la core09</t>
  </si>
  <si>
    <t>Reemplaza la tabla exte02</t>
  </si>
  <si>
    <t>core10estado</t>
  </si>
  <si>
    <t>core11areaconocimiento</t>
  </si>
  <si>
    <t>core14areaconocimiento</t>
  </si>
  <si>
    <t>core14consec</t>
  </si>
  <si>
    <t>core14id</t>
  </si>
  <si>
    <t>core14nombre</t>
  </si>
  <si>
    <t>core14orden</t>
  </si>
  <si>
    <t>core14activa</t>
  </si>
  <si>
    <t>core11ofertaperacacorto</t>
  </si>
  <si>
    <t>core10idgestor</t>
  </si>
  <si>
    <t>core10idrevisor</t>
  </si>
  <si>
    <t>core10fecharevisa</t>
  </si>
  <si>
    <t>core10fechavence</t>
  </si>
  <si>
    <t>unad40peracaultacredita</t>
  </si>
  <si>
    <t>core09activo</t>
  </si>
  <si>
    <t>cara11fichafamilia</t>
  </si>
  <si>
    <t>core12tieneestudiantes</t>
  </si>
  <si>
    <t>cara01nivelbiolog</t>
  </si>
  <si>
    <t>cara01nivelfisica</t>
  </si>
  <si>
    <t>cara01nivelquimica</t>
  </si>
  <si>
    <t>cara06cuerpo</t>
  </si>
  <si>
    <t>unad40areaconocimiento</t>
  </si>
  <si>
    <t>unad40componenteconoce</t>
  </si>
  <si>
    <t>Campos de formacion</t>
  </si>
  <si>
    <t>corecampoform.php</t>
  </si>
  <si>
    <t>core15componentes</t>
  </si>
  <si>
    <t>core15idareaconoce</t>
  </si>
  <si>
    <t>core15consec</t>
  </si>
  <si>
    <t>core15id</t>
  </si>
  <si>
    <t>core15activa</t>
  </si>
  <si>
    <t>core15nombre</t>
  </si>
  <si>
    <t>core15idresponsable</t>
  </si>
  <si>
    <t>Componentes de formacion</t>
  </si>
  <si>
    <t>corecomponentef.php</t>
  </si>
  <si>
    <t>core11componeteconoce</t>
  </si>
  <si>
    <t>ofer53preoferta</t>
  </si>
  <si>
    <t>ofer53consec</t>
  </si>
  <si>
    <t>ofer53id</t>
  </si>
  <si>
    <t>ofer53peraca</t>
  </si>
  <si>
    <t>ofer53idliderprograma</t>
  </si>
  <si>
    <t>ofer53cerrado</t>
  </si>
  <si>
    <t>ofer53fechacierre</t>
  </si>
  <si>
    <t>ofer53numprogramas</t>
  </si>
  <si>
    <t>ofer53numcursos</t>
  </si>
  <si>
    <t>ofer53numrechazos</t>
  </si>
  <si>
    <t>ofer53numofertados</t>
  </si>
  <si>
    <t>ofer54preofertaprograma</t>
  </si>
  <si>
    <t>ofer54idpreoferta</t>
  </si>
  <si>
    <t>ofer54idprograma</t>
  </si>
  <si>
    <t>ofer54id</t>
  </si>
  <si>
    <t>ofer54estado</t>
  </si>
  <si>
    <t>ofer54proyestnuevos</t>
  </si>
  <si>
    <t>ofer54proynivelactual</t>
  </si>
  <si>
    <t>ofer55preofertacurso</t>
  </si>
  <si>
    <t>ofer55idpreoferta</t>
  </si>
  <si>
    <t>ofer55idpreofprograma</t>
  </si>
  <si>
    <t>ofer55idcurso</t>
  </si>
  <si>
    <t>ofer55id</t>
  </si>
  <si>
    <t>ofer55estado</t>
  </si>
  <si>
    <t>ofer55proyestnuevos</t>
  </si>
  <si>
    <t>ofer55proyestantiguos</t>
  </si>
  <si>
    <t>ofer55notaliderprograma</t>
  </si>
  <si>
    <t>ofer55notalidercomponente</t>
  </si>
  <si>
    <t>ofer55notaescuela</t>
  </si>
  <si>
    <t>ofer55fechaaprueba</t>
  </si>
  <si>
    <t>ofer55fechaoferta</t>
  </si>
  <si>
    <t>ofer55idoferta</t>
  </si>
  <si>
    <t>ofer56estadopreofcurso</t>
  </si>
  <si>
    <t>ofer56id</t>
  </si>
  <si>
    <t>ofer56nombre</t>
  </si>
  <si>
    <t>ofer54idversionprog</t>
  </si>
  <si>
    <t>ofer54notaliderprograma</t>
  </si>
  <si>
    <t>ofer55idprograma</t>
  </si>
  <si>
    <t>PreOferta</t>
  </si>
  <si>
    <t>oferpreoferta.php</t>
  </si>
  <si>
    <t>ofer57estadopreofprog</t>
  </si>
  <si>
    <t>ofer57id</t>
  </si>
  <si>
    <t>ofer57nombre</t>
  </si>
  <si>
    <t>ofer55idcomponente</t>
  </si>
  <si>
    <t>ofer55idescuela</t>
  </si>
  <si>
    <t>Analisis de PreOferta</t>
  </si>
  <si>
    <t>Aprobacion de Oferta</t>
  </si>
  <si>
    <t>oferpreanalisis.php</t>
  </si>
  <si>
    <t>oferaprobacpre.php</t>
  </si>
  <si>
    <t>core16id</t>
  </si>
  <si>
    <t>unad39idservidor</t>
  </si>
  <si>
    <t>Ajustar encuesta</t>
  </si>
  <si>
    <t>caraajusteenc.php</t>
  </si>
  <si>
    <t>cara13consejeros</t>
  </si>
  <si>
    <t>cara01cargaasignada</t>
  </si>
  <si>
    <t>cara13peraca</t>
  </si>
  <si>
    <t>cara13idconsejero</t>
  </si>
  <si>
    <t>cara13id</t>
  </si>
  <si>
    <t>cara13activo</t>
  </si>
  <si>
    <t>cara01cargafinal</t>
  </si>
  <si>
    <t>Consejeros</t>
  </si>
  <si>
    <t>caraconsejeros.php</t>
  </si>
  <si>
    <t>cara01perayuda</t>
  </si>
  <si>
    <t>cara01perotraayuda</t>
  </si>
  <si>
    <t>cara14ayudaajuste</t>
  </si>
  <si>
    <t>cara14consec</t>
  </si>
  <si>
    <t>cara14id</t>
  </si>
  <si>
    <t>cara14activa</t>
  </si>
  <si>
    <t>cara14orden</t>
  </si>
  <si>
    <t>cara14nombre</t>
  </si>
  <si>
    <t>Ajustes razonables</t>
  </si>
  <si>
    <t>caraajusteraz.php</t>
  </si>
  <si>
    <t>cara01discsensorialotra</t>
  </si>
  <si>
    <t>cara01discfisicaotra</t>
  </si>
  <si>
    <t>cara01disccognitivaotra</t>
  </si>
  <si>
    <t>cara01idcursocatedra</t>
  </si>
  <si>
    <t>cara01idgrupocatedra</t>
  </si>
  <si>
    <t>cara01factordesc</t>
  </si>
  <si>
    <t>cara01criteriodesc</t>
  </si>
  <si>
    <t>cara01factordescper</t>
  </si>
  <si>
    <t>cara01factordescpsico</t>
  </si>
  <si>
    <t>cara01factordescinsti</t>
  </si>
  <si>
    <t>cara01factordescacad</t>
  </si>
  <si>
    <t>cara01desertor</t>
  </si>
  <si>
    <t>cara01factorprincipaldesc</t>
  </si>
  <si>
    <t>ofer43rptactor</t>
  </si>
  <si>
    <t>ofer43idactor</t>
  </si>
  <si>
    <t>Consultar actor</t>
  </si>
  <si>
    <t>oferrptactor.php</t>
  </si>
  <si>
    <t>cara15consec</t>
  </si>
  <si>
    <t>cara15id</t>
  </si>
  <si>
    <t>cara15activa</t>
  </si>
  <si>
    <t>cara15orden</t>
  </si>
  <si>
    <t>cara15nombre</t>
  </si>
  <si>
    <t>cara15factordeserta</t>
  </si>
  <si>
    <t>Factores de desercion</t>
  </si>
  <si>
    <t>carafactordeserta.php</t>
  </si>
  <si>
    <t>cara15grupo</t>
  </si>
  <si>
    <t>unad50frecuente</t>
  </si>
  <si>
    <t>core16actamatricula</t>
  </si>
  <si>
    <t>core16peraca</t>
  </si>
  <si>
    <t>core16tercero</t>
  </si>
  <si>
    <t>core16idprograma</t>
  </si>
  <si>
    <t>core16idcead</t>
  </si>
  <si>
    <t>Actas de matricula</t>
  </si>
  <si>
    <t>coreactamat.php</t>
  </si>
  <si>
    <t>core16idescuela</t>
  </si>
  <si>
    <t>core16idzona</t>
  </si>
  <si>
    <t>core16fecharecibido</t>
  </si>
  <si>
    <t>core16minrecibido</t>
  </si>
  <si>
    <t>core16procesado</t>
  </si>
  <si>
    <t>core16parametros</t>
  </si>
  <si>
    <t>core16numcursos</t>
  </si>
  <si>
    <t>core16numaprobados</t>
  </si>
  <si>
    <t>core16promedio</t>
  </si>
  <si>
    <t>core16origen</t>
  </si>
  <si>
    <t>core16nuevo</t>
  </si>
  <si>
    <t>unad24codigoryc</t>
  </si>
  <si>
    <t>core04aplicoagenda</t>
  </si>
  <si>
    <t>unad05reservado</t>
  </si>
  <si>
    <t>cara16usuarios</t>
  </si>
  <si>
    <t>cara16id</t>
  </si>
  <si>
    <t>unad05delegable</t>
  </si>
  <si>
    <t>cara17preganexo</t>
  </si>
  <si>
    <t>cara17consec</t>
  </si>
  <si>
    <t>cara17idpregunta</t>
  </si>
  <si>
    <t>cara17id</t>
  </si>
  <si>
    <t>cara17idorigen</t>
  </si>
  <si>
    <t>cara17idanexo</t>
  </si>
  <si>
    <t>cara17nombre</t>
  </si>
  <si>
    <t>framearchivo.php</t>
  </si>
  <si>
    <t>unae01banner</t>
  </si>
  <si>
    <t>unae01id</t>
  </si>
  <si>
    <t>unae01nombre</t>
  </si>
  <si>
    <t>unae02bannerimg</t>
  </si>
  <si>
    <t>unae02consec</t>
  </si>
  <si>
    <t>unae02idbanner</t>
  </si>
  <si>
    <t>unae02id</t>
  </si>
  <si>
    <t>unae02urldestino</t>
  </si>
  <si>
    <t>unae02idorigen</t>
  </si>
  <si>
    <t>unae02idarchivo</t>
  </si>
  <si>
    <t>unae02orden</t>
  </si>
  <si>
    <t>unae02activa</t>
  </si>
  <si>
    <t>Imagenes para banners</t>
  </si>
  <si>
    <t>unadimgbanner.php</t>
  </si>
  <si>
    <t>unad51modulo</t>
  </si>
  <si>
    <t>0, publico, Numero diferente se consulta el permiso de consulta de archivos en ese modulo.</t>
  </si>
  <si>
    <t>cara01psico_puntaje</t>
  </si>
  <si>
    <t>core16proccarac</t>
  </si>
  <si>
    <t>core16procagenda</t>
  </si>
  <si>
    <t>core09idtipocaracterizacion</t>
  </si>
  <si>
    <t>unad00config</t>
  </si>
  <si>
    <t>unad00codigo</t>
  </si>
  <si>
    <t>unad00nombre</t>
  </si>
  <si>
    <t>unad00valor</t>
  </si>
  <si>
    <t>Configuracion</t>
  </si>
  <si>
    <t>unadconfig.php</t>
  </si>
  <si>
    <t>caraprograma.php</t>
  </si>
  <si>
    <t>unad88concaracteriza</t>
  </si>
  <si>
    <t>cara57rptavance</t>
  </si>
  <si>
    <t>cara57peraca</t>
  </si>
  <si>
    <t>Avance encuestas</t>
  </si>
  <si>
    <t>cararptavance.php</t>
  </si>
  <si>
    <t>ofer08fechavence</t>
  </si>
  <si>
    <t>ofer08idnoconformidad</t>
  </si>
  <si>
    <t>unae03noconforme</t>
  </si>
  <si>
    <t>unae03idproceso</t>
  </si>
  <si>
    <t>unae03consec</t>
  </si>
  <si>
    <t>unae03id</t>
  </si>
  <si>
    <t>unae03peraca</t>
  </si>
  <si>
    <t>unae03curso</t>
  </si>
  <si>
    <t>unae03idresponsable</t>
  </si>
  <si>
    <t>unae03fechagenera</t>
  </si>
  <si>
    <t>unae03fecharesponde</t>
  </si>
  <si>
    <t>unae03respuesta</t>
  </si>
  <si>
    <t>unae03estado</t>
  </si>
  <si>
    <t>unae04estadonoconf</t>
  </si>
  <si>
    <t>unae04id</t>
  </si>
  <si>
    <t>unae04nombre</t>
  </si>
  <si>
    <t>unae03escuela</t>
  </si>
  <si>
    <t>No conformidades</t>
  </si>
  <si>
    <t>unadnoconformidad.php</t>
  </si>
  <si>
    <t>unae03idautoriza</t>
  </si>
  <si>
    <t>unae03idjustificacion</t>
  </si>
  <si>
    <t>unae04justificacionnoconf</t>
  </si>
  <si>
    <t>unae05consec</t>
  </si>
  <si>
    <t>unae05id</t>
  </si>
  <si>
    <t>unae05idproceso</t>
  </si>
  <si>
    <t>unae05activa</t>
  </si>
  <si>
    <t>unae05orden</t>
  </si>
  <si>
    <t>unae05titulo</t>
  </si>
  <si>
    <t>unae05justificacionnoconf</t>
  </si>
  <si>
    <t>Justificaciones de no conformidad</t>
  </si>
  <si>
    <t>unadjustificanc.php</t>
  </si>
  <si>
    <t>unae06id</t>
  </si>
  <si>
    <t>unae06procesonc</t>
  </si>
  <si>
    <t>unae06nombre</t>
  </si>
  <si>
    <t>unae07noconfornota</t>
  </si>
  <si>
    <t>unae07idnoconformidad</t>
  </si>
  <si>
    <t>unae07consec</t>
  </si>
  <si>
    <t>unae07id</t>
  </si>
  <si>
    <t>unae07idtercero</t>
  </si>
  <si>
    <t>unae07fecha</t>
  </si>
  <si>
    <t>unae07minuto</t>
  </si>
  <si>
    <t>unae07nota</t>
  </si>
  <si>
    <t>unae07idcont</t>
  </si>
  <si>
    <t>unae07idarchivo</t>
  </si>
  <si>
    <t>unae03fechaautoriza</t>
  </si>
  <si>
    <t>cara00config</t>
  </si>
  <si>
    <t>cara00id</t>
  </si>
  <si>
    <t>cara00idperfilconsejero</t>
  </si>
  <si>
    <t>Opciones del sistema</t>
  </si>
  <si>
    <t>caraopciones.php</t>
  </si>
  <si>
    <t>core17reporteacceso</t>
  </si>
  <si>
    <t>core17peraca</t>
  </si>
  <si>
    <t>core17tipo</t>
  </si>
  <si>
    <t>core17curso</t>
  </si>
  <si>
    <t>Reporte de acceso</t>
  </si>
  <si>
    <t>corerptacceso.php</t>
  </si>
  <si>
    <t>cara19rpttercero</t>
  </si>
  <si>
    <t>caraidtercero</t>
  </si>
  <si>
    <t>Resumen individual</t>
  </si>
  <si>
    <t>cararptresumen.php</t>
  </si>
  <si>
    <t>cara20reporteacceso</t>
  </si>
  <si>
    <t>cara20tipo</t>
  </si>
  <si>
    <t>cara20peraca</t>
  </si>
  <si>
    <t>cara20poblacion</t>
  </si>
  <si>
    <t>cara20idescuela</t>
  </si>
  <si>
    <t>Avance detallado</t>
  </si>
  <si>
    <t>corerptavancedet.php</t>
  </si>
  <si>
    <t>cara20idzona</t>
  </si>
  <si>
    <t>cara20idcead</t>
  </si>
  <si>
    <t>ofer58noconformidad</t>
  </si>
  <si>
    <t>ofer58id</t>
  </si>
  <si>
    <t>unae07masivoacceso</t>
  </si>
  <si>
    <t>unae07datos</t>
  </si>
  <si>
    <t>Envio masivo de datos de acceso</t>
  </si>
  <si>
    <t>unadmasivoacceso.php</t>
  </si>
  <si>
    <t>core16idconsejero</t>
  </si>
  <si>
    <t>Este dato es temporal para la asignacion de consejeros</t>
  </si>
  <si>
    <t>Tutores</t>
  </si>
  <si>
    <t>Asignación de cursos</t>
  </si>
  <si>
    <t>core06idcead</t>
  </si>
  <si>
    <t>core18contenedor</t>
  </si>
  <si>
    <t>core18consec</t>
  </si>
  <si>
    <t>core18id</t>
  </si>
  <si>
    <t>core18activo</t>
  </si>
  <si>
    <t>core18numreg</t>
  </si>
  <si>
    <t>core19tutores</t>
  </si>
  <si>
    <t>core19idtercero</t>
  </si>
  <si>
    <t>core19id</t>
  </si>
  <si>
    <t>core19activo</t>
  </si>
  <si>
    <t>core19idzona</t>
  </si>
  <si>
    <t>core19idsede</t>
  </si>
  <si>
    <t>core19formavincula</t>
  </si>
  <si>
    <t>core20idperaca</t>
  </si>
  <si>
    <t>core20idcurso</t>
  </si>
  <si>
    <t>core20id</t>
  </si>
  <si>
    <t>core20numestudiantes</t>
  </si>
  <si>
    <t>core20fechaingregistro</t>
  </si>
  <si>
    <t>core20fechaactualiza</t>
  </si>
  <si>
    <t>core20asignacion</t>
  </si>
  <si>
    <t>core20idtutor</t>
  </si>
  <si>
    <t>Fecha limite para seleccionar grupos</t>
  </si>
  <si>
    <t>exte02contgrupos</t>
  </si>
  <si>
    <t>exte02fechalimgrupos</t>
  </si>
  <si>
    <t>corecontenedor.php</t>
  </si>
  <si>
    <t>coretutor.php</t>
  </si>
  <si>
    <t>Contenedores por periodo</t>
  </si>
  <si>
    <t>Aunque en principio se pensaba dejar en diferentes roles la idea es que solo se va a usar para el 5 los demas iran en otro lado.</t>
  </si>
  <si>
    <t>core04idprograma</t>
  </si>
  <si>
    <t>core04nuevo</t>
  </si>
  <si>
    <t>corerpttotalmat.php</t>
  </si>
  <si>
    <t>core16errormatricula</t>
  </si>
  <si>
    <t>core04cursoequivalente</t>
  </si>
  <si>
    <t>core04idmoodle</t>
  </si>
  <si>
    <t>core07matriculaest_t</t>
  </si>
  <si>
    <t>core07contenedor</t>
  </si>
  <si>
    <t>core07condicion</t>
  </si>
  <si>
    <t>Esta tabla es para calcular totales</t>
  </si>
  <si>
    <t>core04fechaultacceso</t>
  </si>
  <si>
    <t>core04minultacceso</t>
  </si>
  <si>
    <t>core05estado</t>
  </si>
  <si>
    <t>0 En armado, 1 para llenado, 2 Iniciado, 7 calificado, 9 Completo</t>
  </si>
  <si>
    <t>core96tmp</t>
  </si>
  <si>
    <t>core96doc</t>
  </si>
  <si>
    <t>core96curso</t>
  </si>
  <si>
    <t>core96grupo</t>
  </si>
  <si>
    <t>core96peraca</t>
  </si>
  <si>
    <t>core96role</t>
  </si>
  <si>
    <t>core96idtercero</t>
  </si>
  <si>
    <t>core04idtutor</t>
  </si>
  <si>
    <t>ceca91rpterrores</t>
  </si>
  <si>
    <t>ceca91idtercero</t>
  </si>
  <si>
    <t>ceca91peraca</t>
  </si>
  <si>
    <t>ceca91curso</t>
  </si>
  <si>
    <t>Revision de agendas</t>
  </si>
  <si>
    <t>cecarevagenda.php</t>
  </si>
  <si>
    <t>core16estado</t>
  </si>
  <si>
    <t>ceca92avancegrupo</t>
  </si>
  <si>
    <t>ceca92idgrupo</t>
  </si>
  <si>
    <t>ceca92peraca</t>
  </si>
  <si>
    <t>ceca92idcurso</t>
  </si>
  <si>
    <t>ceca92idtutor</t>
  </si>
  <si>
    <t>0 Pendiente, 1 Iniciada, 3 Presentada, 5 No Presentada, 7 Calificada</t>
  </si>
  <si>
    <t>ceca92contenedor</t>
  </si>
  <si>
    <t>ceca92est_0</t>
  </si>
  <si>
    <t>ceca92est_1</t>
  </si>
  <si>
    <t>ceca92est_3</t>
  </si>
  <si>
    <t>ceca92est_5</t>
  </si>
  <si>
    <t>ceca92est_7</t>
  </si>
  <si>
    <t>Avance por grupo</t>
  </si>
  <si>
    <t>cecarptavance.php</t>
  </si>
  <si>
    <t>ceca92numest</t>
  </si>
  <si>
    <t>ceca01admon</t>
  </si>
  <si>
    <t>ceca01idperiodo</t>
  </si>
  <si>
    <t>ceca01idcurso</t>
  </si>
  <si>
    <t>ceca01idactividad</t>
  </si>
  <si>
    <t>Administracion academica</t>
  </si>
  <si>
    <t>cecaacademico.php</t>
  </si>
  <si>
    <t>ceca01idgrupo</t>
  </si>
  <si>
    <t>//123.123.123.123/raiz/usuario/loquequiera/algomas/mas_aun/esto_va_mas/</t>
  </si>
  <si>
    <t>olab07recestudiantes</t>
  </si>
  <si>
    <t>olab07recestorigen</t>
  </si>
  <si>
    <t>olab07rectutor</t>
  </si>
  <si>
    <t>olab07rectutorcopia</t>
  </si>
  <si>
    <t>olab07rectutororigen</t>
  </si>
  <si>
    <t>olab07recturornomorigen</t>
  </si>
  <si>
    <t>olab07idsmtp</t>
  </si>
  <si>
    <t>core16erroragenda</t>
  </si>
  <si>
    <t>ofer23momento</t>
  </si>
  <si>
    <t>Evaluaciones incluidas</t>
  </si>
  <si>
    <t>masi01alerta</t>
  </si>
  <si>
    <t>masi01idtercero</t>
  </si>
  <si>
    <t>masi01fecha</t>
  </si>
  <si>
    <t>masi01correo</t>
  </si>
  <si>
    <t>masi01idsmpt</t>
  </si>
  <si>
    <t>masi02mensaje</t>
  </si>
  <si>
    <t>masi02idtercero</t>
  </si>
  <si>
    <t>masi02fecha</t>
  </si>
  <si>
    <t>masi02idproceso</t>
  </si>
  <si>
    <t>masi02idref</t>
  </si>
  <si>
    <t>masi01minutoenvio</t>
  </si>
  <si>
    <t>ofercertifica.php</t>
  </si>
  <si>
    <t>oferevalua.php</t>
  </si>
  <si>
    <t>Evaluacion</t>
  </si>
  <si>
    <t>unad11correofuncionario</t>
  </si>
  <si>
    <t>unae09procesalogs</t>
  </si>
  <si>
    <t>Procesamiento de logs</t>
  </si>
  <si>
    <t>unae09documento</t>
  </si>
  <si>
    <t>unae09ip</t>
  </si>
  <si>
    <t>unadprocesalog.php</t>
  </si>
  <si>
    <t>ofer04origennota</t>
  </si>
  <si>
    <t>ofer58origennota</t>
  </si>
  <si>
    <t>ofer58consec</t>
  </si>
  <si>
    <t>ofer58titulo</t>
  </si>
  <si>
    <t>ofer04usarubrica</t>
  </si>
  <si>
    <t>ofer59rubricaactividad</t>
  </si>
  <si>
    <t>ofer59idcursoactiv</t>
  </si>
  <si>
    <t>ofer59consec</t>
  </si>
  <si>
    <t>ofer59id</t>
  </si>
  <si>
    <t>ofer59itemavalua</t>
  </si>
  <si>
    <t>ofer59puntaje</t>
  </si>
  <si>
    <t>ofer59instrucciones</t>
  </si>
  <si>
    <t>ofer04puntajeactividad</t>
  </si>
  <si>
    <t>Rubrica de evaluacion</t>
  </si>
  <si>
    <t>Origenes de las notas</t>
  </si>
  <si>
    <t>oferorigennota.php</t>
  </si>
  <si>
    <t>ceca02actividadtutor</t>
  </si>
  <si>
    <t>ceca02idtutor</t>
  </si>
  <si>
    <t>ceca02idperaca</t>
  </si>
  <si>
    <t>ceca02idcurso</t>
  </si>
  <si>
    <t>ceca02idactividad</t>
  </si>
  <si>
    <t>ceca02id</t>
  </si>
  <si>
    <t>ceca02idestado</t>
  </si>
  <si>
    <t>Actividades tutor</t>
  </si>
  <si>
    <t>ceca03estadoactividad</t>
  </si>
  <si>
    <t>ceca03id</t>
  </si>
  <si>
    <t>ceca03nombre</t>
  </si>
  <si>
    <t>ceca02fechainicio</t>
  </si>
  <si>
    <t>ceca02fechacierrre</t>
  </si>
  <si>
    <t>ceca02fecharetro</t>
  </si>
  <si>
    <t>ceca02peso</t>
  </si>
  <si>
    <t>ofer18idact_moodle</t>
  </si>
  <si>
    <t>cecaagenda.php</t>
  </si>
  <si>
    <t>ofer18origennota</t>
  </si>
  <si>
    <t>Agenda por curso</t>
  </si>
  <si>
    <t>Agenda del curso</t>
  </si>
  <si>
    <t>cecaacttutor.php</t>
  </si>
  <si>
    <t>Momentos de la E-evaluación</t>
  </si>
  <si>
    <t>ofer03idmomento</t>
  </si>
  <si>
    <t>unad11debeactualizarclave</t>
  </si>
  <si>
    <t>unae10historialclave</t>
  </si>
  <si>
    <t>unae10idtercero</t>
  </si>
  <si>
    <t>unae10fecha</t>
  </si>
  <si>
    <t>unae10hash</t>
  </si>
  <si>
    <t>even18url</t>
  </si>
  <si>
    <t>ceca02momentoest</t>
  </si>
  <si>
    <t>ceca02fechacierre</t>
  </si>
  <si>
    <t>ceca02idcierra</t>
  </si>
  <si>
    <t>ceca02numgrupos</t>
  </si>
  <si>
    <t>ceca02numest</t>
  </si>
  <si>
    <t>ceca02mincierra</t>
  </si>
  <si>
    <t>unae11usuariologeados</t>
  </si>
  <si>
    <t>unae11dia</t>
  </si>
  <si>
    <t>Accesos unicos</t>
  </si>
  <si>
    <t>unadrptaccesos.php</t>
  </si>
  <si>
    <t>ofer08av_horaalista</t>
  </si>
  <si>
    <t>ofer08av_fechaalista</t>
  </si>
  <si>
    <t>ofer08av_fechaevaluado</t>
  </si>
  <si>
    <t>ofer08av_horaevaluado</t>
  </si>
  <si>
    <t>ofer08av_fechaajustes</t>
  </si>
  <si>
    <t>ofer08av_horaajustes</t>
  </si>
  <si>
    <t>ofer08av_fechatermajustes</t>
  </si>
  <si>
    <t>ofer08av_horaterajustes</t>
  </si>
  <si>
    <t>ofer08av_fechatermina</t>
  </si>
  <si>
    <t>ofer08av_horatermina</t>
  </si>
  <si>
    <t>ofer08av_avance</t>
  </si>
  <si>
    <t>10 Cuando esta para alistar.</t>
  </si>
  <si>
    <t>20 cuando llega alistamiento</t>
  </si>
  <si>
    <t>30 cuando pasa a en acreditacion o en certificacion</t>
  </si>
  <si>
    <t>40 cuando llegue a ajustes finales</t>
  </si>
  <si>
    <t>50 cuando termino ajustes</t>
  </si>
  <si>
    <t>60 cuando todo concluye.</t>
  </si>
  <si>
    <t>Indicadores de avance</t>
  </si>
  <si>
    <t>oferrptindicadores.php</t>
  </si>
  <si>
    <t>maid01mensaje</t>
  </si>
  <si>
    <t>maid01estado</t>
  </si>
  <si>
    <t>maid01cuerpo</t>
  </si>
  <si>
    <t>maid01idperaca</t>
  </si>
  <si>
    <t>maid01consec</t>
  </si>
  <si>
    <t>maid01id</t>
  </si>
  <si>
    <t>maid01fecha</t>
  </si>
  <si>
    <t>maid01minuto</t>
  </si>
  <si>
    <t>maid02anexo</t>
  </si>
  <si>
    <t>maid02idmensaje</t>
  </si>
  <si>
    <t>maid02consec</t>
  </si>
  <si>
    <t>maid02id</t>
  </si>
  <si>
    <t>maid02origen</t>
  </si>
  <si>
    <t>maid02idanexo</t>
  </si>
  <si>
    <t>maid02detalle</t>
  </si>
  <si>
    <t>maid01idenvia</t>
  </si>
  <si>
    <t>maid03id</t>
  </si>
  <si>
    <t>maid03consec</t>
  </si>
  <si>
    <t>maid01idhilo</t>
  </si>
  <si>
    <t>maid03idproceso</t>
  </si>
  <si>
    <t>maid03fecha</t>
  </si>
  <si>
    <t>maid03minuto</t>
  </si>
  <si>
    <t>maid04participa</t>
  </si>
  <si>
    <t>maid03hilo</t>
  </si>
  <si>
    <t>maid04idhilo</t>
  </si>
  <si>
    <t>maid04idtercero</t>
  </si>
  <si>
    <t>maid04id</t>
  </si>
  <si>
    <t>maid04fechaing</t>
  </si>
  <si>
    <t>maid04mining</t>
  </si>
  <si>
    <t>maid04idestado</t>
  </si>
  <si>
    <t>maid03idcurso</t>
  </si>
  <si>
    <t>maid03idgrupo</t>
  </si>
  <si>
    <t>Activo o retirado (1, 0)</t>
  </si>
  <si>
    <t>Conversaciones</t>
  </si>
  <si>
    <t>maidconversacion.php</t>
  </si>
  <si>
    <t>maid03idadmin</t>
  </si>
  <si>
    <t>maid03permiteretiro</t>
  </si>
  <si>
    <t>maid03idperaca</t>
  </si>
  <si>
    <t>maid05estadomsg</t>
  </si>
  <si>
    <t>maid05idtercero</t>
  </si>
  <si>
    <t>maid05id</t>
  </si>
  <si>
    <t>maid05idmensaje</t>
  </si>
  <si>
    <t>maid05idhilo</t>
  </si>
  <si>
    <t>maid05leido</t>
  </si>
  <si>
    <t>maid05fechaleido</t>
  </si>
  <si>
    <t>maid05minleido</t>
  </si>
  <si>
    <t>estado mensaje</t>
  </si>
  <si>
    <t>maid06terceroperaca</t>
  </si>
  <si>
    <t>maid06idtercero</t>
  </si>
  <si>
    <t>maid06idperaca</t>
  </si>
  <si>
    <t>maid06id</t>
  </si>
  <si>
    <t>maid06numhilos</t>
  </si>
  <si>
    <t>maid04idrol</t>
  </si>
  <si>
    <t>0 participante, 1 Tutor, 2 Director, 3 Consejero</t>
  </si>
  <si>
    <t>0 Conversacion privada, 1 Academico, 2 Consejeria</t>
  </si>
  <si>
    <t>maid03asunto</t>
  </si>
  <si>
    <t>Bloques de mensajes</t>
  </si>
  <si>
    <t>maidmsg.php</t>
  </si>
  <si>
    <t>maid03fechaultmsg</t>
  </si>
  <si>
    <t>maid03minultmsg</t>
  </si>
  <si>
    <t>maid03asunto2</t>
  </si>
  <si>
    <t>maid03iddestino</t>
  </si>
  <si>
    <t>maid05notifica1</t>
  </si>
  <si>
    <t>maid05notifica7</t>
  </si>
  <si>
    <t>ofer29masivos</t>
  </si>
  <si>
    <t>ofer29idperaca</t>
  </si>
  <si>
    <t>Masivos</t>
  </si>
  <si>
    <t>oferprocesos.php</t>
  </si>
  <si>
    <t>unad88conencuestas</t>
  </si>
  <si>
    <t>unad88conmaidi</t>
  </si>
  <si>
    <t>unad88connotas</t>
  </si>
  <si>
    <t>ofer59estrategiaaprende</t>
  </si>
  <si>
    <t>ofer59nombre</t>
  </si>
  <si>
    <t>ofer59idescuela</t>
  </si>
  <si>
    <t>ofer59activa</t>
  </si>
  <si>
    <t>Estrategias de aprendizaje</t>
  </si>
  <si>
    <t>oferestrategia.php</t>
  </si>
  <si>
    <t>ofer08idestrategiaaprende</t>
  </si>
  <si>
    <t>ofer08razonvence</t>
  </si>
  <si>
    <t>ofer08numdevoluciones</t>
  </si>
  <si>
    <t>ofer08numajustes</t>
  </si>
  <si>
    <t>ofer60razonvence</t>
  </si>
  <si>
    <t>ofer60consec</t>
  </si>
  <si>
    <t>ofer60id</t>
  </si>
  <si>
    <t>ofer60activa</t>
  </si>
  <si>
    <t>ofer60nombre</t>
  </si>
  <si>
    <t>OJO TABLA 59 ya esta en uso.</t>
  </si>
  <si>
    <t>Razones por las que vencen los cursos</t>
  </si>
  <si>
    <t>oferrazonvence.php</t>
  </si>
  <si>
    <t>ofer08entregaescuela</t>
  </si>
  <si>
    <t>unad08usuarios</t>
  </si>
  <si>
    <t>core05rezagado</t>
  </si>
  <si>
    <t>0 va al dia, 1 esta rezagado por tanto hay que gestionarlo aparte</t>
  </si>
  <si>
    <t>Estado de los contenedores</t>
  </si>
  <si>
    <t>unadrptestadocont.php</t>
  </si>
  <si>
    <t>bita84estadocontenedor</t>
  </si>
  <si>
    <t>bita84tabla</t>
  </si>
  <si>
    <t>cara21lidereszona</t>
  </si>
  <si>
    <t>cara21id</t>
  </si>
  <si>
    <t>cara21idlider</t>
  </si>
  <si>
    <t>cara21activo</t>
  </si>
  <si>
    <t>cara21idzona</t>
  </si>
  <si>
    <t>Lideres zonales</t>
  </si>
  <si>
    <t>caraliderzona.php</t>
  </si>
  <si>
    <t>unad23conestudiantes</t>
  </si>
  <si>
    <t>cara00idperfillider</t>
  </si>
  <si>
    <t>cara50tipopoblacion</t>
  </si>
  <si>
    <t>cara49necespeciales</t>
  </si>
  <si>
    <t>cara49idperaca</t>
  </si>
  <si>
    <t>cara49idzona</t>
  </si>
  <si>
    <t>cara49idcentro</t>
  </si>
  <si>
    <t>cara49tipopoblacion</t>
  </si>
  <si>
    <t>Necesidades especiales</t>
  </si>
  <si>
    <t>caraespeciales.php</t>
  </si>
  <si>
    <t>unad40notaminimaaproba</t>
  </si>
  <si>
    <t>ofer08sal_formanota</t>
  </si>
  <si>
    <t>ofer08sal_numjornadas</t>
  </si>
  <si>
    <t>ofer08sal_porc1</t>
  </si>
  <si>
    <t>ofer08sal_porc2</t>
  </si>
  <si>
    <t>ofer08sal_porc3</t>
  </si>
  <si>
    <t>ofer08sal_porc4</t>
  </si>
  <si>
    <t>Dispercion de notas</t>
  </si>
  <si>
    <t>oildispersion.php</t>
  </si>
  <si>
    <t>core04est_aprob</t>
  </si>
  <si>
    <t>core04est_nivel</t>
  </si>
  <si>
    <t>core04est_75presenta</t>
  </si>
  <si>
    <t>core04est_75cero</t>
  </si>
  <si>
    <t>core04est_75aprobado</t>
  </si>
  <si>
    <t>core04est_75noaprobado</t>
  </si>
  <si>
    <t>core04est_25presenta</t>
  </si>
  <si>
    <t>core04est_25cero</t>
  </si>
  <si>
    <t>core04est_25noaprobado</t>
  </si>
  <si>
    <t>core04est_25aprobado</t>
  </si>
  <si>
    <t>core04est_100presenta</t>
  </si>
  <si>
    <t>core04est_100cero</t>
  </si>
  <si>
    <t>core04est_100noaprobado</t>
  </si>
  <si>
    <t>core04est_100aprobado</t>
  </si>
  <si>
    <t>core04idevaldocente</t>
  </si>
  <si>
    <t>core04idregevaldoc</t>
  </si>
  <si>
    <t>Estadistica de calificaciones</t>
  </si>
  <si>
    <t>cecaestcalifica.php</t>
  </si>
  <si>
    <t>core04fechaexporta</t>
  </si>
  <si>
    <t>core04minexporta</t>
  </si>
  <si>
    <t>olab13listados</t>
  </si>
  <si>
    <t>Listados</t>
  </si>
  <si>
    <t>olablistados.php</t>
  </si>
  <si>
    <t>unad11necesidadesp</t>
  </si>
  <si>
    <t>cara22gruposfactores</t>
  </si>
  <si>
    <t>cara22id</t>
  </si>
  <si>
    <t>cara22nombre</t>
  </si>
  <si>
    <t>cara09codsnies</t>
  </si>
  <si>
    <t>core21lineaprof</t>
  </si>
  <si>
    <t>core21idprograma</t>
  </si>
  <si>
    <t>core21consec</t>
  </si>
  <si>
    <t>core21id</t>
  </si>
  <si>
    <t>core21vigente</t>
  </si>
  <si>
    <t>core21nombre</t>
  </si>
  <si>
    <t>core21descripcion</t>
  </si>
  <si>
    <t>Lineas de profundizacion</t>
  </si>
  <si>
    <t>core11idlineaprof</t>
  </si>
  <si>
    <t>core11idcorrequisito</t>
  </si>
  <si>
    <t>core11homologable</t>
  </si>
  <si>
    <t>core11habilitable</t>
  </si>
  <si>
    <t>core11porsuficiencia</t>
  </si>
  <si>
    <t>core11notaaprobatoria</t>
  </si>
  <si>
    <t>unae06idsistema</t>
  </si>
  <si>
    <t>core01avanceplanest</t>
  </si>
  <si>
    <t>core01gradoidopcion</t>
  </si>
  <si>
    <t>core01gradofechainscripcion</t>
  </si>
  <si>
    <t>core01gradoidarchivoprop</t>
  </si>
  <si>
    <t>core01gradoidorigenprop</t>
  </si>
  <si>
    <t>core01gradoidrevisor</t>
  </si>
  <si>
    <t>core01gradoestado</t>
  </si>
  <si>
    <t>core01gradodirector</t>
  </si>
  <si>
    <t>core01gradojurado1</t>
  </si>
  <si>
    <t>core01gradojurado2</t>
  </si>
  <si>
    <t>core01gradojurado3</t>
  </si>
  <si>
    <t>core22gradohistorialest</t>
  </si>
  <si>
    <t>core22consec</t>
  </si>
  <si>
    <t>core22idestprograma</t>
  </si>
  <si>
    <t>core22id</t>
  </si>
  <si>
    <t>core22idestadoorigen</t>
  </si>
  <si>
    <t>core22idestadodestino</t>
  </si>
  <si>
    <t>core22fecha</t>
  </si>
  <si>
    <t>core22anotacion</t>
  </si>
  <si>
    <t>core01gradonumfolio</t>
  </si>
  <si>
    <t>core01gradofecha</t>
  </si>
  <si>
    <t>core01gradonumacta</t>
  </si>
  <si>
    <t>core01gradoidorigenacta</t>
  </si>
  <si>
    <t>core01gradoidarchivoacta</t>
  </si>
  <si>
    <t>core01gradonotasustenta</t>
  </si>
  <si>
    <t>core01gradonotadocumento</t>
  </si>
  <si>
    <t>core01gradonotafinal</t>
  </si>
  <si>
    <t>core01gradonotaproyecto</t>
  </si>
  <si>
    <t>core23gradohistorialactor</t>
  </si>
  <si>
    <t>core23idestprograma</t>
  </si>
  <si>
    <t>core23consec</t>
  </si>
  <si>
    <t>core23id</t>
  </si>
  <si>
    <t>core23idactor</t>
  </si>
  <si>
    <t>core23idtercerosale</t>
  </si>
  <si>
    <t>core23idterceroentra</t>
  </si>
  <si>
    <t>core23fecha</t>
  </si>
  <si>
    <t>0 Cerrado, 1 Para propuesta, 2 Propuesta enviada, 3 Propuesta rechazada por revisor, 4 Propuesta enviada a comité, 5 Rechazada por comité, 6 Aprobada por comité, 7 Avalada por director, 8 Jurados asignados, 9 En revision por jurados, 10 Ajustes del documento a sustentar, 11 Aprobada para sustentar, 12 Programada para sustentar, 13 En evaluación de sustestación, 14 Aprobada para grado.</t>
  </si>
  <si>
    <t>core01gradocodigoverifica</t>
  </si>
  <si>
    <t>cara09nivelformacion</t>
  </si>
  <si>
    <t>core22nivelprograma</t>
  </si>
  <si>
    <t>core22nombre</t>
  </si>
  <si>
    <t>Aprobacion de versiones</t>
  </si>
  <si>
    <t>coreversionaprueba.php</t>
  </si>
  <si>
    <t>core23equivalentes</t>
  </si>
  <si>
    <t>core23idversionprograma</t>
  </si>
  <si>
    <t>core23idcurso</t>
  </si>
  <si>
    <t>core23idequivalente1</t>
  </si>
  <si>
    <t>core23idequivalente2</t>
  </si>
  <si>
    <t>core23formaunion</t>
  </si>
  <si>
    <t>0, equivalente unico, 1 doble curso obligatorio, 2 doble curso opcional</t>
  </si>
  <si>
    <t>core11idorigencontprog</t>
  </si>
  <si>
    <t>core11idarchivocontprog</t>
  </si>
  <si>
    <t>core00params</t>
  </si>
  <si>
    <t>coreparams.php</t>
  </si>
  <si>
    <t>core00id</t>
  </si>
  <si>
    <t>core00idperfildecano</t>
  </si>
  <si>
    <t>core00idperfiladminescuela</t>
  </si>
  <si>
    <t>core00idperfilliderprog</t>
  </si>
  <si>
    <t>core00idperfiltutor</t>
  </si>
  <si>
    <t>Historico de cambios de estado</t>
  </si>
  <si>
    <t>core24id</t>
  </si>
  <si>
    <t>core24nombre</t>
  </si>
  <si>
    <t>core24estadoverprog</t>
  </si>
  <si>
    <t>core25histestadoverprog</t>
  </si>
  <si>
    <t>core25idversionprograma</t>
  </si>
  <si>
    <t>core25consec</t>
  </si>
  <si>
    <t>core25id</t>
  </si>
  <si>
    <t>core25idestadoprevio</t>
  </si>
  <si>
    <t>core25idestadodestino</t>
  </si>
  <si>
    <t>core25fecha</t>
  </si>
  <si>
    <t>core25idusuario</t>
  </si>
  <si>
    <t>core25anotacion</t>
  </si>
  <si>
    <t>core01idrevision</t>
  </si>
  <si>
    <t>core01fecharevision</t>
  </si>
  <si>
    <t>core10numcredelecgenerales</t>
  </si>
  <si>
    <t>core10numcredelecescuela</t>
  </si>
  <si>
    <t>core10numcredelecprograma</t>
  </si>
  <si>
    <t>core10numcredeleccomplem</t>
  </si>
  <si>
    <t>fe_estudiante</t>
  </si>
  <si>
    <t>gradoestudiante.php</t>
  </si>
  <si>
    <t>codigo_estudiante</t>
  </si>
  <si>
    <t>fk_Tipo_Documento</t>
  </si>
  <si>
    <t>fk_ciudad_exp_doc</t>
  </si>
  <si>
    <t>primer_Nombre</t>
  </si>
  <si>
    <t>segundo_Nombre</t>
  </si>
  <si>
    <t>primer_Apellido</t>
  </si>
  <si>
    <t>segundo_Apellido</t>
  </si>
  <si>
    <t>fe_ciudad</t>
  </si>
  <si>
    <t>fe_tipo_documento</t>
  </si>
  <si>
    <t>tipo_Documento</t>
  </si>
  <si>
    <t>id_Tipo_Documento</t>
  </si>
  <si>
    <t>id_ciudad</t>
  </si>
  <si>
    <t>nombre_ciudad</t>
  </si>
  <si>
    <t>En caso de consultas frecuentes y que barran bastante tama;o, considerar la posibilidad de montar indices compuestos que coincidan con la consulta de uso frecuente.</t>
  </si>
  <si>
    <t>core26espejos</t>
  </si>
  <si>
    <t>core26idzona</t>
  </si>
  <si>
    <t>core26idtipoespejo</t>
  </si>
  <si>
    <t>core26id</t>
  </si>
  <si>
    <t>core26idtercero</t>
  </si>
  <si>
    <t>core26vigente</t>
  </si>
  <si>
    <t>coreespejos.php</t>
  </si>
  <si>
    <t>Espejos zonales</t>
  </si>
  <si>
    <t>core27tipoespejo</t>
  </si>
  <si>
    <t>core27consec</t>
  </si>
  <si>
    <t>core27id</t>
  </si>
  <si>
    <t>core27nombre</t>
  </si>
  <si>
    <t>core27idperfil</t>
  </si>
  <si>
    <t>core27vigente</t>
  </si>
  <si>
    <t>Tipos de espejos</t>
  </si>
  <si>
    <t>coretipoespejo.php</t>
  </si>
  <si>
    <t>Las tablas basicas podrian tener un indice sobre el campo nombre para que cargen mas rapido</t>
  </si>
  <si>
    <t>core26idescuela</t>
  </si>
  <si>
    <t>core28idperaca</t>
  </si>
  <si>
    <t>core28idcurso</t>
  </si>
  <si>
    <t>core28id</t>
  </si>
  <si>
    <t>core28ofertado</t>
  </si>
  <si>
    <t>core28electivos</t>
  </si>
  <si>
    <t>core28idescuela</t>
  </si>
  <si>
    <t>Electivos basicos comunes</t>
  </si>
  <si>
    <t>coreelectivobc.php</t>
  </si>
  <si>
    <t>Electivos disciplinares comunes</t>
  </si>
  <si>
    <t>coreelectivodi.php</t>
  </si>
  <si>
    <t>Cambios de estado</t>
  </si>
  <si>
    <t>Asignacion de revisor</t>
  </si>
  <si>
    <t>coreactarevisor.php</t>
  </si>
  <si>
    <t>core31gradoactor</t>
  </si>
  <si>
    <t>core31id</t>
  </si>
  <si>
    <t>core31nombre</t>
  </si>
  <si>
    <t>core31idperfil</t>
  </si>
  <si>
    <t>Tipos de actores en grados</t>
  </si>
  <si>
    <t>coreactorgrado.php</t>
  </si>
  <si>
    <t>core32gradoestado</t>
  </si>
  <si>
    <t>core32id</t>
  </si>
  <si>
    <t>core32nombre</t>
  </si>
  <si>
    <t>Cambios de actores</t>
  </si>
  <si>
    <t>Aval de propuestas iniciales</t>
  </si>
  <si>
    <t>Asigacion de directores</t>
  </si>
  <si>
    <t>Aval de documento final</t>
  </si>
  <si>
    <t>Asignacion de jurados</t>
  </si>
  <si>
    <t>Evaluación de opciones de grado</t>
  </si>
  <si>
    <t>coreactaaval.php</t>
  </si>
  <si>
    <t>coreactadirector.php</t>
  </si>
  <si>
    <t>coreactadocfin.php</t>
  </si>
  <si>
    <t>coreactajurados.php</t>
  </si>
  <si>
    <t>coreactaevalua.php</t>
  </si>
  <si>
    <t>core38opciongrado</t>
  </si>
  <si>
    <t>core38id</t>
  </si>
  <si>
    <t>core38nombre</t>
  </si>
  <si>
    <t>core38avancenecesario</t>
  </si>
  <si>
    <t>core38vigente</t>
  </si>
  <si>
    <t>Opciones de grado</t>
  </si>
  <si>
    <t>1, Proyecto Aplicado, 75</t>
  </si>
  <si>
    <t>core38nivelacademico</t>
  </si>
  <si>
    <t>coreopciongrado.php</t>
  </si>
  <si>
    <t>bita01ambito</t>
  </si>
  <si>
    <t>bita01idgrupotrabajo</t>
  </si>
  <si>
    <t>bita26idperfil</t>
  </si>
  <si>
    <t>bita26id</t>
  </si>
  <si>
    <t>bita26activo</t>
  </si>
  <si>
    <t>Perfiles asociados</t>
  </si>
  <si>
    <t>bita27equipotrabajo</t>
  </si>
  <si>
    <t>bita27consec</t>
  </si>
  <si>
    <t>bita27id</t>
  </si>
  <si>
    <t>bita27idlider</t>
  </si>
  <si>
    <t>bita27nombre</t>
  </si>
  <si>
    <t>Equipos de trabajo</t>
  </si>
  <si>
    <t>bitaequipotrabajo.php</t>
  </si>
  <si>
    <t>bita28eqipoparte</t>
  </si>
  <si>
    <t>bita27idperfil</t>
  </si>
  <si>
    <t>bita28idequipotrab</t>
  </si>
  <si>
    <t>bita28idtercero</t>
  </si>
  <si>
    <t>bita28id</t>
  </si>
  <si>
    <t>bita28fechaingreso</t>
  </si>
  <si>
    <t>bita28fechasalida</t>
  </si>
  <si>
    <t>bita28activo</t>
  </si>
  <si>
    <t>Integrantes</t>
  </si>
  <si>
    <t>bita04idsupervisor</t>
  </si>
  <si>
    <t>bita04idequipotrabajo</t>
  </si>
  <si>
    <t>bita05visiblesolicitante</t>
  </si>
  <si>
    <t>bita05idorigen</t>
  </si>
  <si>
    <t>bita05idarchivo</t>
  </si>
  <si>
    <t>bita04infocomplemento</t>
  </si>
  <si>
    <t>bita04mailrespusta</t>
  </si>
  <si>
    <t>bita29bitahistestado</t>
  </si>
  <si>
    <t>bita29idbitacora</t>
  </si>
  <si>
    <t>bita29consec</t>
  </si>
  <si>
    <t>bita29id</t>
  </si>
  <si>
    <t>bita29idestadoorigen</t>
  </si>
  <si>
    <t>bita29idestadofin</t>
  </si>
  <si>
    <t>bita29idusuario</t>
  </si>
  <si>
    <t>bita29fecha</t>
  </si>
  <si>
    <t>bita29hora</t>
  </si>
  <si>
    <t>bita27correogrupo</t>
  </si>
  <si>
    <t>bita06ambito</t>
  </si>
  <si>
    <t>bita06idgrupotrabajo</t>
  </si>
  <si>
    <t>bita26temaperfil</t>
  </si>
  <si>
    <t>bita26idtema</t>
  </si>
  <si>
    <t>Medios de solicitud</t>
  </si>
  <si>
    <t>bita30bitahistrespon</t>
  </si>
  <si>
    <t>Cambios de responsable</t>
  </si>
  <si>
    <t>bita04fechavence</t>
  </si>
  <si>
    <t>bita04minutovence</t>
  </si>
  <si>
    <t>bita04diasrespuesta</t>
  </si>
  <si>
    <t>bita04minutosrespuesta</t>
  </si>
  <si>
    <t>bita04idzona</t>
  </si>
  <si>
    <t>bita04iddependencia</t>
  </si>
  <si>
    <t>bita30idbitacora</t>
  </si>
  <si>
    <t>bita30consec</t>
  </si>
  <si>
    <t>bita30id</t>
  </si>
  <si>
    <t>bita30idresponsable</t>
  </si>
  <si>
    <t>bita30fechafin</t>
  </si>
  <si>
    <t>bita30horafin</t>
  </si>
  <si>
    <t>bita30nota</t>
  </si>
  <si>
    <t>core01numcredelecgenerales</t>
  </si>
  <si>
    <t>core01numcredelecescuela</t>
  </si>
  <si>
    <t>core01numcredelecprograma</t>
  </si>
  <si>
    <t>core01numcredeleccomplem</t>
  </si>
  <si>
    <t>core01numcredelecgeneralesaprob</t>
  </si>
  <si>
    <t>core01numcredelecescuelaaprob</t>
  </si>
  <si>
    <t>core01numcredelecprogramaaaprob</t>
  </si>
  <si>
    <t>core01numcredeleccomplemaprob</t>
  </si>
  <si>
    <t>Registro academico individual</t>
  </si>
  <si>
    <t>corerai.php</t>
  </si>
  <si>
    <t>core01gradoraifechaaprueba</t>
  </si>
  <si>
    <t>core01gradoraiidaprueba</t>
  </si>
  <si>
    <t>core01gradourldocfinal</t>
  </si>
  <si>
    <t>core13fijo</t>
  </si>
  <si>
    <t>core13orden</t>
  </si>
  <si>
    <t>core39egresado</t>
  </si>
  <si>
    <t>Encuesta egresado</t>
  </si>
  <si>
    <t>coreencegresado.php</t>
  </si>
  <si>
    <t>core39idtercero</t>
  </si>
  <si>
    <t>core39idprograma</t>
  </si>
  <si>
    <t>core39id</t>
  </si>
  <si>
    <t>core39idescuela</t>
  </si>
  <si>
    <t>core39idzona</t>
  </si>
  <si>
    <t>core391idcead</t>
  </si>
  <si>
    <t>Esta tabla es una continuidad de la core01</t>
  </si>
  <si>
    <t>Esta tabla no se usa como referencia porque tiene muchos datos.</t>
  </si>
  <si>
    <t>unad71hostname</t>
  </si>
  <si>
    <t>Revision de accesos</t>
  </si>
  <si>
    <t>unadrevacceso.php</t>
  </si>
  <si>
    <t>unae12visorreportes</t>
  </si>
  <si>
    <t>unae12nada</t>
  </si>
  <si>
    <t>unae13enrevision</t>
  </si>
  <si>
    <t>unae13idia</t>
  </si>
  <si>
    <t>unae13idtercero</t>
  </si>
  <si>
    <t>unae13id</t>
  </si>
  <si>
    <t>unae13estado</t>
  </si>
  <si>
    <t>unae13idrevisa</t>
  </si>
  <si>
    <t>unae13fecharevisa</t>
  </si>
  <si>
    <t>unae13dictamen</t>
  </si>
  <si>
    <t>unae13origen</t>
  </si>
  <si>
    <t>unae13comunes</t>
  </si>
  <si>
    <t>unad13iporigen</t>
  </si>
  <si>
    <t>core50convenios</t>
  </si>
  <si>
    <t>core50consec</t>
  </si>
  <si>
    <t>core50id</t>
  </si>
  <si>
    <t>core50nombre</t>
  </si>
  <si>
    <t>core50fechainico</t>
  </si>
  <si>
    <t>core50estado</t>
  </si>
  <si>
    <t>core50fechafinal</t>
  </si>
  <si>
    <t>core50idaliado1</t>
  </si>
  <si>
    <t>core50idaliado2</t>
  </si>
  <si>
    <t>core50idaliado3</t>
  </si>
  <si>
    <t>core50tipoconvenio</t>
  </si>
  <si>
    <t>core50porccargamatri1</t>
  </si>
  <si>
    <t>core50porccargamatri2</t>
  </si>
  <si>
    <t>core50porccargamatri3</t>
  </si>
  <si>
    <t>core50porcunad</t>
  </si>
  <si>
    <t>core50porcestudiante</t>
  </si>
  <si>
    <t>core50porcdescuento</t>
  </si>
  <si>
    <t>core50limitadogeografico</t>
  </si>
  <si>
    <t>core50numcontrato1</t>
  </si>
  <si>
    <t>core50descripcioncorta</t>
  </si>
  <si>
    <t>coreconvenio.php</t>
  </si>
  <si>
    <t>core50idsupervisor</t>
  </si>
  <si>
    <t>core50vigilarpromedio</t>
  </si>
  <si>
    <t>core50notaminima</t>
  </si>
  <si>
    <t>core51convenioest</t>
  </si>
  <si>
    <t>core51idconvenio</t>
  </si>
  <si>
    <t>core51idtercero</t>
  </si>
  <si>
    <t>core51id</t>
  </si>
  <si>
    <t>core51fechaingreso</t>
  </si>
  <si>
    <t>core50valorpagomatri1</t>
  </si>
  <si>
    <t>core51activo</t>
  </si>
  <si>
    <t>core51fecharetiro</t>
  </si>
  <si>
    <t>core51idprograma</t>
  </si>
  <si>
    <t>Beneficiarios convenios</t>
  </si>
  <si>
    <t>core51idmatricula1</t>
  </si>
  <si>
    <t>core51vraliado1mat1</t>
  </si>
  <si>
    <t>core51vraliado2mat1</t>
  </si>
  <si>
    <t>core51vraliado3mat1</t>
  </si>
  <si>
    <t>core51estudiantemat1</t>
  </si>
  <si>
    <t>core51idmatricula2</t>
  </si>
  <si>
    <t>core51vraliado1mat3</t>
  </si>
  <si>
    <t>core51vraliado1mat2</t>
  </si>
  <si>
    <t>core51vraliado2mat2</t>
  </si>
  <si>
    <t>core51vraliado3mat2</t>
  </si>
  <si>
    <t>core51estudiantemat2</t>
  </si>
  <si>
    <t>core51peracainicio</t>
  </si>
  <si>
    <t>core51idmatricula3</t>
  </si>
  <si>
    <t>core51vraliado2mat3</t>
  </si>
  <si>
    <t>core51vraliado3mat3</t>
  </si>
  <si>
    <t>core51estudiantemat3</t>
  </si>
  <si>
    <t>core51idmatricula4</t>
  </si>
  <si>
    <t>core51vraliado1mat4</t>
  </si>
  <si>
    <t>core51vraliado2mat4</t>
  </si>
  <si>
    <t>core51vraliado3mat4</t>
  </si>
  <si>
    <t>core51estudiantemat4</t>
  </si>
  <si>
    <t>core51idmatricula5</t>
  </si>
  <si>
    <t>core51vraliado1mat5</t>
  </si>
  <si>
    <t>core51vraliado2mat5</t>
  </si>
  <si>
    <t>core51vraliado3mat5</t>
  </si>
  <si>
    <t>core51estudiantemat5</t>
  </si>
  <si>
    <t>core51idmatricula6</t>
  </si>
  <si>
    <t>core51vraliado1mat6</t>
  </si>
  <si>
    <t>core51vraliado2mat6</t>
  </si>
  <si>
    <t>core51vraliado3mat6</t>
  </si>
  <si>
    <t>core51estudiantemat6</t>
  </si>
  <si>
    <t>core51idmatricula7</t>
  </si>
  <si>
    <t>core51vraliado1mat7</t>
  </si>
  <si>
    <t>core51vraliado2mat7</t>
  </si>
  <si>
    <t>core51vraliado3mat7</t>
  </si>
  <si>
    <t>core51estudiantemat7</t>
  </si>
  <si>
    <t>core51idmatricula8</t>
  </si>
  <si>
    <t>core51vraliado1mat8</t>
  </si>
  <si>
    <t>core51vraliado2mat8</t>
  </si>
  <si>
    <t>core51vraliado3mat8</t>
  </si>
  <si>
    <t>core51estudiantemat8</t>
  </si>
  <si>
    <t>core51idmatricula9</t>
  </si>
  <si>
    <t>core51vraliado1mat9</t>
  </si>
  <si>
    <t>core51vraliado2mat9</t>
  </si>
  <si>
    <t>core51vraliado3mat9</t>
  </si>
  <si>
    <t>core51estudiantemat9</t>
  </si>
  <si>
    <t>core51idmatricula10</t>
  </si>
  <si>
    <t>core51vraliado1mat10</t>
  </si>
  <si>
    <t>core51vraliado2mat10</t>
  </si>
  <si>
    <t>core51vraliado3mat10</t>
  </si>
  <si>
    <t>core51estudiantemat10</t>
  </si>
  <si>
    <t>core51idmatricula11</t>
  </si>
  <si>
    <t>core51vraliado1mat11</t>
  </si>
  <si>
    <t>core51vraliado2mat11</t>
  </si>
  <si>
    <t>core51vraliado3mat11</t>
  </si>
  <si>
    <t>core51estudiantemat11</t>
  </si>
  <si>
    <t>core51idmatricula12</t>
  </si>
  <si>
    <t>core51vraliado1mat12</t>
  </si>
  <si>
    <t>core51vraliado2mat12</t>
  </si>
  <si>
    <t>core51vraliado3mat12</t>
  </si>
  <si>
    <t>core51estudiantemat12</t>
  </si>
  <si>
    <t>core52tipoconvenio</t>
  </si>
  <si>
    <t>core52consec</t>
  </si>
  <si>
    <t>core52id</t>
  </si>
  <si>
    <t>core52nombre</t>
  </si>
  <si>
    <t>core52vigente</t>
  </si>
  <si>
    <t>Tipos de convenios</t>
  </si>
  <si>
    <t>coretipoconvenio.php</t>
  </si>
  <si>
    <t>core52orden</t>
  </si>
  <si>
    <t>Actividades por estudiante</t>
  </si>
  <si>
    <t>cecarevestudiante.php</t>
  </si>
  <si>
    <t>ceca04revintegra</t>
  </si>
  <si>
    <t>ceca04idperaca</t>
  </si>
  <si>
    <t>Revision de integraciones</t>
  </si>
  <si>
    <t>cecarevintegra.php</t>
  </si>
  <si>
    <t>unad63idconvenio</t>
  </si>
  <si>
    <t>Acompañamiento tutorial</t>
  </si>
  <si>
    <t>coredirectores.php</t>
  </si>
  <si>
    <t>ofer08idacomanamento</t>
  </si>
  <si>
    <t>cecaparams.php</t>
  </si>
  <si>
    <t>ceca00idperfildirector</t>
  </si>
  <si>
    <t>ceca00idperfiltutor</t>
  </si>
  <si>
    <t>core22orden</t>
  </si>
  <si>
    <t>core22grupo</t>
  </si>
  <si>
    <t>core29estadogrupo</t>
  </si>
  <si>
    <t>core29id</t>
  </si>
  <si>
    <t>core29nombre</t>
  </si>
  <si>
    <t>Seguimiento academico</t>
  </si>
  <si>
    <t>cecaseguimiento.php</t>
  </si>
  <si>
    <t>gedo01formatipo</t>
  </si>
  <si>
    <t>gedo01id</t>
  </si>
  <si>
    <t>gedo01nombre</t>
  </si>
  <si>
    <t>gedo02tipodoc</t>
  </si>
  <si>
    <t>gedo02consec</t>
  </si>
  <si>
    <t>gedo02id</t>
  </si>
  <si>
    <t>gedo02nombre</t>
  </si>
  <si>
    <t>gedo02formatipo</t>
  </si>
  <si>
    <t>gedo02activo</t>
  </si>
  <si>
    <t>gedo02validezagnos</t>
  </si>
  <si>
    <t>gedo02proveedor</t>
  </si>
  <si>
    <t>gedo03proveedores</t>
  </si>
  <si>
    <t>gedo03id</t>
  </si>
  <si>
    <t>gedo03nombre</t>
  </si>
  <si>
    <t>Tipos de documentos</t>
  </si>
  <si>
    <t>gedotipodoc.php</t>
  </si>
  <si>
    <t>core05calificado</t>
  </si>
  <si>
    <t>core04calificado</t>
  </si>
  <si>
    <t>core05idcupolab</t>
  </si>
  <si>
    <t>1 Estudiante, 2 Unidades, 3 externos</t>
  </si>
  <si>
    <t>0 Unico, 1 Periodico, 2 Academico</t>
  </si>
  <si>
    <t>gedo04trdserie</t>
  </si>
  <si>
    <t>gedo04codigo</t>
  </si>
  <si>
    <t>gedo04id</t>
  </si>
  <si>
    <t>gedo04nombre</t>
  </si>
  <si>
    <t>gedo04activa</t>
  </si>
  <si>
    <t>gedo05trdsubserie</t>
  </si>
  <si>
    <t>gedo05idserie</t>
  </si>
  <si>
    <t>gedo05codigo</t>
  </si>
  <si>
    <t>gedo05id</t>
  </si>
  <si>
    <t>gedo05activa</t>
  </si>
  <si>
    <t>gedo05nombre</t>
  </si>
  <si>
    <t>gedo06fondos</t>
  </si>
  <si>
    <t>gedo06id</t>
  </si>
  <si>
    <t>gedo06consec</t>
  </si>
  <si>
    <t>gedo06activo</t>
  </si>
  <si>
    <t>gedo06nombre</t>
  </si>
  <si>
    <t>gedo07seccion</t>
  </si>
  <si>
    <t>gedo07idfondo</t>
  </si>
  <si>
    <t>gedo07consec</t>
  </si>
  <si>
    <t>gedo07id</t>
  </si>
  <si>
    <t>gedo07activa</t>
  </si>
  <si>
    <t>gedo07nombre</t>
  </si>
  <si>
    <t>gedo07idresponsable</t>
  </si>
  <si>
    <t>gedo08subseccion</t>
  </si>
  <si>
    <t>gedo08idseccion</t>
  </si>
  <si>
    <t>gedo08consec</t>
  </si>
  <si>
    <t>gedo08id</t>
  </si>
  <si>
    <t>gedo08activa</t>
  </si>
  <si>
    <t>gedo08nombre</t>
  </si>
  <si>
    <t>gedo08idresponsable</t>
  </si>
  <si>
    <t>gedo08idfondo</t>
  </si>
  <si>
    <t>gedo09oficina</t>
  </si>
  <si>
    <t>gedo09idsubseccion</t>
  </si>
  <si>
    <t>gedo09consec</t>
  </si>
  <si>
    <t>gedo09id</t>
  </si>
  <si>
    <t>gedo09activa</t>
  </si>
  <si>
    <t>gedo09nombre</t>
  </si>
  <si>
    <t>gedo09idresponsable</t>
  </si>
  <si>
    <t>gedo09idfondo</t>
  </si>
  <si>
    <t>gedo09idseccion</t>
  </si>
  <si>
    <t>gedo10tipologia</t>
  </si>
  <si>
    <t>gedo10agno</t>
  </si>
  <si>
    <t>gedo10idseccion</t>
  </si>
  <si>
    <t>gedo10idfondo</t>
  </si>
  <si>
    <t>gedo10idsubseccion</t>
  </si>
  <si>
    <t>gedo10idoficina</t>
  </si>
  <si>
    <t>gedo10iddocumento</t>
  </si>
  <si>
    <t>gedo10id</t>
  </si>
  <si>
    <t>gedo10incluirtrd</t>
  </si>
  <si>
    <t>gedo10trdserie</t>
  </si>
  <si>
    <t>gedo10trdsubserie</t>
  </si>
  <si>
    <t>gedo10trdgestiontiempo</t>
  </si>
  <si>
    <t>gedo10trdconservatiempo</t>
  </si>
  <si>
    <t>gedo10trddisposicionfin</t>
  </si>
  <si>
    <t>gedo11disposicionfin</t>
  </si>
  <si>
    <t>gedo11consec</t>
  </si>
  <si>
    <t>gedo11id</t>
  </si>
  <si>
    <t>gedo11activa</t>
  </si>
  <si>
    <t>gedo11nombre</t>
  </si>
  <si>
    <t>gedo12tipoexpediente</t>
  </si>
  <si>
    <t>gedo12consec</t>
  </si>
  <si>
    <t>gedo12id</t>
  </si>
  <si>
    <t>gedo12activa</t>
  </si>
  <si>
    <t>gedo12nombre</t>
  </si>
  <si>
    <t>gedo12idsubserie</t>
  </si>
  <si>
    <t>gedo12idserie</t>
  </si>
  <si>
    <t>gedo13consec</t>
  </si>
  <si>
    <t>gedo13id</t>
  </si>
  <si>
    <t>gedo13personal</t>
  </si>
  <si>
    <t>gedo14expediente</t>
  </si>
  <si>
    <t>gedo14tipoexpediente</t>
  </si>
  <si>
    <t>gedo14consec</t>
  </si>
  <si>
    <t>gedo14id</t>
  </si>
  <si>
    <t>gedo14idtercero</t>
  </si>
  <si>
    <t>gedo13tipoexpdoc</t>
  </si>
  <si>
    <t>gedo13idtipoexp</t>
  </si>
  <si>
    <t>gedo02tienevencimiento</t>
  </si>
  <si>
    <t>gedo13idtipodoc</t>
  </si>
  <si>
    <t>gedo13orden</t>
  </si>
  <si>
    <t>gedo13formadoc</t>
  </si>
  <si>
    <t>gedo15expdoc</t>
  </si>
  <si>
    <t>gedo15idexpediente</t>
  </si>
  <si>
    <t>gedo15consec</t>
  </si>
  <si>
    <t>gedo14idfondo</t>
  </si>
  <si>
    <t>gedo14idseccion</t>
  </si>
  <si>
    <t>gedo14idsubseccion</t>
  </si>
  <si>
    <t>gedo14idoficina</t>
  </si>
  <si>
    <t>gedo14idcajainicial</t>
  </si>
  <si>
    <t>gedo14idcarpetainicial</t>
  </si>
  <si>
    <t>gedo15id</t>
  </si>
  <si>
    <t>gedo15idtipodoc</t>
  </si>
  <si>
    <t>gedo15iddocumento</t>
  </si>
  <si>
    <t>gedo12nivelacceso</t>
  </si>
  <si>
    <t>0 Publico, 1 Controlado, 2 Reservado</t>
  </si>
  <si>
    <t>gedo16documentos</t>
  </si>
  <si>
    <t>gedo16consec</t>
  </si>
  <si>
    <t>gedo16id</t>
  </si>
  <si>
    <t>gedo16idtipodoc</t>
  </si>
  <si>
    <t>gedo16fechasubido</t>
  </si>
  <si>
    <t>gedo16fechadoc</t>
  </si>
  <si>
    <t>gedo16fechavence</t>
  </si>
  <si>
    <t>gedo16observacion</t>
  </si>
  <si>
    <t>gedo16idorigen</t>
  </si>
  <si>
    <t>gedo16idarchivo</t>
  </si>
  <si>
    <t>gedo16mediorecepcion</t>
  </si>
  <si>
    <t>gedo17mediorecepcion</t>
  </si>
  <si>
    <t>gedo17consec</t>
  </si>
  <si>
    <t>gedo17id</t>
  </si>
  <si>
    <t>gedo17activo</t>
  </si>
  <si>
    <t>gedo17nombre</t>
  </si>
  <si>
    <t>gedo15idfondo</t>
  </si>
  <si>
    <t>gedo15idseccion</t>
  </si>
  <si>
    <t>gedo15idsubseccion</t>
  </si>
  <si>
    <t>gedo15idoficina</t>
  </si>
  <si>
    <t>gedo14activo</t>
  </si>
  <si>
    <t>gedo14fechainicial</t>
  </si>
  <si>
    <t>gedo14fechafinal</t>
  </si>
  <si>
    <t>gedo14numfolios</t>
  </si>
  <si>
    <t>gedo16numfolios</t>
  </si>
  <si>
    <t>gedo15idcarpeta</t>
  </si>
  <si>
    <t>gedo15idfolioinicial</t>
  </si>
  <si>
    <t>gedo15fisico</t>
  </si>
  <si>
    <t>gedo16idtercero</t>
  </si>
  <si>
    <t>aure51bitacora</t>
  </si>
  <si>
    <t>aure51consec</t>
  </si>
  <si>
    <t>aure51id</t>
  </si>
  <si>
    <t>aurebitacora.php</t>
  </si>
  <si>
    <t>Bitacora de desarrollo</t>
  </si>
  <si>
    <t>aure51idsistema</t>
  </si>
  <si>
    <t>aure51fecha</t>
  </si>
  <si>
    <t>aure51horaini</t>
  </si>
  <si>
    <t>aure51minini</t>
  </si>
  <si>
    <t>aure51horafin</t>
  </si>
  <si>
    <t>aure51minfin</t>
  </si>
  <si>
    <t>aure51lugar</t>
  </si>
  <si>
    <t>aure51actividades</t>
  </si>
  <si>
    <t>aure51objetivo</t>
  </si>
  <si>
    <t>aure51resultado</t>
  </si>
  <si>
    <t>aure51estado</t>
  </si>
  <si>
    <t>aure52bitaparticipa</t>
  </si>
  <si>
    <t>aure52idbitacora</t>
  </si>
  <si>
    <t>aure52idtercero</t>
  </si>
  <si>
    <t>aure52id</t>
  </si>
  <si>
    <t>aure52activo</t>
  </si>
  <si>
    <t>aure53historias</t>
  </si>
  <si>
    <t>gedo15numfolios</t>
  </si>
  <si>
    <t>exte02fechatopeoil</t>
  </si>
  <si>
    <t>aure53prioridad</t>
  </si>
  <si>
    <t>aure53idbitacora</t>
  </si>
  <si>
    <t>aure53consec</t>
  </si>
  <si>
    <t>aure53id</t>
  </si>
  <si>
    <t>aure53idsistema</t>
  </si>
  <si>
    <t>aure53titulo</t>
  </si>
  <si>
    <t>aure53usuarioshist</t>
  </si>
  <si>
    <t>0 Baja, 1 Media, 2 Alta</t>
  </si>
  <si>
    <t>aure53riesgo</t>
  </si>
  <si>
    <t>Numero de semanas</t>
  </si>
  <si>
    <t>aure53diasest</t>
  </si>
  <si>
    <t>aure53semanaest</t>
  </si>
  <si>
    <t>aure53iteracionasig</t>
  </si>
  <si>
    <t>aure53idresponsable</t>
  </si>
  <si>
    <t>aure53descripcion</t>
  </si>
  <si>
    <t>aure53observaciones</t>
  </si>
  <si>
    <t>Tareas de ingenieria</t>
  </si>
  <si>
    <t>Historias de usuario</t>
  </si>
  <si>
    <t>aure54idbitacora</t>
  </si>
  <si>
    <t>aure54tarea</t>
  </si>
  <si>
    <t>aure54consec</t>
  </si>
  <si>
    <t>aure54id</t>
  </si>
  <si>
    <t>aure54idsistema</t>
  </si>
  <si>
    <t>aure54idhistoria</t>
  </si>
  <si>
    <t>aure54idtipotarea</t>
  </si>
  <si>
    <t>aure54semanasest</t>
  </si>
  <si>
    <t>aure54diasest</t>
  </si>
  <si>
    <t>aure54fechainicio</t>
  </si>
  <si>
    <t>aure54fechafinal</t>
  </si>
  <si>
    <t>aure54idresponsable</t>
  </si>
  <si>
    <t>aure54descripcion</t>
  </si>
  <si>
    <t>aure54estado</t>
  </si>
  <si>
    <t>aure55tarjetas</t>
  </si>
  <si>
    <t>Clases que se tocan</t>
  </si>
  <si>
    <t>Tarjetas CRC</t>
  </si>
  <si>
    <t>aureacrc.php</t>
  </si>
  <si>
    <t>Vigente, No vigente</t>
  </si>
  <si>
    <t>aure56pruebas</t>
  </si>
  <si>
    <t>aure56idsistema</t>
  </si>
  <si>
    <t>aure55idsistemas</t>
  </si>
  <si>
    <t>aure55consec</t>
  </si>
  <si>
    <t>aure55id</t>
  </si>
  <si>
    <t>aure55fecha</t>
  </si>
  <si>
    <t>aure55estado</t>
  </si>
  <si>
    <t>aure55nombreclase</t>
  </si>
  <si>
    <t>aure55responsabilidades</t>
  </si>
  <si>
    <t>aure55colaboradores</t>
  </si>
  <si>
    <t>aure56consec</t>
  </si>
  <si>
    <t>aure56id</t>
  </si>
  <si>
    <t>aure56idhistoria</t>
  </si>
  <si>
    <t>Pruebas de aceptacion</t>
  </si>
  <si>
    <t>aure56condiciones</t>
  </si>
  <si>
    <t>aure56pasos</t>
  </si>
  <si>
    <t>aure56resultadoesp</t>
  </si>
  <si>
    <t>aure56evaluacion</t>
  </si>
  <si>
    <t>Contenidos analiticos</t>
  </si>
  <si>
    <t>unadcontenidos.php</t>
  </si>
  <si>
    <t>core42contenidos</t>
  </si>
  <si>
    <t>core42fecha</t>
  </si>
  <si>
    <t>core42idcurso</t>
  </si>
  <si>
    <t>core42consec</t>
  </si>
  <si>
    <t>core42id</t>
  </si>
  <si>
    <t>Versiones</t>
  </si>
  <si>
    <t>core42idarchivo</t>
  </si>
  <si>
    <t>core42idarchivogdd</t>
  </si>
  <si>
    <t>core42idorigen</t>
  </si>
  <si>
    <t>gedo16idfondo</t>
  </si>
  <si>
    <t>gedo16idseccion</t>
  </si>
  <si>
    <t>gedo16idsubseccion</t>
  </si>
  <si>
    <t>gedo16idoficina</t>
  </si>
  <si>
    <t>core11idcontenido</t>
  </si>
  <si>
    <t>core12idrespcursocomun</t>
  </si>
  <si>
    <t>Series documentales</t>
  </si>
  <si>
    <t>gedoserie.php</t>
  </si>
  <si>
    <t>gedo04orden</t>
  </si>
  <si>
    <t>Subseries documentales</t>
  </si>
  <si>
    <t>gedo05orden</t>
  </si>
  <si>
    <t>Fondos documentales</t>
  </si>
  <si>
    <t>gedofondo.php</t>
  </si>
  <si>
    <t>Secciones documentales</t>
  </si>
  <si>
    <t>Subsecciones documentales</t>
  </si>
  <si>
    <t>Oficinas generadoras</t>
  </si>
  <si>
    <t>Tipologias</t>
  </si>
  <si>
    <t>gedotipologia.php</t>
  </si>
  <si>
    <t>Disposicion final</t>
  </si>
  <si>
    <t>gedodispfin.php</t>
  </si>
  <si>
    <t>gedo11orden</t>
  </si>
  <si>
    <t>Si pertenece o no a una persona</t>
  </si>
  <si>
    <t>gedo18nivelacceso</t>
  </si>
  <si>
    <t>gedo18id</t>
  </si>
  <si>
    <t>gedo18nombre</t>
  </si>
  <si>
    <t>Tipos de expedientes</t>
  </si>
  <si>
    <t>gedotipoexp.php</t>
  </si>
  <si>
    <t>Documentos del expediente</t>
  </si>
  <si>
    <t>Expedientes</t>
  </si>
  <si>
    <t>gedoexpediente.php</t>
  </si>
  <si>
    <t>Repositorio documental</t>
  </si>
  <si>
    <t>gedorepositorio.php</t>
  </si>
  <si>
    <t>Medios de recepcion</t>
  </si>
  <si>
    <t>gedomediorecep.php</t>
  </si>
  <si>
    <t>0 Oficina generadora, 1 Estudiante, 3 externos</t>
  </si>
  <si>
    <t>olab10idlaboratorio</t>
  </si>
  <si>
    <t>ceca07modcalifica</t>
  </si>
  <si>
    <t>ceca07consec</t>
  </si>
  <si>
    <t>ceca07idperaca</t>
  </si>
  <si>
    <t>ceca07idestudiante</t>
  </si>
  <si>
    <t>ceca07idcurso</t>
  </si>
  <si>
    <t>ceca07idactividad</t>
  </si>
  <si>
    <t>ceca07id</t>
  </si>
  <si>
    <t>ceca07causal</t>
  </si>
  <si>
    <t>ceca07idsolicita</t>
  </si>
  <si>
    <t>ceca07idaprueba</t>
  </si>
  <si>
    <t>ceca07fechaaprueba</t>
  </si>
  <si>
    <t>ceca07fechasolicita</t>
  </si>
  <si>
    <t>ceca07puntajeanterior</t>
  </si>
  <si>
    <t>ceca07puntajenuevo</t>
  </si>
  <si>
    <t>ceca07estado</t>
  </si>
  <si>
    <t>ceca08estadisticacurso</t>
  </si>
  <si>
    <t>ceca08idperaca</t>
  </si>
  <si>
    <t>ceca08idcurso</t>
  </si>
  <si>
    <t>ceca08idtutor</t>
  </si>
  <si>
    <t>ceca08id</t>
  </si>
  <si>
    <t>ceca08fechareporta75</t>
  </si>
  <si>
    <t>ceca08fechareporta25</t>
  </si>
  <si>
    <t>ceca08numgrupos</t>
  </si>
  <si>
    <t>ceca08numestudiantes</t>
  </si>
  <si>
    <t>ceca08numresagados</t>
  </si>
  <si>
    <t>ceca08numreprobados</t>
  </si>
  <si>
    <t>ceca08promediototal</t>
  </si>
  <si>
    <t>ceca08promedio75</t>
  </si>
  <si>
    <t>ceca08promedio25</t>
  </si>
  <si>
    <t>ceca08numinasistentes</t>
  </si>
  <si>
    <t>ceca08idzona</t>
  </si>
  <si>
    <t>ceca08idcentro</t>
  </si>
  <si>
    <t>cecarptestadistica.php</t>
  </si>
  <si>
    <t>Modificacion de calificaciones</t>
  </si>
  <si>
    <t>cecamodcalifica.php</t>
  </si>
  <si>
    <t>ceca07fechaaplicado</t>
  </si>
  <si>
    <t>ceca09estadomod</t>
  </si>
  <si>
    <t>ceca09id</t>
  </si>
  <si>
    <t>ceca09nombre</t>
  </si>
  <si>
    <t>ceca08idescuela</t>
  </si>
  <si>
    <t>ceca08idprograma</t>
  </si>
  <si>
    <t>ceca08tiporegistro</t>
  </si>
  <si>
    <t>ceca10tiporegestad</t>
  </si>
  <si>
    <t>ceca10id</t>
  </si>
  <si>
    <t>ceca10nombre</t>
  </si>
  <si>
    <t>ceca08puntaje75</t>
  </si>
  <si>
    <t>ceca08puntaje25</t>
  </si>
  <si>
    <t>olab40rptmatricula</t>
  </si>
  <si>
    <t>olab40idperaca</t>
  </si>
  <si>
    <t>olab40idcurso</t>
  </si>
  <si>
    <t>Reporte de matricula</t>
  </si>
  <si>
    <t>oilrptmatricula.php</t>
  </si>
  <si>
    <t>core12sigla</t>
  </si>
  <si>
    <t>grad01cohortes</t>
  </si>
  <si>
    <t>grad01agno</t>
  </si>
  <si>
    <t>grad01tipocohorte</t>
  </si>
  <si>
    <t>grad01consec</t>
  </si>
  <si>
    <t>grad01id</t>
  </si>
  <si>
    <t>grad01estadocohorte</t>
  </si>
  <si>
    <t>cerrada,disponible para postulaciones,abierta,terminada</t>
  </si>
  <si>
    <t>grad01fechaapruebaescuela</t>
  </si>
  <si>
    <t>grad01fechapagorecibo</t>
  </si>
  <si>
    <t>grad01fechacarguedocumentos</t>
  </si>
  <si>
    <t>grad01fechaapruebacentro</t>
  </si>
  <si>
    <t>grad01fechaapruebagrado</t>
  </si>
  <si>
    <t>grad01fechagrado</t>
  </si>
  <si>
    <t>grad01infopostulado</t>
  </si>
  <si>
    <t>grad01cantsolicitudes</t>
  </si>
  <si>
    <t>grad01cantgraduados</t>
  </si>
  <si>
    <t>grad02tipocohorte</t>
  </si>
  <si>
    <t>grad02id</t>
  </si>
  <si>
    <t>grad02nombre</t>
  </si>
  <si>
    <t>grad03devoluciones</t>
  </si>
  <si>
    <t>grad03idestprograma</t>
  </si>
  <si>
    <t>grad03idcohorte</t>
  </si>
  <si>
    <t>grad03consec</t>
  </si>
  <si>
    <t>grad03id</t>
  </si>
  <si>
    <t>grad03fechadevolucion</t>
  </si>
  <si>
    <t>grad03motivodevolucion</t>
  </si>
  <si>
    <t>grad03idusuario</t>
  </si>
  <si>
    <t>grad03detalle</t>
  </si>
  <si>
    <t>grad04motivodev</t>
  </si>
  <si>
    <t>grad04consec</t>
  </si>
  <si>
    <t>grad04id</t>
  </si>
  <si>
    <t>grad04orden</t>
  </si>
  <si>
    <t>grad04nombre</t>
  </si>
  <si>
    <t>grad04activo</t>
  </si>
  <si>
    <t>Motivos de devolucion</t>
  </si>
  <si>
    <t>gradmotivodev.php</t>
  </si>
  <si>
    <t>gradcohorte.php</t>
  </si>
  <si>
    <t>grad05estadocohorte</t>
  </si>
  <si>
    <t>grad05id</t>
  </si>
  <si>
    <t>grad05nombre</t>
  </si>
  <si>
    <t>Postulados</t>
  </si>
  <si>
    <t>gradpostulado.php</t>
  </si>
  <si>
    <t>Devoluciones</t>
  </si>
  <si>
    <t>grad01nombre</t>
  </si>
  <si>
    <t>core01gradoidcohorte</t>
  </si>
  <si>
    <t>Graduados</t>
  </si>
  <si>
    <t>gradgraduados.php</t>
  </si>
  <si>
    <t>grad01finapruebaescuela</t>
  </si>
  <si>
    <t>grad01finpagorecibo</t>
  </si>
  <si>
    <t>grad01fincarguedocumentos</t>
  </si>
  <si>
    <t>grad01finapruebacentro</t>
  </si>
  <si>
    <t>grad01finapruebagrado</t>
  </si>
  <si>
    <t>ofer08estadodiseno</t>
  </si>
  <si>
    <t>ofer08iddecano</t>
  </si>
  <si>
    <t>ofer08idsecretarioacad</t>
  </si>
  <si>
    <t>ofer08idliderprograma</t>
  </si>
  <si>
    <t>core39unidadproductora</t>
  </si>
  <si>
    <t>unad39iddirector</t>
  </si>
  <si>
    <t>unad39idadministrador</t>
  </si>
  <si>
    <t>Unidades responsables de contenidos academicos</t>
  </si>
  <si>
    <t>coreunidadprod.php</t>
  </si>
  <si>
    <t>unad39activa</t>
  </si>
  <si>
    <t>unad40unidadprod</t>
  </si>
  <si>
    <t>unad40ofertaperacacorto</t>
  </si>
  <si>
    <t>unad40homologable</t>
  </si>
  <si>
    <t>unad40habilitable</t>
  </si>
  <si>
    <t>unad40porsuficiencia</t>
  </si>
  <si>
    <t>unad11carariesgo</t>
  </si>
  <si>
    <t>unad40modocalifica</t>
  </si>
  <si>
    <t>core43modocalifica</t>
  </si>
  <si>
    <t>core43id</t>
  </si>
  <si>
    <t>core43nombre</t>
  </si>
  <si>
    <t>core00idperfilcursoscomunes</t>
  </si>
  <si>
    <t>unae14consec</t>
  </si>
  <si>
    <t>unae14logcron</t>
  </si>
  <si>
    <t>unae14id</t>
  </si>
  <si>
    <t>unae14fecha</t>
  </si>
  <si>
    <t>unae14minuto</t>
  </si>
  <si>
    <t>unae14minutofin</t>
  </si>
  <si>
    <t>Registro de actividades recurrentes</t>
  </si>
  <si>
    <t>unadlogcron.php</t>
  </si>
  <si>
    <t>unae15idlogcron</t>
  </si>
  <si>
    <t>unae15consec</t>
  </si>
  <si>
    <t>unae15id</t>
  </si>
  <si>
    <t>unae15idaccion</t>
  </si>
  <si>
    <t>unae15detalle</t>
  </si>
  <si>
    <t>unae15minuto</t>
  </si>
  <si>
    <t>unae16cronaccion</t>
  </si>
  <si>
    <t>unae15cronregistro</t>
  </si>
  <si>
    <t>unae16id</t>
  </si>
  <si>
    <t>unae16accion</t>
  </si>
  <si>
    <t>Actividades ejecutadas</t>
  </si>
  <si>
    <t>core16aplazados</t>
  </si>
  <si>
    <t>core16cancelados</t>
  </si>
  <si>
    <t>exte02solicitante</t>
  </si>
  <si>
    <t>exte02ofertacursos</t>
  </si>
  <si>
    <t>exte02fechainimatricula</t>
  </si>
  <si>
    <t>exte02fechafinmatricula</t>
  </si>
  <si>
    <t>exte02oferfechatopecancela</t>
  </si>
  <si>
    <t>exte02fechadevolderpec</t>
  </si>
  <si>
    <t>exte02fechainducciones</t>
  </si>
  <si>
    <t>exte02fechafinactiniciales</t>
  </si>
  <si>
    <t>exte02fechafinactfinales</t>
  </si>
  <si>
    <t>exte02fechatopecalifhabilita</t>
  </si>
  <si>
    <t>exte02ofertafechatope</t>
  </si>
  <si>
    <t>exte02fechatopeevaldocente</t>
  </si>
  <si>
    <t>exte02idciclo</t>
  </si>
  <si>
    <t>unae17cicloacadem</t>
  </si>
  <si>
    <t>unae17consec</t>
  </si>
  <si>
    <t>unae17id</t>
  </si>
  <si>
    <t>unae17orden</t>
  </si>
  <si>
    <t>unae17fechaini</t>
  </si>
  <si>
    <t>unae17nombre</t>
  </si>
  <si>
    <t>unae17fechafin</t>
  </si>
  <si>
    <t>unae17numestnuevos</t>
  </si>
  <si>
    <t>unae17numgraduados</t>
  </si>
  <si>
    <t>Ciclo academico</t>
  </si>
  <si>
    <t>unadcicloacad.php</t>
  </si>
  <si>
    <t>core01origenregistro</t>
  </si>
  <si>
    <t>core01fechaimportacion</t>
  </si>
  <si>
    <t>core01idimporta</t>
  </si>
  <si>
    <t>grad07importacion</t>
  </si>
  <si>
    <t>grad07idtercero</t>
  </si>
  <si>
    <t>Importar datos</t>
  </si>
  <si>
    <t>gradimportar.php</t>
  </si>
  <si>
    <t>core09codgrados</t>
  </si>
  <si>
    <t>core09titulohombres</t>
  </si>
  <si>
    <t>core09titulomujeres</t>
  </si>
  <si>
    <t>core01gradotitulodiploma</t>
  </si>
  <si>
    <t>core01gradotituloopcion</t>
  </si>
  <si>
    <t>core01gradonumlibroactas</t>
  </si>
  <si>
    <t>core01gradonumdiploma</t>
  </si>
  <si>
    <t>core01gradonumlibrodiplomas</t>
  </si>
  <si>
    <t>gedosecciondoc.php</t>
  </si>
  <si>
    <t>DELETE FROM WG03COMPONENTE</t>
  </si>
  <si>
    <t>gedosubsecciondoc.php</t>
  </si>
  <si>
    <t>core11idprerequisito2</t>
  </si>
  <si>
    <t>core11idprerequisito3</t>
  </si>
  <si>
    <t>unad11idioma</t>
  </si>
  <si>
    <t>unad11formapresenta</t>
  </si>
  <si>
    <t>unad11formaclave</t>
  </si>
  <si>
    <t>unad11tester</t>
  </si>
  <si>
    <t>Usuarios especiales</t>
  </si>
  <si>
    <t>unadusuariosesp.php</t>
  </si>
  <si>
    <t>exte02fechatopetablero</t>
  </si>
  <si>
    <t>core03homologable</t>
  </si>
  <si>
    <t>core03habilitable</t>
  </si>
  <si>
    <t>core03porsuficiencia</t>
  </si>
  <si>
    <t>core03idequivalente</t>
  </si>
  <si>
    <t>core03idequivalencia</t>
  </si>
  <si>
    <t>core03idprerequisito</t>
  </si>
  <si>
    <t>core03idprerequisito2</t>
  </si>
  <si>
    <t>core03idprerequisito3</t>
  </si>
  <si>
    <t>core03idcorequisito</t>
  </si>
  <si>
    <t>core03idmatricula</t>
  </si>
  <si>
    <t>core01contciclo1</t>
  </si>
  <si>
    <t>core01contciclo2</t>
  </si>
  <si>
    <t>core01contciclo3</t>
  </si>
  <si>
    <t>core01contciclo4</t>
  </si>
  <si>
    <t>core01contciclo5</t>
  </si>
  <si>
    <t>core01contciclo6</t>
  </si>
  <si>
    <t>core01contciclo7</t>
  </si>
  <si>
    <t>core01contciclo8</t>
  </si>
  <si>
    <t>core01contciclo9</t>
  </si>
  <si>
    <t>core01contciclo10</t>
  </si>
  <si>
    <t>core01contciclo11</t>
  </si>
  <si>
    <t>core01contciclo12</t>
  </si>
  <si>
    <t>core01contciclo13</t>
  </si>
  <si>
    <t>core01contciclo14</t>
  </si>
  <si>
    <t>core01contciclo15</t>
  </si>
  <si>
    <t>core01contciclo16</t>
  </si>
  <si>
    <t>core01contciclo17</t>
  </si>
  <si>
    <t>core01contciclo18</t>
  </si>
  <si>
    <t>core01contciclo19</t>
  </si>
  <si>
    <t>core01contciclo20</t>
  </si>
  <si>
    <t>core01contmat1</t>
  </si>
  <si>
    <t>core01contmat2</t>
  </si>
  <si>
    <t>core01contmat3</t>
  </si>
  <si>
    <t>core01contmat4</t>
  </si>
  <si>
    <t>core01contmat5</t>
  </si>
  <si>
    <t>core01contmat6</t>
  </si>
  <si>
    <t>core01contmat7</t>
  </si>
  <si>
    <t>core01contmat8</t>
  </si>
  <si>
    <t>core01contmat9</t>
  </si>
  <si>
    <t>core01contmat10</t>
  </si>
  <si>
    <t>core01contmat11</t>
  </si>
  <si>
    <t>core01contmat12</t>
  </si>
  <si>
    <t>core01contmat13</t>
  </si>
  <si>
    <t>core01contmat14</t>
  </si>
  <si>
    <t>core01contmat15</t>
  </si>
  <si>
    <t>core01contmat16</t>
  </si>
  <si>
    <t>core01contmat17</t>
  </si>
  <si>
    <t>core01contmat18</t>
  </si>
  <si>
    <t>core01contmat19</t>
  </si>
  <si>
    <t>core01contmat20</t>
  </si>
  <si>
    <t>core01contaprob1</t>
  </si>
  <si>
    <t>core01contaprob2</t>
  </si>
  <si>
    <t>core01contaprob3</t>
  </si>
  <si>
    <t>core01contaprob4</t>
  </si>
  <si>
    <t>core01contaprob5</t>
  </si>
  <si>
    <t>core01contaprob6</t>
  </si>
  <si>
    <t>core01contaprob7</t>
  </si>
  <si>
    <t>core01contaprob8</t>
  </si>
  <si>
    <t>core01contaprob9</t>
  </si>
  <si>
    <t>core01contaprob10</t>
  </si>
  <si>
    <t>core01contaprob11</t>
  </si>
  <si>
    <t>core01contaprob12</t>
  </si>
  <si>
    <t>core01contaprob13</t>
  </si>
  <si>
    <t>core01contaprob14</t>
  </si>
  <si>
    <t>core01contaprob15</t>
  </si>
  <si>
    <t>core01contaprob16</t>
  </si>
  <si>
    <t>core01contaprob17</t>
  </si>
  <si>
    <t>core01contaprob18</t>
  </si>
  <si>
    <t>core01contaprob19</t>
  </si>
  <si>
    <t>core01contaprob20</t>
  </si>
  <si>
    <t>core01contestado</t>
  </si>
  <si>
    <t>0 Sin analizar, 1 En continuidad, 2 Desertor Temprano, 3 Desertor Tardio</t>
  </si>
  <si>
    <t>0 Sin analizar, 1 En continuidad, 2 Desertor Temprano, 3 Desertor Tardio, 4 Perdedor Recurrente</t>
  </si>
  <si>
    <t>core42titulo</t>
  </si>
  <si>
    <t>Seguimiento de acciones individuales</t>
  </si>
  <si>
    <t>unad01rastros</t>
  </si>
  <si>
    <t>unad01idestudiante</t>
  </si>
  <si>
    <t>unad02acceso</t>
  </si>
  <si>
    <t>Acceso a Campus</t>
  </si>
  <si>
    <t>unadrptaccesoc.php</t>
  </si>
  <si>
    <t>grad08enviocarnet</t>
  </si>
  <si>
    <t>grad08fecha</t>
  </si>
  <si>
    <t>Envio de carnets</t>
  </si>
  <si>
    <t>gradenviocarnet.php</t>
  </si>
  <si>
    <t>grad93opciones</t>
  </si>
  <si>
    <t>grad93id</t>
  </si>
  <si>
    <t>gradopciones.php</t>
  </si>
  <si>
    <t>grad93idsmtp</t>
  </si>
  <si>
    <t>ceca11motivosrecalifica</t>
  </si>
  <si>
    <t>ceca11consec</t>
  </si>
  <si>
    <t>ceca11id</t>
  </si>
  <si>
    <t>ceca11activa</t>
  </si>
  <si>
    <t>ceca11nombre</t>
  </si>
  <si>
    <t>ceca11requiereautoriza</t>
  </si>
  <si>
    <t>ceca11porcentro</t>
  </si>
  <si>
    <t>ceca11requiereevidencia</t>
  </si>
  <si>
    <t>ceca11porestudiante</t>
  </si>
  <si>
    <t>ceca11porconsejeria</t>
  </si>
  <si>
    <t>Motivos de recalificacion</t>
  </si>
  <si>
    <t>cecamotivorecalifica.php</t>
  </si>
  <si>
    <t>ceca12motivocentro</t>
  </si>
  <si>
    <t>ceca12idmotivorec</t>
  </si>
  <si>
    <t>ceca12idcentro</t>
  </si>
  <si>
    <t>ceca12id</t>
  </si>
  <si>
    <t>ceca12activo</t>
  </si>
  <si>
    <t>Centros que aplican</t>
  </si>
  <si>
    <t>ceca11general</t>
  </si>
  <si>
    <t>ceca11desdecampus</t>
  </si>
  <si>
    <t>ceca13id</t>
  </si>
  <si>
    <t>ceca13nombre</t>
  </si>
  <si>
    <t>0 En solicitud, 1 Aprobada, 7 Nota actualizada, 9 Rechazada</t>
  </si>
  <si>
    <t>ceca14estadorecal</t>
  </si>
  <si>
    <t>ceca14id</t>
  </si>
  <si>
    <t>ceca14nombre</t>
  </si>
  <si>
    <t>0 Estudiante, 1 Tutor, 2 Consejeria, 3 Soporte Campus</t>
  </si>
  <si>
    <t>Solicitudes de recalificacion</t>
  </si>
  <si>
    <t>ceca07solicitudrecal</t>
  </si>
  <si>
    <t>ceca07serie</t>
  </si>
  <si>
    <t>ceca07idgrupo</t>
  </si>
  <si>
    <t>ceca07idtutor</t>
  </si>
  <si>
    <t>ceca07presentada</t>
  </si>
  <si>
    <t>ceca07notaactual</t>
  </si>
  <si>
    <t>ceca07idrolsolicita</t>
  </si>
  <si>
    <t>ceca07fechaactualiza</t>
  </si>
  <si>
    <t>ceca07minutoactualiza</t>
  </si>
  <si>
    <t>ceca07notafinal</t>
  </si>
  <si>
    <t>ceca07motivorechazo</t>
  </si>
  <si>
    <t>ceca13rolsolicita</t>
  </si>
  <si>
    <t>Modificacion de Calificaciones</t>
  </si>
  <si>
    <t>ceca07fechasol</t>
  </si>
  <si>
    <t>ceca07idmotivosol</t>
  </si>
  <si>
    <t>ceca07detallesol</t>
  </si>
  <si>
    <t>ceca07idorigenevid</t>
  </si>
  <si>
    <t>ceca07idarchvioevid</t>
  </si>
  <si>
    <t>ceca07detallecambio</t>
  </si>
  <si>
    <t>unad40titulo</t>
  </si>
  <si>
    <t>unad40fuente</t>
  </si>
  <si>
    <t>ceca08sexo</t>
  </si>
  <si>
    <t>ceca08edad</t>
  </si>
  <si>
    <t>unad11nombre</t>
  </si>
  <si>
    <t>core04fechaexp25</t>
  </si>
  <si>
    <t>core04minexp25</t>
  </si>
  <si>
    <t>core04est_numactivm0</t>
  </si>
  <si>
    <t>core04est_numactivnoprem0</t>
  </si>
  <si>
    <t>core04est_numactivm1</t>
  </si>
  <si>
    <t>core04est_numactivnoprem1</t>
  </si>
  <si>
    <t>core04est_numactivm2</t>
  </si>
  <si>
    <t>core04est_numactivnoprem2</t>
  </si>
  <si>
    <t>ceca08suma75</t>
  </si>
  <si>
    <t>ceca08suma25</t>
  </si>
  <si>
    <t>ceca15ejecut</t>
  </si>
  <si>
    <t>ceca15idperaca</t>
  </si>
  <si>
    <t>ceca15idescuela</t>
  </si>
  <si>
    <t>ceca15idprograma</t>
  </si>
  <si>
    <t>Resumen ejecutivo</t>
  </si>
  <si>
    <t>cecaejecutivo.php</t>
  </si>
  <si>
    <t>ceca15tipoperiodo</t>
  </si>
  <si>
    <t>ceca16activtutor</t>
  </si>
  <si>
    <t>ceca16idtutor</t>
  </si>
  <si>
    <t>ceca16idperaca</t>
  </si>
  <si>
    <t>ceca16idcurso</t>
  </si>
  <si>
    <t>Actividades por tutor</t>
  </si>
  <si>
    <t>cecarptactivtutor.php</t>
  </si>
  <si>
    <t>ceca02fechaimporta</t>
  </si>
  <si>
    <t>ceca16tipoperiodo</t>
  </si>
  <si>
    <t>Calificaciones pendientes</t>
  </si>
  <si>
    <t>cecarptpendientes.php</t>
  </si>
  <si>
    <t>ceca17idperaca</t>
  </si>
  <si>
    <t>ceca17idescuela</t>
  </si>
  <si>
    <t>ceca17idprograma</t>
  </si>
  <si>
    <t>ceca17idzona</t>
  </si>
  <si>
    <t>ceca17idcentro</t>
  </si>
  <si>
    <t>unae18rangoedad</t>
  </si>
  <si>
    <t>unae18consec</t>
  </si>
  <si>
    <t>unae18id</t>
  </si>
  <si>
    <t>unae18titulo</t>
  </si>
  <si>
    <t>unae18estado</t>
  </si>
  <si>
    <t>Rangos de edad</t>
  </si>
  <si>
    <t>unadrangoedad.php</t>
  </si>
  <si>
    <t>unae19rango</t>
  </si>
  <si>
    <t>unae19idrangoedad</t>
  </si>
  <si>
    <t>unae19consec</t>
  </si>
  <si>
    <t>unae19id</t>
  </si>
  <si>
    <t>unae19titulo</t>
  </si>
  <si>
    <t>unae19base</t>
  </si>
  <si>
    <t>unae19techo</t>
  </si>
  <si>
    <t>Rangos</t>
  </si>
  <si>
    <t>unae20rangosdist</t>
  </si>
  <si>
    <t>unae20idrangoedad</t>
  </si>
  <si>
    <t>unae20edad</t>
  </si>
  <si>
    <t>unae20id</t>
  </si>
  <si>
    <t>unae20idrango</t>
  </si>
  <si>
    <t>Distribucion</t>
  </si>
  <si>
    <t>bita54tlproyecto</t>
  </si>
  <si>
    <t>bita54consec</t>
  </si>
  <si>
    <t>bita54id</t>
  </si>
  <si>
    <t>bita54titulo</t>
  </si>
  <si>
    <t>bita54descripcion</t>
  </si>
  <si>
    <t>bita54estado</t>
  </si>
  <si>
    <t>Borrador, Privado, Publico</t>
  </si>
  <si>
    <t>Lineas de tiempo</t>
  </si>
  <si>
    <t>bitalineatiempo.php</t>
  </si>
  <si>
    <t>bita54idpropietario</t>
  </si>
  <si>
    <t>bita55lineas</t>
  </si>
  <si>
    <t>bita55idproyecto</t>
  </si>
  <si>
    <t>bita55consec</t>
  </si>
  <si>
    <t>bita55id</t>
  </si>
  <si>
    <t>bita55titulo</t>
  </si>
  <si>
    <t>bita55descripcion</t>
  </si>
  <si>
    <t>bita55agnoini</t>
  </si>
  <si>
    <t>bita55agnofin</t>
  </si>
  <si>
    <t>bita54idunidadmedia</t>
  </si>
  <si>
    <t>Dias, Meses, Años, Decadas, Siglos</t>
  </si>
  <si>
    <t>Lineas</t>
  </si>
  <si>
    <t>bita56tlevento</t>
  </si>
  <si>
    <t>bita56idproyecto</t>
  </si>
  <si>
    <t>bita56idlinea</t>
  </si>
  <si>
    <t>bita56consec</t>
  </si>
  <si>
    <t>bita56id</t>
  </si>
  <si>
    <t>bita56titulo</t>
  </si>
  <si>
    <t>bita56descripcion</t>
  </si>
  <si>
    <t>bita56fechainicial</t>
  </si>
  <si>
    <t>bita56fechafinal</t>
  </si>
  <si>
    <t>bita56idorigen</t>
  </si>
  <si>
    <t>bita56idarchivo</t>
  </si>
  <si>
    <t>bita56tipoevento</t>
  </si>
  <si>
    <t>bita57tltipoevento</t>
  </si>
  <si>
    <t>bita57id</t>
  </si>
  <si>
    <t>bita57nombre</t>
  </si>
  <si>
    <t>core16fechamatricula</t>
  </si>
  <si>
    <t>core16paraseguimiento</t>
  </si>
  <si>
    <t>core17origenmatricula</t>
  </si>
  <si>
    <t>core17id</t>
  </si>
  <si>
    <t>core17nombre</t>
  </si>
  <si>
    <t>core30estadomatricula</t>
  </si>
  <si>
    <t>core30id</t>
  </si>
  <si>
    <t>core30nombre</t>
  </si>
  <si>
    <t>core04idmatricula</t>
  </si>
  <si>
    <t>even01consec</t>
  </si>
  <si>
    <t>Tipos de enventos</t>
  </si>
  <si>
    <t>eventipoevento.php</t>
  </si>
  <si>
    <t>even41categoria</t>
  </si>
  <si>
    <t>even41idtipoevento</t>
  </si>
  <si>
    <t>even41consec</t>
  </si>
  <si>
    <t>even41id</t>
  </si>
  <si>
    <t>even41activo</t>
  </si>
  <si>
    <t>even41titulo</t>
  </si>
  <si>
    <t>Categorias</t>
  </si>
  <si>
    <t>even02categoria</t>
  </si>
  <si>
    <t>core16tipomatricula</t>
  </si>
  <si>
    <t>core08tipomatricula</t>
  </si>
  <si>
    <t>core08id</t>
  </si>
  <si>
    <t>core08nombre</t>
  </si>
  <si>
    <t>core16idconvenio</t>
  </si>
  <si>
    <t>unad39nada</t>
  </si>
  <si>
    <t>unae21dominiosrestr</t>
  </si>
  <si>
    <t>unae21consec</t>
  </si>
  <si>
    <t>unae21id</t>
  </si>
  <si>
    <t>unae21dominio</t>
  </si>
  <si>
    <t>unae21motivo</t>
  </si>
  <si>
    <t>Dominios restringidos</t>
  </si>
  <si>
    <t>unaddominiorest.php</t>
  </si>
  <si>
    <t>even02formainscripcion</t>
  </si>
  <si>
    <t>cara23acompanamento</t>
  </si>
  <si>
    <t>cara23idencuesta</t>
  </si>
  <si>
    <t>cara23consec</t>
  </si>
  <si>
    <t>cara23id</t>
  </si>
  <si>
    <t>cara23idtercero</t>
  </si>
  <si>
    <t>Acompanamiento</t>
  </si>
  <si>
    <t>caraacompana.php</t>
  </si>
  <si>
    <t>cara23asisteinmersioncv</t>
  </si>
  <si>
    <t>cara23asisteinduccion</t>
  </si>
  <si>
    <t>cara24avancecatedra</t>
  </si>
  <si>
    <t>cara24consec</t>
  </si>
  <si>
    <t>cara24id</t>
  </si>
  <si>
    <t>cara24orden</t>
  </si>
  <si>
    <t>cara24activa</t>
  </si>
  <si>
    <t>cara24titulo</t>
  </si>
  <si>
    <t>cara24vrriesgo</t>
  </si>
  <si>
    <t>Avance catedra unadista</t>
  </si>
  <si>
    <t>caraavancecat.php</t>
  </si>
  <si>
    <t>cara23aler_sociodem</t>
  </si>
  <si>
    <t>cara23aler_psico</t>
  </si>
  <si>
    <t>cara23aler_academ</t>
  </si>
  <si>
    <t>cara23aler_econom</t>
  </si>
  <si>
    <t>cara23aler_interno</t>
  </si>
  <si>
    <t>cara23aler_externo</t>
  </si>
  <si>
    <t>cara23aler_nivel</t>
  </si>
  <si>
    <t>cara23aler_criterio</t>
  </si>
  <si>
    <t>cara23estado</t>
  </si>
  <si>
    <t>cara23comp_criterio</t>
  </si>
  <si>
    <t>cara23comp_digital</t>
  </si>
  <si>
    <t>cara23comp_cuanti</t>
  </si>
  <si>
    <t>cara23comp_lectora</t>
  </si>
  <si>
    <t>cara23comp_ingles</t>
  </si>
  <si>
    <t>cara23nivela_digital</t>
  </si>
  <si>
    <t>cara23nivela_cuanti</t>
  </si>
  <si>
    <t>cara23nivela_lecto</t>
  </si>
  <si>
    <t>cara23nivela_ingles</t>
  </si>
  <si>
    <t>cara23nivela_exito</t>
  </si>
  <si>
    <t>cara23contacto_efectivo</t>
  </si>
  <si>
    <t>cara23contacto_forma</t>
  </si>
  <si>
    <t>cara23factorriesgo</t>
  </si>
  <si>
    <t>cara23catedra_criterio</t>
  </si>
  <si>
    <t>cara23catedra_avance</t>
  </si>
  <si>
    <t>cara01numacompanamentos</t>
  </si>
  <si>
    <t>cara24jornada</t>
  </si>
  <si>
    <t>cara23catedra_skype</t>
  </si>
  <si>
    <t>cara23catedra_bler1</t>
  </si>
  <si>
    <t>cara23catedra_bler2</t>
  </si>
  <si>
    <t>cara23catedra_webconf</t>
  </si>
  <si>
    <t>cara23catedra_segprev</t>
  </si>
  <si>
    <t>cara23catedra_resultados</t>
  </si>
  <si>
    <t>cara23catedra_acciones</t>
  </si>
  <si>
    <t>cara23cursos_criterio</t>
  </si>
  <si>
    <t>cara23cursos_total</t>
  </si>
  <si>
    <t>cara23cursos_siningre</t>
  </si>
  <si>
    <t>cara23cursos_porcing</t>
  </si>
  <si>
    <t>cara23cursos_otros</t>
  </si>
  <si>
    <t>cara23cursos_accionlider</t>
  </si>
  <si>
    <t>caraacompanab.php</t>
  </si>
  <si>
    <t>Esta ventana es atipica.</t>
  </si>
  <si>
    <t>cara23contacto_observa</t>
  </si>
  <si>
    <t>cara23zonal_retro</t>
  </si>
  <si>
    <t>cara23zonal_fecha</t>
  </si>
  <si>
    <t>cara23zonal_idlider</t>
  </si>
  <si>
    <t>cara23cursos_menor200</t>
  </si>
  <si>
    <t>cara23cursos_porcperdida</t>
  </si>
  <si>
    <t>cara23idtipo</t>
  </si>
  <si>
    <t>Acompanamiento - Encuesta</t>
  </si>
  <si>
    <t>cara25accionescat</t>
  </si>
  <si>
    <t>cara25consec</t>
  </si>
  <si>
    <t>cara25id</t>
  </si>
  <si>
    <t>cara25activa</t>
  </si>
  <si>
    <t>cara25titulo</t>
  </si>
  <si>
    <t>cara26resultcat</t>
  </si>
  <si>
    <t>cara25orden</t>
  </si>
  <si>
    <t>cara26consec</t>
  </si>
  <si>
    <t>cara26id</t>
  </si>
  <si>
    <t>cara26orden</t>
  </si>
  <si>
    <t>cara26activa</t>
  </si>
  <si>
    <t>cara26titulo</t>
  </si>
  <si>
    <t>cara27mediocont</t>
  </si>
  <si>
    <t>cara27consec</t>
  </si>
  <si>
    <t>cara27id</t>
  </si>
  <si>
    <t>cara27orden</t>
  </si>
  <si>
    <t>cara27activa</t>
  </si>
  <si>
    <t>cara27titulo</t>
  </si>
  <si>
    <t>cara23aplaza</t>
  </si>
  <si>
    <t>cara23seretira</t>
  </si>
  <si>
    <t>ceca52avanceprograma</t>
  </si>
  <si>
    <t>ceca52idprograma</t>
  </si>
  <si>
    <t>ceca52idperiodo</t>
  </si>
  <si>
    <t>Avance por programa</t>
  </si>
  <si>
    <t>cecaavanceprog.php</t>
  </si>
  <si>
    <t>ceca52listar</t>
  </si>
  <si>
    <t>ceca52idescuela</t>
  </si>
  <si>
    <t>ceca52tipoperiodo</t>
  </si>
  <si>
    <t>core04edad</t>
  </si>
  <si>
    <t>core16edad</t>
  </si>
  <si>
    <t>Acciones catedra</t>
  </si>
  <si>
    <t>Resultados catedra</t>
  </si>
  <si>
    <t>Medios de contacto</t>
  </si>
  <si>
    <t>caraaccionescat.php</t>
  </si>
  <si>
    <t>cararesultcat.php</t>
  </si>
  <si>
    <t>caramediocont.php</t>
  </si>
  <si>
    <t>cara25puntaje</t>
  </si>
  <si>
    <t>cara28actividades</t>
  </si>
  <si>
    <t>cara28consec</t>
  </si>
  <si>
    <t>cara28id</t>
  </si>
  <si>
    <t>cara28tipoactividad</t>
  </si>
  <si>
    <t>cara28fecha</t>
  </si>
  <si>
    <t>cara28lugar</t>
  </si>
  <si>
    <t>cara28idcentro</t>
  </si>
  <si>
    <t>cara28idzona</t>
  </si>
  <si>
    <t>cara28idresponsable</t>
  </si>
  <si>
    <t>cara28detalle</t>
  </si>
  <si>
    <t>cara29actividadasiste</t>
  </si>
  <si>
    <t>cara29idactividad</t>
  </si>
  <si>
    <t>cara29idtercero</t>
  </si>
  <si>
    <t>cara29id</t>
  </si>
  <si>
    <t>cara28estado</t>
  </si>
  <si>
    <t>cara30tipoactividad</t>
  </si>
  <si>
    <t>cara30id</t>
  </si>
  <si>
    <t>cara30nombre</t>
  </si>
  <si>
    <t>cara31estadoasiste</t>
  </si>
  <si>
    <t>cara31id</t>
  </si>
  <si>
    <t>cara31nombre</t>
  </si>
  <si>
    <t>Actividades de acompanamento</t>
  </si>
  <si>
    <t>cara28horaini</t>
  </si>
  <si>
    <t>cara28horafin</t>
  </si>
  <si>
    <t>cara32estadoactividad</t>
  </si>
  <si>
    <t>cara32id</t>
  </si>
  <si>
    <t>cara32nombre</t>
  </si>
  <si>
    <t>caraactividadacomp.php</t>
  </si>
  <si>
    <t>Asistentes</t>
  </si>
  <si>
    <t>cara28minini</t>
  </si>
  <si>
    <t>cara28minfin</t>
  </si>
  <si>
    <t>cara29estado</t>
  </si>
  <si>
    <t>core09idtipopractica</t>
  </si>
  <si>
    <t>olab41tipopractica</t>
  </si>
  <si>
    <t>olab41consec</t>
  </si>
  <si>
    <t>olab41id</t>
  </si>
  <si>
    <t>olab41activa</t>
  </si>
  <si>
    <t>olab41titulo</t>
  </si>
  <si>
    <t>olab41escuela</t>
  </si>
  <si>
    <t>olab41numpracticas</t>
  </si>
  <si>
    <t>oalb41porcplanestudios</t>
  </si>
  <si>
    <t>olab41nivelrequerido</t>
  </si>
  <si>
    <t>olab41edadminima</t>
  </si>
  <si>
    <t>olab42tipopracdoc</t>
  </si>
  <si>
    <t>olab42idtipopractica</t>
  </si>
  <si>
    <t>olab42consec</t>
  </si>
  <si>
    <t>olab42id</t>
  </si>
  <si>
    <t>olab42nombredoc</t>
  </si>
  <si>
    <t>olab42activo</t>
  </si>
  <si>
    <t>olab42unicavez</t>
  </si>
  <si>
    <t>olab42controlvence</t>
  </si>
  <si>
    <t>olab42idtipodocgd</t>
  </si>
  <si>
    <t>Tipos de practicas</t>
  </si>
  <si>
    <t>olabtipopractica.php</t>
  </si>
  <si>
    <t>Documentacion requerida</t>
  </si>
  <si>
    <t>Candidatos</t>
  </si>
  <si>
    <t>olabcandidatoprac.php</t>
  </si>
  <si>
    <t>core01estadopractica</t>
  </si>
  <si>
    <t>olab43estadopractica</t>
  </si>
  <si>
    <t>olab43id</t>
  </si>
  <si>
    <t>olab43nombre</t>
  </si>
  <si>
    <t>Practicantes</t>
  </si>
  <si>
    <t>olabpracticante.php</t>
  </si>
  <si>
    <t>olab45practica</t>
  </si>
  <si>
    <t>olab45id</t>
  </si>
  <si>
    <t>olab45idestprograma</t>
  </si>
  <si>
    <t>olab45numpractica</t>
  </si>
  <si>
    <t>olab45fechaaprueba</t>
  </si>
  <si>
    <t>olab45idaprueba</t>
  </si>
  <si>
    <t>olab45fechainicio</t>
  </si>
  <si>
    <t>olab45fechafin</t>
  </si>
  <si>
    <t>olab45nota</t>
  </si>
  <si>
    <t>olab45idtutor</t>
  </si>
  <si>
    <t>olab45idmonitor</t>
  </si>
  <si>
    <t>olab45idcupopractica</t>
  </si>
  <si>
    <t>olab45fechanota</t>
  </si>
  <si>
    <t>olab45idcalifica</t>
  </si>
  <si>
    <t>olab45aprobada</t>
  </si>
  <si>
    <t>Practicas</t>
  </si>
  <si>
    <t>olab46consec</t>
  </si>
  <si>
    <t>olab46id</t>
  </si>
  <si>
    <t>olab45idestudiante</t>
  </si>
  <si>
    <t>olab45idprograma</t>
  </si>
  <si>
    <t>olab45idescenario</t>
  </si>
  <si>
    <t>olab45idtipopractica</t>
  </si>
  <si>
    <t>olab46practicadoc</t>
  </si>
  <si>
    <t>olab46idestprograma</t>
  </si>
  <si>
    <t>olab46idpractica</t>
  </si>
  <si>
    <t>oferevprograma.php</t>
  </si>
  <si>
    <t>Ajustar oferentes</t>
  </si>
  <si>
    <t>La fuente es la base historica del curso, el titulo es el codigo primario ahora.</t>
  </si>
  <si>
    <t>Octubre 1 de 2019</t>
  </si>
  <si>
    <t>cara28formato</t>
  </si>
  <si>
    <t>cara01idperiodoacompana</t>
  </si>
  <si>
    <t>cara01fechacierreacom</t>
  </si>
  <si>
    <t>cara01formaacomp</t>
  </si>
  <si>
    <t>socio demografico</t>
  </si>
  <si>
    <t>psicologico</t>
  </si>
  <si>
    <t>academicos</t>
  </si>
  <si>
    <t>economicos</t>
  </si>
  <si>
    <t>olab46iddocgd</t>
  </si>
  <si>
    <t>olab46origen</t>
  </si>
  <si>
    <t>olab46archivo</t>
  </si>
  <si>
    <t>olab46fechadoc</t>
  </si>
  <si>
    <t>olab46fechavence</t>
  </si>
  <si>
    <t>olab01idtipopractica</t>
  </si>
  <si>
    <t>Escenarios de practica</t>
  </si>
  <si>
    <t>olabescpractica.php</t>
  </si>
  <si>
    <t>olab08programa</t>
  </si>
  <si>
    <t>olab08idtipopractica</t>
  </si>
  <si>
    <t>Convenios de practica</t>
  </si>
  <si>
    <t>olabconvpractica.php</t>
  </si>
  <si>
    <t>olab49asistencia</t>
  </si>
  <si>
    <t>olab49idcupo</t>
  </si>
  <si>
    <t>olab49id</t>
  </si>
  <si>
    <t>olab49idestudiante</t>
  </si>
  <si>
    <t>olab49j01</t>
  </si>
  <si>
    <t>olab49j02</t>
  </si>
  <si>
    <t>olab49numjornadas</t>
  </si>
  <si>
    <t>olab49idescenario</t>
  </si>
  <si>
    <t>olab49j03</t>
  </si>
  <si>
    <t>olab49j04</t>
  </si>
  <si>
    <t>olab49j05</t>
  </si>
  <si>
    <t>olab49j06</t>
  </si>
  <si>
    <t>olab49j07</t>
  </si>
  <si>
    <t>olab49j08</t>
  </si>
  <si>
    <t>olab49j09</t>
  </si>
  <si>
    <t>olab49j10</t>
  </si>
  <si>
    <t>olab49j11</t>
  </si>
  <si>
    <t>olab49j12</t>
  </si>
  <si>
    <t>olab49j13</t>
  </si>
  <si>
    <t>olab49j14</t>
  </si>
  <si>
    <t>olab49j15</t>
  </si>
  <si>
    <t>olab49j16</t>
  </si>
  <si>
    <t>olab49j17</t>
  </si>
  <si>
    <t>olab49j18</t>
  </si>
  <si>
    <t>olab49j19</t>
  </si>
  <si>
    <t>olab49j20</t>
  </si>
  <si>
    <t>olab49j21</t>
  </si>
  <si>
    <t>olab49j22</t>
  </si>
  <si>
    <t>olab49j23</t>
  </si>
  <si>
    <t>olab49j24</t>
  </si>
  <si>
    <t>olab49j25</t>
  </si>
  <si>
    <t>olab49j26</t>
  </si>
  <si>
    <t>olab49j27</t>
  </si>
  <si>
    <t>olab49j28</t>
  </si>
  <si>
    <t>olab49j29</t>
  </si>
  <si>
    <t>olab49j30</t>
  </si>
  <si>
    <t>olab49j31</t>
  </si>
  <si>
    <t>olab49j32</t>
  </si>
  <si>
    <t>olab49j33</t>
  </si>
  <si>
    <t>olab49j34</t>
  </si>
  <si>
    <t>olab49j35</t>
  </si>
  <si>
    <t>olab49j36</t>
  </si>
  <si>
    <t>olab49j37</t>
  </si>
  <si>
    <t>olab49j38</t>
  </si>
  <si>
    <t>olab49j39</t>
  </si>
  <si>
    <t>olab49j40</t>
  </si>
  <si>
    <t>olab49j41</t>
  </si>
  <si>
    <t>olab49j42</t>
  </si>
  <si>
    <t>olab49j43</t>
  </si>
  <si>
    <t>olab49j44</t>
  </si>
  <si>
    <t>olab49j45</t>
  </si>
  <si>
    <t>olab49j46</t>
  </si>
  <si>
    <t>olab49j47</t>
  </si>
  <si>
    <t>olab49j48</t>
  </si>
  <si>
    <t>olab49j49</t>
  </si>
  <si>
    <t>olab49j50</t>
  </si>
  <si>
    <t>olab50jornadas</t>
  </si>
  <si>
    <t>olab50idescenario</t>
  </si>
  <si>
    <t>olab50numjornada</t>
  </si>
  <si>
    <t>olab50id</t>
  </si>
  <si>
    <t>olab50idiasem</t>
  </si>
  <si>
    <t>olab50fecha</t>
  </si>
  <si>
    <t>olab50estado</t>
  </si>
  <si>
    <t>olab50detalle</t>
  </si>
  <si>
    <t>Jornadas</t>
  </si>
  <si>
    <t>Control de asistencia</t>
  </si>
  <si>
    <t>plab01hv</t>
  </si>
  <si>
    <t>plab01emprbolsempleo</t>
  </si>
  <si>
    <t>2901</t>
  </si>
  <si>
    <t>hoja de vida</t>
  </si>
  <si>
    <t>porlabhv.php</t>
  </si>
  <si>
    <t>plab08emprbolsempleo</t>
  </si>
  <si>
    <t>plab08id</t>
  </si>
  <si>
    <t>plab01idtercero</t>
  </si>
  <si>
    <t>plab01id</t>
  </si>
  <si>
    <t>plab01fechareg</t>
  </si>
  <si>
    <t>plab01telprin</t>
  </si>
  <si>
    <t>plab01telofic</t>
  </si>
  <si>
    <t>plab01telmov</t>
  </si>
  <si>
    <t>plab01correo</t>
  </si>
  <si>
    <t>plab01ultprof</t>
  </si>
  <si>
    <t>plab02prof</t>
  </si>
  <si>
    <t>plab02id</t>
  </si>
  <si>
    <t>plab01aspsal</t>
  </si>
  <si>
    <t>plab03rangsala</t>
  </si>
  <si>
    <t>plab03id</t>
  </si>
  <si>
    <t>plab01nomemprultexp</t>
  </si>
  <si>
    <t>plab01cargo</t>
  </si>
  <si>
    <t>plab04cargo</t>
  </si>
  <si>
    <t>plab04id</t>
  </si>
  <si>
    <t>plab01industria</t>
  </si>
  <si>
    <t>plab05industria</t>
  </si>
  <si>
    <t>plab05id</t>
  </si>
  <si>
    <t>plab01sector</t>
  </si>
  <si>
    <t>plab06sector</t>
  </si>
  <si>
    <t>plab06id</t>
  </si>
  <si>
    <t>plab01fechainiexp</t>
  </si>
  <si>
    <t>plab01fechafinexp</t>
  </si>
  <si>
    <t>plab01nivingles</t>
  </si>
  <si>
    <t>plab07nivingles</t>
  </si>
  <si>
    <t>plab07id</t>
  </si>
  <si>
    <t>plab01fechaacthv</t>
  </si>
  <si>
    <t>plab01numpostula</t>
  </si>
  <si>
    <t>plab02consecutivo</t>
  </si>
  <si>
    <t>2902</t>
  </si>
  <si>
    <t>profesiones</t>
  </si>
  <si>
    <t>plabprofesiones.php</t>
  </si>
  <si>
    <t>plab02nombre</t>
  </si>
  <si>
    <t>plab02programa</t>
  </si>
  <si>
    <t>plab03consecutivo</t>
  </si>
  <si>
    <t>2903</t>
  </si>
  <si>
    <t>rango salarial</t>
  </si>
  <si>
    <t>plab03nombre</t>
  </si>
  <si>
    <t>plab04consecutivo</t>
  </si>
  <si>
    <t>2904</t>
  </si>
  <si>
    <t>cargos</t>
  </si>
  <si>
    <t>plabcargos.php</t>
  </si>
  <si>
    <t>plab04nombre</t>
  </si>
  <si>
    <t>plab05consecutivo</t>
  </si>
  <si>
    <t>2905</t>
  </si>
  <si>
    <t>industria</t>
  </si>
  <si>
    <t>plabindustria.php</t>
  </si>
  <si>
    <t>plab05nombre</t>
  </si>
  <si>
    <t>plab06consecutivo</t>
  </si>
  <si>
    <t>2906</t>
  </si>
  <si>
    <t>sector</t>
  </si>
  <si>
    <t>plabsector.php</t>
  </si>
  <si>
    <t>plab06nombre</t>
  </si>
  <si>
    <t>plab07consecutivo</t>
  </si>
  <si>
    <t>2907</t>
  </si>
  <si>
    <t>nivel ingles</t>
  </si>
  <si>
    <t>plabnivingles.php</t>
  </si>
  <si>
    <t>plab07nombre</t>
  </si>
  <si>
    <t>plab08consecutivo</t>
  </si>
  <si>
    <t>2908</t>
  </si>
  <si>
    <t>empresa bolsa de empleo</t>
  </si>
  <si>
    <t>plabemprbolsemple.php</t>
  </si>
  <si>
    <t>plab08activo</t>
  </si>
  <si>
    <t>plab08fechainicontr</t>
  </si>
  <si>
    <t>plab08fechafincontr</t>
  </si>
  <si>
    <t>plab09empresa</t>
  </si>
  <si>
    <t>2909</t>
  </si>
  <si>
    <t>empresa ofertante</t>
  </si>
  <si>
    <t>plabempresa.php</t>
  </si>
  <si>
    <t>plab09id</t>
  </si>
  <si>
    <t>plab09industria</t>
  </si>
  <si>
    <t>plab09sector</t>
  </si>
  <si>
    <t>plab09contnombre</t>
  </si>
  <si>
    <t>plab09contcorreo</t>
  </si>
  <si>
    <t>plab09numoferpub</t>
  </si>
  <si>
    <t>plab10oferta</t>
  </si>
  <si>
    <t>plab10emprbolsempleo</t>
  </si>
  <si>
    <t>2910</t>
  </si>
  <si>
    <t>ofertas</t>
  </si>
  <si>
    <t>plaboferta.php</t>
  </si>
  <si>
    <t>plab10consecutivo</t>
  </si>
  <si>
    <t>plab10id</t>
  </si>
  <si>
    <t>plab10refoferta</t>
  </si>
  <si>
    <t>plab10empresa</t>
  </si>
  <si>
    <t>plab10ubicacion</t>
  </si>
  <si>
    <t>plab10ubipais</t>
  </si>
  <si>
    <t>plab10ubidep</t>
  </si>
  <si>
    <t>plab10tipocont</t>
  </si>
  <si>
    <t>plab11tipocont</t>
  </si>
  <si>
    <t>plab11id</t>
  </si>
  <si>
    <t>plab11nombre</t>
  </si>
  <si>
    <t>plab12id</t>
  </si>
  <si>
    <t>plab12nombre</t>
  </si>
  <si>
    <t>plab10rangsala</t>
  </si>
  <si>
    <t>plab10segmento</t>
  </si>
  <si>
    <t>plab13segmento</t>
  </si>
  <si>
    <t>plab13id</t>
  </si>
  <si>
    <t>plab13nombre</t>
  </si>
  <si>
    <t>plab10profesion</t>
  </si>
  <si>
    <t>plab11consecutivo</t>
  </si>
  <si>
    <t>2911</t>
  </si>
  <si>
    <t>tipo de contrato</t>
  </si>
  <si>
    <t>plabtipocont.php</t>
  </si>
  <si>
    <t>2912</t>
  </si>
  <si>
    <t>estado de aprobacion</t>
  </si>
  <si>
    <t>plab13consecutivo</t>
  </si>
  <si>
    <t>2913</t>
  </si>
  <si>
    <t>segmentacion</t>
  </si>
  <si>
    <t>plabsegmento.php</t>
  </si>
  <si>
    <t>plab14oferta</t>
  </si>
  <si>
    <t>2914</t>
  </si>
  <si>
    <t>aplicacion a oferta</t>
  </si>
  <si>
    <t>plab14hv</t>
  </si>
  <si>
    <t>plab14id</t>
  </si>
  <si>
    <t>plab14fechaaplica</t>
  </si>
  <si>
    <t>plab03activo</t>
  </si>
  <si>
    <t>Resumen de estudiantes</t>
  </si>
  <si>
    <t>core01idtipopractica</t>
  </si>
  <si>
    <t>olab41idlider</t>
  </si>
  <si>
    <t>olab42orden</t>
  </si>
  <si>
    <t>Mis practicas</t>
  </si>
  <si>
    <t>mispracticas.php</t>
  </si>
  <si>
    <t>olab51practcambioest</t>
  </si>
  <si>
    <t>olab51idestprograma</t>
  </si>
  <si>
    <t>olab51consec</t>
  </si>
  <si>
    <t>olab51id</t>
  </si>
  <si>
    <t>olab51idestadoorigen</t>
  </si>
  <si>
    <t>olab51idestadofin</t>
  </si>
  <si>
    <t>olab51nota</t>
  </si>
  <si>
    <t>olab51idusuario</t>
  </si>
  <si>
    <t>olab51fecha</t>
  </si>
  <si>
    <t>olab46idaprueba</t>
  </si>
  <si>
    <t>olab46fechaaprueba</t>
  </si>
  <si>
    <t>olab46iddoc</t>
  </si>
  <si>
    <t>plab08idtercero</t>
  </si>
  <si>
    <t>plab16aspsala</t>
  </si>
  <si>
    <t>plab16id</t>
  </si>
  <si>
    <t>plab16nombre</t>
  </si>
  <si>
    <t>plab01condicion</t>
  </si>
  <si>
    <t>plab15hvcondicion</t>
  </si>
  <si>
    <t>plab15id</t>
  </si>
  <si>
    <t>plab15nombre</t>
  </si>
  <si>
    <t>plab02activo</t>
  </si>
  <si>
    <t>plab04activo</t>
  </si>
  <si>
    <t>plab05activo</t>
  </si>
  <si>
    <t>plab06activo</t>
  </si>
  <si>
    <t>plab07activo</t>
  </si>
  <si>
    <t>plab09idtercero</t>
  </si>
  <si>
    <t>plab09consecutivo</t>
  </si>
  <si>
    <t>plab09activo</t>
  </si>
  <si>
    <t>plab03idempresa</t>
  </si>
  <si>
    <t>plab10titulo</t>
  </si>
  <si>
    <t>plab10ubiciudad</t>
  </si>
  <si>
    <t>plab10fechapubini</t>
  </si>
  <si>
    <t>plab10estado</t>
  </si>
  <si>
    <t>plab12estadooferta</t>
  </si>
  <si>
    <t>plab10totalaplica</t>
  </si>
  <si>
    <t>plab10numvacantes</t>
  </si>
  <si>
    <t>plab10activo</t>
  </si>
  <si>
    <t>plab10fechapubfin</t>
  </si>
  <si>
    <t>plab10detalle</t>
  </si>
  <si>
    <t>plab18ofertaciudad</t>
  </si>
  <si>
    <t>plab18idoferta</t>
  </si>
  <si>
    <t>plab18consecutivo</t>
  </si>
  <si>
    <t>plab18id</t>
  </si>
  <si>
    <t>plab18ubipais</t>
  </si>
  <si>
    <t>plab18ubidep</t>
  </si>
  <si>
    <t>plab18ubiciudad</t>
  </si>
  <si>
    <t>plab14aplicaoferta</t>
  </si>
  <si>
    <t>plab14estado</t>
  </si>
  <si>
    <t>plab17estadoaplica</t>
  </si>
  <si>
    <t>plab17id</t>
  </si>
  <si>
    <t>plab17nombre</t>
  </si>
  <si>
    <t>plab14fechacancela</t>
  </si>
  <si>
    <t>plab14motivocancela</t>
  </si>
  <si>
    <t>plab11activo</t>
  </si>
  <si>
    <t>condicion hv</t>
  </si>
  <si>
    <t>plab16consecutivo</t>
  </si>
  <si>
    <t>aspiracion salarial</t>
  </si>
  <si>
    <t>plabaspsalario.php</t>
  </si>
  <si>
    <t>plab16activo</t>
  </si>
  <si>
    <t>estado aplicante</t>
  </si>
  <si>
    <t>unad50hostzona1</t>
  </si>
  <si>
    <t>cara01factorriesgoacomp</t>
  </si>
  <si>
    <t>cara23fecha</t>
  </si>
  <si>
    <t>Esta es equivalente a la olab11</t>
  </si>
  <si>
    <t>olab48ofertaprac</t>
  </si>
  <si>
    <t>olab48idtipopractica</t>
  </si>
  <si>
    <t>olab48idcurso</t>
  </si>
  <si>
    <t>olab48idzona</t>
  </si>
  <si>
    <t>olab48idcead</t>
  </si>
  <si>
    <t>olab48numgrupo</t>
  </si>
  <si>
    <t>olab48id</t>
  </si>
  <si>
    <t>olab48idresponsable</t>
  </si>
  <si>
    <t>olab48numcupos</t>
  </si>
  <si>
    <t>olab48cerrado</t>
  </si>
  <si>
    <t>olab48numjornadas</t>
  </si>
  <si>
    <t>olab48numinscritos</t>
  </si>
  <si>
    <t>olab48realizado</t>
  </si>
  <si>
    <t>olab48numasistentes</t>
  </si>
  <si>
    <t>olab48numaprueban</t>
  </si>
  <si>
    <t>olab48idescenario</t>
  </si>
  <si>
    <t>olab48fechaini</t>
  </si>
  <si>
    <t>olab48fechafin</t>
  </si>
  <si>
    <t>olab49idtutor</t>
  </si>
  <si>
    <t>olab49idmonitor</t>
  </si>
  <si>
    <t>olab49nota75</t>
  </si>
  <si>
    <t>olab49nota25</t>
  </si>
  <si>
    <t>olab49retro</t>
  </si>
  <si>
    <t>olab49fecha75</t>
  </si>
  <si>
    <t>olab49fecha25</t>
  </si>
  <si>
    <t>olab49idestado</t>
  </si>
  <si>
    <t>1 para calificada, 9 para reprobado</t>
  </si>
  <si>
    <t>Registro de calificaciones</t>
  </si>
  <si>
    <t>olabpracticacalif.php</t>
  </si>
  <si>
    <t>Este es para que el profesor califique.</t>
  </si>
  <si>
    <t>0, vigente 1 cumplida, 9 cancelada</t>
  </si>
  <si>
    <t>olab50horaini</t>
  </si>
  <si>
    <t>olab50minini</t>
  </si>
  <si>
    <t>olab50horafin</t>
  </si>
  <si>
    <t>olab50minfin</t>
  </si>
  <si>
    <t>Horario</t>
  </si>
  <si>
    <t>unad86diasem</t>
  </si>
  <si>
    <t>unad86id</t>
  </si>
  <si>
    <t>unad86nombre</t>
  </si>
  <si>
    <t>unad86eti</t>
  </si>
  <si>
    <t>olab52horario</t>
  </si>
  <si>
    <t>olab52idofertaprac</t>
  </si>
  <si>
    <t>olab52consec</t>
  </si>
  <si>
    <t>olab52id</t>
  </si>
  <si>
    <t>olab52idiasem</t>
  </si>
  <si>
    <t>olab52horaini</t>
  </si>
  <si>
    <t>olab52minini</t>
  </si>
  <si>
    <t>olab52horafin</t>
  </si>
  <si>
    <t>olab52minfin</t>
  </si>
  <si>
    <t>olab45idperiodo</t>
  </si>
  <si>
    <t>olab45idcurso</t>
  </si>
  <si>
    <t>cara33rptconsolacom</t>
  </si>
  <si>
    <t>cara33idperaca</t>
  </si>
  <si>
    <t>cara33idzona</t>
  </si>
  <si>
    <t>cara33idcentro</t>
  </si>
  <si>
    <t>cara33poblacion</t>
  </si>
  <si>
    <t>cara33tipo</t>
  </si>
  <si>
    <t>Consolidado de acompanamientos</t>
  </si>
  <si>
    <t>cararptacomp.php</t>
  </si>
  <si>
    <t>olab42instrucciones</t>
  </si>
  <si>
    <t>olab42idorigenformato</t>
  </si>
  <si>
    <t>olab42idarchivoformato</t>
  </si>
  <si>
    <t>Historial de practicas</t>
  </si>
  <si>
    <t>olabhistorial.php</t>
  </si>
  <si>
    <t>unad55hostzona1</t>
  </si>
  <si>
    <t>aure01hostname</t>
  </si>
  <si>
    <t>olab54tipopractcurso</t>
  </si>
  <si>
    <t>olab54idtipopractica</t>
  </si>
  <si>
    <t>olab54consec</t>
  </si>
  <si>
    <t>olab54id</t>
  </si>
  <si>
    <t>olab54idcurso</t>
  </si>
  <si>
    <t>Cursos por practica</t>
  </si>
  <si>
    <t>olab42responsable</t>
  </si>
  <si>
    <t>olab46responsable</t>
  </si>
  <si>
    <t>0 el estudiante 1 el lider, 2 el tutor</t>
  </si>
  <si>
    <t>core44cadenaforma</t>
  </si>
  <si>
    <t>core44idescuela</t>
  </si>
  <si>
    <t>core44consec</t>
  </si>
  <si>
    <t>core44id</t>
  </si>
  <si>
    <t>core44nombre</t>
  </si>
  <si>
    <t>core44idlider</t>
  </si>
  <si>
    <t>Cadenas de formacion</t>
  </si>
  <si>
    <t>ofer62proyecmat</t>
  </si>
  <si>
    <t>ofer62idperiodo</t>
  </si>
  <si>
    <t>ofer62idcead</t>
  </si>
  <si>
    <t>ofer62idprograma</t>
  </si>
  <si>
    <t>ofer62id</t>
  </si>
  <si>
    <t>ofer62numestnuevos</t>
  </si>
  <si>
    <t>ofer62numestantiguos</t>
  </si>
  <si>
    <t>ofer63proyecmatcurso</t>
  </si>
  <si>
    <t>ofer63idproyec</t>
  </si>
  <si>
    <t>ofer63idcurso</t>
  </si>
  <si>
    <t>ofer63id</t>
  </si>
  <si>
    <t>ofer63numestnuevos</t>
  </si>
  <si>
    <t>ofer63numestantiguos</t>
  </si>
  <si>
    <t>ofer63idperiodo</t>
  </si>
  <si>
    <t>ofer63idcead</t>
  </si>
  <si>
    <t>ofer63idprograma</t>
  </si>
  <si>
    <t>ofer62fechaaprueba</t>
  </si>
  <si>
    <t>ofer62idaprueba</t>
  </si>
  <si>
    <t>ofer62idversion</t>
  </si>
  <si>
    <t>ofer62fechainical</t>
  </si>
  <si>
    <t>ofer62numcrednuevos</t>
  </si>
  <si>
    <t>ofer62numcredantiguos</t>
  </si>
  <si>
    <t>ofer62detalle</t>
  </si>
  <si>
    <t>Proyeccion de matricula</t>
  </si>
  <si>
    <t>oferproymat.php</t>
  </si>
  <si>
    <t>Meta por curso</t>
  </si>
  <si>
    <t>ceca00estadoservicio</t>
  </si>
  <si>
    <t>ceca00mensaje</t>
  </si>
  <si>
    <t>cara23cursos_ac1</t>
  </si>
  <si>
    <t>cara23cursos_ac2</t>
  </si>
  <si>
    <t>cara23cursos_ac3</t>
  </si>
  <si>
    <t>cara23cursos_ac4</t>
  </si>
  <si>
    <t>cara23cursos_ac5</t>
  </si>
  <si>
    <t>cara23cursos_ac6</t>
  </si>
  <si>
    <t>cara23cursos_ac7</t>
  </si>
  <si>
    <t>cara23cursos_ac8</t>
  </si>
  <si>
    <t>ofer53idescuela</t>
  </si>
  <si>
    <t>Usuarios de campus</t>
  </si>
  <si>
    <t>unadusuariocampus.php</t>
  </si>
  <si>
    <t>Jornadas de practica</t>
  </si>
  <si>
    <t>olab41msgalumno</t>
  </si>
  <si>
    <t>unad49latgrados</t>
  </si>
  <si>
    <t>unad49latdecimas</t>
  </si>
  <si>
    <t>unad49longrados</t>
  </si>
  <si>
    <t>unad49longdecimas</t>
  </si>
  <si>
    <t>unad49proximidad</t>
  </si>
  <si>
    <t>unae22rptsospecha</t>
  </si>
  <si>
    <t>unae22idtercero</t>
  </si>
  <si>
    <t>unae22fechaini</t>
  </si>
  <si>
    <t>unae22fechafin</t>
  </si>
  <si>
    <t>Conexiones sospechosas</t>
  </si>
  <si>
    <t>unadrptsosp.php</t>
  </si>
  <si>
    <t>unae22verdocs</t>
  </si>
  <si>
    <t>unae13latgrados</t>
  </si>
  <si>
    <t>unae13latdecimas</t>
  </si>
  <si>
    <t>unae13longrados</t>
  </si>
  <si>
    <t>unae13longdecimas</t>
  </si>
  <si>
    <t>unae13proximidad</t>
  </si>
  <si>
    <t>unae13tiposospecha</t>
  </si>
  <si>
    <t>unae23pagtamano</t>
  </si>
  <si>
    <t>syspagtamano.php</t>
  </si>
  <si>
    <t>unae23id</t>
  </si>
  <si>
    <t>unae23nombre</t>
  </si>
  <si>
    <t>unae23ancho</t>
  </si>
  <si>
    <t>unae23alto</t>
  </si>
  <si>
    <t>unae23fpdf</t>
  </si>
  <si>
    <t>unad93idsesion</t>
  </si>
  <si>
    <t>unae13numcursos</t>
  </si>
  <si>
    <t>unae24revcurso</t>
  </si>
  <si>
    <t>unae24idrev</t>
  </si>
  <si>
    <t>unae24idcurso</t>
  </si>
  <si>
    <t>unae24id</t>
  </si>
  <si>
    <t>unae24dia</t>
  </si>
  <si>
    <t>unae24idtercero</t>
  </si>
  <si>
    <t>Cursos a los que acedio</t>
  </si>
  <si>
    <t>core16idcaracterizacion</t>
  </si>
  <si>
    <t>Asignacion de consejeros</t>
  </si>
  <si>
    <t>caraasignacion.php</t>
  </si>
  <si>
    <t>unae24idperaca</t>
  </si>
  <si>
    <t>unad71horalocaliza</t>
  </si>
  <si>
    <t>unad71minlocaliza</t>
  </si>
  <si>
    <t>unad71seglocaliza</t>
  </si>
  <si>
    <t>unae25semillas</t>
  </si>
  <si>
    <t>unae25host</t>
  </si>
  <si>
    <t>unae25maquina</t>
  </si>
  <si>
    <t>unae25fecha</t>
  </si>
  <si>
    <t>unae25id</t>
  </si>
  <si>
    <t>unae25horacrea</t>
  </si>
  <si>
    <t>unae25mincrea</t>
  </si>
  <si>
    <t>unae25segcrea</t>
  </si>
  <si>
    <t>unae25latgrados</t>
  </si>
  <si>
    <t>unae25latdecimas</t>
  </si>
  <si>
    <t>unae25longrados</t>
  </si>
  <si>
    <t>unae25longdecimas</t>
  </si>
  <si>
    <t>unae25proximidad</t>
  </si>
  <si>
    <t>unae25iporigen</t>
  </si>
  <si>
    <t>Semillas</t>
  </si>
  <si>
    <t>unadsemillas.php</t>
  </si>
  <si>
    <t>unae25idtercerousa</t>
  </si>
  <si>
    <t>unae25totalusuarios</t>
  </si>
  <si>
    <t>cara23cursos_ac9</t>
  </si>
  <si>
    <t>unad93idperaca</t>
  </si>
  <si>
    <t>cara23catedra_aprueba</t>
  </si>
  <si>
    <t>El criterio lo coloca el consejero previamente</t>
  </si>
  <si>
    <t>Este factor lo coloca el consejero al final.</t>
  </si>
  <si>
    <t>cara23permanece</t>
  </si>
  <si>
    <t>bita09tipoproyecto</t>
  </si>
  <si>
    <t>bita09idresponsable</t>
  </si>
  <si>
    <t>bita09idtester</t>
  </si>
  <si>
    <t>bita09idcapacitador</t>
  </si>
  <si>
    <t>bita09idgestor</t>
  </si>
  <si>
    <t>bita09idestado</t>
  </si>
  <si>
    <t>bita58estadoproyecto</t>
  </si>
  <si>
    <t>bita58id</t>
  </si>
  <si>
    <t>bita58nombre</t>
  </si>
  <si>
    <t>bita59tipoproyecto</t>
  </si>
  <si>
    <t>bita59id</t>
  </si>
  <si>
    <t>bita59nombre</t>
  </si>
  <si>
    <t>bita09idconsultor</t>
  </si>
  <si>
    <t>bita60proyhistestado</t>
  </si>
  <si>
    <t>bita60idproyecto</t>
  </si>
  <si>
    <t>bita60consec</t>
  </si>
  <si>
    <t>bita60idestadoorigen</t>
  </si>
  <si>
    <t>bita60idestadodestino</t>
  </si>
  <si>
    <t>bita60idusuario</t>
  </si>
  <si>
    <t>bita60fecha</t>
  </si>
  <si>
    <t>bita60detalle</t>
  </si>
  <si>
    <t>Historial de cambios de estado</t>
  </si>
  <si>
    <t>bita09idsistema</t>
  </si>
  <si>
    <t>bita61tipoanexoproy</t>
  </si>
  <si>
    <t>bita61activo</t>
  </si>
  <si>
    <t>bita61orden</t>
  </si>
  <si>
    <t>Tipos de anexos en proyectos</t>
  </si>
  <si>
    <t>bita61origenformato</t>
  </si>
  <si>
    <t>bita61archvioformato</t>
  </si>
  <si>
    <t>bita62proyanexo</t>
  </si>
  <si>
    <t>bita62idproyecto</t>
  </si>
  <si>
    <t>bita62idtipoanexo</t>
  </si>
  <si>
    <t>bita62origen</t>
  </si>
  <si>
    <t>bita62archivo</t>
  </si>
  <si>
    <t>bita62detalle</t>
  </si>
  <si>
    <t>bita62idusuario</t>
  </si>
  <si>
    <t>core04numcreditos</t>
  </si>
  <si>
    <t>cara35factorpermanece</t>
  </si>
  <si>
    <t>cara35consec</t>
  </si>
  <si>
    <t>cara35id</t>
  </si>
  <si>
    <t>cara35activa</t>
  </si>
  <si>
    <t>cara35orden</t>
  </si>
  <si>
    <t>cara35nombre</t>
  </si>
  <si>
    <t>cara35grupo</t>
  </si>
  <si>
    <t>Factores de permanencia</t>
  </si>
  <si>
    <t>carafactorpermanece.php</t>
  </si>
  <si>
    <t>cara01factorprincpermanencia</t>
  </si>
  <si>
    <t>Este factor lo coloca el consejero en el acomp final</t>
  </si>
  <si>
    <t>unae52revtildes</t>
  </si>
  <si>
    <t>unae52tabla</t>
  </si>
  <si>
    <t>unae52campo</t>
  </si>
  <si>
    <t>unadrevtildes.php</t>
  </si>
  <si>
    <t>Esto es un asistente para ajustar tildes.</t>
  </si>
  <si>
    <t>Revision de tildes</t>
  </si>
  <si>
    <t>tabla</t>
  </si>
  <si>
    <t>campo</t>
  </si>
  <si>
    <t>nomcampo</t>
  </si>
  <si>
    <t>tablapadre</t>
  </si>
  <si>
    <t>exte02saltardobleaut</t>
  </si>
  <si>
    <t>ofer45tipoevaluacion</t>
  </si>
  <si>
    <t>ofer45nombre</t>
  </si>
  <si>
    <t>ofer45id</t>
  </si>
  <si>
    <t>ofer04tipoprueba</t>
  </si>
  <si>
    <t>ofer55periodo</t>
  </si>
  <si>
    <t>ofer55idversionprog</t>
  </si>
  <si>
    <t>ofer55idanalisis</t>
  </si>
  <si>
    <t>ofer55nivel</t>
  </si>
  <si>
    <t>ofer64preofanalisis</t>
  </si>
  <si>
    <t>ofer64idperiodo</t>
  </si>
  <si>
    <t>ofer64idcurso</t>
  </si>
  <si>
    <t>ofer64id</t>
  </si>
  <si>
    <t>ofer64idescuela</t>
  </si>
  <si>
    <t>ofer64idprograma</t>
  </si>
  <si>
    <t>ofer64idresponsable</t>
  </si>
  <si>
    <t>ofer64estado</t>
  </si>
  <si>
    <t>ofer64comentario</t>
  </si>
  <si>
    <t>ofer64idcoorte</t>
  </si>
  <si>
    <t>ofer64idtutoralista</t>
  </si>
  <si>
    <t>ofer64ideveluador</t>
  </si>
  <si>
    <t>ofer64idoferta</t>
  </si>
  <si>
    <t>ofer64estesperados</t>
  </si>
  <si>
    <t>ofer64fechasolini</t>
  </si>
  <si>
    <t>ofer64fechapreoferta</t>
  </si>
  <si>
    <t>ofer64fechaoferta</t>
  </si>
  <si>
    <t>ofer64idaprobacion</t>
  </si>
  <si>
    <t>ofer64estadoaprobacion</t>
  </si>
  <si>
    <t>ofer64comendariorechazo</t>
  </si>
  <si>
    <t>Analisis de la preoferta</t>
  </si>
  <si>
    <t>bitaproytipoanex.php</t>
  </si>
  <si>
    <t>ofer66cambioestado</t>
  </si>
  <si>
    <t>ofer66idanalisis</t>
  </si>
  <si>
    <t>ofer66consec</t>
  </si>
  <si>
    <t>ofer66id</t>
  </si>
  <si>
    <t>ofer66estadoorigen</t>
  </si>
  <si>
    <t>ofer66estadofin</t>
  </si>
  <si>
    <t>ofer66nota</t>
  </si>
  <si>
    <t>ofer66idusuario</t>
  </si>
  <si>
    <t>ofer66fecha</t>
  </si>
  <si>
    <t>ofer64proceso</t>
  </si>
  <si>
    <t>ofer64idioma</t>
  </si>
  <si>
    <t>ofer64conlaboratorio</t>
  </si>
  <si>
    <t>ofer64consalida</t>
  </si>
  <si>
    <t>ofer64consimulador</t>
  </si>
  <si>
    <t>ofer64estrategiaapren</t>
  </si>
  <si>
    <t>ofer64formaevalua</t>
  </si>
  <si>
    <t>ofer64habilitable</t>
  </si>
  <si>
    <t>ofer64homologable</t>
  </si>
  <si>
    <t>ofer64blerning</t>
  </si>
  <si>
    <t>ofer65preofaproba</t>
  </si>
  <si>
    <t>ofer65consec</t>
  </si>
  <si>
    <t>ofer65id</t>
  </si>
  <si>
    <t>ofer65periodo</t>
  </si>
  <si>
    <t>ofer65idescuela</t>
  </si>
  <si>
    <t>ofer65estado</t>
  </si>
  <si>
    <t>ofer65fecha</t>
  </si>
  <si>
    <t>ofer65idusuario</t>
  </si>
  <si>
    <t>ofer65cursosaprob</t>
  </si>
  <si>
    <t>ofer65cursosrechazados</t>
  </si>
  <si>
    <t>ofer64preaprobado</t>
  </si>
  <si>
    <t>aure51idproyecto</t>
  </si>
  <si>
    <t>aure57tipotarea</t>
  </si>
  <si>
    <t>aure58anexos</t>
  </si>
  <si>
    <t>aure58idbitacora</t>
  </si>
  <si>
    <t>aure58idhistoria</t>
  </si>
  <si>
    <t>aure58idtarea</t>
  </si>
  <si>
    <t>aure58idprueba</t>
  </si>
  <si>
    <t>aure58consec</t>
  </si>
  <si>
    <t>aure58id</t>
  </si>
  <si>
    <t>aure58titulo</t>
  </si>
  <si>
    <t>aure58idorigen</t>
  </si>
  <si>
    <t>aure58idarchivo</t>
  </si>
  <si>
    <t>aure58idusuario</t>
  </si>
  <si>
    <t>aure58fecha</t>
  </si>
  <si>
    <t>bita09fechacreado</t>
  </si>
  <si>
    <t>Ajuste de solicitudes de oferta</t>
  </si>
  <si>
    <t>oferpreajuste.php</t>
  </si>
  <si>
    <t>ofer55numcreditos</t>
  </si>
  <si>
    <t>Perfil de usuario</t>
  </si>
  <si>
    <t>miperfil.php</t>
  </si>
  <si>
    <t>aure57id</t>
  </si>
  <si>
    <t>aure57nombre</t>
  </si>
  <si>
    <t>aure51idtiporesul</t>
  </si>
  <si>
    <t>aure51tiporesul</t>
  </si>
  <si>
    <t>aure54nombre</t>
  </si>
  <si>
    <t>aure51idpadre</t>
  </si>
  <si>
    <t>0 las actividades padre</t>
  </si>
  <si>
    <t>Tipos de servicios</t>
  </si>
  <si>
    <t>Clases de servicios</t>
  </si>
  <si>
    <t>Esta tabla se debe partir por mes…</t>
  </si>
  <si>
    <t>Solicitudes</t>
  </si>
  <si>
    <t>0 Solicitado, 1 Asignado, 2 En tratime, 3 Para reasignar, 4 En pausa ,7 Resuelto, 9 Cancelado por el usuario</t>
  </si>
  <si>
    <t>Para poder hacerle rastro a la respuesta</t>
  </si>
  <si>
    <t>adminbanner.php</t>
  </si>
  <si>
    <t>Esta copia es para poder reconstruir las imágenes en los campus</t>
  </si>
  <si>
    <t>core53disciplinario</t>
  </si>
  <si>
    <t>core53consec</t>
  </si>
  <si>
    <t>core53id</t>
  </si>
  <si>
    <t>core53investigado</t>
  </si>
  <si>
    <t>core53informante</t>
  </si>
  <si>
    <t>core53fechainforme</t>
  </si>
  <si>
    <t>core53fechainihechos</t>
  </si>
  <si>
    <t>core53fechafinhechos</t>
  </si>
  <si>
    <t>core53quejoso</t>
  </si>
  <si>
    <t>core54investigados</t>
  </si>
  <si>
    <t>core54iddisciplinario</t>
  </si>
  <si>
    <t>core54idinvestigado</t>
  </si>
  <si>
    <t>core54id</t>
  </si>
  <si>
    <t>core54fechainclusion</t>
  </si>
  <si>
    <t>core54idescuela</t>
  </si>
  <si>
    <t>core54idprograma</t>
  </si>
  <si>
    <t>core54anotacion</t>
  </si>
  <si>
    <t>core53fechainiinvest</t>
  </si>
  <si>
    <t>core53fechafininvest</t>
  </si>
  <si>
    <t>core55faltas</t>
  </si>
  <si>
    <t>core55iddisciplinario</t>
  </si>
  <si>
    <t>core55idfalta</t>
  </si>
  <si>
    <t>core55id</t>
  </si>
  <si>
    <t>core55activa</t>
  </si>
  <si>
    <t>core56tipofalta</t>
  </si>
  <si>
    <t>core56consec</t>
  </si>
  <si>
    <t>core56id</t>
  </si>
  <si>
    <t>core56activa</t>
  </si>
  <si>
    <t>core56nombre</t>
  </si>
  <si>
    <t>core56detalle</t>
  </si>
  <si>
    <t>core57faltas</t>
  </si>
  <si>
    <t>core57idtipofalta</t>
  </si>
  <si>
    <t>core57consec</t>
  </si>
  <si>
    <t>core57id</t>
  </si>
  <si>
    <t>core57activa</t>
  </si>
  <si>
    <t>core57orden</t>
  </si>
  <si>
    <t>core57nombre</t>
  </si>
  <si>
    <t>core57detalle</t>
  </si>
  <si>
    <t>core53idetapa</t>
  </si>
  <si>
    <t>core58etapas</t>
  </si>
  <si>
    <t>core58id</t>
  </si>
  <si>
    <t>core58nombre</t>
  </si>
  <si>
    <t>core53idescuela</t>
  </si>
  <si>
    <t>core53numproceso</t>
  </si>
  <si>
    <t>core53agno</t>
  </si>
  <si>
    <t>core53etiquetaproceso</t>
  </si>
  <si>
    <t>core59bitacora</t>
  </si>
  <si>
    <t>core59consec</t>
  </si>
  <si>
    <t>core59id</t>
  </si>
  <si>
    <t>core59idetapa</t>
  </si>
  <si>
    <t>core59idactuacion</t>
  </si>
  <si>
    <t>core59fechaactuacion</t>
  </si>
  <si>
    <t>core59fechanotifica</t>
  </si>
  <si>
    <t>core59fechavencimiento</t>
  </si>
  <si>
    <t>core59horavencimiento</t>
  </si>
  <si>
    <t>core59minvencimiento</t>
  </si>
  <si>
    <t>core59terminodias</t>
  </si>
  <si>
    <t>core59detalle</t>
  </si>
  <si>
    <t>core59idusuario</t>
  </si>
  <si>
    <t>core59fechasistema</t>
  </si>
  <si>
    <t>core60idorigenanexo</t>
  </si>
  <si>
    <t>core60anexobitacora</t>
  </si>
  <si>
    <t>core60idbitacora</t>
  </si>
  <si>
    <t>core60consec</t>
  </si>
  <si>
    <t>core60id</t>
  </si>
  <si>
    <t>core60detalle</t>
  </si>
  <si>
    <t>core60idarchvioanexo</t>
  </si>
  <si>
    <t>core61actuaciones</t>
  </si>
  <si>
    <t>core61id</t>
  </si>
  <si>
    <t>core61nombre</t>
  </si>
  <si>
    <t>core61consec</t>
  </si>
  <si>
    <t>core61idetapa</t>
  </si>
  <si>
    <t>core62historialestado</t>
  </si>
  <si>
    <t>core62iddisciplinario</t>
  </si>
  <si>
    <t>core62idetapaorigen</t>
  </si>
  <si>
    <t>core62idetapadestino</t>
  </si>
  <si>
    <t>core62consec</t>
  </si>
  <si>
    <t>core62id</t>
  </si>
  <si>
    <t>core62idusuario</t>
  </si>
  <si>
    <t>core62fecha</t>
  </si>
  <si>
    <t>core62detalle</t>
  </si>
  <si>
    <t>core53sancionado</t>
  </si>
  <si>
    <t>core53tiposancion</t>
  </si>
  <si>
    <t>core53descripcionsancion</t>
  </si>
  <si>
    <t>core63sanciones</t>
  </si>
  <si>
    <t>core63consec</t>
  </si>
  <si>
    <t>core63id</t>
  </si>
  <si>
    <t>core63activa</t>
  </si>
  <si>
    <t>core63orden</t>
  </si>
  <si>
    <t>core63nombre</t>
  </si>
  <si>
    <t>0 Queja recibida, 1 Apertura investigación disciplinaria, 3 Citación al investigado, 2 Notificación de apertura de proceso disciplinario, 4 Inicio de investigación, 5 Descargos, 6 Termino Probatorio, 7 Valoración y Decisión, 8 Evaluación, 9 Sancion, 10 Archivo, 11 Absolución, 12 Recurso de reposicion, 13 Respuesta a reposicion, 14 Acepta resposicion, 15 Niega resposicion, 16 Recurso de apela, 17 Respuesta a apelación, 18 Resuelve apelación,  19 Queja descartada.</t>
  </si>
  <si>
    <t>core53contutela</t>
  </si>
  <si>
    <t>core53funcionarioresp</t>
  </si>
  <si>
    <t>core64historialresp</t>
  </si>
  <si>
    <t>Obliga a confirmar</t>
  </si>
  <si>
    <t>unae26unidadesfun</t>
  </si>
  <si>
    <t>Unidades funcionales</t>
  </si>
  <si>
    <t>unadunidadf.php</t>
  </si>
  <si>
    <t>unae26consec</t>
  </si>
  <si>
    <t>unae26id</t>
  </si>
  <si>
    <t>unae26activa</t>
  </si>
  <si>
    <t>unae26nombre</t>
  </si>
  <si>
    <t>unae26unidadpadre</t>
  </si>
  <si>
    <t>unae26fractal</t>
  </si>
  <si>
    <t>unae26tituloresponsable</t>
  </si>
  <si>
    <t>unae26idresponsable</t>
  </si>
  <si>
    <t>unae26idzona</t>
  </si>
  <si>
    <t>vale 0 para los datos padre</t>
  </si>
  <si>
    <t>Fractales</t>
  </si>
  <si>
    <t>N para todos</t>
  </si>
  <si>
    <t>bita27idunidadfunc</t>
  </si>
  <si>
    <t>aure51tiporesultado</t>
  </si>
  <si>
    <t>aure51hmomento</t>
  </si>
  <si>
    <t>1 Inicio, 2 Desarrollo, 3 Pruebas , 4 Adición, 5 Cambios de diseño, 6 Entrega, 7 Elaboración de documentación</t>
  </si>
  <si>
    <t>aure51hprioridad</t>
  </si>
  <si>
    <t>aure51hsemanaest</t>
  </si>
  <si>
    <t>aure51hdiasest</t>
  </si>
  <si>
    <t>aure51hiteracionasig</t>
  </si>
  <si>
    <t>aure51hobservaciones</t>
  </si>
  <si>
    <t>0 Iniciada, 1 En prueba, 2 Terminada</t>
  </si>
  <si>
    <t>aure51tidtipotarea</t>
  </si>
  <si>
    <t>aure54tipotarea</t>
  </si>
  <si>
    <t>aure51tsemanasest</t>
  </si>
  <si>
    <t>aure51tdiasest</t>
  </si>
  <si>
    <t>aure51tfechainicio</t>
  </si>
  <si>
    <t>aure51tfechafinal</t>
  </si>
  <si>
    <t>aure51tdescripcion</t>
  </si>
  <si>
    <t>aure51pcondiciones</t>
  </si>
  <si>
    <t>aure51ppasos</t>
  </si>
  <si>
    <t>aure51pevaluacion</t>
  </si>
  <si>
    <t>aprobada, no aprobada</t>
  </si>
  <si>
    <t>aure51pidtester</t>
  </si>
  <si>
    <t>aure51cnombreclase</t>
  </si>
  <si>
    <t>aure51cresponsabilidades</t>
  </si>
  <si>
    <t>aure51ccolaboradores</t>
  </si>
  <si>
    <t>aure53anexos</t>
  </si>
  <si>
    <t>Sin definir,Desarrollo,Corrección,Mejora,Otros</t>
  </si>
  <si>
    <t>aure55tiporiesgos</t>
  </si>
  <si>
    <t>Tipos de riesgos</t>
  </si>
  <si>
    <t>tiporiesgos.php</t>
  </si>
  <si>
    <t>aure55activo</t>
  </si>
  <si>
    <t>aure55nombre</t>
  </si>
  <si>
    <t>aure56riesgos</t>
  </si>
  <si>
    <t>Riesgos</t>
  </si>
  <si>
    <t>aure56idtiporiesg</t>
  </si>
  <si>
    <t>ofer55nombre</t>
  </si>
  <si>
    <t>aure56nombre</t>
  </si>
  <si>
    <t>aure56activo</t>
  </si>
  <si>
    <t>aure56consecuencias</t>
  </si>
  <si>
    <t>aure56planencasofalla</t>
  </si>
  <si>
    <t>aure57riesgobitacora</t>
  </si>
  <si>
    <t>aure57idbitacora</t>
  </si>
  <si>
    <t>aure57idriesgo</t>
  </si>
  <si>
    <t>aure51actividad</t>
  </si>
  <si>
    <t>aure51detalleactiv</t>
  </si>
  <si>
    <t>aure58hmomento</t>
  </si>
  <si>
    <t>aure58nombre</t>
  </si>
  <si>
    <t>aure51idresponsable</t>
  </si>
  <si>
    <t>aure59tiporesult</t>
  </si>
  <si>
    <t>aure59id</t>
  </si>
  <si>
    <t>aure59nombre</t>
  </si>
  <si>
    <t>0 Sin definir, 1 Historia de usuario, 2 Tarea de ingeniería, 3 Pruebas de aceptación, 4 Tarjeta CRC</t>
  </si>
  <si>
    <t>aure51hinfousuario</t>
  </si>
  <si>
    <t>aure57nivelriesgo</t>
  </si>
  <si>
    <t>0 bajo, 1 medio, 2 alto</t>
  </si>
  <si>
    <t>aure55obligatorio</t>
  </si>
  <si>
    <t>aure51hinfotecnica</t>
  </si>
  <si>
    <t>aure51tavance</t>
  </si>
  <si>
    <t>aure51tidbithistoria</t>
  </si>
  <si>
    <t>Aquí debe tener en cuenta que sean solo bitarias de historia del mismo proyecto</t>
  </si>
  <si>
    <t>aure51pasignaperfil</t>
  </si>
  <si>
    <t>aure51pmanuales</t>
  </si>
  <si>
    <t>aure51pcapacitacion</t>
  </si>
  <si>
    <t>aure51cvigente</t>
  </si>
  <si>
    <t>aure51orden</t>
  </si>
  <si>
    <t>Historia de usuario</t>
  </si>
  <si>
    <t>Tarea de ingenieria</t>
  </si>
  <si>
    <t>Se repite el aure51id para la inicial</t>
  </si>
  <si>
    <t>Se pone en 1</t>
  </si>
  <si>
    <t>aure51cidbithistoria</t>
  </si>
  <si>
    <t>Prueba aceptacion</t>
  </si>
  <si>
    <t>aure51presultadoesp</t>
  </si>
  <si>
    <t>0 No aplica, 1 Por correo, 2 En fisico</t>
  </si>
  <si>
    <t>0 SAU, 26 Correspondencia, 29 Devoluciones</t>
  </si>
  <si>
    <t>0 Pendiente, 1 Por Revisar, 2 Devuelto, 3 Aprobado</t>
  </si>
  <si>
    <t>Interesados</t>
  </si>
  <si>
    <t>Historial de solicitudes</t>
  </si>
  <si>
    <t>unae27unidadpadre</t>
  </si>
  <si>
    <t>unae27consec</t>
  </si>
  <si>
    <t>unae27idzona</t>
  </si>
  <si>
    <t>unae27id</t>
  </si>
  <si>
    <t>unae27activa</t>
  </si>
  <si>
    <t>unae27nombre</t>
  </si>
  <si>
    <t>unae27fractal</t>
  </si>
  <si>
    <t>unae27idresponsable</t>
  </si>
  <si>
    <t>unae27tituloresponsable</t>
  </si>
  <si>
    <t>Esta copia se usa en la misma forma por tanto se cambia el nombre de los campos pero deben ajustarse la librería a la hora de guardar.</t>
  </si>
  <si>
    <t>Procesos disciplinarios</t>
  </si>
  <si>
    <t>coredisciplinario.php</t>
  </si>
  <si>
    <t>core53idprograma</t>
  </si>
  <si>
    <t>core53numradtutela</t>
  </si>
  <si>
    <t>Investigados</t>
  </si>
  <si>
    <t>Faltas</t>
  </si>
  <si>
    <t>core64iddisciplinario</t>
  </si>
  <si>
    <t>core64consec</t>
  </si>
  <si>
    <t>core64id</t>
  </si>
  <si>
    <t>core64respbase</t>
  </si>
  <si>
    <t>core64respnuevo</t>
  </si>
  <si>
    <t>core64detalle</t>
  </si>
  <si>
    <t>core64idusuario</t>
  </si>
  <si>
    <t>core64fecha</t>
  </si>
  <si>
    <t>Tipos de faltas</t>
  </si>
  <si>
    <t>coretipofalta.php</t>
  </si>
  <si>
    <t>core59iddisciplinario</t>
  </si>
  <si>
    <t>Bitacora</t>
  </si>
  <si>
    <t>core60iddisciplinario</t>
  </si>
  <si>
    <t>Actuaciones</t>
  </si>
  <si>
    <t>coreactuaciones.php</t>
  </si>
  <si>
    <t>Sanciones</t>
  </si>
  <si>
    <t>coresanciones.php</t>
  </si>
  <si>
    <t>saiu13nombre</t>
  </si>
  <si>
    <t>saiu14estadoanexo</t>
  </si>
  <si>
    <t>saiu14id</t>
  </si>
  <si>
    <t>saiu14nombre</t>
  </si>
  <si>
    <t>saiu11estadosol</t>
  </si>
  <si>
    <t>saiu11id</t>
  </si>
  <si>
    <t>saiu11nombre</t>
  </si>
  <si>
    <t>saiu12formarespuesta</t>
  </si>
  <si>
    <t>saiu12id</t>
  </si>
  <si>
    <t>saiu12nombre</t>
  </si>
  <si>
    <t>saiu13modulossol</t>
  </si>
  <si>
    <t>saiu13id</t>
  </si>
  <si>
    <t>saiu10hora</t>
  </si>
  <si>
    <t>saiu10minuto</t>
  </si>
  <si>
    <t>saiu15historico</t>
  </si>
  <si>
    <t>saiu15idinteresado</t>
  </si>
  <si>
    <t>saiuhistorial.php</t>
  </si>
  <si>
    <t>saiu15agno</t>
  </si>
  <si>
    <t>saiu15mes</t>
  </si>
  <si>
    <t>saiu15id</t>
  </si>
  <si>
    <t>saiu15numsolicitudes</t>
  </si>
  <si>
    <t>saiu01claseser</t>
  </si>
  <si>
    <t>saiu01consec</t>
  </si>
  <si>
    <t>saiuclaseserv.php</t>
  </si>
  <si>
    <t>saiu01id</t>
  </si>
  <si>
    <t>saiu01activa</t>
  </si>
  <si>
    <t>saiu01orden</t>
  </si>
  <si>
    <t>saiu01titulo</t>
  </si>
  <si>
    <t>saiu01descripcion</t>
  </si>
  <si>
    <t>saiu02tiposol</t>
  </si>
  <si>
    <t>saiu02consec</t>
  </si>
  <si>
    <t>saiutiposerv.php</t>
  </si>
  <si>
    <t>saiu02id</t>
  </si>
  <si>
    <t>saiu02titulo</t>
  </si>
  <si>
    <t>saiu02clasesol</t>
  </si>
  <si>
    <t>saiu02detalle</t>
  </si>
  <si>
    <t>saiu02idunidadresp</t>
  </si>
  <si>
    <t>saiu02idequiporesp</t>
  </si>
  <si>
    <t>saiu02idliderrespon</t>
  </si>
  <si>
    <t>saiu03temasol</t>
  </si>
  <si>
    <t>saiu03tiposol</t>
  </si>
  <si>
    <t>saiutemasol.php</t>
  </si>
  <si>
    <t>saiu03consec</t>
  </si>
  <si>
    <t>saiu03id</t>
  </si>
  <si>
    <t>saiu03activo</t>
  </si>
  <si>
    <t>saiu03titulo</t>
  </si>
  <si>
    <t>saiu03descripcion</t>
  </si>
  <si>
    <t>saiu03ayuda</t>
  </si>
  <si>
    <t>saiu03obligaconf</t>
  </si>
  <si>
    <t>saiu03numetapas</t>
  </si>
  <si>
    <t>saiu03nometapa1</t>
  </si>
  <si>
    <t>saiu03idunidadresp1</t>
  </si>
  <si>
    <t>saiu03idequiporesp1</t>
  </si>
  <si>
    <t>saiu03idliderrespon1</t>
  </si>
  <si>
    <t>saiu03tiemprespdias1</t>
  </si>
  <si>
    <t>saiu03tiempresphoras1</t>
  </si>
  <si>
    <t>saiu03nometapa2</t>
  </si>
  <si>
    <t>saiu03idunidadresp2</t>
  </si>
  <si>
    <t>saiu03idequiporesp2</t>
  </si>
  <si>
    <t>saiu03idliderrespon2</t>
  </si>
  <si>
    <t>saiu03tiemprespdias2</t>
  </si>
  <si>
    <t>saiu03tiempresphoras2</t>
  </si>
  <si>
    <t>saiu03nometapa3</t>
  </si>
  <si>
    <t>saiu03idunidadresp3</t>
  </si>
  <si>
    <t>saiu03idequiporesp3</t>
  </si>
  <si>
    <t>saiu03idliderrespon3</t>
  </si>
  <si>
    <t>saiu03tiemprespdias3</t>
  </si>
  <si>
    <t>saiu03tiempresphoras3</t>
  </si>
  <si>
    <t>saiu03otrosusaurios</t>
  </si>
  <si>
    <t>saiu03consupervisor</t>
  </si>
  <si>
    <t>saiu03anonimos</t>
  </si>
  <si>
    <t>saiu03anexoslibres</t>
  </si>
  <si>
    <t>saiu03moduloasociado</t>
  </si>
  <si>
    <t>saiu04temaanexo</t>
  </si>
  <si>
    <t>saiu04idtema</t>
  </si>
  <si>
    <t>saiu04consec</t>
  </si>
  <si>
    <t>saiu04id</t>
  </si>
  <si>
    <t>saiu04activo</t>
  </si>
  <si>
    <t>saiu04orden</t>
  </si>
  <si>
    <t>saiu04obligatorio</t>
  </si>
  <si>
    <t>saiu04titulo</t>
  </si>
  <si>
    <t>saiu04descripcion</t>
  </si>
  <si>
    <t>saiu04idtipogd</t>
  </si>
  <si>
    <t>saiu04idorigenforma</t>
  </si>
  <si>
    <t>saiu04idarchforma</t>
  </si>
  <si>
    <t>saiu05solicitud</t>
  </si>
  <si>
    <t>saiu05agno</t>
  </si>
  <si>
    <t>saiusolcitudes.php</t>
  </si>
  <si>
    <t>saiu05mes</t>
  </si>
  <si>
    <t>saiu05consec</t>
  </si>
  <si>
    <t>saiu05id</t>
  </si>
  <si>
    <t>saiu05dia</t>
  </si>
  <si>
    <t>saiu05hora</t>
  </si>
  <si>
    <t>saiu05minuto</t>
  </si>
  <si>
    <t>saiu05estado</t>
  </si>
  <si>
    <t>saiu05idmedio</t>
  </si>
  <si>
    <t>saiu05idtemaorigen</t>
  </si>
  <si>
    <t>saiu05idtemafin</t>
  </si>
  <si>
    <t>saiu05idtiposolorigen</t>
  </si>
  <si>
    <t>saiu05idtiposolfin</t>
  </si>
  <si>
    <t>saiu05idsolicitante</t>
  </si>
  <si>
    <t>saiu05idinteresado</t>
  </si>
  <si>
    <t>saiu05tipointeresado</t>
  </si>
  <si>
    <t>saiu05rptaforma</t>
  </si>
  <si>
    <t>saiu05rptacorreo</t>
  </si>
  <si>
    <t>saiu05rptadireccion</t>
  </si>
  <si>
    <t>saiu05prioridad</t>
  </si>
  <si>
    <t>saiu05idzona</t>
  </si>
  <si>
    <t>saiu05cead</t>
  </si>
  <si>
    <t>saiu05numref</t>
  </si>
  <si>
    <t>saiu05detalle</t>
  </si>
  <si>
    <t>saiu05infocomplemento</t>
  </si>
  <si>
    <t>saiu05idunidadresp</t>
  </si>
  <si>
    <t>saiu05idequiporesp</t>
  </si>
  <si>
    <t>saiu05idsupervisor</t>
  </si>
  <si>
    <t>saiu05idresponsable</t>
  </si>
  <si>
    <t>saiu05idescuela</t>
  </si>
  <si>
    <t>saiu05idprograma</t>
  </si>
  <si>
    <t>saiu05tiemprespdias</t>
  </si>
  <si>
    <t>saiu05tiempresphoras</t>
  </si>
  <si>
    <t>saiu05fecharespprob</t>
  </si>
  <si>
    <t>saiu05respuesta</t>
  </si>
  <si>
    <t>saiu05fecharespdef</t>
  </si>
  <si>
    <t>saiu05horarespdef</t>
  </si>
  <si>
    <t>saiu05minrespdef</t>
  </si>
  <si>
    <t>saiu05diasproc</t>
  </si>
  <si>
    <t>saiu05minproc</t>
  </si>
  <si>
    <t>saiu05diashabproc</t>
  </si>
  <si>
    <t>saiu05minhabproc</t>
  </si>
  <si>
    <t>saiu05idmoduloproc</t>
  </si>
  <si>
    <t>saiu05identificadormod</t>
  </si>
  <si>
    <t>saiu06solanotacion</t>
  </si>
  <si>
    <t>saiu06idsolicitud</t>
  </si>
  <si>
    <t>saiu06consec</t>
  </si>
  <si>
    <t>saiu06id</t>
  </si>
  <si>
    <t>saiu06anotacion</t>
  </si>
  <si>
    <t>saiu06visible</t>
  </si>
  <si>
    <t>saiu06descartada</t>
  </si>
  <si>
    <t>saiu06idorigen</t>
  </si>
  <si>
    <t>saiu06idarchivo</t>
  </si>
  <si>
    <t>saiu06idusuario</t>
  </si>
  <si>
    <t>saiu06fecha</t>
  </si>
  <si>
    <t>saiu06hora</t>
  </si>
  <si>
    <t>saiu06minuto</t>
  </si>
  <si>
    <t>saiu07anexos</t>
  </si>
  <si>
    <t>saiu07idsolicitud</t>
  </si>
  <si>
    <t>saiu07consec</t>
  </si>
  <si>
    <t>saiu07id</t>
  </si>
  <si>
    <t>saiu07idtipoanexo</t>
  </si>
  <si>
    <t>saiu07detalle</t>
  </si>
  <si>
    <t>saiu07idorigen</t>
  </si>
  <si>
    <t>saiu07idarchivo</t>
  </si>
  <si>
    <t>saiu07idusuario</t>
  </si>
  <si>
    <t>saiu07fecha</t>
  </si>
  <si>
    <t>saiu07hora</t>
  </si>
  <si>
    <t>saiu07minuto</t>
  </si>
  <si>
    <t>saiu07estado</t>
  </si>
  <si>
    <t>saiu07idvalidad</t>
  </si>
  <si>
    <t>saiu07fechavalida</t>
  </si>
  <si>
    <t>saiu07horavalida</t>
  </si>
  <si>
    <t>saiu07minvalida</t>
  </si>
  <si>
    <t>saiu08solinteresados</t>
  </si>
  <si>
    <t>saiu08idsolicitud</t>
  </si>
  <si>
    <t>saiu08idinteresado</t>
  </si>
  <si>
    <t>saiu08id</t>
  </si>
  <si>
    <t>saiu08detalle</t>
  </si>
  <si>
    <t>saiu09cambioestado</t>
  </si>
  <si>
    <t>saiu09idsolicitud</t>
  </si>
  <si>
    <t>saiu09consec</t>
  </si>
  <si>
    <t>saiu09id</t>
  </si>
  <si>
    <t>saiu09idestadoorigen</t>
  </si>
  <si>
    <t>saiu09idestadofin</t>
  </si>
  <si>
    <t>saiu09idusuario</t>
  </si>
  <si>
    <t>saiu09fecha</t>
  </si>
  <si>
    <t>saiu09hora</t>
  </si>
  <si>
    <t>saiu09minuto</t>
  </si>
  <si>
    <t>saiu10cambioresponsable</t>
  </si>
  <si>
    <t>saiu10idsolicitud</t>
  </si>
  <si>
    <t>saiu10consec</t>
  </si>
  <si>
    <t>saiu10id</t>
  </si>
  <si>
    <t>saiu10idresporigen</t>
  </si>
  <si>
    <t>saiu10idrespfin</t>
  </si>
  <si>
    <t>saiu10idusuario</t>
  </si>
  <si>
    <t>saiu10fecha</t>
  </si>
  <si>
    <t>unad23sigla</t>
  </si>
  <si>
    <t>0 Sin definir, 1 Solicitado, 9 Cancelado</t>
  </si>
  <si>
    <t>saiu05tiporadicado</t>
  </si>
  <si>
    <t>saiu05origenagno</t>
  </si>
  <si>
    <t>saiu05origenmes</t>
  </si>
  <si>
    <t>saiu05origenid</t>
  </si>
  <si>
    <t>1 entrada, 2 internos, 3 salida</t>
  </si>
  <si>
    <t>saiu05idperiodo</t>
  </si>
  <si>
    <t>saiu05idcurso</t>
  </si>
  <si>
    <t>saiu05evalacepta</t>
  </si>
  <si>
    <t>saiu05evalfecha</t>
  </si>
  <si>
    <t>saiu05idgrupo</t>
  </si>
  <si>
    <t>saiu05costogenera</t>
  </si>
  <si>
    <t>saiu05costovalor</t>
  </si>
  <si>
    <t>saiu05costorefpago</t>
  </si>
  <si>
    <t>saiu05numradicado</t>
  </si>
  <si>
    <t>saiu05evalamabilidad</t>
  </si>
  <si>
    <t>saiu05evalamabmotivo</t>
  </si>
  <si>
    <t>saiu05evalrapidez</t>
  </si>
  <si>
    <t>saiu05evalrapidmotivo</t>
  </si>
  <si>
    <t>saiu05evalclaridad</t>
  </si>
  <si>
    <t>saiu05evalcalridmotivo</t>
  </si>
  <si>
    <t>saiu05evalresolvio</t>
  </si>
  <si>
    <t>saiu05evalsugerencias</t>
  </si>
  <si>
    <t>saiu15tiporadicado</t>
  </si>
  <si>
    <t>saiu16tiporadicado</t>
  </si>
  <si>
    <t>saiu16id</t>
  </si>
  <si>
    <t>saiu16nombre</t>
  </si>
  <si>
    <t>ofer52cupo</t>
  </si>
  <si>
    <t>core33estadocursomat</t>
  </si>
  <si>
    <t>core33id</t>
  </si>
  <si>
    <t>core33nombre</t>
  </si>
  <si>
    <t>0 Matriculado, 1 No disponible,  5 Reportado 75%, 7 Calificado, 8 Reportado, 9 Retirado, 10 Aplazado, 11 Abandonado</t>
  </si>
  <si>
    <t>core33estadomatricula</t>
  </si>
  <si>
    <t xml:space="preserve">core33estadomatricula </t>
  </si>
  <si>
    <t>saiu03nivelrespuesta</t>
  </si>
  <si>
    <t>saiu03consupervisor2</t>
  </si>
  <si>
    <t>saiu03consupervisor3</t>
  </si>
  <si>
    <t>saiu04idetapa</t>
  </si>
  <si>
    <t>saiu17nivelatencion</t>
  </si>
  <si>
    <t>saiu17id</t>
  </si>
  <si>
    <t>saiu17nombre</t>
  </si>
  <si>
    <t>unae26nivel</t>
  </si>
  <si>
    <t>unae26orden</t>
  </si>
  <si>
    <t>unae26lugar</t>
  </si>
  <si>
    <t>unae27orden</t>
  </si>
  <si>
    <t>unae26prefijo</t>
  </si>
  <si>
    <t>ofer67ofertanovedad</t>
  </si>
  <si>
    <t>ofer68tiponovedad</t>
  </si>
  <si>
    <t>ofer68id</t>
  </si>
  <si>
    <t>ofer68nombre</t>
  </si>
  <si>
    <t>ofer67consec</t>
  </si>
  <si>
    <t>ofer67id</t>
  </si>
  <si>
    <t>ofer67idperiodo</t>
  </si>
  <si>
    <t>ofer67idcurso</t>
  </si>
  <si>
    <t>ofer67idescuela</t>
  </si>
  <si>
    <t>ofer67origencohorte</t>
  </si>
  <si>
    <t>ofer67origendisenador</t>
  </si>
  <si>
    <t>ofer67origenevaluador</t>
  </si>
  <si>
    <t>ofer67destinocohorte</t>
  </si>
  <si>
    <t>ofer67destinodisenador</t>
  </si>
  <si>
    <t>ofer67destinoevaluador</t>
  </si>
  <si>
    <t>ofer67fecha</t>
  </si>
  <si>
    <t>ofer67hora</t>
  </si>
  <si>
    <t>ofer67minuto</t>
  </si>
  <si>
    <t>ofer67motivo</t>
  </si>
  <si>
    <t>ofer67origenproceso</t>
  </si>
  <si>
    <t>ofer67destinoproceso</t>
  </si>
  <si>
    <t>Solicitud de novedades</t>
  </si>
  <si>
    <t>ofernovedadsol.php</t>
  </si>
  <si>
    <t>ofer67estadorespuesta</t>
  </si>
  <si>
    <t>ofer67idresponde</t>
  </si>
  <si>
    <t>ofer67fecharespuesta</t>
  </si>
  <si>
    <t>ofer67horarespuesta</t>
  </si>
  <si>
    <t>ofer67minutorespuesta</t>
  </si>
  <si>
    <t>ofer67notarespuesta</t>
  </si>
  <si>
    <t>ofer69novedadrpta</t>
  </si>
  <si>
    <t>ofer69id</t>
  </si>
  <si>
    <t>ofer69nombre</t>
  </si>
  <si>
    <t>ofer67tiponovedad</t>
  </si>
  <si>
    <t>Solucion de novedades</t>
  </si>
  <si>
    <t>ofernovedadres.php</t>
  </si>
  <si>
    <t>unad40incluyesimulador</t>
  </si>
  <si>
    <t>ofer70cursorecurso</t>
  </si>
  <si>
    <t>ofer70idcurso</t>
  </si>
  <si>
    <t>ofer71tiporecurso</t>
  </si>
  <si>
    <t>ofer71consec</t>
  </si>
  <si>
    <t>ofer71id</t>
  </si>
  <si>
    <t>ofer71activo</t>
  </si>
  <si>
    <t>ofer71nombre</t>
  </si>
  <si>
    <t>ofer71detalle</t>
  </si>
  <si>
    <t>Tipos de recursos</t>
  </si>
  <si>
    <t>ofertiporecurso.php</t>
  </si>
  <si>
    <t>ofer70consec</t>
  </si>
  <si>
    <t>ofer70id</t>
  </si>
  <si>
    <t>ofer70idtiporecurso</t>
  </si>
  <si>
    <t>ofer70detalle</t>
  </si>
  <si>
    <t>Recursos usados</t>
  </si>
  <si>
    <t>ofer55fecharyc</t>
  </si>
  <si>
    <t>exte02peracadiplomados</t>
  </si>
  <si>
    <t>saiu15numsupervisiones</t>
  </si>
  <si>
    <t>Analitica</t>
  </si>
  <si>
    <t>unad40idioma</t>
  </si>
  <si>
    <t>unae08idioma</t>
  </si>
  <si>
    <t>unae08id</t>
  </si>
  <si>
    <t>unae08nombre</t>
  </si>
  <si>
    <t>core18periodo</t>
  </si>
  <si>
    <t>saiu03infoprograma</t>
  </si>
  <si>
    <t>saiu03infoperiodos</t>
  </si>
  <si>
    <t>saiu18solicitudperiodo</t>
  </si>
  <si>
    <t>saiu18idsolicitud</t>
  </si>
  <si>
    <t>saiu18id</t>
  </si>
  <si>
    <t>saiu18periodo</t>
  </si>
  <si>
    <t>Periodos academicos</t>
  </si>
  <si>
    <t>saiu18detalle</t>
  </si>
  <si>
    <t>saiu03modelo</t>
  </si>
  <si>
    <t>saiu03incluyemodelo</t>
  </si>
  <si>
    <t>saiu03requierepago</t>
  </si>
  <si>
    <t>prac00parametros</t>
  </si>
  <si>
    <t>prac00id</t>
  </si>
  <si>
    <t>prac00idperfillider</t>
  </si>
  <si>
    <t>prac00idperfiltutor</t>
  </si>
  <si>
    <t>pracparametros.php</t>
  </si>
  <si>
    <t>saiu03firmacertificada</t>
  </si>
  <si>
    <t>bita27nivelrespuesta</t>
  </si>
  <si>
    <t>core49verificaplan</t>
  </si>
  <si>
    <t>core49idprograma</t>
  </si>
  <si>
    <t>core49idversion</t>
  </si>
  <si>
    <t>Verificacion de planes de estudio</t>
  </si>
  <si>
    <t>coreverplanest.php</t>
  </si>
  <si>
    <t>cara00panel</t>
  </si>
  <si>
    <t>cara00idconsejero</t>
  </si>
  <si>
    <t>Panel consejeria</t>
  </si>
  <si>
    <t>index.php</t>
  </si>
  <si>
    <t>cara00zona</t>
  </si>
  <si>
    <t>saiu05raddesphab</t>
  </si>
  <si>
    <t>saiu05raddespcalend</t>
  </si>
  <si>
    <t>saiu05raddia</t>
  </si>
  <si>
    <t>saiu05radhora</t>
  </si>
  <si>
    <t>saiu05radmin</t>
  </si>
  <si>
    <t>core45entidades</t>
  </si>
  <si>
    <t>core45consec</t>
  </si>
  <si>
    <t>core45activa</t>
  </si>
  <si>
    <t>core45nombre</t>
  </si>
  <si>
    <t>core45id</t>
  </si>
  <si>
    <t>Entidades</t>
  </si>
  <si>
    <t>coreentidad.php</t>
  </si>
  <si>
    <t>core12identidad</t>
  </si>
  <si>
    <t>bita27idzona</t>
  </si>
  <si>
    <t>bita27cead</t>
  </si>
  <si>
    <t>unad75tareas</t>
  </si>
  <si>
    <t>unad75idproceso</t>
  </si>
  <si>
    <t>unad75consec</t>
  </si>
  <si>
    <t>unad75texto1</t>
  </si>
  <si>
    <t>unad75texto2</t>
  </si>
  <si>
    <t>unad75texto3</t>
  </si>
  <si>
    <t>unad75num1</t>
  </si>
  <si>
    <t>unad75num2</t>
  </si>
  <si>
    <t>unad75num3</t>
  </si>
  <si>
    <t>unad75num4</t>
  </si>
  <si>
    <t>unad75num5</t>
  </si>
  <si>
    <t>unad75procesado</t>
  </si>
  <si>
    <t>Esta tabla se usa para simular barras de progreso…</t>
  </si>
  <si>
    <t>olab07conmensaje</t>
  </si>
  <si>
    <t>olab07mensaje</t>
  </si>
  <si>
    <t>ofer88nada</t>
  </si>
  <si>
    <t>ofer88idperiodo</t>
  </si>
  <si>
    <t>ofer88idescuela</t>
  </si>
  <si>
    <t>ofer88idprograma</t>
  </si>
  <si>
    <t>Verificar oferta</t>
  </si>
  <si>
    <t>oferpreverifica.php</t>
  </si>
  <si>
    <t>core11fechaaprobado</t>
  </si>
  <si>
    <t>core11idaprueba</t>
  </si>
  <si>
    <t>Plan de estudio - Ajustes</t>
  </si>
  <si>
    <t>coreplanestajuste.php</t>
  </si>
  <si>
    <t>olab32rpttotalnotas</t>
  </si>
  <si>
    <t>olab32idperaca</t>
  </si>
  <si>
    <t>Totalizado de calificaciones</t>
  </si>
  <si>
    <t>olabrpttotalcalif.php</t>
  </si>
  <si>
    <t>ofer08incluyeblerning</t>
  </si>
  <si>
    <t>core11idequivalencia</t>
  </si>
  <si>
    <t>core11idcursoreemp2</t>
  </si>
  <si>
    <t>core11idcursoreemp1</t>
  </si>
  <si>
    <t>core46equivalentes</t>
  </si>
  <si>
    <t>Cursos equivalentes</t>
  </si>
  <si>
    <t>core46idversionprograma</t>
  </si>
  <si>
    <t>core46consec</t>
  </si>
  <si>
    <t>core46id</t>
  </si>
  <si>
    <t>core46fecha</t>
  </si>
  <si>
    <t>core46detalle</t>
  </si>
  <si>
    <t>core46idorigen</t>
  </si>
  <si>
    <t>core46idarchivo</t>
  </si>
  <si>
    <t>core46fechaaprobado</t>
  </si>
  <si>
    <t>core46idaprueba</t>
  </si>
  <si>
    <t>core46notaaprueba</t>
  </si>
  <si>
    <t>core11idequivalente</t>
  </si>
  <si>
    <t>core46estado</t>
  </si>
  <si>
    <t>core11tieneequivalente</t>
  </si>
  <si>
    <t>Es para hacer la marcación inversa.</t>
  </si>
  <si>
    <t>core11justificamod</t>
  </si>
  <si>
    <t>Matricula por curso</t>
  </si>
  <si>
    <t>rptematriculacurso.php</t>
  </si>
  <si>
    <t>Mortalidad</t>
  </si>
  <si>
    <t>unadrptmortalidad.php</t>
  </si>
  <si>
    <t>ofer08idzona</t>
  </si>
  <si>
    <t>cara01discversion</t>
  </si>
  <si>
    <t>cara01discv2sensorial</t>
  </si>
  <si>
    <t>cara02discv2fisica</t>
  </si>
  <si>
    <t>cara02discv2intelectura</t>
  </si>
  <si>
    <t>cara02discv2psico</t>
  </si>
  <si>
    <t>cara02discv2sistemica</t>
  </si>
  <si>
    <t>cara02discv2multiple</t>
  </si>
  <si>
    <t>cara02discv2multipleotro</t>
  </si>
  <si>
    <t>cara02discv2sistemicaotro</t>
  </si>
  <si>
    <t>cara02talentoexcepcional</t>
  </si>
  <si>
    <t>cara36tipodisc</t>
  </si>
  <si>
    <t>cara36id</t>
  </si>
  <si>
    <t>cara36nombre</t>
  </si>
  <si>
    <t>cara36version</t>
  </si>
  <si>
    <t>cara37discapacidades</t>
  </si>
  <si>
    <t>cara37consec</t>
  </si>
  <si>
    <t>cara37id</t>
  </si>
  <si>
    <t>cara37tipodisc</t>
  </si>
  <si>
    <t>cara37activa</t>
  </si>
  <si>
    <t>cara37orden</t>
  </si>
  <si>
    <t>cara37nombre</t>
  </si>
  <si>
    <t>Discapacidades</t>
  </si>
  <si>
    <t>caradiscapacidad.php</t>
  </si>
  <si>
    <t>Talentos especiales</t>
  </si>
  <si>
    <t>caratalentos.php</t>
  </si>
  <si>
    <t>cara38talentos</t>
  </si>
  <si>
    <t>cara38consec</t>
  </si>
  <si>
    <t>cara38id</t>
  </si>
  <si>
    <t>cara38activa</t>
  </si>
  <si>
    <t>cara38orden</t>
  </si>
  <si>
    <t>cara38nombre</t>
  </si>
  <si>
    <t>core10pendienterevision</t>
  </si>
  <si>
    <t>ofer55tiporegistro</t>
  </si>
  <si>
    <t>ofer67idsolicitante</t>
  </si>
  <si>
    <t>Carga por hora</t>
  </si>
  <si>
    <t>unadrptcargahora.php</t>
  </si>
  <si>
    <t>DELETE FROM WG03COMPONENTE WHERE WG03Sitio=2 AND WG03CodModulo=2 AND WG03CodComp=225</t>
  </si>
  <si>
    <t>DELETE FROM WG04COMPONENTEDET WHERE WG04Sitio=2 AND WG04CodModulo=2 AND WG04CodComp=225</t>
  </si>
  <si>
    <t>INSERT INTO WG03COMPONENTE (WG03Sitio,WG03CodModulo,WG03CodComp,WG03Nombre,WG03pagina,WG03CodPermiso,WG03Tabla,WG03hijo) VALUES (2,2,225,'Semillas','unadsemillas.php',1,'unae25semillas',0)</t>
  </si>
  <si>
    <t>INSERT INTO WG04COMPONENTEDET (WG04Sitio,WG04CodModulo,WG04CodComp,WG04CodDetalle,WG04Orden,WG04Nombre,WG04Tipo,WG04EsLlave,WG04valnum,WG04torigen,WG04ccodigo,WG04cnombre, WG04Largo, WG04cid, WG04idbusca) VALUES (2,2,225,1,1,'unae25id',6,1,0,'','','', 0, '', '')</t>
  </si>
  <si>
    <t>INSERT INTO WG04COMPONENTEDET (WG04Sitio,WG04CodModulo,WG04CodComp,WG04CodDetalle,WG04Orden,WG04Nombre,WG04Tipo,WG04EsLlave,WG04valnum,WG04torigen,WG04ccodigo,WG04cnombre, WG04Largo, WG04cid, WG04idbusca) VALUES (2,2,225,2,2,'unae25host',1,0,1,'','','', 100, '', '')</t>
  </si>
  <si>
    <t>INSERT INTO WG04COMPONENTEDET (WG04Sitio,WG04CodModulo,WG04CodComp,WG04CodDetalle,WG04Orden,WG04Nombre,WG04Tipo,WG04EsLlave,WG04valnum,WG04torigen,WG04ccodigo,WG04cnombre, WG04Largo, WG04cid, WG04idbusca) VALUES (2,2,225,3,3,'unae25maquina',1,0,1,'','','', 50, '', '')</t>
  </si>
  <si>
    <t>INSERT INTO WG04COMPONENTEDET (WG04Sitio,WG04CodModulo,WG04CodComp,WG04CodDetalle,WG04Orden,WG04Nombre,WG04Tipo,WG04EsLlave,WG04valnum,WG04torigen,WG04ccodigo,WG04cnombre, WG04Largo, WG04cid, WG04idbusca) VALUES (2,2,225,4,4,'unae25fecha',7,0,1,'','','', 50, '', '')</t>
  </si>
  <si>
    <t>INSERT INTO WG04COMPONENTEDET (WG04Sitio,WG04CodModulo,WG04CodComp,WG04CodDetalle,WG04Orden,WG04Nombre,WG04Tipo,WG04EsLlave,WG04valnum,WG04torigen,WG04ccodigo,WG04cnombre, WG04Largo, WG04cid, WG04idbusca) VALUES (2,2,225,5,5,'unae25horacrea',5,0,73,'','','', 50, '', '')</t>
  </si>
  <si>
    <t>INSERT INTO WG04COMPONENTEDET (WG04Sitio,WG04CodModulo,WG04CodComp,WG04CodDetalle,WG04Orden,WG04Nombre,WG04Tipo,WG04EsLlave,WG04valnum,WG04torigen,WG04ccodigo,WG04cnombre, WG04Largo, WG04cid, WG04idbusca) VALUES (2,2,225,6,6,'unae25mincrea',5,0,74,'','','', 50, '', '')</t>
  </si>
  <si>
    <t>INSERT INTO WG04COMPONENTEDET (WG04Sitio,WG04CodModulo,WG04CodComp,WG04CodDetalle,WG04Orden,WG04Nombre,WG04Tipo,WG04EsLlave,WG04valnum,WG04torigen,WG04ccodigo,WG04cnombre, WG04Largo, WG04cid, WG04idbusca) VALUES (2,2,225,7,7,'unae25segcrea',5,0,1,'','','', 50, '', '')</t>
  </si>
  <si>
    <t>INSERT INTO WG04COMPONENTEDET (WG04Sitio,WG04CodModulo,WG04CodComp,WG04CodDetalle,WG04Orden,WG04Nombre,WG04Tipo,WG04EsLlave,WG04valnum,WG04torigen,WG04ccodigo,WG04cnombre, WG04Largo, WG04cid, WG04idbusca) VALUES (2,2,225,8,8,'unae25iporigen',1,0,1,'','','', 50, '', '')</t>
  </si>
  <si>
    <t>INSERT INTO WG04COMPONENTEDET (WG04Sitio,WG04CodModulo,WG04CodComp,WG04CodDetalle,WG04Orden,WG04Nombre,WG04Tipo,WG04EsLlave,WG04valnum,WG04torigen,WG04ccodigo,WG04cnombre, WG04Largo, WG04cid, WG04idbusca) VALUES (2,2,225,9,9,'unae25idtercerousa',5,0,1,'','','', 50, '', '')</t>
  </si>
  <si>
    <t>INSERT INTO WG04COMPONENTEDET (WG04Sitio,WG04CodModulo,WG04CodComp,WG04CodDetalle,WG04Orden,WG04Nombre,WG04Tipo,WG04EsLlave,WG04valnum,WG04torigen,WG04ccodigo,WG04cnombre, WG04Largo, WG04cid, WG04idbusca) VALUES (2,2,225,10,10,'unae25totalusuarios',5,0,1,'','','', 50, '', '')</t>
  </si>
  <si>
    <t>INSERT INTO WG04COMPONENTEDET (WG04Sitio,WG04CodModulo,WG04CodComp,WG04CodDetalle,WG04Orden,WG04Nombre,WG04Tipo,WG04EsLlave,WG04valnum,WG04torigen,WG04ccodigo,WG04cnombre, WG04Largo, WG04cid, WG04idbusca) VALUES (2,2,225,11,11,'unae25latgrados',5,0,1,'','','', 50, '', '')</t>
  </si>
  <si>
    <t>INSERT INTO WG04COMPONENTEDET (WG04Sitio,WG04CodModulo,WG04CodComp,WG04CodDetalle,WG04Orden,WG04Nombre,WG04Tipo,WG04EsLlave,WG04valnum,WG04torigen,WG04ccodigo,WG04cnombre, WG04Largo, WG04cid, WG04idbusca) VALUES (2,2,225,12,12,'unae25latdecimas',1,0,1,'','','', 10, '', '')</t>
  </si>
  <si>
    <t>INSERT INTO WG04COMPONENTEDET (WG04Sitio,WG04CodModulo,WG04CodComp,WG04CodDetalle,WG04Orden,WG04Nombre,WG04Tipo,WG04EsLlave,WG04valnum,WG04torigen,WG04ccodigo,WG04cnombre, WG04Largo, WG04cid, WG04idbusca) VALUES (2,2,225,13,13,'unae25longrados',5,0,1,'','','', 10, '', '')</t>
  </si>
  <si>
    <t>INSERT INTO WG04COMPONENTEDET (WG04Sitio,WG04CodModulo,WG04CodComp,WG04CodDetalle,WG04Orden,WG04Nombre,WG04Tipo,WG04EsLlave,WG04valnum,WG04torigen,WG04ccodigo,WG04cnombre, WG04Largo, WG04cid, WG04idbusca) VALUES (2,2,225,14,14,'unae25longdecimas',1,0,1,'','','', 10, '', '')</t>
  </si>
  <si>
    <t>INSERT INTO WG04COMPONENTEDET (WG04Sitio,WG04CodModulo,WG04CodComp,WG04CodDetalle,WG04Orden,WG04Nombre,WG04Tipo,WG04EsLlave,WG04valnum,WG04torigen,WG04ccodigo,WG04cnombre, WG04Largo, WG04cid, WG04idbusca) VALUES (2,2,225,15,15,'unae25proximidad',5,0,1,'','','', 10, '', '')</t>
  </si>
  <si>
    <t>if ($dbversion==3247){$sql="CREATE TABLE unae25semillas (unae25id int NOT NULL, unae25host varchar(100) NULL, unae25maquina varchar(50) NULL, unae25fecha int NULL DEFAULT 0, unae25horacrea int NULL DEFAULT 0, unae25mincrea int NULL DEFAULT 0, unae25segcrea int NULL DEFAULT 0, unae25iporigen varchar(50) NULL, unae25idtercerousa int NULL DEFAULT 0, unae25totalusuarios int NULL DEFAULT 0, unae25latgrados int NULL DEFAULT 0, unae25latdecimas varchar(10) NULL, unae25longrados int NULL DEFAULT 0, unae25longdecimas varchar(10) NULL, unae25proximidad int NULL DEFAULT 0)";}</t>
  </si>
  <si>
    <t>if ($dbversion==3248){$sql="ALTER TABLE unae25semillas ADD PRIMARY KEY(unae25id)";}</t>
  </si>
  <si>
    <t>if ($dbversion==3249){$sql="agregamodulo|225|1|Semillas|1|2|3|4|5|6";}</t>
  </si>
  <si>
    <t>if ($dbversion==3250){$sql=$u09."(225, 1, 'Semillas', 'unadsemillas.php', 6, 225, 'S', '', '')";}</t>
  </si>
</sst>
</file>

<file path=xl/styles.xml><?xml version="1.0" encoding="utf-8"?>
<styleSheet xmlns="http://schemas.openxmlformats.org/spreadsheetml/2006/main">
  <numFmts count="2">
    <numFmt numFmtId="42" formatCode="_-&quot;$&quot;\ * #,##0_-;\-&quot;$&quot;\ * #,##0_-;_-&quot;$&quot;\ * &quot;-&quot;_-;_-@_-"/>
    <numFmt numFmtId="41" formatCode="_-* #,##0_-;\-* #,##0_-;_-* &quot;-&quot;_-;_-@_-"/>
  </numFmts>
  <fonts count="21">
    <font>
      <sz val="10"/>
      <name val="Arial"/>
    </font>
    <font>
      <sz val="11"/>
      <color theme="1"/>
      <name val="Calibri"/>
      <family val="2"/>
      <scheme val="minor"/>
    </font>
    <font>
      <sz val="10"/>
      <name val="Arial"/>
      <family val="2"/>
    </font>
    <font>
      <sz val="8"/>
      <name val="Arial"/>
      <family val="2"/>
    </font>
    <font>
      <sz val="10"/>
      <name val="Arial"/>
      <family val="2"/>
    </font>
    <font>
      <sz val="10"/>
      <color indexed="8"/>
      <name val="Arial"/>
      <family val="2"/>
    </font>
    <font>
      <sz val="9"/>
      <color indexed="81"/>
      <name val="Tahoma"/>
      <family val="2"/>
    </font>
    <font>
      <b/>
      <sz val="9"/>
      <color indexed="81"/>
      <name val="Tahoma"/>
      <family val="2"/>
    </font>
    <font>
      <sz val="10"/>
      <name val="Arial"/>
      <family val="2"/>
    </font>
    <font>
      <b/>
      <sz val="10"/>
      <name val="Arial"/>
      <family val="2"/>
    </font>
    <font>
      <b/>
      <sz val="10"/>
      <color indexed="8"/>
      <name val="Arial"/>
      <family val="2"/>
    </font>
    <font>
      <sz val="10"/>
      <color indexed="8"/>
      <name val="Arial"/>
      <family val="2"/>
    </font>
    <font>
      <sz val="10"/>
      <name val="Arial Unicode MS"/>
      <family val="2"/>
    </font>
    <font>
      <sz val="10"/>
      <color indexed="8"/>
      <name val="Tahoma"/>
      <family val="2"/>
    </font>
    <font>
      <sz val="10"/>
      <color rgb="FFFF0000"/>
      <name val="Arial"/>
      <family val="2"/>
    </font>
    <font>
      <b/>
      <sz val="10"/>
      <color rgb="FFFF0000"/>
      <name val="Arial"/>
      <family val="2"/>
    </font>
    <font>
      <sz val="12"/>
      <color indexed="8"/>
      <name val="Tahoma"/>
      <family val="2"/>
    </font>
    <font>
      <i/>
      <sz val="10"/>
      <color indexed="8"/>
      <name val="Arial"/>
      <family val="2"/>
    </font>
    <font>
      <sz val="10"/>
      <name val="Arial"/>
      <family val="2"/>
    </font>
    <font>
      <b/>
      <i/>
      <sz val="9"/>
      <color indexed="81"/>
      <name val="Tahoma"/>
      <family val="2"/>
    </font>
    <font>
      <sz val="10"/>
      <name val="Arial"/>
      <family val="2"/>
    </font>
  </fonts>
  <fills count="20">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theme="0"/>
        <bgColor indexed="64"/>
      </patternFill>
    </fill>
    <fill>
      <patternFill patternType="solid">
        <fgColor theme="5" tint="0.59999389629810485"/>
        <bgColor indexed="64"/>
      </patternFill>
    </fill>
    <fill>
      <patternFill patternType="solid">
        <fgColor rgb="FF92D050"/>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6" tint="0.79998168889431442"/>
        <bgColor indexed="64"/>
      </patternFill>
    </fill>
  </fills>
  <borders count="3">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s>
  <cellStyleXfs count="5">
    <xf numFmtId="0" fontId="0" fillId="0" borderId="0"/>
    <xf numFmtId="0" fontId="5" fillId="0" borderId="0"/>
    <xf numFmtId="41" fontId="18" fillId="0" borderId="0" applyFont="0" applyFill="0" applyBorder="0" applyAlignment="0" applyProtection="0"/>
    <xf numFmtId="42" fontId="20" fillId="0" borderId="0" applyFont="0" applyFill="0" applyBorder="0" applyAlignment="0" applyProtection="0"/>
    <xf numFmtId="0" fontId="1" fillId="0" borderId="0"/>
  </cellStyleXfs>
  <cellXfs count="130">
    <xf numFmtId="0" fontId="0" fillId="0" borderId="0" xfId="0"/>
    <xf numFmtId="0" fontId="8" fillId="0" borderId="0" xfId="0" applyFont="1"/>
    <xf numFmtId="0" fontId="8" fillId="0" borderId="0" xfId="0" applyFont="1" applyAlignment="1">
      <alignment horizontal="left"/>
    </xf>
    <xf numFmtId="0" fontId="9" fillId="0" borderId="0" xfId="0" applyFont="1"/>
    <xf numFmtId="0" fontId="10" fillId="0" borderId="1" xfId="1" applyFont="1" applyFill="1" applyBorder="1" applyAlignment="1">
      <alignment horizontal="center"/>
    </xf>
    <xf numFmtId="0" fontId="10" fillId="0" borderId="1" xfId="1" applyFont="1" applyFill="1" applyBorder="1" applyAlignment="1">
      <alignment horizontal="left"/>
    </xf>
    <xf numFmtId="0" fontId="10" fillId="0" borderId="2" xfId="1" applyFont="1" applyFill="1" applyBorder="1" applyAlignment="1">
      <alignment horizontal="center"/>
    </xf>
    <xf numFmtId="0" fontId="0" fillId="0" borderId="0" xfId="0" applyFill="1"/>
    <xf numFmtId="0" fontId="10" fillId="0" borderId="2" xfId="1" applyFont="1" applyFill="1" applyBorder="1" applyAlignment="1"/>
    <xf numFmtId="0" fontId="8" fillId="0" borderId="0" xfId="0" applyFont="1" applyAlignment="1"/>
    <xf numFmtId="0" fontId="8" fillId="0" borderId="0" xfId="0" applyFont="1" applyFill="1"/>
    <xf numFmtId="0" fontId="11" fillId="0" borderId="0" xfId="1" applyFont="1" applyFill="1" applyBorder="1" applyAlignment="1">
      <alignment horizontal="left"/>
    </xf>
    <xf numFmtId="0" fontId="10" fillId="0" borderId="0" xfId="1" applyFont="1" applyFill="1" applyBorder="1" applyAlignment="1">
      <alignment horizontal="center"/>
    </xf>
    <xf numFmtId="0" fontId="10" fillId="0" borderId="0" xfId="1" applyFont="1" applyFill="1" applyBorder="1" applyAlignment="1">
      <alignment horizontal="left"/>
    </xf>
    <xf numFmtId="0" fontId="11" fillId="0" borderId="0" xfId="1" applyFont="1" applyFill="1" applyBorder="1" applyAlignment="1">
      <alignment horizontal="center"/>
    </xf>
    <xf numFmtId="0" fontId="11" fillId="0" borderId="0" xfId="1" applyFont="1" applyFill="1" applyBorder="1" applyAlignment="1"/>
    <xf numFmtId="0" fontId="11" fillId="0" borderId="0" xfId="1" applyFont="1" applyFill="1" applyBorder="1" applyAlignment="1">
      <alignment horizontal="right"/>
    </xf>
    <xf numFmtId="0" fontId="0" fillId="0" borderId="0" xfId="0" applyAlignment="1">
      <alignment horizontal="left"/>
    </xf>
    <xf numFmtId="0" fontId="12" fillId="0" borderId="0" xfId="0" applyFont="1"/>
    <xf numFmtId="0" fontId="8" fillId="2" borderId="0" xfId="0" applyFont="1" applyFill="1"/>
    <xf numFmtId="0" fontId="13" fillId="0" borderId="0" xfId="1" applyFont="1" applyFill="1" applyBorder="1" applyAlignment="1">
      <alignment horizontal="left"/>
    </xf>
    <xf numFmtId="0" fontId="13" fillId="0" borderId="0" xfId="1" applyFont="1" applyFill="1" applyBorder="1" applyAlignment="1"/>
    <xf numFmtId="0" fontId="2" fillId="0" borderId="0" xfId="0" applyFont="1" applyAlignment="1">
      <alignment horizontal="left"/>
    </xf>
    <xf numFmtId="0" fontId="0" fillId="0" borderId="0" xfId="0" applyAlignment="1">
      <alignment wrapText="1"/>
    </xf>
    <xf numFmtId="0" fontId="0" fillId="0" borderId="0" xfId="0" applyFont="1" applyFill="1" applyAlignment="1">
      <alignment wrapText="1"/>
    </xf>
    <xf numFmtId="0" fontId="0" fillId="0" borderId="0" xfId="0" applyFont="1" applyAlignment="1">
      <alignment wrapText="1"/>
    </xf>
    <xf numFmtId="0" fontId="11" fillId="2" borderId="0" xfId="1" applyFont="1" applyFill="1" applyBorder="1" applyAlignment="1">
      <alignment horizontal="center"/>
    </xf>
    <xf numFmtId="0" fontId="2" fillId="2" borderId="0" xfId="0" applyFont="1" applyFill="1" applyAlignment="1">
      <alignment wrapText="1"/>
    </xf>
    <xf numFmtId="0" fontId="0" fillId="3" borderId="0" xfId="0" applyFill="1" applyAlignment="1">
      <alignment wrapText="1"/>
    </xf>
    <xf numFmtId="0" fontId="0" fillId="0" borderId="0" xfId="0" applyFill="1" applyAlignment="1">
      <alignment wrapText="1"/>
    </xf>
    <xf numFmtId="0" fontId="13" fillId="0" borderId="0" xfId="1" applyFont="1" applyFill="1" applyBorder="1" applyAlignment="1">
      <alignment horizontal="right"/>
    </xf>
    <xf numFmtId="0" fontId="8" fillId="0" borderId="0" xfId="0" applyFont="1" applyFill="1" applyAlignment="1"/>
    <xf numFmtId="0" fontId="2" fillId="0" borderId="0" xfId="0" applyFont="1" applyAlignment="1"/>
    <xf numFmtId="0" fontId="0" fillId="4" borderId="0" xfId="0" applyFill="1" applyAlignment="1">
      <alignment wrapText="1"/>
    </xf>
    <xf numFmtId="0" fontId="8" fillId="0" borderId="0" xfId="0" applyFont="1" applyFill="1" applyBorder="1"/>
    <xf numFmtId="0" fontId="8" fillId="4" borderId="0" xfId="0" applyFont="1" applyFill="1"/>
    <xf numFmtId="0" fontId="8" fillId="0" borderId="0" xfId="0" quotePrefix="1" applyFont="1" applyFill="1"/>
    <xf numFmtId="0" fontId="0" fillId="4" borderId="0" xfId="0" applyFill="1"/>
    <xf numFmtId="0" fontId="8" fillId="0" borderId="0" xfId="0" applyFont="1" applyFill="1" applyBorder="1" applyAlignment="1"/>
    <xf numFmtId="0" fontId="8" fillId="5" borderId="0" xfId="0" applyFont="1" applyFill="1"/>
    <xf numFmtId="0" fontId="0" fillId="2" borderId="0" xfId="0" applyFill="1" applyAlignment="1">
      <alignment wrapText="1"/>
    </xf>
    <xf numFmtId="0" fontId="0" fillId="6" borderId="0" xfId="0" applyFill="1" applyAlignment="1">
      <alignment wrapText="1"/>
    </xf>
    <xf numFmtId="0" fontId="4" fillId="7" borderId="0" xfId="0" applyFont="1" applyFill="1"/>
    <xf numFmtId="0" fontId="4" fillId="0" borderId="0" xfId="0" applyFont="1" applyAlignment="1">
      <alignment wrapText="1"/>
    </xf>
    <xf numFmtId="0" fontId="4" fillId="0" borderId="0" xfId="0" applyFont="1"/>
    <xf numFmtId="0" fontId="4" fillId="0" borderId="0" xfId="0" applyFont="1" applyFill="1"/>
    <xf numFmtId="0" fontId="4" fillId="4" borderId="0" xfId="0" applyFont="1" applyFill="1"/>
    <xf numFmtId="0" fontId="5" fillId="0" borderId="0" xfId="1" applyFont="1" applyFill="1" applyBorder="1" applyAlignment="1">
      <alignment horizontal="center"/>
    </xf>
    <xf numFmtId="0" fontId="5" fillId="0" borderId="0" xfId="1" applyFont="1" applyFill="1" applyBorder="1" applyAlignment="1">
      <alignment horizontal="left"/>
    </xf>
    <xf numFmtId="0" fontId="4" fillId="0" borderId="0" xfId="0" applyFont="1" applyFill="1" applyAlignment="1">
      <alignment wrapText="1"/>
    </xf>
    <xf numFmtId="0" fontId="14" fillId="5" borderId="0" xfId="0" applyFont="1" applyFill="1" applyAlignment="1">
      <alignment wrapText="1"/>
    </xf>
    <xf numFmtId="0" fontId="4" fillId="5" borderId="0" xfId="0" applyFont="1" applyFill="1"/>
    <xf numFmtId="0" fontId="15" fillId="0" borderId="0" xfId="0" applyFont="1" applyFill="1"/>
    <xf numFmtId="0" fontId="4" fillId="0" borderId="0" xfId="0" applyFont="1" applyFill="1" applyAlignment="1"/>
    <xf numFmtId="0" fontId="4" fillId="0" borderId="0" xfId="0" applyFont="1" applyFill="1" applyBorder="1" applyAlignment="1"/>
    <xf numFmtId="0" fontId="5" fillId="0" borderId="0" xfId="1" applyFont="1" applyFill="1" applyBorder="1" applyAlignment="1"/>
    <xf numFmtId="0" fontId="4" fillId="8" borderId="0" xfId="0" applyFont="1" applyFill="1" applyAlignment="1">
      <alignment wrapText="1"/>
    </xf>
    <xf numFmtId="0" fontId="5" fillId="0" borderId="0" xfId="1" applyFont="1" applyFill="1" applyBorder="1" applyAlignment="1">
      <alignment horizontal="right"/>
    </xf>
    <xf numFmtId="0" fontId="4" fillId="0" borderId="0" xfId="0" applyFont="1" applyAlignment="1">
      <alignment horizontal="left"/>
    </xf>
    <xf numFmtId="0" fontId="4" fillId="0" borderId="0" xfId="0" applyFont="1" applyAlignment="1">
      <alignment horizontal="right"/>
    </xf>
    <xf numFmtId="0" fontId="2" fillId="0" borderId="0" xfId="0" applyFont="1" applyAlignment="1">
      <alignment wrapText="1"/>
    </xf>
    <xf numFmtId="0" fontId="2" fillId="0" borderId="0" xfId="0" quotePrefix="1" applyFont="1"/>
    <xf numFmtId="0" fontId="2" fillId="0" borderId="0" xfId="0" applyFont="1"/>
    <xf numFmtId="0" fontId="2" fillId="7" borderId="0" xfId="0" applyFont="1" applyFill="1" applyAlignment="1">
      <alignment wrapText="1"/>
    </xf>
    <xf numFmtId="0" fontId="2" fillId="0" borderId="0" xfId="0" applyFont="1" applyFill="1"/>
    <xf numFmtId="0" fontId="2" fillId="3" borderId="0" xfId="0" applyFont="1" applyFill="1" applyAlignment="1">
      <alignment wrapText="1"/>
    </xf>
    <xf numFmtId="0" fontId="2" fillId="0" borderId="0" xfId="0" applyFont="1" applyFill="1" applyAlignment="1">
      <alignment wrapText="1"/>
    </xf>
    <xf numFmtId="0" fontId="2" fillId="5" borderId="0" xfId="0" applyFont="1" applyFill="1" applyAlignment="1">
      <alignment wrapText="1"/>
    </xf>
    <xf numFmtId="0" fontId="2" fillId="0" borderId="0" xfId="0" applyFont="1" applyFill="1" applyBorder="1" applyAlignment="1"/>
    <xf numFmtId="0" fontId="2" fillId="4" borderId="0" xfId="0" applyFont="1" applyFill="1"/>
    <xf numFmtId="0" fontId="2" fillId="5" borderId="0" xfId="0" applyFont="1" applyFill="1"/>
    <xf numFmtId="0" fontId="10" fillId="0" borderId="0" xfId="1" applyFont="1" applyFill="1" applyBorder="1" applyAlignment="1"/>
    <xf numFmtId="0" fontId="16" fillId="0" borderId="0" xfId="1" applyFont="1" applyFill="1" applyBorder="1" applyAlignment="1">
      <alignment horizontal="center"/>
    </xf>
    <xf numFmtId="0" fontId="16" fillId="0" borderId="0" xfId="1" applyFont="1" applyFill="1" applyBorder="1" applyAlignment="1">
      <alignment horizontal="left"/>
    </xf>
    <xf numFmtId="0" fontId="13" fillId="0" borderId="0" xfId="1" applyFont="1" applyFill="1" applyBorder="1" applyAlignment="1">
      <alignment horizontal="center"/>
    </xf>
    <xf numFmtId="0" fontId="2" fillId="0" borderId="0" xfId="0" applyFont="1" applyFill="1" applyBorder="1"/>
    <xf numFmtId="0" fontId="2" fillId="0" borderId="0" xfId="0" applyFont="1" applyAlignment="1">
      <alignment horizontal="right"/>
    </xf>
    <xf numFmtId="0" fontId="17" fillId="0" borderId="0" xfId="1" applyFont="1" applyFill="1" applyBorder="1" applyAlignment="1">
      <alignment horizontal="center"/>
    </xf>
    <xf numFmtId="0" fontId="2" fillId="7" borderId="0" xfId="0" applyFont="1" applyFill="1"/>
    <xf numFmtId="0" fontId="2" fillId="2" borderId="0" xfId="0" applyFont="1" applyFill="1"/>
    <xf numFmtId="0" fontId="2" fillId="0" borderId="0" xfId="0" applyFont="1" applyFill="1" applyAlignment="1"/>
    <xf numFmtId="0" fontId="10" fillId="0" borderId="2" xfId="1" applyFont="1" applyFill="1" applyBorder="1" applyAlignment="1">
      <alignment horizontal="right"/>
    </xf>
    <xf numFmtId="0" fontId="8" fillId="0" borderId="0" xfId="0" applyFont="1" applyAlignment="1">
      <alignment horizontal="right"/>
    </xf>
    <xf numFmtId="0" fontId="10" fillId="0" borderId="0" xfId="1" applyFont="1" applyFill="1" applyBorder="1" applyAlignment="1">
      <alignment horizontal="right"/>
    </xf>
    <xf numFmtId="0" fontId="2" fillId="4" borderId="0" xfId="0" applyFont="1" applyFill="1" applyAlignment="1">
      <alignment wrapText="1"/>
    </xf>
    <xf numFmtId="0" fontId="2" fillId="0" borderId="0" xfId="0" applyFont="1" applyFill="1" applyAlignment="1">
      <alignment horizontal="left"/>
    </xf>
    <xf numFmtId="0" fontId="11" fillId="5" borderId="0" xfId="1" applyFont="1" applyFill="1" applyBorder="1" applyAlignment="1">
      <alignment horizontal="center"/>
    </xf>
    <xf numFmtId="0" fontId="4" fillId="5" borderId="0" xfId="0" applyFont="1" applyFill="1" applyAlignment="1">
      <alignment wrapText="1"/>
    </xf>
    <xf numFmtId="0" fontId="0" fillId="5" borderId="0" xfId="0" applyFill="1" applyAlignment="1">
      <alignment wrapText="1"/>
    </xf>
    <xf numFmtId="41" fontId="0" fillId="0" borderId="0" xfId="2" applyFont="1"/>
    <xf numFmtId="41" fontId="0" fillId="0" borderId="0" xfId="0" applyNumberFormat="1"/>
    <xf numFmtId="0" fontId="2" fillId="9" borderId="0" xfId="0" applyFont="1" applyFill="1"/>
    <xf numFmtId="0" fontId="14" fillId="0" borderId="0" xfId="0" applyFont="1"/>
    <xf numFmtId="0" fontId="14" fillId="0" borderId="0" xfId="0" applyFont="1" applyFill="1"/>
    <xf numFmtId="0" fontId="0" fillId="5" borderId="0" xfId="0" applyFill="1"/>
    <xf numFmtId="0" fontId="14" fillId="5" borderId="0" xfId="0" applyFont="1" applyFill="1"/>
    <xf numFmtId="0" fontId="2" fillId="10" borderId="0" xfId="0" applyFont="1" applyFill="1"/>
    <xf numFmtId="42" fontId="2" fillId="0" borderId="0" xfId="3" applyFont="1"/>
    <xf numFmtId="0" fontId="2" fillId="11" borderId="0" xfId="0" applyFont="1" applyFill="1"/>
    <xf numFmtId="0" fontId="5" fillId="5" borderId="0" xfId="1" applyFont="1" applyFill="1" applyBorder="1" applyAlignment="1"/>
    <xf numFmtId="0" fontId="2" fillId="12" borderId="0" xfId="0" applyFont="1" applyFill="1"/>
    <xf numFmtId="0" fontId="2" fillId="12" borderId="0" xfId="0" applyFont="1" applyFill="1" applyAlignment="1">
      <alignment wrapText="1"/>
    </xf>
    <xf numFmtId="0" fontId="0" fillId="12" borderId="0" xfId="0" applyFill="1"/>
    <xf numFmtId="0" fontId="14" fillId="12" borderId="0" xfId="0" applyFont="1" applyFill="1"/>
    <xf numFmtId="0" fontId="14" fillId="12" borderId="0" xfId="0" applyFont="1" applyFill="1" applyAlignment="1">
      <alignment wrapText="1"/>
    </xf>
    <xf numFmtId="0" fontId="14" fillId="0" borderId="0" xfId="0" applyFont="1" applyFill="1" applyAlignment="1">
      <alignment wrapText="1"/>
    </xf>
    <xf numFmtId="0" fontId="14" fillId="0" borderId="0" xfId="0" applyFont="1" applyAlignment="1">
      <alignment wrapText="1"/>
    </xf>
    <xf numFmtId="0" fontId="14" fillId="0" borderId="0" xfId="1" applyFont="1" applyFill="1" applyBorder="1" applyAlignment="1">
      <alignment horizontal="center"/>
    </xf>
    <xf numFmtId="0" fontId="0" fillId="0" borderId="0" xfId="0" applyFont="1" applyFill="1"/>
    <xf numFmtId="0" fontId="2" fillId="0" borderId="0" xfId="4" applyFont="1"/>
    <xf numFmtId="0" fontId="2" fillId="13" borderId="0" xfId="0" applyFont="1" applyFill="1" applyAlignment="1">
      <alignment wrapText="1"/>
    </xf>
    <xf numFmtId="0" fontId="2" fillId="13" borderId="0" xfId="0" applyFont="1" applyFill="1"/>
    <xf numFmtId="11" fontId="2" fillId="10" borderId="0" xfId="0" applyNumberFormat="1" applyFont="1" applyFill="1"/>
    <xf numFmtId="0" fontId="2" fillId="0" borderId="0" xfId="0" applyFont="1" applyFill="1" applyAlignment="1">
      <alignment horizontal="right"/>
    </xf>
    <xf numFmtId="0" fontId="0" fillId="9" borderId="0" xfId="0" applyFill="1"/>
    <xf numFmtId="0" fontId="0" fillId="14" borderId="0" xfId="0" applyFill="1"/>
    <xf numFmtId="0" fontId="0" fillId="0" borderId="0" xfId="0" applyFont="1"/>
    <xf numFmtId="0" fontId="2" fillId="0" borderId="0" xfId="0" applyFont="1" applyFill="1" applyBorder="1" applyAlignment="1">
      <alignment horizontal="right"/>
    </xf>
    <xf numFmtId="0" fontId="2" fillId="15" borderId="0" xfId="0" applyFont="1" applyFill="1"/>
    <xf numFmtId="0" fontId="2" fillId="16" borderId="0" xfId="0" applyFont="1" applyFill="1"/>
    <xf numFmtId="0" fontId="2" fillId="17" borderId="0" xfId="0" applyFont="1" applyFill="1"/>
    <xf numFmtId="0" fontId="0" fillId="15" borderId="0" xfId="0" applyFill="1"/>
    <xf numFmtId="0" fontId="0" fillId="16" borderId="0" xfId="0" applyFill="1"/>
    <xf numFmtId="0" fontId="2" fillId="18" borderId="0" xfId="0" applyFont="1" applyFill="1"/>
    <xf numFmtId="0" fontId="0" fillId="18" borderId="0" xfId="0" applyFill="1"/>
    <xf numFmtId="0" fontId="2" fillId="19" borderId="0" xfId="0" applyFont="1" applyFill="1"/>
    <xf numFmtId="0" fontId="0" fillId="5" borderId="0" xfId="0" applyFont="1" applyFill="1"/>
    <xf numFmtId="42" fontId="11" fillId="0" borderId="0" xfId="3" applyFont="1" applyFill="1" applyBorder="1" applyAlignment="1">
      <alignment horizontal="center"/>
    </xf>
    <xf numFmtId="42" fontId="11" fillId="0" borderId="0" xfId="1" applyNumberFormat="1" applyFont="1" applyFill="1" applyBorder="1" applyAlignment="1">
      <alignment horizontal="center"/>
    </xf>
    <xf numFmtId="0" fontId="9" fillId="4" borderId="0" xfId="0" applyFont="1" applyFill="1" applyAlignment="1">
      <alignment horizontal="center"/>
    </xf>
  </cellXfs>
  <cellStyles count="5">
    <cellStyle name="Millares [0]" xfId="2" builtinId="6"/>
    <cellStyle name="Moneda [0]" xfId="3" builtinId="7"/>
    <cellStyle name="Normal" xfId="0" builtinId="0"/>
    <cellStyle name="Normal 2" xfId="4"/>
    <cellStyle name="Normal_Hoja2" xfId="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7.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8.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0.vml"/></Relationships>
</file>

<file path=xl/worksheets/_rels/sheet27.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1.vml"/></Relationships>
</file>

<file path=xl/worksheets/sheet1.xml><?xml version="1.0" encoding="utf-8"?>
<worksheet xmlns="http://schemas.openxmlformats.org/spreadsheetml/2006/main" xmlns:r="http://schemas.openxmlformats.org/officeDocument/2006/relationships">
  <sheetPr codeName="Hoja7"/>
  <dimension ref="C1:D18"/>
  <sheetViews>
    <sheetView workbookViewId="0">
      <selection activeCell="D3" sqref="D3"/>
    </sheetView>
  </sheetViews>
  <sheetFormatPr baseColWidth="10" defaultRowHeight="12.75"/>
  <cols>
    <col min="1" max="1" width="13" bestFit="1" customWidth="1"/>
  </cols>
  <sheetData>
    <row r="1" spans="3:4">
      <c r="D1" t="s">
        <v>487</v>
      </c>
    </row>
    <row r="2" spans="3:4">
      <c r="D2">
        <v>3247</v>
      </c>
    </row>
    <row r="11" spans="3:4">
      <c r="C11" t="s">
        <v>482</v>
      </c>
      <c r="D11">
        <v>457</v>
      </c>
    </row>
    <row r="12" spans="3:4">
      <c r="C12" t="s">
        <v>483</v>
      </c>
      <c r="D12">
        <v>486</v>
      </c>
    </row>
    <row r="14" spans="3:4">
      <c r="C14" t="s">
        <v>2530</v>
      </c>
      <c r="D14" s="1" t="s">
        <v>1002</v>
      </c>
    </row>
    <row r="15" spans="3:4">
      <c r="C15" t="s">
        <v>2531</v>
      </c>
      <c r="D15" s="23" t="s">
        <v>1004</v>
      </c>
    </row>
    <row r="16" spans="3:4">
      <c r="C16" t="s">
        <v>2532</v>
      </c>
      <c r="D16">
        <v>139</v>
      </c>
    </row>
    <row r="17" spans="3:4">
      <c r="C17" t="s">
        <v>2533</v>
      </c>
      <c r="D17">
        <v>2400</v>
      </c>
    </row>
    <row r="18" spans="3:4">
      <c r="C18" s="62" t="s">
        <v>2534</v>
      </c>
      <c r="D18">
        <v>1</v>
      </c>
    </row>
  </sheetData>
  <phoneticPr fontId="3" type="noConversion"/>
  <pageMargins left="0.75" right="0.75" top="1" bottom="1" header="0" footer="0"/>
  <pageSetup paperSize="9" orientation="portrait" horizontalDpi="200" verticalDpi="200" r:id="rId1"/>
  <headerFooter alignWithMargins="0"/>
  <legacyDrawing r:id="rId2"/>
</worksheet>
</file>

<file path=xl/worksheets/sheet2.xml><?xml version="1.0" encoding="utf-8"?>
<worksheet xmlns="http://schemas.openxmlformats.org/spreadsheetml/2006/main" xmlns:r="http://schemas.openxmlformats.org/officeDocument/2006/relationships">
  <sheetPr codeName="Hoja1"/>
  <dimension ref="A1:V4626"/>
  <sheetViews>
    <sheetView workbookViewId="0">
      <pane ySplit="1" topLeftCell="A11" activePane="bottomLeft" state="frozenSplit"/>
      <selection activeCell="B1" sqref="B1"/>
      <selection pane="bottomLeft" activeCell="A15" sqref="A15"/>
    </sheetView>
  </sheetViews>
  <sheetFormatPr baseColWidth="10" defaultRowHeight="12.75"/>
  <cols>
    <col min="1" max="1" width="24.5703125" style="1" customWidth="1"/>
    <col min="2" max="2" width="30.85546875" style="1" customWidth="1"/>
    <col min="3" max="3" width="7.42578125" style="1" bestFit="1" customWidth="1"/>
    <col min="4" max="5" width="4" style="1" bestFit="1" customWidth="1"/>
    <col min="6" max="6" width="5" style="1" bestFit="1" customWidth="1"/>
    <col min="7" max="7" width="7.5703125" style="1" customWidth="1"/>
    <col min="8" max="8" width="27.28515625" style="1" customWidth="1"/>
    <col min="9" max="9" width="24.5703125" style="2" bestFit="1" customWidth="1"/>
    <col min="10" max="10" width="7.28515625" style="1" customWidth="1"/>
    <col min="11" max="11" width="4" style="82" customWidth="1"/>
    <col min="12" max="12" width="5.28515625" style="9" customWidth="1"/>
    <col min="13" max="13" width="3.85546875" style="1" customWidth="1"/>
    <col min="14" max="14" width="22.28515625" style="1" bestFit="1" customWidth="1"/>
    <col min="15" max="15" width="15.28515625" style="1" customWidth="1"/>
    <col min="16" max="16" width="17" style="1" customWidth="1"/>
    <col min="17" max="17" width="16.28515625" style="1" customWidth="1"/>
    <col min="18" max="18" width="5.42578125" style="1" customWidth="1"/>
    <col min="19" max="16384" width="11.42578125" style="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ustomFormat="1">
      <c r="A2" s="62" t="s">
        <v>6071</v>
      </c>
      <c r="B2" t="s">
        <v>6075</v>
      </c>
      <c r="C2" t="s">
        <v>494</v>
      </c>
      <c r="E2" t="s">
        <v>476</v>
      </c>
      <c r="F2">
        <v>1</v>
      </c>
      <c r="G2">
        <v>225</v>
      </c>
      <c r="H2" t="s">
        <v>6085</v>
      </c>
      <c r="I2" t="s">
        <v>6086</v>
      </c>
      <c r="J2">
        <v>6</v>
      </c>
      <c r="K2" s="55">
        <v>1</v>
      </c>
      <c r="L2">
        <v>6</v>
      </c>
    </row>
    <row r="3" spans="1:18" customFormat="1">
      <c r="A3" s="62"/>
      <c r="B3" t="s">
        <v>6072</v>
      </c>
      <c r="C3" t="s">
        <v>493</v>
      </c>
      <c r="D3">
        <v>100</v>
      </c>
      <c r="K3" s="55">
        <v>2</v>
      </c>
      <c r="M3">
        <v>1</v>
      </c>
    </row>
    <row r="4" spans="1:18" customFormat="1">
      <c r="A4" s="62"/>
      <c r="B4" t="s">
        <v>6073</v>
      </c>
      <c r="C4" t="s">
        <v>493</v>
      </c>
      <c r="D4">
        <v>50</v>
      </c>
      <c r="K4" s="55">
        <v>3</v>
      </c>
      <c r="M4">
        <v>1</v>
      </c>
    </row>
    <row r="5" spans="1:18" customFormat="1">
      <c r="A5" s="62"/>
      <c r="B5" t="s">
        <v>6074</v>
      </c>
      <c r="C5" t="s">
        <v>494</v>
      </c>
      <c r="K5" s="55">
        <v>4</v>
      </c>
      <c r="L5">
        <v>7</v>
      </c>
      <c r="M5">
        <v>1</v>
      </c>
    </row>
    <row r="6" spans="1:18" customFormat="1">
      <c r="A6" s="62"/>
      <c r="B6" t="s">
        <v>6076</v>
      </c>
      <c r="C6" t="s">
        <v>494</v>
      </c>
      <c r="K6" s="55">
        <v>5</v>
      </c>
      <c r="M6">
        <v>73</v>
      </c>
    </row>
    <row r="7" spans="1:18" customFormat="1">
      <c r="A7" s="62"/>
      <c r="B7" t="s">
        <v>6077</v>
      </c>
      <c r="C7" t="s">
        <v>494</v>
      </c>
      <c r="K7" s="55">
        <v>6</v>
      </c>
      <c r="M7">
        <v>74</v>
      </c>
    </row>
    <row r="8" spans="1:18" customFormat="1">
      <c r="A8" s="62"/>
      <c r="B8" t="s">
        <v>6078</v>
      </c>
      <c r="C8" t="s">
        <v>494</v>
      </c>
      <c r="K8" s="55">
        <v>7</v>
      </c>
      <c r="M8">
        <v>1</v>
      </c>
    </row>
    <row r="9" spans="1:18" customFormat="1">
      <c r="A9" s="62"/>
      <c r="B9" s="62" t="s">
        <v>6084</v>
      </c>
      <c r="C9" s="62" t="s">
        <v>493</v>
      </c>
      <c r="D9">
        <v>50</v>
      </c>
      <c r="K9" s="55">
        <v>8</v>
      </c>
      <c r="M9">
        <v>1</v>
      </c>
    </row>
    <row r="10" spans="1:18" customFormat="1">
      <c r="A10" s="62"/>
      <c r="B10" s="62" t="s">
        <v>6087</v>
      </c>
      <c r="C10" s="62" t="s">
        <v>494</v>
      </c>
      <c r="K10" s="55">
        <v>9</v>
      </c>
      <c r="M10">
        <v>1</v>
      </c>
    </row>
    <row r="11" spans="1:18" customFormat="1">
      <c r="A11" s="62"/>
      <c r="B11" s="62" t="s">
        <v>6088</v>
      </c>
      <c r="C11" s="62" t="s">
        <v>494</v>
      </c>
      <c r="K11" s="55">
        <v>10</v>
      </c>
      <c r="M11">
        <v>1</v>
      </c>
    </row>
    <row r="12" spans="1:18" customFormat="1">
      <c r="A12" s="62"/>
      <c r="B12" s="62" t="s">
        <v>6079</v>
      </c>
      <c r="C12" s="62" t="s">
        <v>494</v>
      </c>
      <c r="D12" s="62"/>
      <c r="K12" s="55">
        <v>11</v>
      </c>
      <c r="M12">
        <v>1</v>
      </c>
    </row>
    <row r="13" spans="1:18" customFormat="1">
      <c r="A13" s="62"/>
      <c r="B13" s="62" t="s">
        <v>6080</v>
      </c>
      <c r="C13" s="62" t="s">
        <v>493</v>
      </c>
      <c r="D13" s="62">
        <v>10</v>
      </c>
      <c r="K13" s="55">
        <v>12</v>
      </c>
      <c r="M13">
        <v>1</v>
      </c>
    </row>
    <row r="14" spans="1:18" customFormat="1">
      <c r="A14" s="62"/>
      <c r="B14" s="62" t="s">
        <v>6081</v>
      </c>
      <c r="C14" s="62" t="s">
        <v>494</v>
      </c>
      <c r="D14" s="62"/>
      <c r="K14" s="55">
        <v>13</v>
      </c>
      <c r="M14">
        <v>1</v>
      </c>
    </row>
    <row r="15" spans="1:18" customFormat="1">
      <c r="A15" s="62"/>
      <c r="B15" s="62" t="s">
        <v>6082</v>
      </c>
      <c r="C15" s="62" t="s">
        <v>493</v>
      </c>
      <c r="D15" s="62">
        <v>10</v>
      </c>
      <c r="K15" s="55">
        <v>14</v>
      </c>
      <c r="M15">
        <v>1</v>
      </c>
    </row>
    <row r="16" spans="1:18" customFormat="1">
      <c r="A16" s="62"/>
      <c r="B16" s="62" t="s">
        <v>6083</v>
      </c>
      <c r="C16" s="62" t="s">
        <v>494</v>
      </c>
      <c r="D16" s="62"/>
      <c r="K16" s="55">
        <v>15</v>
      </c>
      <c r="M16">
        <v>1</v>
      </c>
    </row>
    <row r="17" spans="1:18" customFormat="1">
      <c r="A17" s="62"/>
      <c r="B17" s="62"/>
      <c r="C17" s="62"/>
      <c r="D17" s="62"/>
      <c r="K17" s="55"/>
    </row>
    <row r="18" spans="1:18" customFormat="1">
      <c r="A18" s="62"/>
      <c r="B18" s="62"/>
      <c r="C18" s="62"/>
      <c r="H18" s="62"/>
      <c r="I18" s="62"/>
    </row>
    <row r="19" spans="1:18" customFormat="1">
      <c r="A19" s="62"/>
      <c r="B19" s="62"/>
      <c r="C19" s="62"/>
      <c r="H19" s="62"/>
      <c r="I19" s="62"/>
    </row>
    <row r="20" spans="1:18">
      <c r="A20" s="64" t="s">
        <v>6700</v>
      </c>
      <c r="B20" s="62" t="s">
        <v>6704</v>
      </c>
      <c r="C20" s="64" t="s">
        <v>494</v>
      </c>
      <c r="D20" s="10"/>
      <c r="E20" s="64" t="s">
        <v>476</v>
      </c>
      <c r="F20" s="10">
        <v>17</v>
      </c>
      <c r="G20" s="10">
        <v>1767</v>
      </c>
      <c r="H20" s="64" t="s">
        <v>6721</v>
      </c>
      <c r="I20" s="64" t="s">
        <v>6722</v>
      </c>
      <c r="J20" s="10">
        <v>1701</v>
      </c>
      <c r="K20" s="16">
        <v>1</v>
      </c>
      <c r="L20" s="80">
        <v>6</v>
      </c>
      <c r="M20" s="10"/>
      <c r="N20" s="10"/>
      <c r="O20" s="10"/>
      <c r="P20" s="10"/>
      <c r="Q20" s="10"/>
      <c r="R20" s="10"/>
    </row>
    <row r="21" spans="1:18">
      <c r="A21" s="10"/>
      <c r="B21" s="62" t="s">
        <v>6705</v>
      </c>
      <c r="C21" s="64" t="s">
        <v>494</v>
      </c>
      <c r="D21" s="10"/>
      <c r="E21" s="10"/>
      <c r="F21" s="10"/>
      <c r="G21" s="10"/>
      <c r="H21" s="10"/>
      <c r="I21" s="10"/>
      <c r="J21" s="10"/>
      <c r="K21" s="16">
        <v>2</v>
      </c>
      <c r="L21" s="31">
        <v>6</v>
      </c>
      <c r="M21" s="10"/>
      <c r="N21" s="10"/>
      <c r="O21" s="10"/>
      <c r="P21" s="10"/>
      <c r="Q21" s="10"/>
      <c r="R21" s="10"/>
    </row>
    <row r="22" spans="1:18">
      <c r="A22" s="10"/>
      <c r="B22" s="62" t="s">
        <v>6715</v>
      </c>
      <c r="C22" s="64" t="s">
        <v>494</v>
      </c>
      <c r="D22" s="10"/>
      <c r="E22" s="10"/>
      <c r="F22" s="10"/>
      <c r="G22" s="10"/>
      <c r="H22" s="10"/>
      <c r="I22" s="10"/>
      <c r="J22" s="10"/>
      <c r="K22" s="16">
        <v>3</v>
      </c>
      <c r="L22" s="31">
        <v>7</v>
      </c>
      <c r="M22" s="10"/>
      <c r="N22" s="10"/>
      <c r="O22" s="10"/>
      <c r="P22" s="10"/>
      <c r="Q22" s="10"/>
      <c r="R22" s="10"/>
    </row>
    <row r="23" spans="1:18">
      <c r="A23" s="10"/>
      <c r="B23" s="62" t="s">
        <v>6716</v>
      </c>
      <c r="C23" s="64" t="s">
        <v>494</v>
      </c>
      <c r="D23" s="10"/>
      <c r="E23" s="10"/>
      <c r="F23" s="10"/>
      <c r="G23" s="10"/>
      <c r="H23" s="10"/>
      <c r="I23" s="10"/>
      <c r="J23" s="10"/>
      <c r="K23" s="16">
        <v>4</v>
      </c>
      <c r="L23" s="31"/>
      <c r="M23" s="10">
        <v>71</v>
      </c>
      <c r="N23" s="10"/>
      <c r="O23" s="10"/>
      <c r="P23" s="10"/>
      <c r="Q23" s="10"/>
      <c r="R23" s="10"/>
    </row>
    <row r="24" spans="1:18">
      <c r="A24" s="10"/>
      <c r="B24" s="62" t="s">
        <v>6717</v>
      </c>
      <c r="C24" s="64" t="s">
        <v>494</v>
      </c>
      <c r="D24" s="10"/>
      <c r="E24" s="10"/>
      <c r="F24" s="10"/>
      <c r="G24" s="10"/>
      <c r="H24" s="10"/>
      <c r="I24" s="10"/>
      <c r="J24" s="10"/>
      <c r="K24" s="16">
        <v>5</v>
      </c>
      <c r="L24" s="31"/>
      <c r="M24" s="10">
        <v>72</v>
      </c>
      <c r="N24" s="10"/>
      <c r="O24" s="10"/>
      <c r="P24" s="10"/>
      <c r="Q24" s="10"/>
      <c r="R24" s="10"/>
    </row>
    <row r="25" spans="1:18">
      <c r="A25" s="10"/>
      <c r="B25" s="62" t="s">
        <v>6706</v>
      </c>
      <c r="C25" s="64" t="s">
        <v>494</v>
      </c>
      <c r="D25" s="10"/>
      <c r="E25" s="10"/>
      <c r="F25" s="10"/>
      <c r="G25" s="10"/>
      <c r="H25" s="10"/>
      <c r="I25" s="10"/>
      <c r="J25" s="10"/>
      <c r="K25" s="16">
        <v>6</v>
      </c>
      <c r="L25" s="80">
        <v>3</v>
      </c>
      <c r="M25" s="10"/>
      <c r="N25" s="64" t="s">
        <v>506</v>
      </c>
      <c r="O25" s="64" t="s">
        <v>514</v>
      </c>
      <c r="P25" s="62" t="s">
        <v>515</v>
      </c>
      <c r="Q25" s="10"/>
      <c r="R25" s="10"/>
    </row>
    <row r="26" spans="1:18">
      <c r="A26" s="10"/>
      <c r="B26" s="62" t="s">
        <v>6708</v>
      </c>
      <c r="C26" s="64" t="s">
        <v>494</v>
      </c>
      <c r="D26" s="10"/>
      <c r="E26" s="10"/>
      <c r="F26" s="10"/>
      <c r="G26" s="10"/>
      <c r="H26" s="10"/>
      <c r="I26" s="10"/>
      <c r="J26" s="10"/>
      <c r="K26" s="16">
        <v>7</v>
      </c>
      <c r="L26" s="80">
        <v>3</v>
      </c>
      <c r="M26" s="10"/>
      <c r="N26" s="62" t="s">
        <v>3664</v>
      </c>
      <c r="O26" s="60" t="s">
        <v>3666</v>
      </c>
      <c r="P26" s="60" t="s">
        <v>3667</v>
      </c>
      <c r="Q26" s="10"/>
      <c r="R26" s="10"/>
    </row>
    <row r="27" spans="1:18">
      <c r="A27" s="10"/>
      <c r="B27" s="62" t="s">
        <v>6707</v>
      </c>
      <c r="C27" s="64" t="s">
        <v>494</v>
      </c>
      <c r="D27" s="10"/>
      <c r="E27" s="10"/>
      <c r="F27" s="10"/>
      <c r="G27" s="10"/>
      <c r="H27" s="10"/>
      <c r="I27" s="10"/>
      <c r="J27" s="10"/>
      <c r="K27" s="16">
        <v>8</v>
      </c>
      <c r="L27" s="80">
        <v>3</v>
      </c>
      <c r="M27" s="10">
        <v>31</v>
      </c>
      <c r="N27" s="62" t="s">
        <v>1038</v>
      </c>
      <c r="O27" s="23" t="s">
        <v>1040</v>
      </c>
      <c r="P27" s="23" t="s">
        <v>1041</v>
      </c>
      <c r="Q27" s="23" t="s">
        <v>1040</v>
      </c>
      <c r="R27" s="10">
        <v>7</v>
      </c>
    </row>
    <row r="28" spans="1:18">
      <c r="A28" s="10"/>
      <c r="B28" s="62" t="s">
        <v>6732</v>
      </c>
      <c r="C28" s="64" t="s">
        <v>494</v>
      </c>
      <c r="D28" s="10"/>
      <c r="E28" s="10"/>
      <c r="F28" s="10"/>
      <c r="G28" s="10"/>
      <c r="H28" s="10"/>
      <c r="I28" s="10"/>
      <c r="J28" s="10"/>
      <c r="K28" s="16">
        <v>9</v>
      </c>
      <c r="L28" s="80">
        <v>3</v>
      </c>
      <c r="M28" s="10"/>
      <c r="N28" s="64" t="s">
        <v>6701</v>
      </c>
      <c r="O28" s="62" t="s">
        <v>6702</v>
      </c>
      <c r="P28" s="62" t="s">
        <v>6703</v>
      </c>
      <c r="Q28" s="10"/>
      <c r="R28" s="10"/>
    </row>
    <row r="29" spans="1:18">
      <c r="A29" s="10"/>
      <c r="B29" s="62" t="s">
        <v>6709</v>
      </c>
      <c r="C29" s="64" t="s">
        <v>494</v>
      </c>
      <c r="D29" s="10"/>
      <c r="E29" s="10"/>
      <c r="F29" s="10"/>
      <c r="G29" s="10"/>
      <c r="H29" s="10"/>
      <c r="I29" s="10"/>
      <c r="J29" s="10"/>
      <c r="K29" s="16">
        <v>10</v>
      </c>
      <c r="L29" s="80">
        <v>3</v>
      </c>
      <c r="M29" s="10">
        <v>1</v>
      </c>
      <c r="N29" s="10"/>
      <c r="P29" s="10"/>
      <c r="Q29" s="10"/>
      <c r="R29" s="10"/>
    </row>
    <row r="30" spans="1:18">
      <c r="A30" s="10"/>
      <c r="B30" s="62" t="s">
        <v>6710</v>
      </c>
      <c r="C30" s="64" t="s">
        <v>494</v>
      </c>
      <c r="D30" s="10"/>
      <c r="E30" s="10"/>
      <c r="F30" s="10"/>
      <c r="G30" s="10"/>
      <c r="H30" s="10"/>
      <c r="I30" s="10"/>
      <c r="J30" s="10"/>
      <c r="K30" s="16">
        <v>11</v>
      </c>
      <c r="L30" s="80">
        <v>8</v>
      </c>
      <c r="M30" s="10">
        <v>1</v>
      </c>
      <c r="N30" s="10"/>
      <c r="O30" s="10"/>
      <c r="P30" s="10"/>
      <c r="Q30" s="10"/>
      <c r="R30" s="10"/>
    </row>
    <row r="31" spans="1:18">
      <c r="A31" s="10"/>
      <c r="B31" s="62" t="s">
        <v>6711</v>
      </c>
      <c r="C31" s="64" t="s">
        <v>494</v>
      </c>
      <c r="D31" s="10"/>
      <c r="E31" s="10"/>
      <c r="F31" s="10"/>
      <c r="G31" s="10"/>
      <c r="H31" s="10"/>
      <c r="I31" s="10"/>
      <c r="J31" s="10"/>
      <c r="K31" s="16">
        <v>12</v>
      </c>
      <c r="L31" s="80">
        <v>8</v>
      </c>
      <c r="M31" s="64">
        <v>1</v>
      </c>
      <c r="N31" s="10"/>
      <c r="O31" s="10"/>
      <c r="P31" s="10"/>
      <c r="Q31" s="10"/>
      <c r="R31" s="10"/>
    </row>
    <row r="32" spans="1:18">
      <c r="A32" s="10"/>
      <c r="B32" s="62" t="s">
        <v>6719</v>
      </c>
      <c r="C32" s="64" t="s">
        <v>493</v>
      </c>
      <c r="D32" s="10">
        <v>1</v>
      </c>
      <c r="E32" s="10"/>
      <c r="F32" s="10"/>
      <c r="G32" s="10"/>
      <c r="H32" s="10"/>
      <c r="I32" s="10"/>
      <c r="J32" s="10"/>
      <c r="K32" s="16">
        <v>13</v>
      </c>
      <c r="L32" s="80">
        <v>3</v>
      </c>
      <c r="M32" s="64">
        <v>1</v>
      </c>
      <c r="N32" s="10"/>
      <c r="O32" s="10"/>
      <c r="P32" s="10"/>
      <c r="Q32" s="10"/>
      <c r="R32" s="10"/>
    </row>
    <row r="33" spans="1:18">
      <c r="A33" s="10"/>
      <c r="B33" s="62" t="s">
        <v>6718</v>
      </c>
      <c r="C33" s="64" t="s">
        <v>520</v>
      </c>
      <c r="D33" s="10"/>
      <c r="E33" s="10"/>
      <c r="F33" s="10"/>
      <c r="G33" s="10"/>
      <c r="H33" s="10"/>
      <c r="I33" s="10"/>
      <c r="J33" s="10"/>
      <c r="K33" s="16">
        <v>14</v>
      </c>
      <c r="L33" s="31"/>
      <c r="M33" s="10"/>
      <c r="N33" s="10"/>
      <c r="O33" s="10"/>
      <c r="P33" s="10"/>
      <c r="Q33" s="10"/>
      <c r="R33" s="10"/>
    </row>
    <row r="34" spans="1:18">
      <c r="A34" s="10"/>
      <c r="B34" s="62" t="s">
        <v>6712</v>
      </c>
      <c r="C34" s="64" t="s">
        <v>494</v>
      </c>
      <c r="D34" s="10"/>
      <c r="E34" s="10"/>
      <c r="F34" s="10"/>
      <c r="G34" s="10"/>
      <c r="H34" s="10"/>
      <c r="I34" s="10"/>
      <c r="J34" s="10"/>
      <c r="K34" s="16">
        <v>15</v>
      </c>
      <c r="L34" s="80">
        <v>3</v>
      </c>
      <c r="M34" s="10"/>
      <c r="N34" s="10"/>
      <c r="O34" s="10"/>
      <c r="P34" s="10"/>
      <c r="Q34" s="10"/>
      <c r="R34" s="10"/>
    </row>
    <row r="35" spans="1:18">
      <c r="A35" s="10"/>
      <c r="B35" s="62" t="s">
        <v>6713</v>
      </c>
      <c r="C35" s="64" t="s">
        <v>494</v>
      </c>
      <c r="D35" s="10"/>
      <c r="E35" s="10"/>
      <c r="F35" s="10"/>
      <c r="G35" s="10"/>
      <c r="H35" s="10"/>
      <c r="I35" s="10"/>
      <c r="J35" s="10"/>
      <c r="K35" s="16">
        <v>16</v>
      </c>
      <c r="L35" s="80">
        <v>8</v>
      </c>
      <c r="M35" s="10"/>
      <c r="N35" s="10"/>
      <c r="O35" s="10"/>
      <c r="P35" s="10"/>
      <c r="Q35" s="10"/>
      <c r="R35" s="10"/>
    </row>
    <row r="36" spans="1:18">
      <c r="A36" s="10"/>
      <c r="B36" s="62" t="s">
        <v>6714</v>
      </c>
      <c r="C36" s="64" t="s">
        <v>494</v>
      </c>
      <c r="D36" s="10"/>
      <c r="E36" s="10"/>
      <c r="F36" s="10"/>
      <c r="G36" s="10"/>
      <c r="H36" s="10"/>
      <c r="I36" s="10"/>
      <c r="J36" s="10"/>
      <c r="K36" s="16">
        <v>17</v>
      </c>
      <c r="L36" s="80">
        <v>8</v>
      </c>
      <c r="M36" s="10"/>
      <c r="N36" s="10"/>
      <c r="O36" s="10"/>
      <c r="P36" s="10"/>
      <c r="Q36" s="10"/>
      <c r="R36" s="10"/>
    </row>
    <row r="37" spans="1:18">
      <c r="A37" s="10"/>
      <c r="B37" s="62" t="s">
        <v>6720</v>
      </c>
      <c r="C37" s="64" t="s">
        <v>493</v>
      </c>
      <c r="D37" s="10">
        <v>1</v>
      </c>
      <c r="E37" s="10"/>
      <c r="F37" s="10"/>
      <c r="G37" s="10"/>
      <c r="H37" s="10"/>
      <c r="I37" s="10"/>
      <c r="J37" s="10"/>
      <c r="K37" s="16">
        <v>18</v>
      </c>
      <c r="L37" s="80">
        <v>3</v>
      </c>
      <c r="M37" s="10"/>
      <c r="N37" s="10"/>
      <c r="O37" s="10"/>
      <c r="P37" s="10"/>
      <c r="Q37" s="10"/>
      <c r="R37" s="10"/>
    </row>
    <row r="38" spans="1:18">
      <c r="A38" s="10"/>
      <c r="B38" s="62" t="s">
        <v>6723</v>
      </c>
      <c r="C38" s="64" t="s">
        <v>494</v>
      </c>
      <c r="D38" s="10"/>
      <c r="E38" s="10"/>
      <c r="F38" s="10"/>
      <c r="G38" s="10"/>
      <c r="H38" s="10"/>
      <c r="I38" s="10"/>
      <c r="J38" s="10"/>
      <c r="K38" s="16">
        <v>19</v>
      </c>
      <c r="L38" s="80">
        <v>3</v>
      </c>
      <c r="M38" s="10">
        <v>1</v>
      </c>
      <c r="N38" s="64" t="s">
        <v>6729</v>
      </c>
      <c r="O38" s="62" t="s">
        <v>6730</v>
      </c>
      <c r="P38" s="62" t="s">
        <v>6731</v>
      </c>
      <c r="Q38" s="10"/>
      <c r="R38" s="10"/>
    </row>
    <row r="39" spans="1:18">
      <c r="A39" s="10"/>
      <c r="B39" s="62" t="s">
        <v>6724</v>
      </c>
      <c r="C39" s="64" t="s">
        <v>494</v>
      </c>
      <c r="D39" s="10"/>
      <c r="E39" s="10"/>
      <c r="F39" s="10"/>
      <c r="G39" s="10"/>
      <c r="H39" s="10"/>
      <c r="I39" s="10"/>
      <c r="J39" s="10"/>
      <c r="K39" s="16">
        <v>20</v>
      </c>
      <c r="L39" s="80">
        <v>8</v>
      </c>
      <c r="M39" s="10">
        <v>1</v>
      </c>
      <c r="N39" s="10"/>
      <c r="P39" s="10"/>
      <c r="Q39" s="10"/>
      <c r="R39" s="10"/>
    </row>
    <row r="40" spans="1:18">
      <c r="A40" s="10"/>
      <c r="B40" s="62" t="s">
        <v>6725</v>
      </c>
      <c r="C40" s="64" t="s">
        <v>494</v>
      </c>
      <c r="D40" s="10"/>
      <c r="E40" s="10"/>
      <c r="F40" s="10"/>
      <c r="G40" s="10"/>
      <c r="H40" s="10"/>
      <c r="I40" s="10"/>
      <c r="J40" s="10"/>
      <c r="K40" s="16">
        <v>21</v>
      </c>
      <c r="L40" s="80">
        <v>7</v>
      </c>
      <c r="M40" s="10">
        <v>1</v>
      </c>
      <c r="N40" s="10"/>
      <c r="O40" s="10"/>
      <c r="P40" s="10"/>
      <c r="Q40" s="10"/>
      <c r="R40" s="10"/>
    </row>
    <row r="41" spans="1:18">
      <c r="A41" s="10"/>
      <c r="B41" s="62" t="s">
        <v>6726</v>
      </c>
      <c r="C41" s="64" t="s">
        <v>494</v>
      </c>
      <c r="D41" s="10"/>
      <c r="E41" s="10"/>
      <c r="F41" s="10"/>
      <c r="G41" s="10"/>
      <c r="H41" s="10"/>
      <c r="I41" s="10"/>
      <c r="J41" s="10"/>
      <c r="K41" s="16">
        <v>22</v>
      </c>
      <c r="L41" s="31"/>
      <c r="M41" s="10">
        <v>73</v>
      </c>
      <c r="N41" s="10"/>
      <c r="O41" s="10"/>
      <c r="P41" s="10"/>
      <c r="Q41" s="10"/>
      <c r="R41" s="10"/>
    </row>
    <row r="42" spans="1:18">
      <c r="A42" s="10"/>
      <c r="B42" s="62" t="s">
        <v>6727</v>
      </c>
      <c r="C42" s="64" t="s">
        <v>494</v>
      </c>
      <c r="D42" s="10"/>
      <c r="E42" s="10"/>
      <c r="F42" s="10"/>
      <c r="G42" s="10"/>
      <c r="H42" s="10"/>
      <c r="I42" s="10"/>
      <c r="J42" s="10"/>
      <c r="K42" s="16">
        <v>23</v>
      </c>
      <c r="L42" s="31"/>
      <c r="M42" s="10">
        <v>74</v>
      </c>
      <c r="N42" s="10"/>
      <c r="O42" s="10"/>
      <c r="P42" s="10"/>
      <c r="Q42" s="10"/>
      <c r="R42" s="10"/>
    </row>
    <row r="43" spans="1:18">
      <c r="A43" s="10"/>
      <c r="B43" s="62" t="s">
        <v>6728</v>
      </c>
      <c r="C43" s="64" t="s">
        <v>520</v>
      </c>
      <c r="D43" s="10"/>
      <c r="E43" s="10"/>
      <c r="F43" s="10"/>
      <c r="G43" s="10"/>
      <c r="H43" s="10"/>
      <c r="I43" s="10"/>
      <c r="J43" s="10"/>
      <c r="K43" s="16">
        <v>24</v>
      </c>
      <c r="L43" s="31"/>
      <c r="M43" s="64">
        <v>1</v>
      </c>
      <c r="N43" s="10"/>
      <c r="O43" s="10"/>
      <c r="P43" s="10"/>
      <c r="Q43" s="10"/>
      <c r="R43" s="10"/>
    </row>
    <row r="44" spans="1:18">
      <c r="A44" s="10"/>
      <c r="B44" s="62" t="s">
        <v>6891</v>
      </c>
      <c r="C44" s="64" t="s">
        <v>494</v>
      </c>
      <c r="D44" s="10"/>
      <c r="E44" s="10"/>
      <c r="F44" s="10"/>
      <c r="G44" s="10"/>
      <c r="H44" s="10"/>
      <c r="I44" s="10"/>
      <c r="J44" s="10"/>
      <c r="K44" s="16">
        <v>25</v>
      </c>
      <c r="L44" s="31">
        <v>8</v>
      </c>
      <c r="M44" s="64">
        <v>1</v>
      </c>
      <c r="N44" s="10"/>
      <c r="O44" s="10"/>
      <c r="P44" s="10"/>
      <c r="Q44" s="10"/>
      <c r="R44" s="10"/>
    </row>
    <row r="45" spans="1:18">
      <c r="A45" s="10"/>
      <c r="B45" s="62"/>
      <c r="C45" s="64"/>
      <c r="D45" s="10"/>
      <c r="E45" s="10"/>
      <c r="F45" s="10"/>
      <c r="G45" s="10"/>
      <c r="H45" s="10"/>
      <c r="I45" s="10"/>
      <c r="J45" s="10"/>
      <c r="K45" s="16"/>
      <c r="L45" s="31"/>
      <c r="M45" s="10"/>
      <c r="N45" s="10"/>
      <c r="O45" s="10"/>
      <c r="P45" s="10"/>
      <c r="Q45" s="10"/>
      <c r="R45" s="10"/>
    </row>
    <row r="46" spans="1:18" customFormat="1">
      <c r="B46" s="66"/>
      <c r="C46" s="62"/>
      <c r="N46" s="1"/>
      <c r="O46" s="23"/>
      <c r="P46" s="23"/>
      <c r="Q46" s="23"/>
      <c r="R46" s="14"/>
    </row>
    <row r="47" spans="1:18" customFormat="1">
      <c r="B47" s="66"/>
      <c r="C47" s="62"/>
    </row>
    <row r="48" spans="1:18">
      <c r="A48" s="64" t="s">
        <v>4481</v>
      </c>
      <c r="B48" s="64" t="s">
        <v>4482</v>
      </c>
      <c r="C48" s="64" t="s">
        <v>494</v>
      </c>
      <c r="D48" s="10"/>
      <c r="E48" s="64" t="s">
        <v>476</v>
      </c>
      <c r="F48" s="10">
        <v>30</v>
      </c>
      <c r="G48" s="10">
        <v>1527</v>
      </c>
      <c r="H48" s="64" t="s">
        <v>4486</v>
      </c>
      <c r="I48" s="64" t="s">
        <v>4487</v>
      </c>
      <c r="J48" s="10">
        <v>1</v>
      </c>
      <c r="K48" s="16">
        <v>1</v>
      </c>
      <c r="L48" s="80">
        <v>6</v>
      </c>
      <c r="M48" s="10"/>
      <c r="N48" s="10"/>
      <c r="O48" s="10"/>
      <c r="P48" s="10"/>
      <c r="Q48" s="10"/>
      <c r="R48" s="10"/>
    </row>
    <row r="49" spans="1:18">
      <c r="A49" s="64"/>
      <c r="B49" s="64" t="s">
        <v>4483</v>
      </c>
      <c r="C49" s="64" t="s">
        <v>494</v>
      </c>
      <c r="D49" s="10"/>
      <c r="E49" s="10"/>
      <c r="F49" s="10"/>
      <c r="G49" s="10"/>
      <c r="H49" s="10"/>
      <c r="I49" s="10"/>
      <c r="J49" s="10"/>
      <c r="K49" s="16">
        <v>2</v>
      </c>
      <c r="L49" s="80">
        <v>6</v>
      </c>
      <c r="M49" s="10"/>
      <c r="N49" s="10"/>
      <c r="O49" s="10"/>
      <c r="P49" s="10"/>
      <c r="Q49" s="10"/>
      <c r="R49" s="10"/>
    </row>
    <row r="50" spans="1:18">
      <c r="A50" s="64"/>
      <c r="B50" s="64" t="s">
        <v>4485</v>
      </c>
      <c r="C50" s="64" t="s">
        <v>493</v>
      </c>
      <c r="D50" s="10">
        <v>100</v>
      </c>
      <c r="E50" s="10"/>
      <c r="F50" s="10"/>
      <c r="G50" s="10"/>
      <c r="H50" s="10"/>
      <c r="I50" s="10"/>
      <c r="J50" s="10"/>
      <c r="K50" s="16">
        <v>3</v>
      </c>
      <c r="L50" s="31"/>
      <c r="M50" s="10"/>
      <c r="N50" s="10"/>
      <c r="O50" s="10"/>
      <c r="P50" s="10"/>
      <c r="Q50" s="10"/>
      <c r="R50" s="10"/>
    </row>
    <row r="51" spans="1:18">
      <c r="A51" s="64"/>
      <c r="B51" s="64" t="s">
        <v>4484</v>
      </c>
      <c r="C51" s="64" t="s">
        <v>494</v>
      </c>
      <c r="D51" s="10"/>
      <c r="E51" s="10"/>
      <c r="F51" s="10"/>
      <c r="G51" s="10"/>
      <c r="H51" s="10"/>
      <c r="I51" s="10"/>
      <c r="J51" s="10"/>
      <c r="K51" s="16">
        <v>4</v>
      </c>
      <c r="L51" s="80">
        <v>8</v>
      </c>
      <c r="M51" s="10"/>
      <c r="N51" s="10"/>
      <c r="O51" s="10"/>
      <c r="P51" s="10"/>
      <c r="Q51" s="10"/>
      <c r="R51" s="10"/>
    </row>
    <row r="52" spans="1:18">
      <c r="A52" s="64"/>
      <c r="B52" s="64" t="s">
        <v>4489</v>
      </c>
      <c r="C52" s="64" t="s">
        <v>494</v>
      </c>
      <c r="D52" s="10"/>
      <c r="E52" s="10"/>
      <c r="F52" s="10"/>
      <c r="G52" s="10"/>
      <c r="H52" s="10"/>
      <c r="I52" s="10"/>
      <c r="J52" s="10"/>
      <c r="K52" s="16">
        <v>5</v>
      </c>
      <c r="L52" s="80">
        <v>3</v>
      </c>
      <c r="M52" s="10"/>
      <c r="N52" s="1" t="s">
        <v>551</v>
      </c>
      <c r="O52" s="1" t="s">
        <v>552</v>
      </c>
      <c r="P52" s="1" t="s">
        <v>553</v>
      </c>
      <c r="Q52" s="10"/>
      <c r="R52" s="10"/>
    </row>
    <row r="53" spans="1:18">
      <c r="A53" s="64"/>
      <c r="B53" s="70" t="s">
        <v>4513</v>
      </c>
      <c r="C53" s="70" t="s">
        <v>493</v>
      </c>
      <c r="D53" s="10">
        <v>50</v>
      </c>
      <c r="E53" s="10"/>
      <c r="F53" s="10"/>
      <c r="G53" s="10"/>
      <c r="H53" s="10"/>
      <c r="I53" s="10"/>
      <c r="J53" s="10"/>
      <c r="K53" s="16">
        <v>6</v>
      </c>
      <c r="L53" s="80"/>
      <c r="M53" s="10"/>
      <c r="Q53" s="10"/>
      <c r="R53" s="10"/>
    </row>
    <row r="54" spans="1:18">
      <c r="A54" s="64"/>
      <c r="B54" s="64" t="s">
        <v>6359</v>
      </c>
      <c r="C54" s="64" t="s">
        <v>494</v>
      </c>
      <c r="D54" s="10"/>
      <c r="E54" s="10"/>
      <c r="F54" s="10"/>
      <c r="G54" s="10"/>
      <c r="H54" s="10"/>
      <c r="I54" s="10"/>
      <c r="J54" s="10"/>
      <c r="K54" s="16">
        <v>7</v>
      </c>
      <c r="L54" s="80">
        <v>3</v>
      </c>
      <c r="M54" s="10"/>
      <c r="N54" s="62" t="s">
        <v>6344</v>
      </c>
      <c r="O54" s="62" t="s">
        <v>6348</v>
      </c>
      <c r="P54" s="62" t="s">
        <v>6350</v>
      </c>
      <c r="Q54" s="10"/>
      <c r="R54" s="10"/>
    </row>
    <row r="55" spans="1:18" customFormat="1">
      <c r="B55" s="70" t="s">
        <v>6777</v>
      </c>
      <c r="C55" s="70" t="s">
        <v>494</v>
      </c>
      <c r="K55">
        <v>8</v>
      </c>
      <c r="L55">
        <v>3</v>
      </c>
      <c r="N55" t="s">
        <v>6692</v>
      </c>
      <c r="O55" t="s">
        <v>6693</v>
      </c>
      <c r="P55" t="s">
        <v>6694</v>
      </c>
    </row>
    <row r="56" spans="1:18">
      <c r="A56" s="10"/>
      <c r="B56" s="64" t="s">
        <v>6801</v>
      </c>
      <c r="C56" s="64" t="s">
        <v>494</v>
      </c>
      <c r="D56" s="10"/>
      <c r="E56" s="10"/>
      <c r="F56" s="10"/>
      <c r="G56" s="10"/>
      <c r="H56" s="10"/>
      <c r="I56" s="10"/>
      <c r="J56" s="10"/>
      <c r="K56">
        <v>9</v>
      </c>
      <c r="L56" s="80">
        <v>3</v>
      </c>
      <c r="M56" s="14"/>
      <c r="N56" s="62" t="s">
        <v>693</v>
      </c>
      <c r="O56" s="1" t="s">
        <v>695</v>
      </c>
      <c r="P56" s="1" t="s">
        <v>696</v>
      </c>
      <c r="Q56" s="62"/>
      <c r="R56" s="14"/>
    </row>
    <row r="57" spans="1:18">
      <c r="A57" s="10"/>
      <c r="B57" s="64" t="s">
        <v>6802</v>
      </c>
      <c r="C57" s="10" t="s">
        <v>494</v>
      </c>
      <c r="D57" s="10"/>
      <c r="E57" s="10"/>
      <c r="F57" s="10"/>
      <c r="G57" s="10"/>
      <c r="H57" s="10"/>
      <c r="I57" s="10"/>
      <c r="J57" s="10"/>
      <c r="K57">
        <v>10</v>
      </c>
      <c r="L57" s="31">
        <v>3</v>
      </c>
      <c r="M57" s="14">
        <v>31</v>
      </c>
      <c r="N57" s="1" t="s">
        <v>379</v>
      </c>
      <c r="O57" s="62" t="s">
        <v>698</v>
      </c>
      <c r="P57" s="62" t="s">
        <v>699</v>
      </c>
      <c r="Q57" s="62" t="s">
        <v>383</v>
      </c>
      <c r="R57" s="14">
        <v>9</v>
      </c>
    </row>
    <row r="58" spans="1:18">
      <c r="A58" s="64"/>
      <c r="B58" s="64"/>
      <c r="C58" s="10"/>
      <c r="D58" s="10"/>
      <c r="E58" s="10"/>
      <c r="F58" s="10"/>
      <c r="G58" s="10"/>
      <c r="H58" s="10"/>
      <c r="I58" s="10"/>
      <c r="J58" s="10"/>
      <c r="K58" s="16"/>
      <c r="L58" s="31"/>
      <c r="M58" s="10"/>
      <c r="N58" s="62"/>
      <c r="O58" s="62"/>
      <c r="P58" s="62"/>
      <c r="Q58" s="10"/>
      <c r="R58" s="10"/>
    </row>
    <row r="59" spans="1:18">
      <c r="A59" s="64" t="s">
        <v>4488</v>
      </c>
      <c r="B59" s="64" t="s">
        <v>4490</v>
      </c>
      <c r="C59" s="64" t="s">
        <v>494</v>
      </c>
      <c r="D59" s="10"/>
      <c r="E59" s="64" t="s">
        <v>476</v>
      </c>
      <c r="F59" s="10">
        <v>30</v>
      </c>
      <c r="G59" s="10">
        <v>1528</v>
      </c>
      <c r="H59" s="64" t="s">
        <v>4496</v>
      </c>
      <c r="I59" s="10"/>
      <c r="J59" s="10">
        <v>1</v>
      </c>
      <c r="K59" s="16">
        <v>1</v>
      </c>
      <c r="L59" s="80">
        <v>52</v>
      </c>
      <c r="M59" s="10"/>
      <c r="N59" s="64">
        <v>1527</v>
      </c>
      <c r="O59" s="64" t="s">
        <v>4483</v>
      </c>
      <c r="P59" s="10"/>
      <c r="Q59" s="10"/>
      <c r="R59" s="10"/>
    </row>
    <row r="60" spans="1:18">
      <c r="A60" s="64"/>
      <c r="B60" s="64" t="s">
        <v>4491</v>
      </c>
      <c r="C60" s="64" t="s">
        <v>494</v>
      </c>
      <c r="D60" s="10"/>
      <c r="E60" s="64" t="s">
        <v>476</v>
      </c>
      <c r="F60" s="10"/>
      <c r="G60" s="10"/>
      <c r="H60" s="10"/>
      <c r="I60" s="10"/>
      <c r="J60" s="10"/>
      <c r="K60" s="16">
        <v>2</v>
      </c>
      <c r="L60" s="80">
        <v>8</v>
      </c>
      <c r="M60" s="10"/>
      <c r="N60" s="10"/>
      <c r="O60" s="10"/>
      <c r="P60" s="10"/>
      <c r="Q60" s="10"/>
      <c r="R60" s="10"/>
    </row>
    <row r="61" spans="1:18">
      <c r="A61" s="64"/>
      <c r="B61" s="64" t="s">
        <v>4492</v>
      </c>
      <c r="C61" s="64" t="s">
        <v>494</v>
      </c>
      <c r="D61" s="10"/>
      <c r="E61" s="10"/>
      <c r="F61" s="10"/>
      <c r="G61" s="10"/>
      <c r="H61" s="10"/>
      <c r="I61" s="10"/>
      <c r="J61" s="10"/>
      <c r="K61" s="16">
        <v>3</v>
      </c>
      <c r="L61" s="80">
        <v>6</v>
      </c>
      <c r="M61" s="10"/>
      <c r="N61" s="10"/>
      <c r="O61" s="10"/>
      <c r="P61" s="10"/>
      <c r="Q61" s="10"/>
      <c r="R61" s="10"/>
    </row>
    <row r="62" spans="1:18">
      <c r="A62" s="64"/>
      <c r="B62" s="64" t="s">
        <v>4495</v>
      </c>
      <c r="C62" s="64" t="s">
        <v>493</v>
      </c>
      <c r="D62" s="10">
        <v>1</v>
      </c>
      <c r="E62" s="10"/>
      <c r="F62" s="10"/>
      <c r="G62" s="10"/>
      <c r="H62" s="10"/>
      <c r="I62" s="10"/>
      <c r="J62" s="10"/>
      <c r="K62" s="16">
        <v>4</v>
      </c>
      <c r="L62" s="80">
        <v>3</v>
      </c>
      <c r="M62" s="10"/>
      <c r="N62" s="10"/>
      <c r="O62" s="10"/>
      <c r="P62" s="10"/>
      <c r="Q62" s="10"/>
      <c r="R62" s="10"/>
    </row>
    <row r="63" spans="1:18">
      <c r="A63" s="64"/>
      <c r="B63" s="64" t="s">
        <v>4493</v>
      </c>
      <c r="C63" s="64" t="s">
        <v>494</v>
      </c>
      <c r="D63" s="10"/>
      <c r="E63" s="10"/>
      <c r="F63" s="10"/>
      <c r="G63" s="10"/>
      <c r="H63" s="10"/>
      <c r="I63" s="10"/>
      <c r="J63" s="10"/>
      <c r="K63" s="16">
        <v>5</v>
      </c>
      <c r="L63" s="80">
        <v>7</v>
      </c>
      <c r="M63" s="10"/>
      <c r="N63" s="10"/>
      <c r="O63" s="10"/>
      <c r="P63" s="10"/>
      <c r="Q63" s="10"/>
      <c r="R63" s="10"/>
    </row>
    <row r="64" spans="1:18">
      <c r="A64" s="64"/>
      <c r="B64" s="64" t="s">
        <v>4494</v>
      </c>
      <c r="C64" s="64" t="s">
        <v>494</v>
      </c>
      <c r="D64" s="10"/>
      <c r="E64" s="10"/>
      <c r="F64" s="10"/>
      <c r="G64" s="10"/>
      <c r="H64" s="10"/>
      <c r="I64" s="10"/>
      <c r="J64" s="10"/>
      <c r="K64" s="16">
        <v>6</v>
      </c>
      <c r="L64" s="80">
        <v>7</v>
      </c>
      <c r="M64" s="10"/>
      <c r="N64" s="10"/>
      <c r="O64" s="10"/>
      <c r="P64" s="10"/>
      <c r="Q64" s="10"/>
      <c r="R64" s="10"/>
    </row>
    <row r="65" spans="1:18">
      <c r="A65" s="64"/>
      <c r="B65" s="64"/>
      <c r="C65" s="64"/>
      <c r="D65" s="10"/>
      <c r="E65" s="10"/>
      <c r="F65" s="10"/>
      <c r="G65" s="10"/>
      <c r="H65" s="10"/>
      <c r="I65" s="10"/>
      <c r="J65" s="10"/>
      <c r="K65" s="16"/>
      <c r="L65" s="80"/>
      <c r="M65" s="10"/>
      <c r="N65" s="10"/>
      <c r="O65" s="10"/>
      <c r="P65" s="10"/>
      <c r="Q65" s="10"/>
      <c r="R65" s="10"/>
    </row>
    <row r="66" spans="1:18">
      <c r="A66" s="64"/>
      <c r="B66" s="64"/>
      <c r="C66" s="64"/>
      <c r="D66" s="10"/>
      <c r="E66" s="10"/>
      <c r="F66" s="10"/>
      <c r="G66" s="10"/>
      <c r="H66" s="10"/>
      <c r="I66" s="10"/>
      <c r="J66" s="10"/>
      <c r="K66" s="16"/>
      <c r="L66" s="80"/>
      <c r="M66" s="10"/>
      <c r="N66" s="10"/>
      <c r="O66" s="10"/>
      <c r="P66" s="10"/>
      <c r="Q66" s="10"/>
      <c r="R66" s="10"/>
    </row>
    <row r="67" spans="1:18" customFormat="1">
      <c r="A67" t="s">
        <v>6508</v>
      </c>
      <c r="B67" t="s">
        <v>6509</v>
      </c>
      <c r="C67" t="s">
        <v>494</v>
      </c>
      <c r="E67" t="s">
        <v>476</v>
      </c>
      <c r="F67">
        <v>30</v>
      </c>
      <c r="G67">
        <v>3003</v>
      </c>
      <c r="H67" t="s">
        <v>2480</v>
      </c>
      <c r="I67" t="s">
        <v>6510</v>
      </c>
      <c r="J67">
        <v>1</v>
      </c>
      <c r="K67">
        <v>1</v>
      </c>
      <c r="L67">
        <v>3</v>
      </c>
      <c r="N67" t="s">
        <v>6498</v>
      </c>
      <c r="O67" t="s">
        <v>6501</v>
      </c>
      <c r="P67" t="s">
        <v>6502</v>
      </c>
      <c r="R67">
        <v>3002</v>
      </c>
    </row>
    <row r="68" spans="1:18" customFormat="1">
      <c r="B68" t="s">
        <v>6511</v>
      </c>
      <c r="C68" t="s">
        <v>494</v>
      </c>
      <c r="E68" t="s">
        <v>476</v>
      </c>
      <c r="K68">
        <v>2</v>
      </c>
      <c r="L68">
        <v>6</v>
      </c>
    </row>
    <row r="69" spans="1:18" customFormat="1">
      <c r="B69" t="s">
        <v>6512</v>
      </c>
      <c r="C69" t="s">
        <v>494</v>
      </c>
      <c r="K69">
        <v>3</v>
      </c>
      <c r="L69">
        <v>6</v>
      </c>
    </row>
    <row r="70" spans="1:18" customFormat="1">
      <c r="B70" t="s">
        <v>6513</v>
      </c>
      <c r="C70" t="s">
        <v>493</v>
      </c>
      <c r="D70">
        <v>1</v>
      </c>
      <c r="K70">
        <v>4</v>
      </c>
      <c r="L70">
        <v>3</v>
      </c>
    </row>
    <row r="71" spans="1:18" customFormat="1">
      <c r="B71" t="s">
        <v>6514</v>
      </c>
      <c r="C71" t="s">
        <v>493</v>
      </c>
      <c r="D71">
        <v>250</v>
      </c>
      <c r="K71">
        <v>5</v>
      </c>
    </row>
    <row r="72" spans="1:18" customFormat="1">
      <c r="B72" t="s">
        <v>6515</v>
      </c>
      <c r="C72" t="s">
        <v>520</v>
      </c>
      <c r="K72">
        <v>6</v>
      </c>
    </row>
    <row r="73" spans="1:18" customFormat="1">
      <c r="B73" s="62" t="s">
        <v>6516</v>
      </c>
      <c r="C73" t="s">
        <v>520</v>
      </c>
      <c r="K73">
        <v>7</v>
      </c>
    </row>
    <row r="74" spans="1:18" customFormat="1">
      <c r="B74" t="s">
        <v>6517</v>
      </c>
      <c r="C74" t="s">
        <v>493</v>
      </c>
      <c r="D74">
        <v>1</v>
      </c>
      <c r="H74" s="62" t="s">
        <v>6343</v>
      </c>
      <c r="K74">
        <v>8</v>
      </c>
      <c r="L74">
        <v>3</v>
      </c>
    </row>
    <row r="75" spans="1:18" customFormat="1">
      <c r="B75" t="s">
        <v>6518</v>
      </c>
      <c r="C75" t="s">
        <v>494</v>
      </c>
      <c r="K75">
        <v>9</v>
      </c>
      <c r="L75">
        <v>3</v>
      </c>
    </row>
    <row r="76" spans="1:18" customFormat="1">
      <c r="B76" t="s">
        <v>6519</v>
      </c>
      <c r="C76" t="s">
        <v>493</v>
      </c>
      <c r="D76">
        <v>100</v>
      </c>
      <c r="K76">
        <v>10</v>
      </c>
    </row>
    <row r="77" spans="1:18" customFormat="1">
      <c r="B77" s="62" t="s">
        <v>6520</v>
      </c>
      <c r="C77" t="s">
        <v>494</v>
      </c>
      <c r="K77">
        <v>11</v>
      </c>
      <c r="L77">
        <v>3</v>
      </c>
      <c r="N77" s="62" t="s">
        <v>6344</v>
      </c>
      <c r="O77" s="62" t="s">
        <v>6348</v>
      </c>
      <c r="P77" s="62" t="s">
        <v>6350</v>
      </c>
      <c r="R77">
        <v>226</v>
      </c>
    </row>
    <row r="78" spans="1:18" customFormat="1">
      <c r="B78" s="62" t="s">
        <v>6521</v>
      </c>
      <c r="C78" t="s">
        <v>494</v>
      </c>
      <c r="K78">
        <v>12</v>
      </c>
      <c r="L78">
        <v>3</v>
      </c>
      <c r="M78">
        <v>31</v>
      </c>
      <c r="N78" s="64" t="s">
        <v>4481</v>
      </c>
      <c r="O78" s="64" t="s">
        <v>4483</v>
      </c>
      <c r="P78" s="64" t="s">
        <v>4485</v>
      </c>
      <c r="Q78" s="64" t="s">
        <v>6359</v>
      </c>
      <c r="R78">
        <v>11</v>
      </c>
    </row>
    <row r="79" spans="1:18" customFormat="1">
      <c r="B79" s="62" t="s">
        <v>6522</v>
      </c>
      <c r="C79" t="s">
        <v>494</v>
      </c>
      <c r="K79">
        <v>13</v>
      </c>
      <c r="L79">
        <v>8</v>
      </c>
    </row>
    <row r="80" spans="1:18" customFormat="1">
      <c r="B80" s="62" t="s">
        <v>6523</v>
      </c>
      <c r="C80" t="s">
        <v>494</v>
      </c>
      <c r="K80">
        <v>14</v>
      </c>
    </row>
    <row r="81" spans="2:18" customFormat="1">
      <c r="B81" s="62" t="s">
        <v>6524</v>
      </c>
      <c r="C81" t="s">
        <v>494</v>
      </c>
      <c r="K81">
        <v>15</v>
      </c>
    </row>
    <row r="82" spans="2:18" customFormat="1">
      <c r="B82" t="s">
        <v>6525</v>
      </c>
      <c r="C82" t="s">
        <v>493</v>
      </c>
      <c r="D82">
        <v>100</v>
      </c>
      <c r="K82">
        <v>16</v>
      </c>
    </row>
    <row r="83" spans="2:18" customFormat="1">
      <c r="B83" s="62" t="s">
        <v>6526</v>
      </c>
      <c r="C83" t="s">
        <v>494</v>
      </c>
      <c r="K83">
        <v>17</v>
      </c>
      <c r="L83">
        <v>3</v>
      </c>
      <c r="N83" s="62" t="s">
        <v>6344</v>
      </c>
      <c r="O83" s="62" t="s">
        <v>6348</v>
      </c>
      <c r="P83" s="62" t="s">
        <v>6350</v>
      </c>
    </row>
    <row r="84" spans="2:18" customFormat="1">
      <c r="B84" s="62" t="s">
        <v>6527</v>
      </c>
      <c r="C84" t="s">
        <v>494</v>
      </c>
      <c r="K84">
        <v>18</v>
      </c>
      <c r="L84">
        <v>3</v>
      </c>
      <c r="M84">
        <v>31</v>
      </c>
      <c r="N84" s="64" t="s">
        <v>4481</v>
      </c>
      <c r="O84" s="64" t="s">
        <v>4483</v>
      </c>
      <c r="P84" s="64" t="s">
        <v>4485</v>
      </c>
      <c r="Q84" s="64" t="s">
        <v>6359</v>
      </c>
      <c r="R84">
        <v>17</v>
      </c>
    </row>
    <row r="85" spans="2:18" customFormat="1">
      <c r="B85" s="62" t="s">
        <v>6528</v>
      </c>
      <c r="C85" t="s">
        <v>494</v>
      </c>
      <c r="K85">
        <v>19</v>
      </c>
      <c r="L85">
        <v>8</v>
      </c>
    </row>
    <row r="86" spans="2:18" customFormat="1">
      <c r="B86" s="62" t="s">
        <v>6529</v>
      </c>
      <c r="C86" t="s">
        <v>494</v>
      </c>
      <c r="K86">
        <v>20</v>
      </c>
    </row>
    <row r="87" spans="2:18" customFormat="1">
      <c r="B87" s="62" t="s">
        <v>6530</v>
      </c>
      <c r="C87" t="s">
        <v>494</v>
      </c>
      <c r="K87">
        <v>21</v>
      </c>
    </row>
    <row r="88" spans="2:18" customFormat="1">
      <c r="B88" t="s">
        <v>6531</v>
      </c>
      <c r="C88" t="s">
        <v>493</v>
      </c>
      <c r="D88">
        <v>100</v>
      </c>
      <c r="K88">
        <v>22</v>
      </c>
    </row>
    <row r="89" spans="2:18" customFormat="1">
      <c r="B89" s="62" t="s">
        <v>6532</v>
      </c>
      <c r="C89" t="s">
        <v>494</v>
      </c>
      <c r="K89">
        <v>23</v>
      </c>
      <c r="L89">
        <v>3</v>
      </c>
      <c r="N89" s="62" t="s">
        <v>6344</v>
      </c>
      <c r="O89" s="62" t="s">
        <v>6348</v>
      </c>
      <c r="P89" s="62" t="s">
        <v>6350</v>
      </c>
    </row>
    <row r="90" spans="2:18" customFormat="1">
      <c r="B90" s="62" t="s">
        <v>6533</v>
      </c>
      <c r="C90" t="s">
        <v>494</v>
      </c>
      <c r="K90">
        <v>24</v>
      </c>
      <c r="L90">
        <v>3</v>
      </c>
      <c r="M90">
        <v>31</v>
      </c>
      <c r="N90" s="64" t="s">
        <v>4481</v>
      </c>
      <c r="O90" s="64" t="s">
        <v>4483</v>
      </c>
      <c r="P90" s="64" t="s">
        <v>4485</v>
      </c>
      <c r="Q90" s="64" t="s">
        <v>6359</v>
      </c>
      <c r="R90">
        <v>23</v>
      </c>
    </row>
    <row r="91" spans="2:18" customFormat="1">
      <c r="B91" s="62" t="s">
        <v>6534</v>
      </c>
      <c r="C91" t="s">
        <v>494</v>
      </c>
      <c r="K91">
        <v>25</v>
      </c>
      <c r="L91">
        <v>8</v>
      </c>
    </row>
    <row r="92" spans="2:18" customFormat="1">
      <c r="B92" s="62" t="s">
        <v>6535</v>
      </c>
      <c r="C92" t="s">
        <v>494</v>
      </c>
      <c r="K92">
        <v>26</v>
      </c>
    </row>
    <row r="93" spans="2:18" customFormat="1">
      <c r="B93" s="62" t="s">
        <v>6536</v>
      </c>
      <c r="C93" t="s">
        <v>494</v>
      </c>
      <c r="K93">
        <v>27</v>
      </c>
    </row>
    <row r="94" spans="2:18" customFormat="1">
      <c r="B94" t="s">
        <v>6537</v>
      </c>
      <c r="C94" t="s">
        <v>493</v>
      </c>
      <c r="D94">
        <v>1</v>
      </c>
      <c r="K94">
        <v>28</v>
      </c>
      <c r="L94">
        <v>3</v>
      </c>
    </row>
    <row r="95" spans="2:18" customFormat="1">
      <c r="B95" t="s">
        <v>6538</v>
      </c>
      <c r="C95" t="s">
        <v>493</v>
      </c>
      <c r="D95">
        <v>1</v>
      </c>
      <c r="K95">
        <v>29</v>
      </c>
      <c r="L95">
        <v>3</v>
      </c>
    </row>
    <row r="96" spans="2:18" customFormat="1">
      <c r="B96" s="62" t="s">
        <v>6539</v>
      </c>
      <c r="C96" s="62" t="s">
        <v>493</v>
      </c>
      <c r="D96">
        <v>1</v>
      </c>
      <c r="K96">
        <v>30</v>
      </c>
      <c r="L96">
        <v>3</v>
      </c>
    </row>
    <row r="97" spans="1:16" customFormat="1">
      <c r="B97" s="62" t="s">
        <v>6540</v>
      </c>
      <c r="C97" s="62" t="s">
        <v>493</v>
      </c>
      <c r="D97">
        <v>1</v>
      </c>
      <c r="K97">
        <v>31</v>
      </c>
      <c r="L97">
        <v>3</v>
      </c>
    </row>
    <row r="98" spans="1:16" customFormat="1">
      <c r="B98" s="62" t="s">
        <v>6541</v>
      </c>
      <c r="C98" s="62" t="s">
        <v>494</v>
      </c>
      <c r="K98">
        <v>32</v>
      </c>
      <c r="L98">
        <v>3</v>
      </c>
      <c r="M98">
        <v>1</v>
      </c>
    </row>
    <row r="99" spans="1:16" customFormat="1">
      <c r="B99" s="70" t="s">
        <v>6688</v>
      </c>
      <c r="C99" s="70" t="s">
        <v>494</v>
      </c>
      <c r="K99">
        <v>33</v>
      </c>
      <c r="L99">
        <v>3</v>
      </c>
      <c r="N99" t="s">
        <v>6692</v>
      </c>
      <c r="O99" t="s">
        <v>6693</v>
      </c>
      <c r="P99" t="s">
        <v>6694</v>
      </c>
    </row>
    <row r="100" spans="1:16" customFormat="1">
      <c r="B100" s="70" t="s">
        <v>6689</v>
      </c>
      <c r="C100" s="94" t="s">
        <v>493</v>
      </c>
      <c r="D100">
        <v>1</v>
      </c>
      <c r="K100">
        <v>34</v>
      </c>
      <c r="L100">
        <v>3</v>
      </c>
    </row>
    <row r="101" spans="1:16" customFormat="1">
      <c r="B101" s="70" t="s">
        <v>6690</v>
      </c>
      <c r="C101" s="94" t="s">
        <v>493</v>
      </c>
      <c r="D101">
        <v>1</v>
      </c>
      <c r="K101">
        <v>35</v>
      </c>
      <c r="L101">
        <v>3</v>
      </c>
    </row>
    <row r="102" spans="1:16" customFormat="1">
      <c r="B102" s="64" t="s">
        <v>6760</v>
      </c>
      <c r="C102" t="s">
        <v>494</v>
      </c>
      <c r="K102">
        <v>36</v>
      </c>
      <c r="L102">
        <v>3</v>
      </c>
    </row>
    <row r="103" spans="1:16" customFormat="1">
      <c r="B103" s="64" t="s">
        <v>6761</v>
      </c>
      <c r="C103" t="s">
        <v>494</v>
      </c>
      <c r="K103">
        <v>37</v>
      </c>
      <c r="L103">
        <v>3</v>
      </c>
    </row>
    <row r="104" spans="1:16" customFormat="1">
      <c r="B104" s="64" t="s">
        <v>6770</v>
      </c>
      <c r="C104" s="108" t="s">
        <v>494</v>
      </c>
      <c r="K104">
        <v>38</v>
      </c>
      <c r="L104">
        <v>3</v>
      </c>
    </row>
    <row r="105" spans="1:16" customFormat="1">
      <c r="B105" s="64" t="s">
        <v>6769</v>
      </c>
      <c r="C105" s="108" t="s">
        <v>494</v>
      </c>
      <c r="K105">
        <v>39</v>
      </c>
      <c r="L105">
        <v>3</v>
      </c>
    </row>
    <row r="106" spans="1:16" customFormat="1">
      <c r="B106" s="64" t="s">
        <v>6768</v>
      </c>
      <c r="C106" s="108" t="s">
        <v>520</v>
      </c>
      <c r="K106">
        <v>40</v>
      </c>
    </row>
    <row r="107" spans="1:16" customFormat="1">
      <c r="B107" s="64" t="s">
        <v>6776</v>
      </c>
      <c r="C107" s="108" t="s">
        <v>494</v>
      </c>
      <c r="K107">
        <v>41</v>
      </c>
      <c r="L107">
        <v>3</v>
      </c>
    </row>
    <row r="108" spans="1:16" customFormat="1"/>
    <row r="109" spans="1:16" customFormat="1">
      <c r="A109" t="s">
        <v>6542</v>
      </c>
      <c r="B109" t="s">
        <v>6543</v>
      </c>
      <c r="C109" t="s">
        <v>494</v>
      </c>
      <c r="E109" t="s">
        <v>476</v>
      </c>
      <c r="F109">
        <v>30</v>
      </c>
      <c r="G109">
        <v>3004</v>
      </c>
      <c r="H109" t="s">
        <v>111</v>
      </c>
      <c r="J109">
        <v>1</v>
      </c>
      <c r="K109">
        <v>1</v>
      </c>
      <c r="L109">
        <v>52</v>
      </c>
      <c r="N109">
        <v>3003</v>
      </c>
      <c r="O109" t="s">
        <v>6512</v>
      </c>
    </row>
    <row r="110" spans="1:16" customFormat="1">
      <c r="B110" t="s">
        <v>6544</v>
      </c>
      <c r="C110" t="s">
        <v>494</v>
      </c>
      <c r="E110" t="s">
        <v>476</v>
      </c>
      <c r="K110">
        <v>2</v>
      </c>
      <c r="L110">
        <v>6</v>
      </c>
    </row>
    <row r="111" spans="1:16" customFormat="1">
      <c r="B111" t="s">
        <v>6545</v>
      </c>
      <c r="C111" t="s">
        <v>494</v>
      </c>
      <c r="K111">
        <v>3</v>
      </c>
      <c r="L111">
        <v>6</v>
      </c>
    </row>
    <row r="112" spans="1:16" customFormat="1">
      <c r="B112" t="s">
        <v>6546</v>
      </c>
      <c r="C112" t="s">
        <v>493</v>
      </c>
      <c r="D112">
        <v>1</v>
      </c>
      <c r="K112">
        <v>4</v>
      </c>
      <c r="L112">
        <v>3</v>
      </c>
    </row>
    <row r="113" spans="1:18" customFormat="1">
      <c r="B113" t="s">
        <v>6547</v>
      </c>
      <c r="C113" t="s">
        <v>494</v>
      </c>
      <c r="K113">
        <v>5</v>
      </c>
    </row>
    <row r="114" spans="1:18" customFormat="1">
      <c r="B114" t="s">
        <v>6548</v>
      </c>
      <c r="C114" t="s">
        <v>493</v>
      </c>
      <c r="D114">
        <v>1</v>
      </c>
      <c r="K114">
        <v>6</v>
      </c>
      <c r="L114">
        <v>3</v>
      </c>
    </row>
    <row r="115" spans="1:18" customFormat="1">
      <c r="B115" t="s">
        <v>6549</v>
      </c>
      <c r="C115" t="s">
        <v>493</v>
      </c>
      <c r="D115">
        <v>100</v>
      </c>
      <c r="K115">
        <v>7</v>
      </c>
    </row>
    <row r="116" spans="1:18" customFormat="1">
      <c r="B116" t="s">
        <v>6550</v>
      </c>
      <c r="C116" t="s">
        <v>520</v>
      </c>
      <c r="K116">
        <v>8</v>
      </c>
    </row>
    <row r="117" spans="1:18" customFormat="1">
      <c r="B117" s="92" t="s">
        <v>6551</v>
      </c>
      <c r="C117" s="62" t="s">
        <v>494</v>
      </c>
      <c r="K117">
        <v>9</v>
      </c>
      <c r="M117">
        <v>1</v>
      </c>
    </row>
    <row r="118" spans="1:18" customFormat="1">
      <c r="B118" t="s">
        <v>6552</v>
      </c>
      <c r="C118" t="s">
        <v>494</v>
      </c>
      <c r="K118">
        <v>10</v>
      </c>
      <c r="L118">
        <v>91</v>
      </c>
    </row>
    <row r="119" spans="1:18" customFormat="1">
      <c r="B119" t="s">
        <v>6553</v>
      </c>
      <c r="C119" t="s">
        <v>494</v>
      </c>
      <c r="K119">
        <v>11</v>
      </c>
      <c r="L119">
        <v>92</v>
      </c>
    </row>
    <row r="120" spans="1:18" customFormat="1">
      <c r="B120" s="70" t="s">
        <v>6691</v>
      </c>
      <c r="C120" s="70" t="s">
        <v>494</v>
      </c>
      <c r="K120">
        <v>12</v>
      </c>
      <c r="L120">
        <v>3</v>
      </c>
    </row>
    <row r="121" spans="1:18" customFormat="1"/>
    <row r="122" spans="1:18" customFormat="1"/>
    <row r="123" spans="1:18" s="62" customFormat="1">
      <c r="I123" s="22"/>
      <c r="K123" s="32"/>
      <c r="L123" s="76"/>
    </row>
    <row r="124" spans="1:18">
      <c r="B124" s="60"/>
      <c r="C124" s="62"/>
      <c r="F124" s="14"/>
      <c r="G124" s="14"/>
      <c r="H124" s="14"/>
      <c r="I124" s="11"/>
      <c r="J124" s="14"/>
      <c r="K124" s="16"/>
      <c r="L124" s="15"/>
      <c r="M124" s="14"/>
      <c r="P124" s="23"/>
      <c r="Q124" s="14"/>
      <c r="R124" s="14"/>
    </row>
    <row r="125" spans="1:18">
      <c r="B125" s="60"/>
      <c r="C125" s="62"/>
      <c r="F125" s="14"/>
      <c r="G125" s="14"/>
      <c r="H125" s="14"/>
      <c r="I125" s="11"/>
      <c r="J125" s="14"/>
      <c r="K125" s="16"/>
      <c r="L125" s="15"/>
      <c r="M125" s="14"/>
      <c r="P125" s="23"/>
      <c r="Q125" s="14"/>
      <c r="R125" s="14"/>
    </row>
    <row r="126" spans="1:18">
      <c r="B126" s="60"/>
      <c r="C126" s="62"/>
      <c r="F126" s="14"/>
      <c r="G126" s="14"/>
      <c r="H126" s="14"/>
      <c r="I126" s="11"/>
      <c r="J126" s="14"/>
      <c r="K126" s="16"/>
      <c r="L126" s="15"/>
      <c r="M126" s="14"/>
      <c r="P126" s="23"/>
      <c r="Q126" s="14"/>
      <c r="R126" s="14"/>
    </row>
    <row r="127" spans="1:18" customFormat="1">
      <c r="A127" s="70" t="s">
        <v>6554</v>
      </c>
      <c r="B127" s="70" t="s">
        <v>6555</v>
      </c>
      <c r="C127" s="62" t="s">
        <v>494</v>
      </c>
      <c r="E127" s="62" t="s">
        <v>476</v>
      </c>
      <c r="F127">
        <v>30</v>
      </c>
      <c r="G127">
        <v>3005</v>
      </c>
      <c r="H127" s="62" t="s">
        <v>6244</v>
      </c>
      <c r="I127" s="62" t="s">
        <v>6556</v>
      </c>
      <c r="J127">
        <v>3001</v>
      </c>
      <c r="K127">
        <v>1</v>
      </c>
      <c r="M127">
        <v>1</v>
      </c>
    </row>
    <row r="128" spans="1:18" customFormat="1">
      <c r="A128" s="70"/>
      <c r="B128" s="70" t="s">
        <v>6557</v>
      </c>
      <c r="C128" s="62" t="s">
        <v>494</v>
      </c>
      <c r="E128" s="62" t="s">
        <v>476</v>
      </c>
      <c r="K128">
        <v>2</v>
      </c>
      <c r="M128">
        <v>1</v>
      </c>
    </row>
    <row r="129" spans="1:18" customFormat="1">
      <c r="A129" s="70"/>
      <c r="B129" s="70" t="s">
        <v>6655</v>
      </c>
      <c r="C129" s="62" t="s">
        <v>494</v>
      </c>
      <c r="E129" s="62" t="s">
        <v>476</v>
      </c>
      <c r="H129" s="62" t="s">
        <v>6659</v>
      </c>
      <c r="K129">
        <v>3</v>
      </c>
      <c r="L129">
        <v>3</v>
      </c>
      <c r="M129">
        <v>1</v>
      </c>
      <c r="N129" s="62" t="s">
        <v>6678</v>
      </c>
      <c r="O129" s="62" t="s">
        <v>6679</v>
      </c>
      <c r="P129" s="62" t="s">
        <v>6680</v>
      </c>
    </row>
    <row r="130" spans="1:18" customFormat="1">
      <c r="A130" s="94"/>
      <c r="B130" s="70" t="s">
        <v>6558</v>
      </c>
      <c r="C130" s="62" t="s">
        <v>494</v>
      </c>
      <c r="E130" s="62" t="s">
        <v>476</v>
      </c>
      <c r="K130">
        <v>4</v>
      </c>
      <c r="L130">
        <v>6</v>
      </c>
    </row>
    <row r="131" spans="1:18" customFormat="1">
      <c r="A131" s="94"/>
      <c r="B131" s="70" t="s">
        <v>6559</v>
      </c>
      <c r="C131" s="62" t="s">
        <v>494</v>
      </c>
      <c r="H131" s="62" t="s">
        <v>6243</v>
      </c>
      <c r="K131">
        <v>5</v>
      </c>
      <c r="L131">
        <v>6</v>
      </c>
    </row>
    <row r="132" spans="1:18" customFormat="1">
      <c r="B132" s="62" t="s">
        <v>6656</v>
      </c>
      <c r="C132" s="62" t="s">
        <v>494</v>
      </c>
      <c r="H132" s="62"/>
      <c r="K132">
        <v>6</v>
      </c>
      <c r="M132">
        <v>2</v>
      </c>
    </row>
    <row r="133" spans="1:18" customFormat="1">
      <c r="B133" s="62" t="s">
        <v>6657</v>
      </c>
      <c r="C133" s="62" t="s">
        <v>494</v>
      </c>
      <c r="H133" s="62"/>
      <c r="K133">
        <v>7</v>
      </c>
      <c r="M133">
        <v>2</v>
      </c>
    </row>
    <row r="134" spans="1:18" customFormat="1">
      <c r="B134" s="62" t="s">
        <v>6658</v>
      </c>
      <c r="C134" s="62" t="s">
        <v>494</v>
      </c>
      <c r="H134" s="62"/>
      <c r="K134">
        <v>8</v>
      </c>
      <c r="M134">
        <v>1</v>
      </c>
    </row>
    <row r="135" spans="1:18" customFormat="1">
      <c r="B135" s="62" t="s">
        <v>6560</v>
      </c>
      <c r="C135" s="62" t="s">
        <v>494</v>
      </c>
      <c r="K135">
        <v>9</v>
      </c>
      <c r="L135">
        <v>7</v>
      </c>
      <c r="M135">
        <v>1</v>
      </c>
    </row>
    <row r="136" spans="1:18" customFormat="1">
      <c r="B136" s="62" t="s">
        <v>6561</v>
      </c>
      <c r="C136" s="62" t="s">
        <v>494</v>
      </c>
      <c r="H136" s="62"/>
      <c r="K136">
        <v>10</v>
      </c>
      <c r="M136">
        <v>73</v>
      </c>
    </row>
    <row r="137" spans="1:18" customFormat="1">
      <c r="B137" s="62" t="s">
        <v>6562</v>
      </c>
      <c r="C137" s="62" t="s">
        <v>494</v>
      </c>
      <c r="K137">
        <v>11</v>
      </c>
      <c r="M137">
        <v>74</v>
      </c>
    </row>
    <row r="138" spans="1:18" customFormat="1">
      <c r="B138" s="62" t="s">
        <v>6563</v>
      </c>
      <c r="C138" s="62" t="s">
        <v>494</v>
      </c>
      <c r="K138">
        <v>12</v>
      </c>
      <c r="L138">
        <v>3</v>
      </c>
      <c r="M138">
        <v>1</v>
      </c>
      <c r="N138" s="62" t="s">
        <v>6473</v>
      </c>
      <c r="O138" s="62" t="s">
        <v>6474</v>
      </c>
      <c r="P138" s="62" t="s">
        <v>6475</v>
      </c>
    </row>
    <row r="139" spans="1:18" customFormat="1">
      <c r="B139" s="62" t="s">
        <v>6564</v>
      </c>
      <c r="C139" s="62" t="s">
        <v>494</v>
      </c>
      <c r="K139">
        <v>13</v>
      </c>
      <c r="L139">
        <v>3</v>
      </c>
      <c r="M139">
        <v>1</v>
      </c>
      <c r="N139" s="10" t="s">
        <v>435</v>
      </c>
      <c r="O139" s="10" t="s">
        <v>437</v>
      </c>
      <c r="P139" s="10" t="s">
        <v>439</v>
      </c>
    </row>
    <row r="140" spans="1:18" customFormat="1">
      <c r="B140" s="125" t="s">
        <v>6567</v>
      </c>
      <c r="C140" s="125" t="s">
        <v>494</v>
      </c>
      <c r="K140">
        <v>14</v>
      </c>
      <c r="L140">
        <v>3</v>
      </c>
      <c r="N140" t="s">
        <v>6498</v>
      </c>
      <c r="O140" t="s">
        <v>6501</v>
      </c>
      <c r="P140" t="s">
        <v>6502</v>
      </c>
    </row>
    <row r="141" spans="1:18" customFormat="1">
      <c r="B141" s="62" t="s">
        <v>6565</v>
      </c>
      <c r="C141" s="62" t="s">
        <v>494</v>
      </c>
      <c r="K141">
        <v>15</v>
      </c>
      <c r="L141">
        <v>3</v>
      </c>
      <c r="M141">
        <v>31</v>
      </c>
      <c r="N141" t="s">
        <v>6508</v>
      </c>
      <c r="O141" t="s">
        <v>6512</v>
      </c>
      <c r="P141" t="s">
        <v>6514</v>
      </c>
      <c r="Q141" t="s">
        <v>6509</v>
      </c>
      <c r="R141">
        <v>14</v>
      </c>
    </row>
    <row r="142" spans="1:18" customFormat="1">
      <c r="B142" s="62" t="s">
        <v>6566</v>
      </c>
      <c r="C142" s="62" t="s">
        <v>494</v>
      </c>
      <c r="K142">
        <v>16</v>
      </c>
      <c r="L142">
        <v>3</v>
      </c>
      <c r="M142">
        <v>2</v>
      </c>
      <c r="N142" t="s">
        <v>6508</v>
      </c>
      <c r="O142" t="s">
        <v>6512</v>
      </c>
      <c r="P142" t="s">
        <v>6514</v>
      </c>
    </row>
    <row r="143" spans="1:18" customFormat="1">
      <c r="B143" s="125" t="s">
        <v>6568</v>
      </c>
      <c r="C143" s="125" t="s">
        <v>494</v>
      </c>
      <c r="K143">
        <v>17</v>
      </c>
      <c r="L143">
        <v>3</v>
      </c>
      <c r="M143">
        <v>2</v>
      </c>
      <c r="N143" t="s">
        <v>6498</v>
      </c>
      <c r="O143" t="s">
        <v>6501</v>
      </c>
      <c r="P143" t="s">
        <v>6502</v>
      </c>
    </row>
    <row r="144" spans="1:18" customFormat="1">
      <c r="B144" s="62" t="s">
        <v>6569</v>
      </c>
      <c r="C144" s="62" t="s">
        <v>494</v>
      </c>
      <c r="K144">
        <v>18</v>
      </c>
      <c r="L144">
        <v>8</v>
      </c>
      <c r="M144">
        <v>1</v>
      </c>
    </row>
    <row r="145" spans="1:18" customFormat="1">
      <c r="B145" s="62" t="s">
        <v>6570</v>
      </c>
      <c r="C145" s="62" t="s">
        <v>494</v>
      </c>
      <c r="K145">
        <v>19</v>
      </c>
      <c r="L145">
        <v>8</v>
      </c>
      <c r="M145">
        <v>3</v>
      </c>
    </row>
    <row r="146" spans="1:18" customFormat="1">
      <c r="B146" s="62" t="s">
        <v>6571</v>
      </c>
      <c r="C146" s="62" t="s">
        <v>494</v>
      </c>
      <c r="K146">
        <v>20</v>
      </c>
      <c r="L146" s="80">
        <v>3</v>
      </c>
      <c r="M146" s="10"/>
      <c r="N146" s="62" t="s">
        <v>2482</v>
      </c>
      <c r="O146" s="64" t="s">
        <v>2484</v>
      </c>
      <c r="P146" s="64" t="s">
        <v>2486</v>
      </c>
    </row>
    <row r="147" spans="1:18" customFormat="1">
      <c r="B147" s="62" t="s">
        <v>6572</v>
      </c>
      <c r="C147" s="62" t="s">
        <v>494</v>
      </c>
      <c r="K147">
        <v>21</v>
      </c>
      <c r="L147" s="80">
        <v>3</v>
      </c>
      <c r="M147" s="10"/>
      <c r="N147" t="s">
        <v>6476</v>
      </c>
      <c r="O147" s="62" t="s">
        <v>6477</v>
      </c>
      <c r="P147" s="62" t="s">
        <v>6478</v>
      </c>
    </row>
    <row r="148" spans="1:18" customFormat="1">
      <c r="B148" s="62" t="s">
        <v>6573</v>
      </c>
      <c r="C148" s="62" t="s">
        <v>493</v>
      </c>
      <c r="D148">
        <v>50</v>
      </c>
      <c r="K148">
        <v>22</v>
      </c>
      <c r="L148" s="80"/>
      <c r="M148" s="10"/>
      <c r="O148" s="62"/>
      <c r="P148" s="62"/>
    </row>
    <row r="149" spans="1:18" customFormat="1">
      <c r="B149" s="62" t="s">
        <v>6574</v>
      </c>
      <c r="C149" s="62" t="s">
        <v>493</v>
      </c>
      <c r="D149">
        <v>100</v>
      </c>
      <c r="K149">
        <v>23</v>
      </c>
      <c r="L149" s="80"/>
      <c r="M149" s="10"/>
      <c r="O149" s="62"/>
      <c r="P149" s="62"/>
    </row>
    <row r="150" spans="1:18" customFormat="1">
      <c r="B150" s="62" t="s">
        <v>6665</v>
      </c>
      <c r="C150" s="62" t="s">
        <v>494</v>
      </c>
      <c r="K150">
        <v>24</v>
      </c>
      <c r="L150" s="80">
        <v>3</v>
      </c>
      <c r="M150" s="10">
        <v>3</v>
      </c>
      <c r="O150" s="62"/>
      <c r="P150" s="62"/>
    </row>
    <row r="151" spans="1:18" customFormat="1">
      <c r="B151" s="62" t="s">
        <v>6666</v>
      </c>
      <c r="C151" s="62" t="s">
        <v>702</v>
      </c>
      <c r="K151">
        <v>25</v>
      </c>
      <c r="L151" s="80"/>
      <c r="M151" s="10">
        <v>3</v>
      </c>
      <c r="O151" s="62"/>
      <c r="P151" s="62"/>
    </row>
    <row r="152" spans="1:18" customFormat="1">
      <c r="B152" s="62" t="s">
        <v>6667</v>
      </c>
      <c r="C152" s="62" t="s">
        <v>493</v>
      </c>
      <c r="D152">
        <v>50</v>
      </c>
      <c r="K152">
        <v>26</v>
      </c>
      <c r="L152" s="80"/>
      <c r="M152" s="10">
        <v>2</v>
      </c>
      <c r="O152" s="62"/>
      <c r="P152" s="62"/>
    </row>
    <row r="153" spans="1:18">
      <c r="A153" s="10"/>
      <c r="B153" s="64" t="s">
        <v>6575</v>
      </c>
      <c r="C153" s="10" t="s">
        <v>494</v>
      </c>
      <c r="D153" s="10"/>
      <c r="E153" s="10"/>
      <c r="F153" s="10"/>
      <c r="G153" s="10"/>
      <c r="H153" s="10"/>
      <c r="I153" s="10"/>
      <c r="J153" s="10"/>
      <c r="K153">
        <v>27</v>
      </c>
      <c r="L153" s="31">
        <v>3</v>
      </c>
      <c r="M153" s="64">
        <v>2</v>
      </c>
      <c r="N153" s="10" t="s">
        <v>443</v>
      </c>
      <c r="O153" s="10" t="s">
        <v>444</v>
      </c>
      <c r="P153" s="10" t="s">
        <v>445</v>
      </c>
      <c r="Q153" s="10"/>
      <c r="R153" s="10"/>
    </row>
    <row r="154" spans="1:18">
      <c r="A154" s="10"/>
      <c r="B154" s="64" t="s">
        <v>6576</v>
      </c>
      <c r="C154" s="64" t="s">
        <v>494</v>
      </c>
      <c r="D154" s="10"/>
      <c r="E154" s="10"/>
      <c r="F154" s="10"/>
      <c r="G154" s="10"/>
      <c r="H154" s="10"/>
      <c r="I154" s="10"/>
      <c r="J154" s="10"/>
      <c r="K154">
        <v>28</v>
      </c>
      <c r="L154" s="80">
        <v>3</v>
      </c>
      <c r="M154" s="14">
        <v>2</v>
      </c>
      <c r="N154" s="62" t="s">
        <v>693</v>
      </c>
      <c r="O154" s="1" t="s">
        <v>695</v>
      </c>
      <c r="P154" s="1" t="s">
        <v>696</v>
      </c>
      <c r="Q154" s="62"/>
      <c r="R154" s="14"/>
    </row>
    <row r="155" spans="1:18">
      <c r="A155" s="10"/>
      <c r="B155" s="64" t="s">
        <v>6577</v>
      </c>
      <c r="C155" s="10" t="s">
        <v>494</v>
      </c>
      <c r="D155" s="10"/>
      <c r="E155" s="10"/>
      <c r="F155" s="10"/>
      <c r="G155" s="10"/>
      <c r="H155" s="10"/>
      <c r="I155" s="10"/>
      <c r="J155" s="10"/>
      <c r="K155">
        <v>29</v>
      </c>
      <c r="L155" s="31">
        <v>3</v>
      </c>
      <c r="M155" s="14">
        <v>2</v>
      </c>
      <c r="N155" s="1" t="s">
        <v>379</v>
      </c>
      <c r="O155" s="62" t="s">
        <v>698</v>
      </c>
      <c r="P155" s="62" t="s">
        <v>699</v>
      </c>
      <c r="Q155" s="62" t="s">
        <v>383</v>
      </c>
      <c r="R155" s="14">
        <v>21</v>
      </c>
    </row>
    <row r="156" spans="1:18" customFormat="1">
      <c r="B156" s="62" t="s">
        <v>6578</v>
      </c>
      <c r="C156" s="62" t="s">
        <v>493</v>
      </c>
      <c r="D156">
        <v>10</v>
      </c>
      <c r="H156" s="62" t="s">
        <v>6246</v>
      </c>
      <c r="K156">
        <v>30</v>
      </c>
      <c r="M156" s="64">
        <v>1</v>
      </c>
    </row>
    <row r="157" spans="1:18" customFormat="1">
      <c r="B157" s="62" t="s">
        <v>6579</v>
      </c>
      <c r="C157" s="62" t="s">
        <v>520</v>
      </c>
      <c r="H157" s="62"/>
      <c r="K157">
        <v>31</v>
      </c>
    </row>
    <row r="158" spans="1:18" customFormat="1">
      <c r="B158" s="62" t="s">
        <v>6580</v>
      </c>
      <c r="C158" s="62" t="s">
        <v>520</v>
      </c>
      <c r="H158" s="62"/>
      <c r="K158">
        <v>32</v>
      </c>
      <c r="M158">
        <v>2</v>
      </c>
    </row>
    <row r="159" spans="1:18" customFormat="1">
      <c r="B159" s="118" t="s">
        <v>6584</v>
      </c>
      <c r="C159" s="121" t="s">
        <v>494</v>
      </c>
      <c r="K159">
        <v>33</v>
      </c>
      <c r="L159">
        <v>8</v>
      </c>
    </row>
    <row r="160" spans="1:18" customFormat="1">
      <c r="B160" s="118" t="s">
        <v>6585</v>
      </c>
      <c r="C160" s="121" t="s">
        <v>494</v>
      </c>
      <c r="K160">
        <v>34</v>
      </c>
      <c r="L160">
        <v>3</v>
      </c>
      <c r="M160">
        <v>2</v>
      </c>
      <c r="N160" s="1" t="s">
        <v>3664</v>
      </c>
      <c r="O160" s="23" t="s">
        <v>3666</v>
      </c>
      <c r="P160" s="23" t="s">
        <v>3667</v>
      </c>
      <c r="Q160" s="10"/>
    </row>
    <row r="161" spans="1:18" customFormat="1">
      <c r="B161" s="118" t="s">
        <v>6586</v>
      </c>
      <c r="C161" s="121" t="s">
        <v>494</v>
      </c>
      <c r="K161">
        <v>35</v>
      </c>
      <c r="L161">
        <v>3</v>
      </c>
      <c r="M161">
        <v>2</v>
      </c>
      <c r="N161" s="64" t="s">
        <v>3655</v>
      </c>
      <c r="O161" s="66" t="s">
        <v>3648</v>
      </c>
      <c r="P161" s="66" t="s">
        <v>3657</v>
      </c>
      <c r="Q161" s="64" t="s">
        <v>3658</v>
      </c>
      <c r="R161">
        <v>30</v>
      </c>
    </row>
    <row r="162" spans="1:18" customFormat="1">
      <c r="B162" s="118" t="s">
        <v>6660</v>
      </c>
      <c r="C162" s="121" t="s">
        <v>494</v>
      </c>
      <c r="K162">
        <v>36</v>
      </c>
      <c r="L162">
        <v>3</v>
      </c>
      <c r="M162">
        <v>2</v>
      </c>
      <c r="N162" s="10" t="s">
        <v>506</v>
      </c>
      <c r="O162" s="10" t="s">
        <v>514</v>
      </c>
      <c r="P162" s="1" t="s">
        <v>515</v>
      </c>
      <c r="Q162" s="64"/>
    </row>
    <row r="163" spans="1:18" customFormat="1">
      <c r="B163" s="118" t="s">
        <v>6661</v>
      </c>
      <c r="C163" s="121" t="s">
        <v>494</v>
      </c>
      <c r="K163">
        <v>37</v>
      </c>
      <c r="L163">
        <v>3</v>
      </c>
      <c r="M163">
        <v>2</v>
      </c>
      <c r="N163" s="62" t="s">
        <v>1038</v>
      </c>
      <c r="O163" s="23" t="s">
        <v>1040</v>
      </c>
      <c r="P163" s="23" t="s">
        <v>1041</v>
      </c>
      <c r="Q163" s="64"/>
    </row>
    <row r="164" spans="1:18" customFormat="1">
      <c r="B164" s="118" t="s">
        <v>6664</v>
      </c>
      <c r="C164" s="121" t="s">
        <v>494</v>
      </c>
      <c r="K164">
        <v>38</v>
      </c>
      <c r="L164">
        <v>3</v>
      </c>
      <c r="M164">
        <v>2</v>
      </c>
      <c r="N164" s="64" t="s">
        <v>3311</v>
      </c>
      <c r="O164" s="62" t="s">
        <v>3316</v>
      </c>
      <c r="P164" s="66" t="s">
        <v>3315</v>
      </c>
      <c r="Q164" s="64"/>
    </row>
    <row r="165" spans="1:18" customFormat="1">
      <c r="B165" s="118" t="s">
        <v>6587</v>
      </c>
      <c r="C165" s="121" t="s">
        <v>494</v>
      </c>
      <c r="K165">
        <v>39</v>
      </c>
      <c r="M165">
        <v>2</v>
      </c>
    </row>
    <row r="166" spans="1:18" customFormat="1">
      <c r="B166" s="118" t="s">
        <v>6588</v>
      </c>
      <c r="C166" s="121" t="s">
        <v>494</v>
      </c>
      <c r="K166">
        <v>40</v>
      </c>
      <c r="M166">
        <v>2</v>
      </c>
    </row>
    <row r="167" spans="1:18" customFormat="1">
      <c r="B167" s="118" t="s">
        <v>6589</v>
      </c>
      <c r="C167" s="121" t="s">
        <v>494</v>
      </c>
      <c r="K167">
        <v>41</v>
      </c>
      <c r="L167">
        <v>7</v>
      </c>
      <c r="M167">
        <v>2</v>
      </c>
    </row>
    <row r="168" spans="1:18" customFormat="1">
      <c r="B168" s="118" t="s">
        <v>6590</v>
      </c>
      <c r="C168" s="121" t="s">
        <v>520</v>
      </c>
      <c r="K168">
        <v>42</v>
      </c>
      <c r="M168">
        <v>2</v>
      </c>
    </row>
    <row r="169" spans="1:18" customFormat="1">
      <c r="B169" s="123" t="s">
        <v>6598</v>
      </c>
      <c r="C169" s="124" t="s">
        <v>494</v>
      </c>
      <c r="K169">
        <v>43</v>
      </c>
      <c r="M169">
        <v>3</v>
      </c>
    </row>
    <row r="170" spans="1:18" customFormat="1">
      <c r="B170" s="123" t="s">
        <v>6599</v>
      </c>
      <c r="C170" s="124" t="s">
        <v>494</v>
      </c>
      <c r="K170">
        <v>44</v>
      </c>
      <c r="M170">
        <v>3</v>
      </c>
    </row>
    <row r="171" spans="1:18" customFormat="1">
      <c r="B171" s="123" t="s">
        <v>6668</v>
      </c>
      <c r="C171" s="123" t="s">
        <v>494</v>
      </c>
      <c r="K171">
        <v>45</v>
      </c>
      <c r="M171">
        <v>3</v>
      </c>
    </row>
    <row r="172" spans="1:18" customFormat="1">
      <c r="B172" s="64"/>
      <c r="C172" s="7"/>
    </row>
    <row r="173" spans="1:18" customFormat="1">
      <c r="A173" s="122" t="s">
        <v>6600</v>
      </c>
      <c r="B173" s="64" t="s">
        <v>6601</v>
      </c>
      <c r="C173" s="7" t="s">
        <v>494</v>
      </c>
      <c r="E173" t="s">
        <v>476</v>
      </c>
      <c r="F173">
        <v>30</v>
      </c>
      <c r="G173">
        <v>3006</v>
      </c>
      <c r="H173" t="s">
        <v>521</v>
      </c>
      <c r="J173">
        <v>3001</v>
      </c>
      <c r="K173">
        <v>1</v>
      </c>
      <c r="L173">
        <v>52</v>
      </c>
      <c r="N173">
        <v>3005</v>
      </c>
      <c r="O173" s="62" t="s">
        <v>6559</v>
      </c>
    </row>
    <row r="174" spans="1:18" customFormat="1">
      <c r="B174" s="64" t="s">
        <v>6602</v>
      </c>
      <c r="C174" s="7" t="s">
        <v>494</v>
      </c>
      <c r="E174" t="s">
        <v>476</v>
      </c>
      <c r="K174">
        <v>2</v>
      </c>
      <c r="L174">
        <v>6</v>
      </c>
    </row>
    <row r="175" spans="1:18" customFormat="1">
      <c r="B175" s="64" t="s">
        <v>6603</v>
      </c>
      <c r="C175" s="7" t="s">
        <v>494</v>
      </c>
      <c r="K175">
        <v>3</v>
      </c>
      <c r="L175">
        <v>6</v>
      </c>
    </row>
    <row r="176" spans="1:18" customFormat="1">
      <c r="B176" s="64" t="s">
        <v>6604</v>
      </c>
      <c r="C176" s="7" t="s">
        <v>520</v>
      </c>
      <c r="K176">
        <v>4</v>
      </c>
    </row>
    <row r="177" spans="1:16" customFormat="1">
      <c r="B177" s="64" t="s">
        <v>6605</v>
      </c>
      <c r="C177" s="7" t="s">
        <v>493</v>
      </c>
      <c r="D177">
        <v>1</v>
      </c>
      <c r="K177">
        <v>5</v>
      </c>
      <c r="L177">
        <v>3</v>
      </c>
    </row>
    <row r="178" spans="1:16" customFormat="1">
      <c r="B178" s="64" t="s">
        <v>6606</v>
      </c>
      <c r="C178" s="7" t="s">
        <v>493</v>
      </c>
      <c r="D178">
        <v>1</v>
      </c>
      <c r="K178">
        <v>6</v>
      </c>
      <c r="L178">
        <v>3</v>
      </c>
    </row>
    <row r="179" spans="1:16" customFormat="1">
      <c r="B179" s="64" t="s">
        <v>6607</v>
      </c>
      <c r="C179" s="7" t="s">
        <v>494</v>
      </c>
      <c r="K179">
        <v>7</v>
      </c>
      <c r="L179">
        <v>91</v>
      </c>
    </row>
    <row r="180" spans="1:16" customFormat="1">
      <c r="B180" s="64" t="s">
        <v>6608</v>
      </c>
      <c r="C180" s="7" t="s">
        <v>494</v>
      </c>
      <c r="K180">
        <v>8</v>
      </c>
      <c r="L180">
        <v>92</v>
      </c>
    </row>
    <row r="181" spans="1:16" customFormat="1">
      <c r="B181" s="64" t="s">
        <v>6609</v>
      </c>
      <c r="C181" s="7" t="s">
        <v>494</v>
      </c>
      <c r="K181">
        <v>9</v>
      </c>
      <c r="L181">
        <v>8</v>
      </c>
    </row>
    <row r="182" spans="1:16" customFormat="1">
      <c r="B182" s="64" t="s">
        <v>6610</v>
      </c>
      <c r="C182" s="7" t="s">
        <v>494</v>
      </c>
      <c r="K182">
        <v>10</v>
      </c>
      <c r="L182">
        <v>7</v>
      </c>
    </row>
    <row r="183" spans="1:16" customFormat="1">
      <c r="B183" s="64" t="s">
        <v>6611</v>
      </c>
      <c r="C183" s="7" t="s">
        <v>494</v>
      </c>
      <c r="K183">
        <v>11</v>
      </c>
      <c r="M183">
        <v>73</v>
      </c>
    </row>
    <row r="184" spans="1:16" customFormat="1">
      <c r="B184" s="64" t="s">
        <v>6612</v>
      </c>
      <c r="C184" s="7" t="s">
        <v>494</v>
      </c>
      <c r="K184">
        <v>12</v>
      </c>
      <c r="M184">
        <v>74</v>
      </c>
    </row>
    <row r="185" spans="1:16" customFormat="1">
      <c r="B185" s="64"/>
      <c r="C185" s="7"/>
    </row>
    <row r="186" spans="1:16" customFormat="1">
      <c r="A186" s="122" t="s">
        <v>6613</v>
      </c>
      <c r="B186" s="64" t="s">
        <v>6614</v>
      </c>
      <c r="C186" s="7" t="s">
        <v>494</v>
      </c>
      <c r="E186" t="s">
        <v>476</v>
      </c>
      <c r="F186">
        <v>30</v>
      </c>
      <c r="G186">
        <v>3007</v>
      </c>
      <c r="H186" t="s">
        <v>111</v>
      </c>
      <c r="J186">
        <v>3001</v>
      </c>
      <c r="K186">
        <v>1</v>
      </c>
      <c r="L186">
        <v>52</v>
      </c>
      <c r="N186">
        <v>3005</v>
      </c>
      <c r="O186" s="62" t="s">
        <v>6559</v>
      </c>
    </row>
    <row r="187" spans="1:16" customFormat="1">
      <c r="B187" s="64" t="s">
        <v>6615</v>
      </c>
      <c r="C187" s="7" t="s">
        <v>494</v>
      </c>
      <c r="E187" t="s">
        <v>476</v>
      </c>
      <c r="K187">
        <v>2</v>
      </c>
      <c r="L187">
        <v>6</v>
      </c>
    </row>
    <row r="188" spans="1:16" customFormat="1">
      <c r="B188" s="64" t="s">
        <v>6616</v>
      </c>
      <c r="C188" s="7" t="s">
        <v>494</v>
      </c>
      <c r="K188">
        <v>3</v>
      </c>
      <c r="L188">
        <v>6</v>
      </c>
    </row>
    <row r="189" spans="1:16" customFormat="1">
      <c r="B189" s="64" t="s">
        <v>6617</v>
      </c>
      <c r="C189" s="7" t="s">
        <v>494</v>
      </c>
      <c r="K189">
        <v>4</v>
      </c>
      <c r="L189">
        <v>3</v>
      </c>
      <c r="N189" t="s">
        <v>6542</v>
      </c>
      <c r="O189" t="s">
        <v>6545</v>
      </c>
      <c r="P189" t="s">
        <v>6549</v>
      </c>
    </row>
    <row r="190" spans="1:16" customFormat="1">
      <c r="B190" s="64" t="s">
        <v>6618</v>
      </c>
      <c r="C190" s="7" t="s">
        <v>493</v>
      </c>
      <c r="D190">
        <v>100</v>
      </c>
      <c r="K190">
        <v>5</v>
      </c>
    </row>
    <row r="191" spans="1:16" customFormat="1">
      <c r="B191" s="64" t="s">
        <v>6619</v>
      </c>
      <c r="C191" s="7" t="s">
        <v>494</v>
      </c>
      <c r="K191">
        <v>6</v>
      </c>
      <c r="L191">
        <v>91</v>
      </c>
    </row>
    <row r="192" spans="1:16" customFormat="1">
      <c r="B192" s="64" t="s">
        <v>6620</v>
      </c>
      <c r="C192" s="7" t="s">
        <v>494</v>
      </c>
      <c r="K192">
        <v>7</v>
      </c>
      <c r="L192">
        <v>92</v>
      </c>
    </row>
    <row r="193" spans="1:18" customFormat="1">
      <c r="B193" s="64" t="s">
        <v>6621</v>
      </c>
      <c r="C193" s="7" t="s">
        <v>494</v>
      </c>
      <c r="K193">
        <v>8</v>
      </c>
      <c r="L193">
        <v>8</v>
      </c>
    </row>
    <row r="194" spans="1:18" customFormat="1">
      <c r="B194" s="64" t="s">
        <v>6622</v>
      </c>
      <c r="C194" s="7" t="s">
        <v>494</v>
      </c>
      <c r="K194">
        <v>9</v>
      </c>
      <c r="L194">
        <v>7</v>
      </c>
    </row>
    <row r="195" spans="1:18" customFormat="1">
      <c r="B195" s="64" t="s">
        <v>6623</v>
      </c>
      <c r="C195" s="7" t="s">
        <v>494</v>
      </c>
      <c r="K195">
        <v>10</v>
      </c>
      <c r="M195">
        <v>73</v>
      </c>
    </row>
    <row r="196" spans="1:18" customFormat="1">
      <c r="B196" s="64" t="s">
        <v>6624</v>
      </c>
      <c r="C196" s="7" t="s">
        <v>494</v>
      </c>
      <c r="K196">
        <v>11</v>
      </c>
      <c r="M196">
        <v>74</v>
      </c>
    </row>
    <row r="197" spans="1:18" customFormat="1">
      <c r="B197" s="64" t="s">
        <v>6625</v>
      </c>
      <c r="C197" s="7" t="s">
        <v>494</v>
      </c>
      <c r="K197">
        <v>12</v>
      </c>
      <c r="L197">
        <v>3</v>
      </c>
      <c r="M197">
        <v>1</v>
      </c>
      <c r="N197" t="s">
        <v>6470</v>
      </c>
      <c r="O197" t="s">
        <v>6471</v>
      </c>
      <c r="P197" s="62" t="s">
        <v>6472</v>
      </c>
    </row>
    <row r="198" spans="1:18" customFormat="1">
      <c r="B198" s="64" t="s">
        <v>6626</v>
      </c>
      <c r="C198" s="7" t="s">
        <v>494</v>
      </c>
      <c r="K198">
        <v>13</v>
      </c>
      <c r="L198">
        <v>8</v>
      </c>
    </row>
    <row r="199" spans="1:18" customFormat="1">
      <c r="B199" s="64" t="s">
        <v>6627</v>
      </c>
      <c r="C199" s="7" t="s">
        <v>494</v>
      </c>
      <c r="K199">
        <v>14</v>
      </c>
      <c r="L199">
        <v>7</v>
      </c>
    </row>
    <row r="200" spans="1:18" customFormat="1">
      <c r="B200" s="64" t="s">
        <v>6628</v>
      </c>
      <c r="C200" s="7" t="s">
        <v>494</v>
      </c>
      <c r="K200">
        <v>15</v>
      </c>
      <c r="M200">
        <v>73</v>
      </c>
    </row>
    <row r="201" spans="1:18" customFormat="1">
      <c r="B201" s="64" t="s">
        <v>6629</v>
      </c>
      <c r="C201" s="7" t="s">
        <v>494</v>
      </c>
      <c r="K201">
        <v>16</v>
      </c>
      <c r="M201">
        <v>74</v>
      </c>
    </row>
    <row r="202" spans="1:18" customFormat="1">
      <c r="B202" s="64"/>
      <c r="C202" s="7"/>
    </row>
    <row r="203" spans="1:18">
      <c r="A203" s="64"/>
      <c r="B203" s="64"/>
      <c r="C203" s="10"/>
      <c r="D203" s="10"/>
      <c r="E203" s="10"/>
      <c r="F203" s="10"/>
      <c r="G203" s="10"/>
      <c r="H203" s="10"/>
      <c r="I203" s="10"/>
      <c r="J203" s="10"/>
      <c r="K203" s="16"/>
      <c r="L203" s="31"/>
      <c r="M203" s="10"/>
      <c r="N203"/>
      <c r="O203"/>
      <c r="P203"/>
      <c r="Q203" s="10"/>
      <c r="R203" s="10"/>
    </row>
    <row r="204" spans="1:18">
      <c r="A204" s="64"/>
      <c r="B204" s="64"/>
      <c r="C204" s="10"/>
      <c r="D204" s="10"/>
      <c r="E204" s="10"/>
      <c r="F204" s="10"/>
      <c r="G204" s="10"/>
      <c r="H204" s="10"/>
      <c r="I204" s="10"/>
      <c r="J204" s="10"/>
      <c r="K204" s="16"/>
      <c r="L204" s="31"/>
      <c r="M204" s="10"/>
      <c r="N204"/>
      <c r="O204"/>
      <c r="P204"/>
      <c r="Q204" s="10"/>
      <c r="R204" s="10"/>
    </row>
    <row r="205" spans="1:18">
      <c r="A205" s="62" t="s">
        <v>1038</v>
      </c>
      <c r="B205" s="60" t="s">
        <v>5303</v>
      </c>
      <c r="C205" s="1" t="s">
        <v>494</v>
      </c>
      <c r="E205" s="1" t="s">
        <v>476</v>
      </c>
      <c r="F205" s="14">
        <v>22</v>
      </c>
      <c r="G205" s="14">
        <v>140</v>
      </c>
      <c r="H205" s="14" t="s">
        <v>1042</v>
      </c>
      <c r="I205" s="11" t="s">
        <v>1043</v>
      </c>
      <c r="J205" s="14">
        <v>1</v>
      </c>
      <c r="K205" s="16">
        <v>1</v>
      </c>
      <c r="L205" s="15">
        <v>3</v>
      </c>
      <c r="M205" s="14"/>
      <c r="P205" s="14"/>
      <c r="Q205" s="14"/>
      <c r="R205" s="14"/>
    </row>
    <row r="206" spans="1:18">
      <c r="A206" s="60"/>
      <c r="B206" s="60" t="s">
        <v>1039</v>
      </c>
      <c r="C206" s="62" t="s">
        <v>494</v>
      </c>
      <c r="E206" s="62" t="s">
        <v>476</v>
      </c>
      <c r="F206" s="14"/>
      <c r="G206" s="14"/>
      <c r="H206" s="14"/>
      <c r="I206" s="11"/>
      <c r="J206" s="14"/>
      <c r="K206" s="16">
        <v>2</v>
      </c>
      <c r="L206" s="15">
        <v>6</v>
      </c>
      <c r="M206" s="14"/>
      <c r="P206" s="14"/>
      <c r="Q206" s="14"/>
      <c r="R206" s="14"/>
    </row>
    <row r="207" spans="1:18">
      <c r="B207" s="60" t="s">
        <v>1040</v>
      </c>
      <c r="C207" s="1" t="s">
        <v>494</v>
      </c>
      <c r="F207" s="14"/>
      <c r="G207" s="14"/>
      <c r="H207" s="14"/>
      <c r="I207" s="11"/>
      <c r="J207" s="14"/>
      <c r="K207" s="16">
        <v>3</v>
      </c>
      <c r="L207" s="15">
        <v>6</v>
      </c>
      <c r="M207" s="14"/>
      <c r="N207" s="23"/>
      <c r="O207" s="14"/>
      <c r="P207" s="14"/>
      <c r="Q207" s="14"/>
      <c r="R207" s="14"/>
    </row>
    <row r="208" spans="1:18">
      <c r="B208" s="60" t="s">
        <v>5302</v>
      </c>
      <c r="C208" s="62" t="s">
        <v>493</v>
      </c>
      <c r="D208" s="1">
        <v>50</v>
      </c>
      <c r="F208" s="14"/>
      <c r="G208" s="14"/>
      <c r="H208" s="14"/>
      <c r="I208" s="11"/>
      <c r="J208" s="14"/>
      <c r="K208" s="16">
        <v>4</v>
      </c>
      <c r="L208" s="15"/>
      <c r="M208" s="14">
        <v>1</v>
      </c>
      <c r="N208" s="23"/>
      <c r="O208" s="14"/>
      <c r="P208" s="14"/>
      <c r="Q208" s="14"/>
      <c r="R208" s="14"/>
    </row>
    <row r="209" spans="1:18">
      <c r="B209" s="60" t="s">
        <v>1041</v>
      </c>
      <c r="C209" s="1" t="s">
        <v>493</v>
      </c>
      <c r="D209" s="1">
        <v>255</v>
      </c>
      <c r="F209" s="14"/>
      <c r="G209" s="14"/>
      <c r="H209" s="14"/>
      <c r="I209" s="11"/>
      <c r="J209" s="14"/>
      <c r="K209" s="16">
        <v>5</v>
      </c>
      <c r="L209" s="15"/>
      <c r="M209" s="14"/>
      <c r="N209" s="23"/>
      <c r="O209" s="14"/>
      <c r="P209" s="14"/>
      <c r="Q209" s="14"/>
      <c r="R209" s="14"/>
    </row>
    <row r="210" spans="1:18">
      <c r="B210" s="23" t="s">
        <v>1044</v>
      </c>
      <c r="C210" s="1" t="s">
        <v>494</v>
      </c>
      <c r="F210" s="14"/>
      <c r="G210" s="14"/>
      <c r="H210" s="47" t="s">
        <v>5625</v>
      </c>
      <c r="I210" s="11"/>
      <c r="J210" s="14"/>
      <c r="K210" s="16">
        <v>6</v>
      </c>
      <c r="L210" s="15">
        <v>3</v>
      </c>
      <c r="M210" s="14"/>
      <c r="N210" s="1" t="s">
        <v>956</v>
      </c>
      <c r="O210" s="23" t="s">
        <v>957</v>
      </c>
      <c r="P210" s="23" t="s">
        <v>958</v>
      </c>
      <c r="Q210" s="14"/>
      <c r="R210" s="14"/>
    </row>
    <row r="211" spans="1:18">
      <c r="B211" s="23" t="s">
        <v>1045</v>
      </c>
      <c r="C211" s="1" t="s">
        <v>494</v>
      </c>
      <c r="F211" s="14"/>
      <c r="G211" s="14"/>
      <c r="H211" s="47" t="s">
        <v>5624</v>
      </c>
      <c r="I211" s="11"/>
      <c r="J211" s="14"/>
      <c r="K211" s="16">
        <v>7</v>
      </c>
      <c r="L211" s="15"/>
      <c r="M211" s="14"/>
      <c r="N211" s="23"/>
      <c r="O211" s="14"/>
      <c r="P211" s="14"/>
      <c r="Q211" s="14"/>
      <c r="R211" s="14"/>
    </row>
    <row r="212" spans="1:18">
      <c r="B212" s="23" t="s">
        <v>1046</v>
      </c>
      <c r="C212" s="1" t="s">
        <v>494</v>
      </c>
      <c r="F212" s="14"/>
      <c r="G212" s="14"/>
      <c r="H212" s="14"/>
      <c r="I212" s="11"/>
      <c r="J212" s="14"/>
      <c r="K212" s="16">
        <v>8</v>
      </c>
      <c r="L212" s="15"/>
      <c r="M212" s="14"/>
      <c r="N212" s="23"/>
      <c r="P212" s="14"/>
      <c r="Q212" s="14"/>
      <c r="R212" s="14"/>
    </row>
    <row r="213" spans="1:18">
      <c r="B213" s="65" t="s">
        <v>1047</v>
      </c>
      <c r="C213" s="1" t="s">
        <v>494</v>
      </c>
      <c r="F213" s="14"/>
      <c r="G213" s="14"/>
      <c r="H213" s="14"/>
      <c r="I213" s="11"/>
      <c r="J213" s="14"/>
      <c r="K213" s="16">
        <v>9</v>
      </c>
      <c r="L213" s="15">
        <v>3</v>
      </c>
      <c r="M213" s="14"/>
      <c r="N213" s="1" t="s">
        <v>1002</v>
      </c>
      <c r="O213" s="23" t="s">
        <v>1004</v>
      </c>
      <c r="P213" s="23" t="s">
        <v>1023</v>
      </c>
      <c r="Q213" s="14"/>
      <c r="R213" s="14"/>
    </row>
    <row r="214" spans="1:18">
      <c r="B214" s="60" t="s">
        <v>1048</v>
      </c>
      <c r="C214" s="1" t="s">
        <v>494</v>
      </c>
      <c r="F214" s="14"/>
      <c r="G214" s="14"/>
      <c r="H214" s="14"/>
      <c r="I214" s="11"/>
      <c r="J214" s="14"/>
      <c r="K214" s="16">
        <v>10</v>
      </c>
      <c r="L214" s="15">
        <v>3</v>
      </c>
      <c r="M214" s="14"/>
      <c r="N214" s="62" t="s">
        <v>1049</v>
      </c>
      <c r="O214" s="23" t="s">
        <v>1050</v>
      </c>
      <c r="P214" s="23" t="s">
        <v>1051</v>
      </c>
      <c r="Q214" s="14"/>
      <c r="R214" s="14"/>
    </row>
    <row r="215" spans="1:18">
      <c r="B215" s="60" t="s">
        <v>1055</v>
      </c>
      <c r="C215" s="1" t="s">
        <v>494</v>
      </c>
      <c r="F215" s="14"/>
      <c r="G215" s="14"/>
      <c r="H215" s="14"/>
      <c r="I215" s="11"/>
      <c r="J215" s="14"/>
      <c r="K215" s="16">
        <v>11</v>
      </c>
      <c r="L215" s="15">
        <v>3</v>
      </c>
      <c r="M215" s="14"/>
      <c r="N215" s="1" t="s">
        <v>1056</v>
      </c>
      <c r="O215" s="23" t="s">
        <v>1058</v>
      </c>
      <c r="P215" s="23" t="s">
        <v>1059</v>
      </c>
      <c r="Q215" s="14"/>
      <c r="R215" s="14"/>
    </row>
    <row r="216" spans="1:18">
      <c r="B216" s="23" t="s">
        <v>1062</v>
      </c>
      <c r="C216" s="1" t="s">
        <v>494</v>
      </c>
      <c r="F216" s="14"/>
      <c r="G216" s="14"/>
      <c r="H216" s="14"/>
      <c r="I216" s="11"/>
      <c r="J216" s="14"/>
      <c r="K216" s="16">
        <v>12</v>
      </c>
      <c r="L216" s="15">
        <v>3</v>
      </c>
      <c r="M216" s="14"/>
      <c r="N216" s="62" t="s">
        <v>1063</v>
      </c>
      <c r="O216" s="23" t="s">
        <v>1065</v>
      </c>
      <c r="P216" s="29" t="s">
        <v>1066</v>
      </c>
      <c r="Q216" s="14"/>
      <c r="R216" s="14"/>
    </row>
    <row r="217" spans="1:18">
      <c r="B217" s="60" t="s">
        <v>1069</v>
      </c>
      <c r="C217" s="1" t="s">
        <v>494</v>
      </c>
      <c r="F217" s="14"/>
      <c r="G217" s="14"/>
      <c r="H217" s="14"/>
      <c r="I217" s="11"/>
      <c r="J217" s="14"/>
      <c r="K217" s="16">
        <v>13</v>
      </c>
      <c r="L217" s="15"/>
      <c r="M217" s="14"/>
      <c r="O217" s="23"/>
      <c r="P217" s="29"/>
      <c r="Q217" s="14"/>
      <c r="R217" s="14"/>
    </row>
    <row r="218" spans="1:18">
      <c r="B218" s="60" t="s">
        <v>1111</v>
      </c>
      <c r="C218" s="1" t="s">
        <v>494</v>
      </c>
      <c r="F218" s="14"/>
      <c r="G218" s="77"/>
      <c r="H218" s="14"/>
      <c r="I218" s="11"/>
      <c r="J218" s="14"/>
      <c r="K218" s="16">
        <v>14</v>
      </c>
      <c r="L218" s="15">
        <v>3</v>
      </c>
      <c r="M218" s="14">
        <v>31</v>
      </c>
      <c r="N218" s="64" t="s">
        <v>24</v>
      </c>
      <c r="O218" s="10" t="s">
        <v>26</v>
      </c>
      <c r="P218" s="10" t="s">
        <v>27</v>
      </c>
      <c r="Q218" s="1" t="s">
        <v>1114</v>
      </c>
      <c r="R218" s="1">
        <v>9</v>
      </c>
    </row>
    <row r="219" spans="1:18">
      <c r="B219" s="60" t="s">
        <v>716</v>
      </c>
      <c r="C219" s="1" t="s">
        <v>494</v>
      </c>
      <c r="F219" s="14"/>
      <c r="G219" s="14"/>
      <c r="H219" s="14"/>
      <c r="I219" s="11"/>
      <c r="J219" s="14"/>
      <c r="K219" s="16">
        <v>15</v>
      </c>
      <c r="L219" s="15"/>
      <c r="M219" s="14"/>
      <c r="N219" s="10"/>
      <c r="O219" s="10"/>
      <c r="P219" s="10"/>
    </row>
    <row r="220" spans="1:18">
      <c r="A220" s="10"/>
      <c r="B220" s="66" t="s">
        <v>52</v>
      </c>
      <c r="C220" s="1" t="s">
        <v>494</v>
      </c>
      <c r="D220" s="10"/>
      <c r="E220" s="10"/>
      <c r="F220" s="10"/>
      <c r="G220" s="10"/>
      <c r="H220" s="10"/>
      <c r="I220" s="10"/>
      <c r="J220" s="10"/>
      <c r="K220" s="16">
        <v>16</v>
      </c>
      <c r="L220" s="15">
        <v>3</v>
      </c>
      <c r="M220" s="10"/>
      <c r="N220" s="1" t="s">
        <v>3664</v>
      </c>
      <c r="O220" s="23" t="s">
        <v>3666</v>
      </c>
      <c r="P220" s="23" t="s">
        <v>3667</v>
      </c>
      <c r="Q220" s="10"/>
      <c r="R220" s="10"/>
    </row>
    <row r="221" spans="1:18">
      <c r="A221" s="10"/>
      <c r="B221" s="66" t="s">
        <v>53</v>
      </c>
      <c r="C221" s="1" t="s">
        <v>494</v>
      </c>
      <c r="D221" s="10"/>
      <c r="E221" s="10"/>
      <c r="F221" s="10"/>
      <c r="G221" s="10"/>
      <c r="H221" s="10"/>
      <c r="I221" s="10"/>
      <c r="J221" s="10"/>
      <c r="K221" s="16">
        <v>17</v>
      </c>
      <c r="L221" s="15">
        <v>3</v>
      </c>
      <c r="M221" s="10"/>
      <c r="N221" s="64" t="s">
        <v>3655</v>
      </c>
      <c r="O221" s="66" t="s">
        <v>3648</v>
      </c>
      <c r="P221" s="66" t="s">
        <v>3657</v>
      </c>
      <c r="Q221" s="10"/>
      <c r="R221" s="10"/>
    </row>
    <row r="222" spans="1:18">
      <c r="A222" s="10"/>
      <c r="B222" s="29" t="s">
        <v>69</v>
      </c>
      <c r="C222" s="1" t="s">
        <v>494</v>
      </c>
      <c r="D222" s="10"/>
      <c r="E222" s="10"/>
      <c r="F222" s="10"/>
      <c r="G222" s="10"/>
      <c r="H222" s="10"/>
      <c r="I222" s="10"/>
      <c r="J222" s="10"/>
      <c r="K222" s="16">
        <v>18</v>
      </c>
      <c r="L222" s="15"/>
      <c r="M222" s="10"/>
      <c r="N222" s="10"/>
      <c r="O222" s="29"/>
      <c r="P222" s="29"/>
      <c r="Q222" s="10"/>
      <c r="R222" s="10"/>
    </row>
    <row r="223" spans="1:18">
      <c r="B223" s="60" t="s">
        <v>1821</v>
      </c>
      <c r="C223" s="1" t="s">
        <v>494</v>
      </c>
      <c r="F223" s="14"/>
      <c r="G223" s="14"/>
      <c r="H223" s="14"/>
      <c r="I223" s="11"/>
      <c r="J223" s="14"/>
      <c r="K223" s="16">
        <v>19</v>
      </c>
      <c r="L223" s="15">
        <v>3</v>
      </c>
      <c r="M223" s="14">
        <v>31</v>
      </c>
      <c r="N223" s="64" t="s">
        <v>24</v>
      </c>
      <c r="O223" s="64" t="s">
        <v>26</v>
      </c>
      <c r="P223" s="10" t="s">
        <v>27</v>
      </c>
      <c r="Q223" s="1" t="s">
        <v>1114</v>
      </c>
      <c r="R223" s="1">
        <v>9</v>
      </c>
    </row>
    <row r="224" spans="1:18">
      <c r="B224" s="66" t="s">
        <v>2004</v>
      </c>
      <c r="C224" s="62" t="s">
        <v>493</v>
      </c>
      <c r="D224" s="1">
        <v>1</v>
      </c>
      <c r="F224" s="77"/>
      <c r="G224" s="14"/>
      <c r="H224" s="14"/>
      <c r="I224" s="11"/>
      <c r="J224" s="14"/>
      <c r="K224" s="16">
        <v>20</v>
      </c>
      <c r="L224" s="15">
        <v>3</v>
      </c>
      <c r="M224" s="14"/>
      <c r="N224" s="10"/>
      <c r="O224" s="10"/>
      <c r="P224" s="10"/>
    </row>
    <row r="225" spans="1:18">
      <c r="B225" s="66" t="s">
        <v>2011</v>
      </c>
      <c r="C225" s="62" t="s">
        <v>493</v>
      </c>
      <c r="D225" s="1">
        <v>20</v>
      </c>
      <c r="F225" s="77"/>
      <c r="G225" s="14"/>
      <c r="H225" s="14"/>
      <c r="I225" s="11"/>
      <c r="J225" s="14"/>
      <c r="K225" s="16">
        <v>21</v>
      </c>
      <c r="L225" s="15"/>
      <c r="M225" s="14"/>
      <c r="N225" s="10"/>
      <c r="O225" s="10"/>
      <c r="P225" s="10"/>
    </row>
    <row r="226" spans="1:18">
      <c r="B226" s="66" t="s">
        <v>2752</v>
      </c>
      <c r="C226" s="62" t="s">
        <v>493</v>
      </c>
      <c r="D226" s="1">
        <v>1</v>
      </c>
      <c r="F226" s="77"/>
      <c r="G226" s="14"/>
      <c r="H226" s="14"/>
      <c r="I226" s="11"/>
      <c r="J226" s="14"/>
      <c r="K226" s="16">
        <v>22</v>
      </c>
      <c r="L226" s="15">
        <v>3</v>
      </c>
      <c r="M226" s="14"/>
      <c r="N226" s="10"/>
      <c r="O226" s="10"/>
      <c r="P226" s="10"/>
    </row>
    <row r="227" spans="1:18">
      <c r="B227" s="67" t="s">
        <v>2994</v>
      </c>
      <c r="C227" s="62" t="s">
        <v>494</v>
      </c>
      <c r="F227" s="77"/>
      <c r="G227" s="14"/>
      <c r="H227" s="14"/>
      <c r="I227" s="11"/>
      <c r="J227" s="14"/>
      <c r="K227" s="16">
        <v>23</v>
      </c>
      <c r="L227" s="15">
        <v>3</v>
      </c>
      <c r="M227" s="14"/>
      <c r="N227" s="62" t="s">
        <v>2991</v>
      </c>
      <c r="O227" s="60" t="s">
        <v>2992</v>
      </c>
      <c r="P227" s="60" t="s">
        <v>2993</v>
      </c>
    </row>
    <row r="228" spans="1:18">
      <c r="B228" s="67" t="s">
        <v>3707</v>
      </c>
      <c r="C228" s="62" t="s">
        <v>494</v>
      </c>
      <c r="F228" s="77"/>
      <c r="G228" s="14"/>
      <c r="H228" s="14"/>
      <c r="I228" s="11"/>
      <c r="J228" s="14"/>
      <c r="K228" s="16">
        <v>24</v>
      </c>
      <c r="L228" s="15"/>
      <c r="M228" s="14">
        <v>1</v>
      </c>
      <c r="N228" s="62"/>
      <c r="O228" s="60"/>
      <c r="P228" s="60"/>
    </row>
    <row r="229" spans="1:18" customFormat="1">
      <c r="B229" s="67" t="s">
        <v>3715</v>
      </c>
      <c r="C229" s="70" t="s">
        <v>494</v>
      </c>
      <c r="K229" s="16">
        <v>25</v>
      </c>
      <c r="L229">
        <v>3</v>
      </c>
      <c r="N229" s="62" t="s">
        <v>3696</v>
      </c>
      <c r="O229" s="62" t="s">
        <v>3698</v>
      </c>
      <c r="P229" s="62" t="s">
        <v>3699</v>
      </c>
      <c r="R229">
        <v>2214</v>
      </c>
    </row>
    <row r="230" spans="1:18" customFormat="1">
      <c r="B230" s="67" t="s">
        <v>3716</v>
      </c>
      <c r="C230" s="70" t="s">
        <v>494</v>
      </c>
      <c r="K230" s="16">
        <v>26</v>
      </c>
      <c r="L230" s="55">
        <v>3</v>
      </c>
      <c r="M230">
        <v>31</v>
      </c>
      <c r="N230" s="62" t="s">
        <v>3719</v>
      </c>
      <c r="O230" s="62" t="s">
        <v>3722</v>
      </c>
      <c r="P230" s="62" t="s">
        <v>3724</v>
      </c>
      <c r="Q230" s="62" t="s">
        <v>3720</v>
      </c>
      <c r="R230">
        <v>23</v>
      </c>
    </row>
    <row r="231" spans="1:18">
      <c r="A231" s="10"/>
      <c r="B231" s="29" t="s">
        <v>5084</v>
      </c>
      <c r="C231" s="64" t="s">
        <v>494</v>
      </c>
      <c r="D231" s="10"/>
      <c r="E231" s="10"/>
      <c r="F231" s="10"/>
      <c r="G231" s="10"/>
      <c r="H231" s="10"/>
      <c r="I231" s="10"/>
      <c r="J231" s="10"/>
      <c r="K231" s="16">
        <v>27</v>
      </c>
      <c r="L231" s="55">
        <v>3</v>
      </c>
      <c r="M231" s="10"/>
      <c r="N231" t="s">
        <v>5078</v>
      </c>
      <c r="O231" s="66" t="s">
        <v>1004</v>
      </c>
      <c r="P231" s="64" t="s">
        <v>1023</v>
      </c>
      <c r="Q231" s="10"/>
      <c r="R231" s="10">
        <v>2239</v>
      </c>
    </row>
    <row r="232" spans="1:18">
      <c r="B232" s="66" t="s">
        <v>5085</v>
      </c>
      <c r="C232" s="64" t="s">
        <v>493</v>
      </c>
      <c r="D232" s="1">
        <v>1</v>
      </c>
      <c r="K232" s="16">
        <v>28</v>
      </c>
      <c r="L232" s="9">
        <v>3</v>
      </c>
    </row>
    <row r="233" spans="1:18">
      <c r="B233" s="66" t="s">
        <v>5086</v>
      </c>
      <c r="C233" s="64" t="s">
        <v>493</v>
      </c>
      <c r="D233" s="1">
        <v>1</v>
      </c>
      <c r="K233" s="16">
        <v>29</v>
      </c>
      <c r="L233" s="32">
        <v>3</v>
      </c>
    </row>
    <row r="234" spans="1:18">
      <c r="B234" s="66" t="s">
        <v>5087</v>
      </c>
      <c r="C234" s="64" t="s">
        <v>493</v>
      </c>
      <c r="D234" s="1">
        <v>1</v>
      </c>
      <c r="K234" s="16">
        <v>30</v>
      </c>
      <c r="L234" s="32">
        <v>3</v>
      </c>
    </row>
    <row r="235" spans="1:18">
      <c r="B235" s="66" t="s">
        <v>5088</v>
      </c>
      <c r="C235" s="64" t="s">
        <v>493</v>
      </c>
      <c r="D235" s="1">
        <v>1</v>
      </c>
      <c r="K235" s="16">
        <v>31</v>
      </c>
      <c r="L235" s="32">
        <v>3</v>
      </c>
    </row>
    <row r="236" spans="1:18">
      <c r="B236" s="66" t="s">
        <v>5090</v>
      </c>
      <c r="C236" s="64" t="s">
        <v>494</v>
      </c>
      <c r="K236" s="16">
        <v>32</v>
      </c>
      <c r="L236" s="32">
        <v>3</v>
      </c>
      <c r="N236" s="62" t="s">
        <v>5091</v>
      </c>
      <c r="O236" t="s">
        <v>5092</v>
      </c>
      <c r="P236" t="s">
        <v>5093</v>
      </c>
    </row>
    <row r="237" spans="1:18">
      <c r="B237" s="66" t="s">
        <v>6735</v>
      </c>
      <c r="C237" s="64" t="s">
        <v>493</v>
      </c>
      <c r="D237" s="1">
        <v>1</v>
      </c>
      <c r="K237" s="16">
        <v>33</v>
      </c>
      <c r="L237" s="32">
        <v>3</v>
      </c>
      <c r="N237" s="62"/>
      <c r="O237"/>
      <c r="P237"/>
    </row>
    <row r="238" spans="1:18">
      <c r="A238" s="10"/>
      <c r="B238" s="24"/>
      <c r="C238" s="45"/>
      <c r="D238" s="10"/>
      <c r="E238" s="10"/>
      <c r="F238" s="10"/>
      <c r="G238" s="10"/>
      <c r="H238" s="10"/>
      <c r="I238" s="10"/>
      <c r="J238" s="10"/>
      <c r="K238" s="16"/>
      <c r="L238" s="55"/>
      <c r="M238" s="10"/>
      <c r="N238"/>
      <c r="O238"/>
      <c r="P238" s="10"/>
      <c r="Q238" s="10"/>
      <c r="R238" s="10"/>
    </row>
    <row r="239" spans="1:18">
      <c r="A239" s="64" t="s">
        <v>62</v>
      </c>
      <c r="B239" s="66" t="s">
        <v>63</v>
      </c>
      <c r="C239" s="1" t="s">
        <v>494</v>
      </c>
      <c r="E239" s="10" t="s">
        <v>476</v>
      </c>
      <c r="F239" s="10">
        <v>17</v>
      </c>
      <c r="G239" s="10">
        <v>148</v>
      </c>
      <c r="H239" s="10" t="s">
        <v>68</v>
      </c>
      <c r="I239" s="10"/>
      <c r="J239" s="10">
        <v>1</v>
      </c>
      <c r="K239" s="16">
        <v>1</v>
      </c>
      <c r="L239" s="15">
        <v>52</v>
      </c>
      <c r="M239" s="10"/>
      <c r="N239" s="10">
        <v>140</v>
      </c>
      <c r="O239" s="23" t="s">
        <v>1040</v>
      </c>
      <c r="P239" s="29"/>
      <c r="Q239" s="10"/>
      <c r="R239" s="10"/>
    </row>
    <row r="240" spans="1:18">
      <c r="A240" s="10"/>
      <c r="B240" s="66" t="s">
        <v>205</v>
      </c>
      <c r="C240" s="1" t="s">
        <v>494</v>
      </c>
      <c r="E240" s="10" t="s">
        <v>476</v>
      </c>
      <c r="F240" s="10"/>
      <c r="G240" s="10"/>
      <c r="H240" s="36" t="s">
        <v>208</v>
      </c>
      <c r="I240" s="10"/>
      <c r="J240" s="10"/>
      <c r="K240" s="16">
        <v>2</v>
      </c>
      <c r="L240" s="15">
        <v>3</v>
      </c>
      <c r="M240" s="10"/>
      <c r="N240" s="10" t="s">
        <v>506</v>
      </c>
      <c r="O240" s="10" t="s">
        <v>514</v>
      </c>
      <c r="P240" s="1" t="s">
        <v>515</v>
      </c>
      <c r="Q240" s="10"/>
      <c r="R240" s="10"/>
    </row>
    <row r="241" spans="1:18">
      <c r="A241" s="10"/>
      <c r="B241" s="66" t="s">
        <v>64</v>
      </c>
      <c r="C241" s="1" t="s">
        <v>494</v>
      </c>
      <c r="E241" s="10" t="s">
        <v>476</v>
      </c>
      <c r="F241" s="10"/>
      <c r="G241" s="29"/>
      <c r="H241" s="10"/>
      <c r="I241" s="10"/>
      <c r="J241" s="10"/>
      <c r="K241" s="16">
        <v>3</v>
      </c>
      <c r="L241" s="15">
        <v>6</v>
      </c>
      <c r="M241" s="10"/>
      <c r="N241" s="10"/>
      <c r="P241" s="29"/>
      <c r="Q241" s="10"/>
      <c r="R241" s="10"/>
    </row>
    <row r="242" spans="1:18">
      <c r="A242" s="10"/>
      <c r="B242" s="66" t="s">
        <v>65</v>
      </c>
      <c r="C242" s="1" t="s">
        <v>494</v>
      </c>
      <c r="D242" s="10"/>
      <c r="E242" s="10"/>
      <c r="F242" s="10"/>
      <c r="G242" s="10"/>
      <c r="H242" s="10"/>
      <c r="I242" s="10"/>
      <c r="J242" s="10"/>
      <c r="K242" s="16">
        <v>4</v>
      </c>
      <c r="L242" s="15">
        <v>6</v>
      </c>
      <c r="M242" s="10"/>
      <c r="N242" s="10"/>
      <c r="O242" s="29"/>
      <c r="P242" s="29"/>
      <c r="Q242" s="10"/>
      <c r="R242" s="10"/>
    </row>
    <row r="243" spans="1:18">
      <c r="A243" s="10"/>
      <c r="B243" s="66" t="s">
        <v>66</v>
      </c>
      <c r="C243" s="1" t="s">
        <v>493</v>
      </c>
      <c r="D243" s="10">
        <v>1</v>
      </c>
      <c r="E243" s="10"/>
      <c r="F243" s="10"/>
      <c r="G243" s="10"/>
      <c r="H243" s="10"/>
      <c r="I243" s="10"/>
      <c r="J243" s="10"/>
      <c r="K243" s="16">
        <v>5</v>
      </c>
      <c r="L243" s="15"/>
      <c r="M243" s="10"/>
      <c r="N243" s="10"/>
      <c r="O243" s="29"/>
      <c r="P243" s="29"/>
      <c r="Q243" s="10"/>
      <c r="R243" s="10"/>
    </row>
    <row r="244" spans="1:18">
      <c r="A244" s="10"/>
      <c r="B244" s="66" t="s">
        <v>67</v>
      </c>
      <c r="C244" s="1" t="s">
        <v>494</v>
      </c>
      <c r="D244" s="10"/>
      <c r="E244" s="10"/>
      <c r="F244" s="10"/>
      <c r="G244" s="10"/>
      <c r="H244" s="10"/>
      <c r="I244" s="10"/>
      <c r="J244" s="10"/>
      <c r="K244" s="16">
        <v>6</v>
      </c>
      <c r="L244" s="15"/>
      <c r="M244" s="10"/>
      <c r="N244" s="10"/>
      <c r="O244" s="29"/>
      <c r="P244" s="29"/>
      <c r="Q244" s="10"/>
      <c r="R244" s="10"/>
    </row>
    <row r="245" spans="1:18">
      <c r="A245" s="10"/>
      <c r="B245" s="29" t="s">
        <v>210</v>
      </c>
      <c r="C245" s="1" t="s">
        <v>494</v>
      </c>
      <c r="D245" s="10"/>
      <c r="E245" s="10"/>
      <c r="F245" s="10"/>
      <c r="G245" s="10"/>
      <c r="H245" s="10"/>
      <c r="I245" s="10"/>
      <c r="J245" s="10"/>
      <c r="K245" s="16">
        <v>7</v>
      </c>
      <c r="L245" s="15"/>
      <c r="M245" s="10"/>
      <c r="N245" s="10"/>
      <c r="O245" s="29"/>
      <c r="P245" s="29"/>
      <c r="Q245" s="10"/>
      <c r="R245" s="10"/>
    </row>
    <row r="246" spans="1:18">
      <c r="A246" s="10"/>
      <c r="B246" s="29" t="s">
        <v>211</v>
      </c>
      <c r="C246" s="1" t="s">
        <v>494</v>
      </c>
      <c r="D246" s="10"/>
      <c r="E246" s="10"/>
      <c r="F246" s="10"/>
      <c r="G246" s="10"/>
      <c r="H246" s="10"/>
      <c r="I246" s="10"/>
      <c r="J246" s="10"/>
      <c r="K246" s="16">
        <v>8</v>
      </c>
      <c r="L246" s="15">
        <v>3</v>
      </c>
      <c r="M246" s="14"/>
      <c r="N246" s="1" t="s">
        <v>1002</v>
      </c>
      <c r="O246" s="23" t="s">
        <v>1004</v>
      </c>
      <c r="P246" s="23" t="s">
        <v>1023</v>
      </c>
      <c r="Q246" s="10"/>
      <c r="R246" s="10"/>
    </row>
    <row r="247" spans="1:18">
      <c r="A247" s="10"/>
      <c r="B247" s="66" t="s">
        <v>1792</v>
      </c>
      <c r="C247" s="62" t="s">
        <v>494</v>
      </c>
      <c r="D247" s="10"/>
      <c r="E247" s="10"/>
      <c r="F247" s="10"/>
      <c r="G247" s="10"/>
      <c r="H247" s="10"/>
      <c r="I247" s="10"/>
      <c r="J247" s="10"/>
      <c r="K247" s="16">
        <v>9</v>
      </c>
      <c r="L247" s="15"/>
      <c r="M247" s="14"/>
      <c r="O247" s="23"/>
      <c r="P247" s="23"/>
      <c r="Q247" s="10"/>
      <c r="R247" s="10"/>
    </row>
    <row r="248" spans="1:18">
      <c r="A248" s="10"/>
      <c r="B248" s="66"/>
      <c r="C248" s="62"/>
      <c r="D248" s="10"/>
      <c r="E248" s="10"/>
      <c r="F248" s="10"/>
      <c r="G248" s="10"/>
      <c r="H248" s="10"/>
      <c r="I248" s="10"/>
      <c r="J248" s="10"/>
      <c r="K248" s="16"/>
      <c r="L248" s="15"/>
      <c r="M248" s="14"/>
      <c r="O248" s="23"/>
      <c r="P248" s="23"/>
      <c r="Q248" s="10"/>
      <c r="R248" s="10"/>
    </row>
    <row r="249" spans="1:18">
      <c r="A249" s="62" t="s">
        <v>2922</v>
      </c>
      <c r="B249" s="60" t="s">
        <v>2923</v>
      </c>
      <c r="C249" s="62" t="s">
        <v>494</v>
      </c>
      <c r="E249" s="62" t="s">
        <v>476</v>
      </c>
      <c r="F249" s="14">
        <v>17</v>
      </c>
      <c r="G249" s="14">
        <v>1743</v>
      </c>
      <c r="H249" s="47" t="s">
        <v>2876</v>
      </c>
      <c r="I249" s="11"/>
      <c r="J249" s="14">
        <v>1</v>
      </c>
      <c r="K249" s="16">
        <v>1</v>
      </c>
      <c r="L249" s="15">
        <v>52</v>
      </c>
      <c r="M249" s="10"/>
      <c r="N249" s="10">
        <v>140</v>
      </c>
      <c r="O249" s="23" t="s">
        <v>1040</v>
      </c>
      <c r="P249" s="23"/>
      <c r="Q249" s="14"/>
      <c r="R249" s="14"/>
    </row>
    <row r="250" spans="1:18">
      <c r="B250" s="60" t="s">
        <v>2924</v>
      </c>
      <c r="C250" s="62" t="s">
        <v>494</v>
      </c>
      <c r="E250" s="62" t="s">
        <v>476</v>
      </c>
      <c r="F250" s="14"/>
      <c r="G250" s="14"/>
      <c r="H250" s="14"/>
      <c r="I250" s="11"/>
      <c r="J250" s="14"/>
      <c r="K250" s="16">
        <v>2</v>
      </c>
      <c r="L250" s="15">
        <v>6</v>
      </c>
      <c r="M250" s="14"/>
      <c r="P250" s="23"/>
      <c r="Q250" s="14"/>
      <c r="R250" s="14"/>
    </row>
    <row r="251" spans="1:18">
      <c r="B251" s="60" t="s">
        <v>2925</v>
      </c>
      <c r="C251" s="62" t="s">
        <v>494</v>
      </c>
      <c r="F251" s="14"/>
      <c r="G251" s="14"/>
      <c r="H251" s="14"/>
      <c r="I251" s="11"/>
      <c r="J251" s="14"/>
      <c r="K251" s="16">
        <v>3</v>
      </c>
      <c r="L251" s="15">
        <v>6</v>
      </c>
      <c r="M251" s="14"/>
      <c r="P251" s="23"/>
      <c r="Q251" s="14"/>
      <c r="R251" s="14"/>
    </row>
    <row r="252" spans="1:18">
      <c r="B252" s="60" t="s">
        <v>2926</v>
      </c>
      <c r="C252" s="62" t="s">
        <v>493</v>
      </c>
      <c r="D252" s="1">
        <v>1</v>
      </c>
      <c r="F252" s="14"/>
      <c r="G252" s="14"/>
      <c r="H252" s="14"/>
      <c r="I252" s="11"/>
      <c r="J252" s="14"/>
      <c r="K252" s="16">
        <v>4</v>
      </c>
      <c r="L252" s="15">
        <v>3</v>
      </c>
      <c r="M252" s="14"/>
      <c r="P252" s="23"/>
      <c r="Q252" s="14"/>
      <c r="R252" s="14"/>
    </row>
    <row r="253" spans="1:18">
      <c r="B253" s="60" t="s">
        <v>2927</v>
      </c>
      <c r="C253" s="62" t="s">
        <v>494</v>
      </c>
      <c r="F253" s="14"/>
      <c r="G253" s="14"/>
      <c r="H253" s="14"/>
      <c r="I253" s="11"/>
      <c r="J253" s="14"/>
      <c r="K253" s="16">
        <v>5</v>
      </c>
      <c r="L253" s="15"/>
      <c r="M253" s="14"/>
      <c r="P253" s="23"/>
      <c r="Q253" s="14"/>
      <c r="R253" s="14"/>
    </row>
    <row r="254" spans="1:18">
      <c r="B254" s="60" t="s">
        <v>2928</v>
      </c>
      <c r="C254" s="62" t="s">
        <v>520</v>
      </c>
      <c r="F254" s="14"/>
      <c r="G254" s="14"/>
      <c r="H254" s="14"/>
      <c r="I254" s="11"/>
      <c r="J254" s="14"/>
      <c r="K254" s="16">
        <v>6</v>
      </c>
      <c r="L254" s="15"/>
      <c r="M254" s="14"/>
      <c r="P254" s="23"/>
      <c r="Q254" s="14"/>
      <c r="R254" s="14"/>
    </row>
    <row r="255" spans="1:18">
      <c r="B255" s="60"/>
      <c r="C255" s="62"/>
      <c r="F255" s="14"/>
      <c r="G255" s="14"/>
      <c r="H255" s="14"/>
      <c r="I255" s="11"/>
      <c r="J255" s="14"/>
      <c r="K255" s="16"/>
      <c r="L255" s="15"/>
      <c r="M255" s="14"/>
      <c r="P255" s="23"/>
      <c r="Q255" s="14"/>
      <c r="R255" s="14"/>
    </row>
    <row r="256" spans="1:18">
      <c r="A256" s="62" t="s">
        <v>2929</v>
      </c>
      <c r="B256" s="60" t="s">
        <v>2930</v>
      </c>
      <c r="C256" s="62" t="s">
        <v>494</v>
      </c>
      <c r="E256" s="62" t="s">
        <v>476</v>
      </c>
      <c r="F256" s="14">
        <v>17</v>
      </c>
      <c r="G256" s="14">
        <v>1744</v>
      </c>
      <c r="H256" s="47" t="s">
        <v>111</v>
      </c>
      <c r="I256" s="11"/>
      <c r="J256" s="14">
        <v>1</v>
      </c>
      <c r="K256" s="16">
        <v>1</v>
      </c>
      <c r="L256" s="15">
        <v>52</v>
      </c>
      <c r="M256" s="10"/>
      <c r="N256" s="10">
        <v>140</v>
      </c>
      <c r="O256" s="23" t="s">
        <v>1040</v>
      </c>
      <c r="P256" s="23"/>
      <c r="Q256" s="14"/>
      <c r="R256" s="14"/>
    </row>
    <row r="257" spans="1:18">
      <c r="B257" s="60" t="s">
        <v>2931</v>
      </c>
      <c r="C257" s="62" t="s">
        <v>494</v>
      </c>
      <c r="E257" s="62" t="s">
        <v>476</v>
      </c>
      <c r="F257" s="14"/>
      <c r="G257" s="14"/>
      <c r="H257" s="14"/>
      <c r="I257" s="11"/>
      <c r="J257" s="14"/>
      <c r="K257" s="16">
        <v>2</v>
      </c>
      <c r="L257" s="15">
        <v>6</v>
      </c>
      <c r="M257" s="14"/>
      <c r="P257" s="23"/>
      <c r="Q257" s="14"/>
      <c r="R257" s="14"/>
    </row>
    <row r="258" spans="1:18">
      <c r="B258" s="60" t="s">
        <v>2932</v>
      </c>
      <c r="C258" s="62" t="s">
        <v>494</v>
      </c>
      <c r="F258" s="14"/>
      <c r="G258" s="14"/>
      <c r="H258" s="14"/>
      <c r="I258" s="11"/>
      <c r="J258" s="14"/>
      <c r="K258" s="16">
        <v>3</v>
      </c>
      <c r="L258" s="15">
        <v>6</v>
      </c>
      <c r="M258" s="14"/>
      <c r="P258" s="23"/>
      <c r="Q258" s="14"/>
      <c r="R258" s="14"/>
    </row>
    <row r="259" spans="1:18">
      <c r="B259" s="60" t="s">
        <v>2933</v>
      </c>
      <c r="C259" s="62" t="s">
        <v>493</v>
      </c>
      <c r="D259" s="1">
        <v>1</v>
      </c>
      <c r="F259" s="14"/>
      <c r="G259" s="14"/>
      <c r="H259" s="14"/>
      <c r="I259" s="11"/>
      <c r="J259" s="14"/>
      <c r="K259" s="16">
        <v>4</v>
      </c>
      <c r="L259" s="15">
        <v>3</v>
      </c>
      <c r="M259" s="14"/>
      <c r="P259" s="23"/>
      <c r="Q259" s="14"/>
      <c r="R259" s="14"/>
    </row>
    <row r="260" spans="1:18">
      <c r="B260" s="60" t="s">
        <v>2936</v>
      </c>
      <c r="C260" s="62" t="s">
        <v>493</v>
      </c>
      <c r="D260" s="1">
        <v>200</v>
      </c>
      <c r="F260" s="14"/>
      <c r="G260" s="14"/>
      <c r="H260" s="14"/>
      <c r="I260" s="11"/>
      <c r="J260" s="14"/>
      <c r="K260" s="16">
        <v>5</v>
      </c>
      <c r="L260" s="15"/>
      <c r="M260" s="14"/>
      <c r="P260" s="23"/>
      <c r="Q260" s="14"/>
      <c r="R260" s="14"/>
    </row>
    <row r="261" spans="1:18">
      <c r="B261" s="60" t="s">
        <v>2934</v>
      </c>
      <c r="C261" s="62" t="s">
        <v>494</v>
      </c>
      <c r="F261" s="14"/>
      <c r="G261" s="14"/>
      <c r="H261" s="14"/>
      <c r="I261" s="11"/>
      <c r="J261" s="14"/>
      <c r="K261" s="16">
        <v>6</v>
      </c>
      <c r="L261" s="15">
        <v>91</v>
      </c>
      <c r="M261" s="14"/>
      <c r="P261" s="23"/>
      <c r="Q261" s="14"/>
      <c r="R261" s="14"/>
    </row>
    <row r="262" spans="1:18">
      <c r="B262" s="60" t="s">
        <v>2935</v>
      </c>
      <c r="C262" s="62" t="s">
        <v>494</v>
      </c>
      <c r="F262" s="14"/>
      <c r="G262" s="14"/>
      <c r="H262" s="14"/>
      <c r="I262" s="11"/>
      <c r="J262" s="14"/>
      <c r="K262" s="16">
        <v>7</v>
      </c>
      <c r="L262" s="15">
        <v>92</v>
      </c>
      <c r="M262" s="14"/>
      <c r="P262" s="23"/>
      <c r="Q262" s="14"/>
      <c r="R262" s="14"/>
    </row>
    <row r="263" spans="1:18">
      <c r="B263" s="60"/>
      <c r="C263" s="62"/>
      <c r="F263" s="14"/>
      <c r="G263" s="14"/>
      <c r="H263" s="14"/>
      <c r="I263" s="11"/>
      <c r="J263" s="14"/>
      <c r="K263" s="16"/>
      <c r="L263" s="15"/>
      <c r="M263" s="14"/>
      <c r="P263" s="23"/>
      <c r="Q263" s="14"/>
      <c r="R263" s="14"/>
    </row>
    <row r="264" spans="1:18">
      <c r="A264" s="62" t="s">
        <v>6736</v>
      </c>
      <c r="B264" s="60" t="s">
        <v>6737</v>
      </c>
      <c r="C264" s="62" t="s">
        <v>494</v>
      </c>
      <c r="E264" s="62" t="s">
        <v>476</v>
      </c>
      <c r="F264" s="14">
        <v>17</v>
      </c>
      <c r="G264" s="14">
        <v>1770</v>
      </c>
      <c r="H264" s="47" t="s">
        <v>6750</v>
      </c>
      <c r="I264" s="11"/>
      <c r="J264" s="14">
        <v>1</v>
      </c>
      <c r="K264" s="16">
        <v>1</v>
      </c>
      <c r="L264" s="15">
        <v>52</v>
      </c>
      <c r="M264" s="10"/>
      <c r="N264" s="10">
        <v>140</v>
      </c>
      <c r="O264" s="23" t="s">
        <v>1040</v>
      </c>
      <c r="P264" s="23"/>
      <c r="Q264" s="14"/>
      <c r="R264" s="14"/>
    </row>
    <row r="265" spans="1:18">
      <c r="B265" s="60" t="s">
        <v>6746</v>
      </c>
      <c r="C265" s="62" t="s">
        <v>494</v>
      </c>
      <c r="E265" s="62" t="s">
        <v>476</v>
      </c>
      <c r="F265" s="14"/>
      <c r="G265" s="14"/>
      <c r="H265" s="14"/>
      <c r="I265" s="11"/>
      <c r="J265" s="14"/>
      <c r="K265" s="16">
        <v>2</v>
      </c>
      <c r="L265" s="15">
        <v>6</v>
      </c>
      <c r="M265" s="14"/>
      <c r="P265" s="23"/>
      <c r="Q265" s="14"/>
      <c r="R265" s="14"/>
    </row>
    <row r="266" spans="1:18">
      <c r="B266" s="60" t="s">
        <v>6747</v>
      </c>
      <c r="C266" s="62" t="s">
        <v>494</v>
      </c>
      <c r="F266" s="14"/>
      <c r="G266" s="14"/>
      <c r="H266" s="14"/>
      <c r="I266" s="11"/>
      <c r="J266" s="14"/>
      <c r="K266" s="16">
        <v>3</v>
      </c>
      <c r="L266" s="15">
        <v>6</v>
      </c>
      <c r="M266" s="14"/>
      <c r="P266" s="23"/>
      <c r="Q266" s="14"/>
      <c r="R266" s="14"/>
    </row>
    <row r="267" spans="1:18">
      <c r="B267" s="60" t="s">
        <v>6748</v>
      </c>
      <c r="C267" s="62" t="s">
        <v>494</v>
      </c>
      <c r="F267" s="14"/>
      <c r="G267" s="14"/>
      <c r="H267" s="14"/>
      <c r="I267" s="11"/>
      <c r="J267" s="14"/>
      <c r="K267" s="16">
        <v>4</v>
      </c>
      <c r="L267" s="15">
        <v>3</v>
      </c>
      <c r="M267" s="14"/>
      <c r="N267" s="62" t="s">
        <v>6738</v>
      </c>
      <c r="O267" s="60" t="s">
        <v>6740</v>
      </c>
      <c r="P267" s="60" t="s">
        <v>6742</v>
      </c>
      <c r="Q267" s="14"/>
      <c r="R267" s="14"/>
    </row>
    <row r="268" spans="1:18">
      <c r="B268" s="60" t="s">
        <v>6749</v>
      </c>
      <c r="C268" s="62" t="s">
        <v>520</v>
      </c>
      <c r="F268" s="14"/>
      <c r="G268" s="14"/>
      <c r="H268" s="14"/>
      <c r="I268" s="11"/>
      <c r="J268" s="14"/>
      <c r="K268" s="16">
        <v>5</v>
      </c>
      <c r="L268" s="15"/>
      <c r="M268" s="14"/>
      <c r="P268" s="23"/>
      <c r="Q268" s="14"/>
      <c r="R268" s="14"/>
    </row>
    <row r="269" spans="1:18">
      <c r="B269" s="60"/>
      <c r="C269" s="62"/>
      <c r="F269" s="14"/>
      <c r="G269" s="14"/>
      <c r="H269" s="14"/>
      <c r="I269" s="11"/>
      <c r="J269" s="14"/>
      <c r="K269" s="16"/>
      <c r="L269" s="15"/>
      <c r="M269" s="14"/>
      <c r="P269" s="23"/>
      <c r="Q269" s="14"/>
      <c r="R269" s="14"/>
    </row>
    <row r="270" spans="1:18">
      <c r="A270" s="62" t="s">
        <v>6738</v>
      </c>
      <c r="B270" s="60" t="s">
        <v>6739</v>
      </c>
      <c r="C270" s="62" t="s">
        <v>494</v>
      </c>
      <c r="E270" s="62" t="s">
        <v>476</v>
      </c>
      <c r="F270" s="14">
        <v>17</v>
      </c>
      <c r="G270" s="14">
        <v>1771</v>
      </c>
      <c r="H270" s="47" t="s">
        <v>6744</v>
      </c>
      <c r="I270" s="48" t="s">
        <v>6745</v>
      </c>
      <c r="J270" s="14">
        <v>3</v>
      </c>
      <c r="K270" s="16">
        <v>1</v>
      </c>
      <c r="L270" s="15">
        <v>6</v>
      </c>
      <c r="M270" s="14"/>
      <c r="P270" s="23"/>
      <c r="Q270" s="14"/>
      <c r="R270" s="14"/>
    </row>
    <row r="271" spans="1:18">
      <c r="B271" s="60" t="s">
        <v>6740</v>
      </c>
      <c r="C271" s="62" t="s">
        <v>494</v>
      </c>
      <c r="F271" s="14"/>
      <c r="G271" s="14"/>
      <c r="H271" s="14"/>
      <c r="I271" s="11"/>
      <c r="J271" s="14"/>
      <c r="K271" s="16">
        <v>2</v>
      </c>
      <c r="L271" s="15">
        <v>6</v>
      </c>
      <c r="M271" s="14"/>
      <c r="P271" s="23"/>
      <c r="Q271" s="14"/>
      <c r="R271" s="14"/>
    </row>
    <row r="272" spans="1:18">
      <c r="B272" s="60" t="s">
        <v>6741</v>
      </c>
      <c r="C272" s="62" t="s">
        <v>493</v>
      </c>
      <c r="D272" s="1">
        <v>1</v>
      </c>
      <c r="F272" s="14"/>
      <c r="G272" s="14"/>
      <c r="H272" s="14"/>
      <c r="I272" s="11"/>
      <c r="J272" s="14"/>
      <c r="K272" s="16">
        <v>3</v>
      </c>
      <c r="L272" s="15">
        <v>3</v>
      </c>
      <c r="M272" s="14"/>
      <c r="P272" s="23"/>
      <c r="Q272" s="14"/>
      <c r="R272" s="14"/>
    </row>
    <row r="273" spans="1:18">
      <c r="B273" s="60" t="s">
        <v>6742</v>
      </c>
      <c r="C273" s="62" t="s">
        <v>493</v>
      </c>
      <c r="D273" s="1">
        <v>100</v>
      </c>
      <c r="F273" s="14"/>
      <c r="G273" s="14"/>
      <c r="H273" s="14"/>
      <c r="I273" s="11"/>
      <c r="J273" s="14"/>
      <c r="K273" s="16">
        <v>4</v>
      </c>
      <c r="L273" s="15"/>
      <c r="M273" s="14"/>
      <c r="P273" s="23"/>
      <c r="Q273" s="14"/>
      <c r="R273" s="14"/>
    </row>
    <row r="274" spans="1:18">
      <c r="B274" s="60" t="s">
        <v>6743</v>
      </c>
      <c r="C274" s="62" t="s">
        <v>520</v>
      </c>
      <c r="F274" s="14"/>
      <c r="G274" s="14"/>
      <c r="H274" s="14"/>
      <c r="I274" s="11"/>
      <c r="J274" s="14"/>
      <c r="K274" s="16">
        <v>5</v>
      </c>
      <c r="L274" s="15"/>
      <c r="M274" s="14"/>
      <c r="P274" s="23"/>
      <c r="Q274" s="14"/>
      <c r="R274" s="14"/>
    </row>
    <row r="275" spans="1:18">
      <c r="B275" s="60"/>
      <c r="C275" s="62"/>
      <c r="F275" s="14"/>
      <c r="G275" s="14"/>
      <c r="H275" s="14"/>
      <c r="I275" s="11"/>
      <c r="J275" s="14"/>
      <c r="K275" s="16"/>
      <c r="L275" s="15"/>
      <c r="M275" s="14"/>
      <c r="P275" s="23"/>
      <c r="Q275" s="14"/>
      <c r="R275" s="14"/>
    </row>
    <row r="276" spans="1:18">
      <c r="B276" s="60"/>
      <c r="C276" s="62"/>
      <c r="F276" s="14"/>
      <c r="G276" s="14"/>
      <c r="H276" s="14"/>
      <c r="I276" s="11"/>
      <c r="J276" s="14"/>
      <c r="K276" s="16"/>
      <c r="L276" s="15"/>
      <c r="M276" s="14"/>
      <c r="P276" s="23"/>
      <c r="Q276" s="14"/>
      <c r="R276" s="14"/>
    </row>
    <row r="277" spans="1:18">
      <c r="A277" s="64" t="s">
        <v>6700</v>
      </c>
      <c r="B277" s="62" t="s">
        <v>6704</v>
      </c>
      <c r="C277" s="64" t="s">
        <v>494</v>
      </c>
      <c r="D277" s="10"/>
      <c r="E277" s="64" t="s">
        <v>476</v>
      </c>
      <c r="F277" s="10">
        <v>17</v>
      </c>
      <c r="G277" s="10">
        <v>1767</v>
      </c>
      <c r="H277" s="64" t="s">
        <v>6721</v>
      </c>
      <c r="I277" s="64" t="s">
        <v>6722</v>
      </c>
      <c r="J277" s="10">
        <v>1701</v>
      </c>
      <c r="K277" s="16">
        <v>1</v>
      </c>
      <c r="L277" s="80">
        <v>6</v>
      </c>
      <c r="M277" s="10"/>
      <c r="N277" s="10"/>
      <c r="O277" s="10"/>
      <c r="P277" s="10"/>
      <c r="Q277" s="10"/>
      <c r="R277" s="10"/>
    </row>
    <row r="278" spans="1:18">
      <c r="A278" s="10"/>
      <c r="B278" s="62" t="s">
        <v>6705</v>
      </c>
      <c r="C278" s="64" t="s">
        <v>494</v>
      </c>
      <c r="D278" s="10"/>
      <c r="E278" s="10"/>
      <c r="F278" s="10"/>
      <c r="G278" s="10"/>
      <c r="H278" s="10"/>
      <c r="I278" s="10"/>
      <c r="J278" s="10"/>
      <c r="K278" s="16">
        <v>2</v>
      </c>
      <c r="L278" s="31">
        <v>6</v>
      </c>
      <c r="M278" s="10"/>
      <c r="N278" s="10"/>
      <c r="O278" s="10"/>
      <c r="P278" s="10"/>
      <c r="Q278" s="10"/>
      <c r="R278" s="10"/>
    </row>
    <row r="279" spans="1:18">
      <c r="A279" s="10"/>
      <c r="B279" s="62" t="s">
        <v>6715</v>
      </c>
      <c r="C279" s="64" t="s">
        <v>494</v>
      </c>
      <c r="D279" s="10"/>
      <c r="E279" s="10"/>
      <c r="F279" s="10"/>
      <c r="G279" s="10"/>
      <c r="H279" s="10"/>
      <c r="I279" s="10"/>
      <c r="J279" s="10"/>
      <c r="K279" s="16">
        <v>3</v>
      </c>
      <c r="L279" s="31">
        <v>7</v>
      </c>
      <c r="M279" s="10"/>
      <c r="N279" s="10"/>
      <c r="O279" s="10"/>
      <c r="P279" s="10"/>
      <c r="Q279" s="10"/>
      <c r="R279" s="10"/>
    </row>
    <row r="280" spans="1:18">
      <c r="A280" s="10"/>
      <c r="B280" s="62" t="s">
        <v>6716</v>
      </c>
      <c r="C280" s="64" t="s">
        <v>494</v>
      </c>
      <c r="D280" s="10"/>
      <c r="E280" s="10"/>
      <c r="F280" s="10"/>
      <c r="G280" s="10"/>
      <c r="H280" s="10"/>
      <c r="I280" s="10"/>
      <c r="J280" s="10"/>
      <c r="K280" s="16">
        <v>4</v>
      </c>
      <c r="L280" s="31"/>
      <c r="M280" s="10">
        <v>71</v>
      </c>
      <c r="N280" s="10"/>
      <c r="O280" s="10"/>
      <c r="P280" s="10"/>
      <c r="Q280" s="10"/>
      <c r="R280" s="10"/>
    </row>
    <row r="281" spans="1:18">
      <c r="A281" s="10"/>
      <c r="B281" s="62" t="s">
        <v>6717</v>
      </c>
      <c r="C281" s="64" t="s">
        <v>494</v>
      </c>
      <c r="D281" s="10"/>
      <c r="E281" s="10"/>
      <c r="F281" s="10"/>
      <c r="G281" s="10"/>
      <c r="H281" s="10"/>
      <c r="I281" s="10"/>
      <c r="J281" s="10"/>
      <c r="K281" s="16">
        <v>5</v>
      </c>
      <c r="L281" s="31"/>
      <c r="M281" s="10">
        <v>72</v>
      </c>
      <c r="N281" s="10"/>
      <c r="O281" s="10"/>
      <c r="P281" s="10"/>
      <c r="Q281" s="10"/>
      <c r="R281" s="10"/>
    </row>
    <row r="282" spans="1:18">
      <c r="A282" s="10"/>
      <c r="B282" s="62" t="s">
        <v>6706</v>
      </c>
      <c r="C282" s="64" t="s">
        <v>494</v>
      </c>
      <c r="D282" s="10"/>
      <c r="E282" s="10"/>
      <c r="F282" s="10"/>
      <c r="G282" s="10"/>
      <c r="H282" s="10"/>
      <c r="I282" s="10"/>
      <c r="J282" s="10"/>
      <c r="K282" s="16">
        <v>6</v>
      </c>
      <c r="L282" s="80">
        <v>3</v>
      </c>
      <c r="M282" s="10"/>
      <c r="N282" s="64" t="s">
        <v>506</v>
      </c>
      <c r="O282" s="64" t="s">
        <v>514</v>
      </c>
      <c r="P282" s="62" t="s">
        <v>515</v>
      </c>
      <c r="Q282" s="10"/>
      <c r="R282" s="10"/>
    </row>
    <row r="283" spans="1:18">
      <c r="A283" s="10"/>
      <c r="B283" s="62" t="s">
        <v>6708</v>
      </c>
      <c r="C283" s="64" t="s">
        <v>494</v>
      </c>
      <c r="D283" s="10"/>
      <c r="E283" s="10"/>
      <c r="F283" s="10"/>
      <c r="G283" s="10"/>
      <c r="H283" s="10"/>
      <c r="I283" s="10"/>
      <c r="J283" s="10"/>
      <c r="K283" s="16">
        <v>7</v>
      </c>
      <c r="L283" s="80">
        <v>3</v>
      </c>
      <c r="M283" s="10"/>
      <c r="N283" s="62" t="s">
        <v>3664</v>
      </c>
      <c r="O283" s="60" t="s">
        <v>3666</v>
      </c>
      <c r="P283" s="60" t="s">
        <v>3667</v>
      </c>
      <c r="Q283" s="10"/>
      <c r="R283" s="10"/>
    </row>
    <row r="284" spans="1:18">
      <c r="A284" s="10"/>
      <c r="B284" s="62" t="s">
        <v>6707</v>
      </c>
      <c r="C284" s="64" t="s">
        <v>494</v>
      </c>
      <c r="D284" s="10"/>
      <c r="E284" s="10"/>
      <c r="F284" s="10"/>
      <c r="G284" s="10"/>
      <c r="H284" s="10"/>
      <c r="I284" s="10"/>
      <c r="J284" s="10"/>
      <c r="K284" s="16">
        <v>8</v>
      </c>
      <c r="L284" s="80">
        <v>3</v>
      </c>
      <c r="M284" s="10">
        <v>31</v>
      </c>
      <c r="N284" s="62" t="s">
        <v>1038</v>
      </c>
      <c r="O284" s="23" t="s">
        <v>1040</v>
      </c>
      <c r="P284" s="23" t="s">
        <v>1041</v>
      </c>
      <c r="Q284" s="23" t="s">
        <v>1040</v>
      </c>
      <c r="R284" s="10">
        <v>7</v>
      </c>
    </row>
    <row r="285" spans="1:18">
      <c r="A285" s="10"/>
      <c r="B285" s="62" t="s">
        <v>6732</v>
      </c>
      <c r="C285" s="64" t="s">
        <v>494</v>
      </c>
      <c r="D285" s="10"/>
      <c r="E285" s="10"/>
      <c r="F285" s="10"/>
      <c r="G285" s="10"/>
      <c r="H285" s="10"/>
      <c r="I285" s="10"/>
      <c r="J285" s="10"/>
      <c r="K285" s="16">
        <v>9</v>
      </c>
      <c r="L285" s="80">
        <v>3</v>
      </c>
      <c r="M285" s="10"/>
      <c r="N285" s="64" t="s">
        <v>6701</v>
      </c>
      <c r="O285" s="62" t="s">
        <v>6702</v>
      </c>
      <c r="P285" s="62" t="s">
        <v>6703</v>
      </c>
      <c r="Q285" s="10"/>
      <c r="R285" s="10"/>
    </row>
    <row r="286" spans="1:18">
      <c r="A286" s="10"/>
      <c r="B286" s="62" t="s">
        <v>6709</v>
      </c>
      <c r="C286" s="64" t="s">
        <v>494</v>
      </c>
      <c r="D286" s="10"/>
      <c r="E286" s="10"/>
      <c r="F286" s="10"/>
      <c r="G286" s="10"/>
      <c r="H286" s="10"/>
      <c r="I286" s="10"/>
      <c r="J286" s="10"/>
      <c r="K286" s="16">
        <v>10</v>
      </c>
      <c r="L286" s="80">
        <v>3</v>
      </c>
      <c r="M286" s="10">
        <v>1</v>
      </c>
      <c r="N286" s="10"/>
      <c r="P286" s="10"/>
      <c r="Q286" s="10"/>
      <c r="R286" s="10"/>
    </row>
    <row r="287" spans="1:18">
      <c r="A287" s="10"/>
      <c r="B287" s="62" t="s">
        <v>6710</v>
      </c>
      <c r="C287" s="64" t="s">
        <v>494</v>
      </c>
      <c r="D287" s="10"/>
      <c r="E287" s="10"/>
      <c r="F287" s="10"/>
      <c r="G287" s="10"/>
      <c r="H287" s="10"/>
      <c r="I287" s="10"/>
      <c r="J287" s="10"/>
      <c r="K287" s="16">
        <v>11</v>
      </c>
      <c r="L287" s="80">
        <v>8</v>
      </c>
      <c r="M287" s="10">
        <v>1</v>
      </c>
      <c r="N287" s="10"/>
      <c r="O287" s="10"/>
      <c r="P287" s="10"/>
      <c r="Q287" s="10"/>
      <c r="R287" s="10"/>
    </row>
    <row r="288" spans="1:18">
      <c r="A288" s="10"/>
      <c r="B288" s="62" t="s">
        <v>6711</v>
      </c>
      <c r="C288" s="64" t="s">
        <v>494</v>
      </c>
      <c r="D288" s="10"/>
      <c r="E288" s="10"/>
      <c r="F288" s="10"/>
      <c r="G288" s="10"/>
      <c r="H288" s="10"/>
      <c r="I288" s="10"/>
      <c r="J288" s="10"/>
      <c r="K288" s="16">
        <v>12</v>
      </c>
      <c r="L288" s="80">
        <v>8</v>
      </c>
      <c r="M288" s="64">
        <v>1</v>
      </c>
      <c r="N288" s="10"/>
      <c r="O288" s="10"/>
      <c r="P288" s="10"/>
      <c r="Q288" s="10"/>
      <c r="R288" s="10"/>
    </row>
    <row r="289" spans="1:18">
      <c r="A289" s="10"/>
      <c r="B289" s="62" t="s">
        <v>6719</v>
      </c>
      <c r="C289" s="64" t="s">
        <v>493</v>
      </c>
      <c r="D289" s="10">
        <v>1</v>
      </c>
      <c r="E289" s="10"/>
      <c r="F289" s="10"/>
      <c r="G289" s="10"/>
      <c r="H289" s="10"/>
      <c r="I289" s="10"/>
      <c r="J289" s="10"/>
      <c r="K289" s="16">
        <v>13</v>
      </c>
      <c r="L289" s="80">
        <v>3</v>
      </c>
      <c r="M289" s="64">
        <v>1</v>
      </c>
      <c r="N289" s="10"/>
      <c r="O289" s="10"/>
      <c r="P289" s="10"/>
      <c r="Q289" s="10"/>
      <c r="R289" s="10"/>
    </row>
    <row r="290" spans="1:18">
      <c r="A290" s="10"/>
      <c r="B290" s="62" t="s">
        <v>6718</v>
      </c>
      <c r="C290" s="64" t="s">
        <v>520</v>
      </c>
      <c r="D290" s="10"/>
      <c r="E290" s="10"/>
      <c r="F290" s="10"/>
      <c r="G290" s="10"/>
      <c r="H290" s="10"/>
      <c r="I290" s="10"/>
      <c r="J290" s="10"/>
      <c r="K290" s="16">
        <v>14</v>
      </c>
      <c r="L290" s="31"/>
      <c r="M290" s="10"/>
      <c r="N290" s="10"/>
      <c r="O290" s="10"/>
      <c r="P290" s="10"/>
      <c r="Q290" s="10"/>
      <c r="R290" s="10"/>
    </row>
    <row r="291" spans="1:18">
      <c r="A291" s="10"/>
      <c r="B291" s="62" t="s">
        <v>6712</v>
      </c>
      <c r="C291" s="64" t="s">
        <v>494</v>
      </c>
      <c r="D291" s="10"/>
      <c r="E291" s="10"/>
      <c r="F291" s="10"/>
      <c r="G291" s="10"/>
      <c r="H291" s="10"/>
      <c r="I291" s="10"/>
      <c r="J291" s="10"/>
      <c r="K291" s="16">
        <v>15</v>
      </c>
      <c r="L291" s="80">
        <v>3</v>
      </c>
      <c r="M291" s="10"/>
      <c r="N291" s="10"/>
      <c r="O291" s="10"/>
      <c r="P291" s="10"/>
      <c r="Q291" s="10"/>
      <c r="R291" s="10"/>
    </row>
    <row r="292" spans="1:18">
      <c r="A292" s="10"/>
      <c r="B292" s="62" t="s">
        <v>6713</v>
      </c>
      <c r="C292" s="64" t="s">
        <v>494</v>
      </c>
      <c r="D292" s="10"/>
      <c r="E292" s="10"/>
      <c r="F292" s="10"/>
      <c r="G292" s="10"/>
      <c r="H292" s="10"/>
      <c r="I292" s="10"/>
      <c r="J292" s="10"/>
      <c r="K292" s="16">
        <v>16</v>
      </c>
      <c r="L292" s="80">
        <v>8</v>
      </c>
      <c r="M292" s="10"/>
      <c r="N292" s="10"/>
      <c r="O292" s="10"/>
      <c r="P292" s="10"/>
      <c r="Q292" s="10"/>
      <c r="R292" s="10"/>
    </row>
    <row r="293" spans="1:18">
      <c r="A293" s="10"/>
      <c r="B293" s="62" t="s">
        <v>6714</v>
      </c>
      <c r="C293" s="64" t="s">
        <v>494</v>
      </c>
      <c r="D293" s="10"/>
      <c r="E293" s="10"/>
      <c r="F293" s="10"/>
      <c r="G293" s="10"/>
      <c r="H293" s="10"/>
      <c r="I293" s="10"/>
      <c r="J293" s="10"/>
      <c r="K293" s="16">
        <v>17</v>
      </c>
      <c r="L293" s="80">
        <v>8</v>
      </c>
      <c r="M293" s="10"/>
      <c r="N293" s="10"/>
      <c r="O293" s="10"/>
      <c r="P293" s="10"/>
      <c r="Q293" s="10"/>
      <c r="R293" s="10"/>
    </row>
    <row r="294" spans="1:18">
      <c r="A294" s="10"/>
      <c r="B294" s="62" t="s">
        <v>6720</v>
      </c>
      <c r="C294" s="64" t="s">
        <v>493</v>
      </c>
      <c r="D294" s="10">
        <v>1</v>
      </c>
      <c r="E294" s="10"/>
      <c r="F294" s="10"/>
      <c r="G294" s="10"/>
      <c r="H294" s="10"/>
      <c r="I294" s="10"/>
      <c r="J294" s="10"/>
      <c r="K294" s="16">
        <v>18</v>
      </c>
      <c r="L294" s="80">
        <v>3</v>
      </c>
      <c r="M294" s="10"/>
      <c r="N294" s="10"/>
      <c r="O294" s="10"/>
      <c r="P294" s="10"/>
      <c r="Q294" s="10"/>
      <c r="R294" s="10"/>
    </row>
    <row r="295" spans="1:18">
      <c r="A295" s="10"/>
      <c r="B295" s="62" t="s">
        <v>6723</v>
      </c>
      <c r="C295" s="64" t="s">
        <v>494</v>
      </c>
      <c r="D295" s="10"/>
      <c r="E295" s="10"/>
      <c r="F295" s="10"/>
      <c r="G295" s="10"/>
      <c r="H295" s="10"/>
      <c r="I295" s="10"/>
      <c r="J295" s="10"/>
      <c r="K295" s="16">
        <v>19</v>
      </c>
      <c r="L295" s="80">
        <v>3</v>
      </c>
      <c r="M295" s="10">
        <v>1</v>
      </c>
      <c r="N295" s="64" t="s">
        <v>6729</v>
      </c>
      <c r="O295" s="62" t="s">
        <v>6730</v>
      </c>
      <c r="P295" s="62" t="s">
        <v>6731</v>
      </c>
      <c r="Q295" s="10"/>
      <c r="R295" s="10"/>
    </row>
    <row r="296" spans="1:18">
      <c r="A296" s="10"/>
      <c r="B296" s="62" t="s">
        <v>6724</v>
      </c>
      <c r="C296" s="64" t="s">
        <v>494</v>
      </c>
      <c r="D296" s="10"/>
      <c r="E296" s="10"/>
      <c r="F296" s="10"/>
      <c r="G296" s="10"/>
      <c r="H296" s="10"/>
      <c r="I296" s="10"/>
      <c r="J296" s="10"/>
      <c r="K296" s="16">
        <v>20</v>
      </c>
      <c r="L296" s="80">
        <v>8</v>
      </c>
      <c r="M296" s="10">
        <v>1</v>
      </c>
      <c r="N296" s="10"/>
      <c r="P296" s="10"/>
      <c r="Q296" s="10"/>
      <c r="R296" s="10"/>
    </row>
    <row r="297" spans="1:18">
      <c r="A297" s="10"/>
      <c r="B297" s="62" t="s">
        <v>6725</v>
      </c>
      <c r="C297" s="64" t="s">
        <v>494</v>
      </c>
      <c r="D297" s="10"/>
      <c r="E297" s="10"/>
      <c r="F297" s="10"/>
      <c r="G297" s="10"/>
      <c r="H297" s="10"/>
      <c r="I297" s="10"/>
      <c r="J297" s="10"/>
      <c r="K297" s="16">
        <v>21</v>
      </c>
      <c r="L297" s="80">
        <v>7</v>
      </c>
      <c r="M297" s="10">
        <v>1</v>
      </c>
      <c r="N297" s="10"/>
      <c r="O297" s="10"/>
      <c r="P297" s="10"/>
      <c r="Q297" s="10"/>
      <c r="R297" s="10"/>
    </row>
    <row r="298" spans="1:18">
      <c r="A298" s="10"/>
      <c r="B298" s="62" t="s">
        <v>6726</v>
      </c>
      <c r="C298" s="64" t="s">
        <v>494</v>
      </c>
      <c r="D298" s="10"/>
      <c r="E298" s="10"/>
      <c r="F298" s="10"/>
      <c r="G298" s="10"/>
      <c r="H298" s="10"/>
      <c r="I298" s="10"/>
      <c r="J298" s="10"/>
      <c r="K298" s="16">
        <v>22</v>
      </c>
      <c r="L298" s="31"/>
      <c r="M298" s="10">
        <v>73</v>
      </c>
      <c r="N298" s="10"/>
      <c r="O298" s="10"/>
      <c r="P298" s="10"/>
      <c r="Q298" s="10"/>
      <c r="R298" s="10"/>
    </row>
    <row r="299" spans="1:18">
      <c r="A299" s="10"/>
      <c r="B299" s="62" t="s">
        <v>6727</v>
      </c>
      <c r="C299" s="64" t="s">
        <v>494</v>
      </c>
      <c r="D299" s="10"/>
      <c r="E299" s="10"/>
      <c r="F299" s="10"/>
      <c r="G299" s="10"/>
      <c r="H299" s="10"/>
      <c r="I299" s="10"/>
      <c r="J299" s="10"/>
      <c r="K299" s="16">
        <v>23</v>
      </c>
      <c r="L299" s="31"/>
      <c r="M299" s="10">
        <v>74</v>
      </c>
      <c r="N299" s="10"/>
      <c r="O299" s="10"/>
      <c r="P299" s="10"/>
      <c r="Q299" s="10"/>
      <c r="R299" s="10"/>
    </row>
    <row r="300" spans="1:18">
      <c r="A300" s="10"/>
      <c r="B300" s="62" t="s">
        <v>6728</v>
      </c>
      <c r="C300" s="64" t="s">
        <v>520</v>
      </c>
      <c r="D300" s="10"/>
      <c r="E300" s="10"/>
      <c r="F300" s="10"/>
      <c r="G300" s="10"/>
      <c r="H300" s="10"/>
      <c r="I300" s="10"/>
      <c r="J300" s="10"/>
      <c r="K300" s="16">
        <v>24</v>
      </c>
      <c r="L300" s="31"/>
      <c r="M300" s="64">
        <v>1</v>
      </c>
      <c r="N300" s="10"/>
      <c r="O300" s="10"/>
      <c r="P300" s="10"/>
      <c r="Q300" s="10"/>
      <c r="R300" s="10"/>
    </row>
    <row r="301" spans="1:18">
      <c r="A301" s="10"/>
      <c r="B301" s="62"/>
      <c r="C301" s="64"/>
      <c r="D301" s="10"/>
      <c r="E301" s="10"/>
      <c r="F301" s="10"/>
      <c r="G301" s="10"/>
      <c r="H301" s="10"/>
      <c r="I301" s="10"/>
      <c r="J301" s="10"/>
      <c r="K301" s="16"/>
      <c r="L301" s="31"/>
      <c r="M301" s="10"/>
      <c r="N301" s="10"/>
      <c r="O301" s="10"/>
      <c r="P301" s="10"/>
      <c r="Q301" s="10"/>
      <c r="R301" s="10"/>
    </row>
    <row r="302" spans="1:18">
      <c r="A302" s="70" t="s">
        <v>6700</v>
      </c>
      <c r="B302" s="70" t="s">
        <v>6704</v>
      </c>
      <c r="C302" s="70" t="s">
        <v>494</v>
      </c>
      <c r="D302" s="10"/>
      <c r="E302" s="64" t="s">
        <v>476</v>
      </c>
      <c r="F302" s="10">
        <v>17</v>
      </c>
      <c r="G302" s="10">
        <v>1768</v>
      </c>
      <c r="H302" s="64" t="s">
        <v>6733</v>
      </c>
      <c r="I302" s="64" t="s">
        <v>6734</v>
      </c>
      <c r="J302" s="10">
        <v>1701</v>
      </c>
      <c r="K302" s="16">
        <v>1</v>
      </c>
      <c r="L302" s="80">
        <v>6</v>
      </c>
      <c r="M302" s="10"/>
      <c r="N302" s="10"/>
      <c r="O302" s="10"/>
      <c r="P302" s="10"/>
      <c r="Q302" s="10"/>
      <c r="R302" s="10"/>
    </row>
    <row r="303" spans="1:18">
      <c r="A303" s="39"/>
      <c r="B303" s="70" t="s">
        <v>6705</v>
      </c>
      <c r="C303" s="70" t="s">
        <v>494</v>
      </c>
      <c r="D303" s="10"/>
      <c r="E303" s="10"/>
      <c r="F303" s="10"/>
      <c r="G303" s="10"/>
      <c r="H303" s="10"/>
      <c r="I303" s="10"/>
      <c r="J303" s="10"/>
      <c r="K303" s="16">
        <v>2</v>
      </c>
      <c r="L303" s="31">
        <v>6</v>
      </c>
      <c r="M303" s="10"/>
      <c r="N303" s="10"/>
      <c r="O303" s="10"/>
      <c r="P303" s="10"/>
      <c r="Q303" s="10"/>
      <c r="R303" s="10"/>
    </row>
    <row r="304" spans="1:18">
      <c r="A304" s="39"/>
      <c r="B304" s="70" t="s">
        <v>6715</v>
      </c>
      <c r="C304" s="70" t="s">
        <v>494</v>
      </c>
      <c r="D304" s="10"/>
      <c r="E304" s="10"/>
      <c r="F304" s="10"/>
      <c r="G304" s="10"/>
      <c r="H304" s="10"/>
      <c r="I304" s="10"/>
      <c r="J304" s="10"/>
      <c r="K304" s="16">
        <v>3</v>
      </c>
      <c r="L304" s="31">
        <v>7</v>
      </c>
      <c r="M304" s="10">
        <v>1</v>
      </c>
      <c r="N304" s="10"/>
      <c r="O304" s="10"/>
      <c r="P304" s="10"/>
      <c r="Q304" s="10"/>
      <c r="R304" s="10"/>
    </row>
    <row r="305" spans="1:18">
      <c r="A305" s="39"/>
      <c r="B305" s="70" t="s">
        <v>6716</v>
      </c>
      <c r="C305" s="70" t="s">
        <v>494</v>
      </c>
      <c r="D305" s="10"/>
      <c r="E305" s="10"/>
      <c r="F305" s="10"/>
      <c r="G305" s="10"/>
      <c r="H305" s="10"/>
      <c r="I305" s="10"/>
      <c r="J305" s="10"/>
      <c r="K305" s="16">
        <v>4</v>
      </c>
      <c r="L305" s="31"/>
      <c r="M305" s="10">
        <v>73</v>
      </c>
      <c r="N305" s="10"/>
      <c r="O305" s="10"/>
      <c r="P305" s="10"/>
      <c r="Q305" s="10"/>
      <c r="R305" s="10"/>
    </row>
    <row r="306" spans="1:18">
      <c r="A306" s="39"/>
      <c r="B306" s="70" t="s">
        <v>6717</v>
      </c>
      <c r="C306" s="70" t="s">
        <v>494</v>
      </c>
      <c r="D306" s="10"/>
      <c r="E306" s="10"/>
      <c r="F306" s="10"/>
      <c r="G306" s="10"/>
      <c r="H306" s="10"/>
      <c r="I306" s="10"/>
      <c r="J306" s="10"/>
      <c r="K306" s="16">
        <v>5</v>
      </c>
      <c r="L306" s="31"/>
      <c r="M306" s="10">
        <v>74</v>
      </c>
      <c r="N306" s="10"/>
      <c r="O306" s="10"/>
      <c r="P306" s="10"/>
      <c r="Q306" s="10"/>
      <c r="R306" s="10"/>
    </row>
    <row r="307" spans="1:18">
      <c r="A307" s="39"/>
      <c r="B307" s="70" t="s">
        <v>6706</v>
      </c>
      <c r="C307" s="70" t="s">
        <v>494</v>
      </c>
      <c r="D307" s="10"/>
      <c r="E307" s="10"/>
      <c r="F307" s="10"/>
      <c r="G307" s="10"/>
      <c r="H307" s="10"/>
      <c r="I307" s="10"/>
      <c r="J307" s="10"/>
      <c r="K307" s="16">
        <v>6</v>
      </c>
      <c r="L307" s="80">
        <v>3</v>
      </c>
      <c r="M307" s="64">
        <v>1</v>
      </c>
      <c r="N307" s="64" t="s">
        <v>506</v>
      </c>
      <c r="O307" s="64" t="s">
        <v>514</v>
      </c>
      <c r="P307" s="62" t="s">
        <v>515</v>
      </c>
      <c r="Q307" s="10"/>
      <c r="R307" s="10"/>
    </row>
    <row r="308" spans="1:18">
      <c r="A308" s="39"/>
      <c r="B308" s="70" t="s">
        <v>6708</v>
      </c>
      <c r="C308" s="70" t="s">
        <v>494</v>
      </c>
      <c r="D308" s="10"/>
      <c r="E308" s="10"/>
      <c r="F308" s="10"/>
      <c r="G308" s="10"/>
      <c r="H308" s="10"/>
      <c r="I308" s="10"/>
      <c r="J308" s="10"/>
      <c r="K308" s="16">
        <v>7</v>
      </c>
      <c r="L308" s="80">
        <v>3</v>
      </c>
      <c r="M308" s="64">
        <v>1</v>
      </c>
      <c r="N308" s="62" t="s">
        <v>3664</v>
      </c>
      <c r="O308" s="60" t="s">
        <v>3666</v>
      </c>
      <c r="P308" s="60" t="s">
        <v>3667</v>
      </c>
      <c r="Q308" s="10"/>
      <c r="R308" s="10"/>
    </row>
    <row r="309" spans="1:18">
      <c r="A309" s="39"/>
      <c r="B309" s="70" t="s">
        <v>6707</v>
      </c>
      <c r="C309" s="70" t="s">
        <v>494</v>
      </c>
      <c r="D309" s="10"/>
      <c r="E309" s="10"/>
      <c r="F309" s="10"/>
      <c r="G309" s="10"/>
      <c r="H309" s="10"/>
      <c r="I309" s="10"/>
      <c r="J309" s="10"/>
      <c r="K309" s="16">
        <v>8</v>
      </c>
      <c r="L309" s="80">
        <v>3</v>
      </c>
      <c r="M309" s="10">
        <v>1</v>
      </c>
      <c r="N309" s="62" t="s">
        <v>1038</v>
      </c>
      <c r="O309" s="23" t="s">
        <v>1040</v>
      </c>
      <c r="P309" s="23" t="s">
        <v>1041</v>
      </c>
      <c r="Q309" s="23"/>
      <c r="R309" s="10"/>
    </row>
    <row r="310" spans="1:18">
      <c r="A310" s="39"/>
      <c r="B310" s="70" t="s">
        <v>6732</v>
      </c>
      <c r="C310" s="70" t="s">
        <v>494</v>
      </c>
      <c r="D310" s="10"/>
      <c r="E310" s="10"/>
      <c r="F310" s="10"/>
      <c r="G310" s="10"/>
      <c r="H310" s="10"/>
      <c r="I310" s="10"/>
      <c r="J310" s="10"/>
      <c r="K310" s="16">
        <v>9</v>
      </c>
      <c r="L310" s="80">
        <v>3</v>
      </c>
      <c r="M310" s="64">
        <v>1</v>
      </c>
      <c r="N310" s="64" t="s">
        <v>6701</v>
      </c>
      <c r="O310" s="62" t="s">
        <v>6702</v>
      </c>
      <c r="P310" s="62" t="s">
        <v>6703</v>
      </c>
      <c r="Q310" s="10"/>
      <c r="R310" s="10"/>
    </row>
    <row r="311" spans="1:18">
      <c r="A311" s="39"/>
      <c r="B311" s="70" t="s">
        <v>6709</v>
      </c>
      <c r="C311" s="70" t="s">
        <v>494</v>
      </c>
      <c r="D311" s="10"/>
      <c r="E311" s="10"/>
      <c r="F311" s="10"/>
      <c r="G311" s="10"/>
      <c r="H311" s="10"/>
      <c r="I311" s="10"/>
      <c r="J311" s="10"/>
      <c r="K311" s="16">
        <v>10</v>
      </c>
      <c r="L311" s="80">
        <v>3</v>
      </c>
      <c r="M311" s="10">
        <v>1</v>
      </c>
      <c r="N311" s="10"/>
      <c r="P311" s="10"/>
      <c r="Q311" s="10"/>
      <c r="R311" s="10"/>
    </row>
    <row r="312" spans="1:18">
      <c r="A312" s="39"/>
      <c r="B312" s="70" t="s">
        <v>6710</v>
      </c>
      <c r="C312" s="70" t="s">
        <v>494</v>
      </c>
      <c r="D312" s="10"/>
      <c r="E312" s="10"/>
      <c r="F312" s="10"/>
      <c r="G312" s="10"/>
      <c r="H312" s="10"/>
      <c r="I312" s="10"/>
      <c r="J312" s="10"/>
      <c r="K312" s="16">
        <v>11</v>
      </c>
      <c r="L312" s="80">
        <v>8</v>
      </c>
      <c r="M312" s="10">
        <v>1</v>
      </c>
      <c r="N312" s="10"/>
      <c r="O312" s="10"/>
      <c r="P312" s="10"/>
      <c r="Q312" s="10"/>
      <c r="R312" s="10"/>
    </row>
    <row r="313" spans="1:18">
      <c r="A313" s="39"/>
      <c r="B313" s="70" t="s">
        <v>6711</v>
      </c>
      <c r="C313" s="70" t="s">
        <v>494</v>
      </c>
      <c r="D313" s="10"/>
      <c r="E313" s="10"/>
      <c r="F313" s="10"/>
      <c r="G313" s="10"/>
      <c r="H313" s="10"/>
      <c r="I313" s="10"/>
      <c r="J313" s="10"/>
      <c r="K313" s="16">
        <v>12</v>
      </c>
      <c r="L313" s="80">
        <v>8</v>
      </c>
      <c r="M313" s="64">
        <v>1</v>
      </c>
      <c r="N313" s="10"/>
      <c r="O313" s="10"/>
      <c r="P313" s="10"/>
      <c r="Q313" s="10"/>
      <c r="R313" s="10"/>
    </row>
    <row r="314" spans="1:18">
      <c r="A314" s="39"/>
      <c r="B314" s="70" t="s">
        <v>6719</v>
      </c>
      <c r="C314" s="70" t="s">
        <v>493</v>
      </c>
      <c r="D314" s="10">
        <v>1</v>
      </c>
      <c r="E314" s="10"/>
      <c r="F314" s="10"/>
      <c r="G314" s="10"/>
      <c r="H314" s="10"/>
      <c r="I314" s="10"/>
      <c r="J314" s="10"/>
      <c r="K314" s="16">
        <v>13</v>
      </c>
      <c r="L314" s="80">
        <v>3</v>
      </c>
      <c r="M314" s="64">
        <v>1</v>
      </c>
      <c r="N314" s="10"/>
      <c r="O314" s="10"/>
      <c r="P314" s="10"/>
      <c r="Q314" s="10"/>
      <c r="R314" s="10"/>
    </row>
    <row r="315" spans="1:18">
      <c r="A315" s="39"/>
      <c r="B315" s="70" t="s">
        <v>6718</v>
      </c>
      <c r="C315" s="70" t="s">
        <v>520</v>
      </c>
      <c r="D315" s="10"/>
      <c r="E315" s="10"/>
      <c r="F315" s="10"/>
      <c r="G315" s="10"/>
      <c r="H315" s="10"/>
      <c r="I315" s="10"/>
      <c r="J315" s="10"/>
      <c r="K315" s="16">
        <v>14</v>
      </c>
      <c r="L315" s="31"/>
      <c r="M315" s="64">
        <v>1</v>
      </c>
      <c r="N315" s="10"/>
      <c r="O315" s="10"/>
      <c r="P315" s="10"/>
      <c r="Q315" s="10"/>
      <c r="R315" s="10"/>
    </row>
    <row r="316" spans="1:18">
      <c r="A316" s="39"/>
      <c r="B316" s="70" t="s">
        <v>6712</v>
      </c>
      <c r="C316" s="70" t="s">
        <v>494</v>
      </c>
      <c r="D316" s="10"/>
      <c r="E316" s="10"/>
      <c r="F316" s="10"/>
      <c r="G316" s="10"/>
      <c r="H316" s="10"/>
      <c r="I316" s="10"/>
      <c r="J316" s="10"/>
      <c r="K316" s="16">
        <v>15</v>
      </c>
      <c r="L316" s="80">
        <v>3</v>
      </c>
      <c r="M316" s="64">
        <v>1</v>
      </c>
      <c r="N316" s="10"/>
      <c r="O316" s="10"/>
      <c r="P316" s="10"/>
      <c r="Q316" s="10"/>
      <c r="R316" s="10"/>
    </row>
    <row r="317" spans="1:18">
      <c r="A317" s="39"/>
      <c r="B317" s="70" t="s">
        <v>6713</v>
      </c>
      <c r="C317" s="70" t="s">
        <v>494</v>
      </c>
      <c r="D317" s="10"/>
      <c r="E317" s="10"/>
      <c r="F317" s="10"/>
      <c r="G317" s="10"/>
      <c r="H317" s="10"/>
      <c r="I317" s="10"/>
      <c r="J317" s="10"/>
      <c r="K317" s="16">
        <v>16</v>
      </c>
      <c r="L317" s="80">
        <v>8</v>
      </c>
      <c r="M317" s="64">
        <v>1</v>
      </c>
      <c r="N317" s="10"/>
      <c r="O317" s="10"/>
      <c r="P317" s="10"/>
      <c r="Q317" s="10"/>
      <c r="R317" s="10"/>
    </row>
    <row r="318" spans="1:18">
      <c r="A318" s="39"/>
      <c r="B318" s="70" t="s">
        <v>6714</v>
      </c>
      <c r="C318" s="70" t="s">
        <v>494</v>
      </c>
      <c r="D318" s="10"/>
      <c r="E318" s="10"/>
      <c r="F318" s="10"/>
      <c r="G318" s="10"/>
      <c r="H318" s="10"/>
      <c r="I318" s="10"/>
      <c r="J318" s="10"/>
      <c r="K318" s="16">
        <v>17</v>
      </c>
      <c r="L318" s="80">
        <v>8</v>
      </c>
      <c r="M318" s="64">
        <v>1</v>
      </c>
      <c r="N318" s="10"/>
      <c r="O318" s="10"/>
      <c r="P318" s="10"/>
      <c r="Q318" s="10"/>
      <c r="R318" s="10"/>
    </row>
    <row r="319" spans="1:18">
      <c r="A319" s="39"/>
      <c r="B319" s="70" t="s">
        <v>6720</v>
      </c>
      <c r="C319" s="70" t="s">
        <v>493</v>
      </c>
      <c r="D319" s="10">
        <v>1</v>
      </c>
      <c r="E319" s="10"/>
      <c r="F319" s="10"/>
      <c r="G319" s="10"/>
      <c r="H319" s="10"/>
      <c r="I319" s="10"/>
      <c r="J319" s="10"/>
      <c r="K319" s="16">
        <v>18</v>
      </c>
      <c r="L319" s="80">
        <v>3</v>
      </c>
      <c r="M319" s="64">
        <v>1</v>
      </c>
      <c r="N319" s="10"/>
      <c r="O319" s="10"/>
      <c r="P319" s="10"/>
      <c r="Q319" s="10"/>
      <c r="R319" s="10"/>
    </row>
    <row r="320" spans="1:18">
      <c r="A320" s="39"/>
      <c r="B320" s="70" t="s">
        <v>6723</v>
      </c>
      <c r="C320" s="70" t="s">
        <v>494</v>
      </c>
      <c r="D320" s="10"/>
      <c r="E320" s="10"/>
      <c r="F320" s="10"/>
      <c r="G320" s="10"/>
      <c r="H320" s="10"/>
      <c r="I320" s="10"/>
      <c r="J320" s="10"/>
      <c r="K320" s="16">
        <v>19</v>
      </c>
      <c r="L320" s="80">
        <v>3</v>
      </c>
      <c r="M320" s="10"/>
      <c r="N320" s="64" t="s">
        <v>6729</v>
      </c>
      <c r="O320" s="62" t="s">
        <v>6730</v>
      </c>
      <c r="P320" s="62" t="s">
        <v>6731</v>
      </c>
      <c r="Q320" s="10"/>
      <c r="R320" s="10"/>
    </row>
    <row r="321" spans="1:18">
      <c r="A321" s="39"/>
      <c r="B321" s="70" t="s">
        <v>6724</v>
      </c>
      <c r="C321" s="70" t="s">
        <v>494</v>
      </c>
      <c r="D321" s="10"/>
      <c r="E321" s="10"/>
      <c r="F321" s="10"/>
      <c r="G321" s="10"/>
      <c r="H321" s="10"/>
      <c r="I321" s="10"/>
      <c r="J321" s="10"/>
      <c r="K321" s="16">
        <v>20</v>
      </c>
      <c r="L321" s="80">
        <v>8</v>
      </c>
      <c r="M321" s="10"/>
      <c r="N321" s="10"/>
      <c r="P321" s="10"/>
      <c r="Q321" s="10"/>
      <c r="R321" s="10"/>
    </row>
    <row r="322" spans="1:18">
      <c r="A322" s="39"/>
      <c r="B322" s="70" t="s">
        <v>6725</v>
      </c>
      <c r="C322" s="70" t="s">
        <v>494</v>
      </c>
      <c r="D322" s="10"/>
      <c r="E322" s="10"/>
      <c r="F322" s="10"/>
      <c r="G322" s="10"/>
      <c r="H322" s="10"/>
      <c r="I322" s="10"/>
      <c r="J322" s="10"/>
      <c r="K322" s="16">
        <v>21</v>
      </c>
      <c r="L322" s="80">
        <v>7</v>
      </c>
      <c r="M322" s="10"/>
      <c r="N322" s="10"/>
      <c r="O322" s="10"/>
      <c r="P322" s="10"/>
      <c r="Q322" s="10"/>
      <c r="R322" s="10"/>
    </row>
    <row r="323" spans="1:18">
      <c r="A323" s="39"/>
      <c r="B323" s="70" t="s">
        <v>6726</v>
      </c>
      <c r="C323" s="70" t="s">
        <v>494</v>
      </c>
      <c r="D323" s="10"/>
      <c r="E323" s="10"/>
      <c r="F323" s="10"/>
      <c r="G323" s="10"/>
      <c r="H323" s="10"/>
      <c r="I323" s="10"/>
      <c r="J323" s="10"/>
      <c r="K323" s="16">
        <v>22</v>
      </c>
      <c r="L323" s="31"/>
      <c r="M323" s="10">
        <v>71</v>
      </c>
      <c r="N323" s="10"/>
      <c r="O323" s="10"/>
      <c r="P323" s="10"/>
      <c r="Q323" s="10"/>
      <c r="R323" s="10"/>
    </row>
    <row r="324" spans="1:18">
      <c r="A324" s="39"/>
      <c r="B324" s="70" t="s">
        <v>6727</v>
      </c>
      <c r="C324" s="70" t="s">
        <v>494</v>
      </c>
      <c r="D324" s="10"/>
      <c r="E324" s="10"/>
      <c r="F324" s="10"/>
      <c r="G324" s="10"/>
      <c r="H324" s="10"/>
      <c r="I324" s="10"/>
      <c r="J324" s="10"/>
      <c r="K324" s="16">
        <v>23</v>
      </c>
      <c r="L324" s="31"/>
      <c r="M324" s="10">
        <v>72</v>
      </c>
      <c r="N324" s="10"/>
      <c r="O324" s="10"/>
      <c r="P324" s="10"/>
      <c r="Q324" s="10"/>
      <c r="R324" s="10"/>
    </row>
    <row r="325" spans="1:18">
      <c r="A325" s="39"/>
      <c r="B325" s="70" t="s">
        <v>6728</v>
      </c>
      <c r="C325" s="70" t="s">
        <v>520</v>
      </c>
      <c r="D325" s="10"/>
      <c r="E325" s="10"/>
      <c r="F325" s="10"/>
      <c r="G325" s="10"/>
      <c r="H325" s="10"/>
      <c r="I325" s="10"/>
      <c r="J325" s="10"/>
      <c r="K325" s="16">
        <v>24</v>
      </c>
      <c r="L325" s="31"/>
      <c r="M325" s="64"/>
      <c r="N325" s="10"/>
      <c r="O325" s="10"/>
      <c r="P325" s="10"/>
      <c r="Q325" s="10"/>
      <c r="R325" s="10"/>
    </row>
    <row r="326" spans="1:18">
      <c r="A326" s="10"/>
      <c r="B326" s="62"/>
      <c r="C326" s="64"/>
      <c r="D326" s="10"/>
      <c r="E326" s="10"/>
      <c r="F326" s="10"/>
      <c r="G326" s="10"/>
      <c r="H326" s="10"/>
      <c r="I326" s="10"/>
      <c r="J326" s="10"/>
      <c r="K326" s="16"/>
      <c r="L326" s="31"/>
      <c r="M326" s="10"/>
      <c r="N326" s="10"/>
      <c r="O326" s="10"/>
      <c r="P326" s="10"/>
      <c r="Q326" s="10"/>
      <c r="R326" s="10"/>
    </row>
    <row r="327" spans="1:18">
      <c r="A327" s="64" t="s">
        <v>6729</v>
      </c>
      <c r="B327" s="62" t="s">
        <v>6730</v>
      </c>
      <c r="C327" s="64" t="s">
        <v>494</v>
      </c>
      <c r="D327" s="10"/>
      <c r="E327" s="64" t="s">
        <v>476</v>
      </c>
      <c r="F327" s="10"/>
      <c r="G327" s="10"/>
      <c r="H327" s="10"/>
      <c r="I327" s="10"/>
      <c r="J327" s="10"/>
      <c r="K327" s="16"/>
      <c r="L327" s="31"/>
      <c r="M327" s="10"/>
      <c r="N327" s="10"/>
      <c r="O327" s="10"/>
      <c r="P327" s="10"/>
      <c r="Q327" s="10"/>
      <c r="R327" s="10"/>
    </row>
    <row r="328" spans="1:18">
      <c r="A328" s="10"/>
      <c r="B328" s="62" t="s">
        <v>6731</v>
      </c>
      <c r="C328" s="64" t="s">
        <v>493</v>
      </c>
      <c r="D328" s="10">
        <v>100</v>
      </c>
      <c r="E328" s="10"/>
      <c r="F328" s="10"/>
      <c r="G328" s="10"/>
      <c r="H328" s="10"/>
      <c r="I328" s="10"/>
      <c r="J328" s="10"/>
      <c r="K328" s="16"/>
      <c r="L328" s="31"/>
      <c r="M328" s="10"/>
      <c r="N328" s="10"/>
      <c r="O328" s="10"/>
      <c r="P328" s="10"/>
      <c r="Q328" s="10"/>
      <c r="R328" s="10"/>
    </row>
    <row r="329" spans="1:18">
      <c r="A329" s="10"/>
      <c r="B329"/>
      <c r="C329" s="64"/>
      <c r="D329" s="10"/>
      <c r="E329" s="10"/>
      <c r="F329" s="10"/>
      <c r="G329" s="10"/>
      <c r="H329" s="10"/>
      <c r="I329" s="10"/>
      <c r="J329" s="10"/>
      <c r="K329" s="16"/>
      <c r="L329" s="31"/>
      <c r="M329" s="10"/>
      <c r="N329" s="10"/>
      <c r="O329" s="10"/>
      <c r="P329" s="10"/>
      <c r="Q329" s="10"/>
      <c r="R329" s="10"/>
    </row>
    <row r="330" spans="1:18" customFormat="1">
      <c r="A330" s="62"/>
      <c r="B330" s="62"/>
      <c r="C330" s="62"/>
      <c r="D330" s="62"/>
      <c r="K330" s="55"/>
    </row>
    <row r="331" spans="1:18" customFormat="1"/>
    <row r="332" spans="1:18" customFormat="1">
      <c r="A332" t="s">
        <v>6508</v>
      </c>
      <c r="B332" s="62" t="s">
        <v>6509</v>
      </c>
      <c r="C332" t="s">
        <v>494</v>
      </c>
      <c r="E332" t="s">
        <v>476</v>
      </c>
      <c r="F332">
        <v>30</v>
      </c>
      <c r="G332">
        <v>3003</v>
      </c>
      <c r="H332" t="s">
        <v>2480</v>
      </c>
      <c r="I332" t="s">
        <v>6510</v>
      </c>
      <c r="J332">
        <v>1</v>
      </c>
      <c r="K332">
        <v>1</v>
      </c>
      <c r="L332">
        <v>3</v>
      </c>
      <c r="N332" t="s">
        <v>6498</v>
      </c>
      <c r="O332" t="s">
        <v>6501</v>
      </c>
      <c r="P332" t="s">
        <v>6502</v>
      </c>
    </row>
    <row r="333" spans="1:18" customFormat="1">
      <c r="B333" t="s">
        <v>6511</v>
      </c>
      <c r="C333" t="s">
        <v>494</v>
      </c>
      <c r="E333" t="s">
        <v>476</v>
      </c>
      <c r="K333">
        <v>2</v>
      </c>
      <c r="L333">
        <v>6</v>
      </c>
    </row>
    <row r="334" spans="1:18" customFormat="1">
      <c r="B334" t="s">
        <v>6512</v>
      </c>
      <c r="C334" t="s">
        <v>494</v>
      </c>
      <c r="K334">
        <v>3</v>
      </c>
      <c r="L334">
        <v>6</v>
      </c>
    </row>
    <row r="335" spans="1:18" customFormat="1">
      <c r="B335" t="s">
        <v>6513</v>
      </c>
      <c r="C335" t="s">
        <v>493</v>
      </c>
      <c r="D335">
        <v>1</v>
      </c>
      <c r="K335">
        <v>4</v>
      </c>
      <c r="L335">
        <v>3</v>
      </c>
    </row>
    <row r="336" spans="1:18" customFormat="1">
      <c r="B336" s="62" t="s">
        <v>6514</v>
      </c>
      <c r="C336" t="s">
        <v>493</v>
      </c>
      <c r="D336">
        <v>250</v>
      </c>
      <c r="K336">
        <v>5</v>
      </c>
    </row>
    <row r="337" spans="2:18" customFormat="1">
      <c r="B337" t="s">
        <v>6515</v>
      </c>
      <c r="C337" t="s">
        <v>520</v>
      </c>
      <c r="K337">
        <v>6</v>
      </c>
    </row>
    <row r="338" spans="2:18" customFormat="1">
      <c r="B338" s="62" t="s">
        <v>6516</v>
      </c>
      <c r="C338" t="s">
        <v>520</v>
      </c>
      <c r="K338">
        <v>7</v>
      </c>
    </row>
    <row r="339" spans="2:18" customFormat="1">
      <c r="B339" t="s">
        <v>6517</v>
      </c>
      <c r="C339" t="s">
        <v>493</v>
      </c>
      <c r="D339">
        <v>1</v>
      </c>
      <c r="H339" s="62" t="s">
        <v>6343</v>
      </c>
      <c r="K339">
        <v>8</v>
      </c>
      <c r="L339">
        <v>3</v>
      </c>
    </row>
    <row r="340" spans="2:18" customFormat="1">
      <c r="B340" s="62" t="s">
        <v>6518</v>
      </c>
      <c r="C340" t="s">
        <v>494</v>
      </c>
      <c r="K340">
        <v>9</v>
      </c>
      <c r="L340">
        <v>3</v>
      </c>
    </row>
    <row r="341" spans="2:18" customFormat="1">
      <c r="B341" t="s">
        <v>6519</v>
      </c>
      <c r="C341" t="s">
        <v>493</v>
      </c>
      <c r="D341">
        <v>100</v>
      </c>
      <c r="K341">
        <v>10</v>
      </c>
    </row>
    <row r="342" spans="2:18" customFormat="1">
      <c r="B342" s="62" t="s">
        <v>6520</v>
      </c>
      <c r="C342" t="s">
        <v>494</v>
      </c>
      <c r="K342">
        <v>11</v>
      </c>
      <c r="L342">
        <v>3</v>
      </c>
      <c r="N342" s="62" t="s">
        <v>6344</v>
      </c>
      <c r="O342" s="62" t="s">
        <v>6348</v>
      </c>
      <c r="P342" s="62" t="s">
        <v>6350</v>
      </c>
    </row>
    <row r="343" spans="2:18" customFormat="1">
      <c r="B343" s="62" t="s">
        <v>6521</v>
      </c>
      <c r="C343" t="s">
        <v>494</v>
      </c>
      <c r="K343">
        <v>12</v>
      </c>
      <c r="L343">
        <v>3</v>
      </c>
      <c r="M343">
        <v>31</v>
      </c>
      <c r="N343" s="64" t="s">
        <v>4481</v>
      </c>
      <c r="O343" s="64" t="s">
        <v>4483</v>
      </c>
      <c r="P343" s="64" t="s">
        <v>4485</v>
      </c>
      <c r="Q343" s="64" t="s">
        <v>6359</v>
      </c>
      <c r="R343">
        <v>11</v>
      </c>
    </row>
    <row r="344" spans="2:18" customFormat="1">
      <c r="B344" s="62" t="s">
        <v>6522</v>
      </c>
      <c r="C344" t="s">
        <v>494</v>
      </c>
      <c r="K344">
        <v>13</v>
      </c>
      <c r="L344">
        <v>8</v>
      </c>
    </row>
    <row r="345" spans="2:18" customFormat="1">
      <c r="B345" s="62" t="s">
        <v>6523</v>
      </c>
      <c r="C345" t="s">
        <v>494</v>
      </c>
      <c r="K345">
        <v>14</v>
      </c>
    </row>
    <row r="346" spans="2:18" customFormat="1">
      <c r="B346" s="62" t="s">
        <v>6524</v>
      </c>
      <c r="C346" t="s">
        <v>494</v>
      </c>
      <c r="K346">
        <v>15</v>
      </c>
    </row>
    <row r="347" spans="2:18" customFormat="1">
      <c r="B347" t="s">
        <v>6525</v>
      </c>
      <c r="C347" t="s">
        <v>493</v>
      </c>
      <c r="D347">
        <v>100</v>
      </c>
      <c r="K347">
        <v>16</v>
      </c>
    </row>
    <row r="348" spans="2:18" customFormat="1">
      <c r="B348" s="62" t="s">
        <v>6526</v>
      </c>
      <c r="C348" t="s">
        <v>494</v>
      </c>
      <c r="K348">
        <v>17</v>
      </c>
      <c r="L348">
        <v>3</v>
      </c>
      <c r="N348" s="62" t="s">
        <v>6344</v>
      </c>
      <c r="O348" s="62" t="s">
        <v>6348</v>
      </c>
      <c r="P348" s="62" t="s">
        <v>6350</v>
      </c>
    </row>
    <row r="349" spans="2:18" customFormat="1">
      <c r="B349" s="62" t="s">
        <v>6527</v>
      </c>
      <c r="C349" t="s">
        <v>494</v>
      </c>
      <c r="K349">
        <v>18</v>
      </c>
      <c r="L349">
        <v>3</v>
      </c>
      <c r="M349">
        <v>31</v>
      </c>
      <c r="N349" s="64" t="s">
        <v>4481</v>
      </c>
      <c r="O349" s="64" t="s">
        <v>4483</v>
      </c>
      <c r="P349" s="64" t="s">
        <v>4485</v>
      </c>
      <c r="Q349" s="64" t="s">
        <v>6359</v>
      </c>
      <c r="R349">
        <v>17</v>
      </c>
    </row>
    <row r="350" spans="2:18" customFormat="1">
      <c r="B350" s="62" t="s">
        <v>6528</v>
      </c>
      <c r="C350" t="s">
        <v>494</v>
      </c>
      <c r="K350">
        <v>19</v>
      </c>
      <c r="L350">
        <v>8</v>
      </c>
    </row>
    <row r="351" spans="2:18" customFormat="1">
      <c r="B351" s="62" t="s">
        <v>6529</v>
      </c>
      <c r="C351" t="s">
        <v>494</v>
      </c>
      <c r="K351">
        <v>20</v>
      </c>
    </row>
    <row r="352" spans="2:18" customFormat="1">
      <c r="B352" s="62" t="s">
        <v>6530</v>
      </c>
      <c r="C352" t="s">
        <v>494</v>
      </c>
      <c r="K352">
        <v>21</v>
      </c>
    </row>
    <row r="353" spans="1:18" customFormat="1">
      <c r="B353" t="s">
        <v>6531</v>
      </c>
      <c r="C353" t="s">
        <v>493</v>
      </c>
      <c r="D353">
        <v>100</v>
      </c>
      <c r="K353">
        <v>22</v>
      </c>
    </row>
    <row r="354" spans="1:18" customFormat="1">
      <c r="B354" s="62" t="s">
        <v>6532</v>
      </c>
      <c r="C354" t="s">
        <v>494</v>
      </c>
      <c r="K354">
        <v>23</v>
      </c>
      <c r="L354">
        <v>3</v>
      </c>
      <c r="N354" s="62" t="s">
        <v>6344</v>
      </c>
      <c r="O354" s="62" t="s">
        <v>6348</v>
      </c>
      <c r="P354" s="62" t="s">
        <v>6350</v>
      </c>
    </row>
    <row r="355" spans="1:18" customFormat="1">
      <c r="B355" s="62" t="s">
        <v>6533</v>
      </c>
      <c r="C355" t="s">
        <v>494</v>
      </c>
      <c r="K355">
        <v>24</v>
      </c>
      <c r="L355">
        <v>3</v>
      </c>
      <c r="M355">
        <v>31</v>
      </c>
      <c r="N355" s="64" t="s">
        <v>4481</v>
      </c>
      <c r="O355" s="64" t="s">
        <v>4483</v>
      </c>
      <c r="P355" s="64" t="s">
        <v>4485</v>
      </c>
      <c r="Q355" s="64" t="s">
        <v>6359</v>
      </c>
      <c r="R355">
        <v>23</v>
      </c>
    </row>
    <row r="356" spans="1:18" customFormat="1">
      <c r="B356" s="62" t="s">
        <v>6534</v>
      </c>
      <c r="C356" t="s">
        <v>494</v>
      </c>
      <c r="K356">
        <v>25</v>
      </c>
      <c r="L356">
        <v>8</v>
      </c>
    </row>
    <row r="357" spans="1:18" customFormat="1">
      <c r="B357" s="62" t="s">
        <v>6535</v>
      </c>
      <c r="C357" t="s">
        <v>494</v>
      </c>
      <c r="K357">
        <v>26</v>
      </c>
    </row>
    <row r="358" spans="1:18" customFormat="1">
      <c r="B358" s="62" t="s">
        <v>6536</v>
      </c>
      <c r="C358" t="s">
        <v>494</v>
      </c>
      <c r="K358">
        <v>27</v>
      </c>
    </row>
    <row r="359" spans="1:18" customFormat="1">
      <c r="B359" t="s">
        <v>6537</v>
      </c>
      <c r="C359" t="s">
        <v>493</v>
      </c>
      <c r="D359">
        <v>1</v>
      </c>
      <c r="K359">
        <v>28</v>
      </c>
      <c r="L359">
        <v>3</v>
      </c>
    </row>
    <row r="360" spans="1:18" customFormat="1">
      <c r="B360" t="s">
        <v>6538</v>
      </c>
      <c r="C360" t="s">
        <v>493</v>
      </c>
      <c r="D360">
        <v>1</v>
      </c>
      <c r="K360">
        <v>29</v>
      </c>
      <c r="L360">
        <v>3</v>
      </c>
    </row>
    <row r="361" spans="1:18" customFormat="1">
      <c r="B361" s="62" t="s">
        <v>6539</v>
      </c>
      <c r="C361" s="62" t="s">
        <v>493</v>
      </c>
      <c r="D361">
        <v>1</v>
      </c>
      <c r="K361">
        <v>30</v>
      </c>
      <c r="L361">
        <v>3</v>
      </c>
    </row>
    <row r="362" spans="1:18" customFormat="1">
      <c r="B362" s="62" t="s">
        <v>6540</v>
      </c>
      <c r="C362" s="62" t="s">
        <v>493</v>
      </c>
      <c r="D362">
        <v>1</v>
      </c>
      <c r="K362">
        <v>31</v>
      </c>
      <c r="L362">
        <v>3</v>
      </c>
    </row>
    <row r="363" spans="1:18" customFormat="1">
      <c r="B363" s="62" t="s">
        <v>6541</v>
      </c>
      <c r="C363" s="62" t="s">
        <v>494</v>
      </c>
      <c r="K363">
        <v>32</v>
      </c>
      <c r="L363">
        <v>3</v>
      </c>
      <c r="M363">
        <v>1</v>
      </c>
    </row>
    <row r="364" spans="1:18" customFormat="1">
      <c r="B364" s="70" t="s">
        <v>6688</v>
      </c>
      <c r="C364" s="70" t="s">
        <v>494</v>
      </c>
      <c r="K364">
        <v>33</v>
      </c>
      <c r="L364">
        <v>3</v>
      </c>
      <c r="N364" t="s">
        <v>6692</v>
      </c>
      <c r="O364" t="s">
        <v>6693</v>
      </c>
      <c r="P364" t="s">
        <v>6694</v>
      </c>
    </row>
    <row r="365" spans="1:18" customFormat="1">
      <c r="B365" s="70" t="s">
        <v>6689</v>
      </c>
      <c r="C365" s="94" t="s">
        <v>493</v>
      </c>
      <c r="D365">
        <v>1</v>
      </c>
      <c r="K365">
        <v>34</v>
      </c>
      <c r="L365">
        <v>3</v>
      </c>
    </row>
    <row r="366" spans="1:18" customFormat="1">
      <c r="B366" s="70" t="s">
        <v>6690</v>
      </c>
      <c r="C366" s="94" t="s">
        <v>493</v>
      </c>
      <c r="D366">
        <v>1</v>
      </c>
      <c r="K366">
        <v>35</v>
      </c>
      <c r="L366">
        <v>3</v>
      </c>
    </row>
    <row r="367" spans="1:18" customFormat="1"/>
    <row r="368" spans="1:18" customFormat="1">
      <c r="A368" t="s">
        <v>6542</v>
      </c>
      <c r="B368" t="s">
        <v>6543</v>
      </c>
      <c r="C368" t="s">
        <v>494</v>
      </c>
      <c r="E368" t="s">
        <v>476</v>
      </c>
      <c r="F368">
        <v>30</v>
      </c>
      <c r="G368">
        <v>3004</v>
      </c>
      <c r="H368" t="s">
        <v>111</v>
      </c>
      <c r="J368">
        <v>1</v>
      </c>
      <c r="K368">
        <v>1</v>
      </c>
      <c r="L368">
        <v>52</v>
      </c>
      <c r="N368">
        <v>3003</v>
      </c>
      <c r="O368" t="s">
        <v>6512</v>
      </c>
    </row>
    <row r="369" spans="1:13" customFormat="1">
      <c r="B369" t="s">
        <v>6544</v>
      </c>
      <c r="C369" t="s">
        <v>494</v>
      </c>
      <c r="E369" t="s">
        <v>476</v>
      </c>
      <c r="K369">
        <v>2</v>
      </c>
      <c r="L369">
        <v>6</v>
      </c>
    </row>
    <row r="370" spans="1:13" customFormat="1">
      <c r="B370" t="s">
        <v>6545</v>
      </c>
      <c r="C370" t="s">
        <v>494</v>
      </c>
      <c r="K370">
        <v>3</v>
      </c>
      <c r="L370">
        <v>6</v>
      </c>
    </row>
    <row r="371" spans="1:13" customFormat="1">
      <c r="B371" t="s">
        <v>6546</v>
      </c>
      <c r="C371" t="s">
        <v>493</v>
      </c>
      <c r="D371">
        <v>1</v>
      </c>
      <c r="K371">
        <v>4</v>
      </c>
      <c r="L371">
        <v>3</v>
      </c>
    </row>
    <row r="372" spans="1:13" customFormat="1">
      <c r="B372" t="s">
        <v>6547</v>
      </c>
      <c r="C372" t="s">
        <v>494</v>
      </c>
      <c r="K372">
        <v>5</v>
      </c>
    </row>
    <row r="373" spans="1:13" customFormat="1">
      <c r="B373" t="s">
        <v>6548</v>
      </c>
      <c r="C373" t="s">
        <v>493</v>
      </c>
      <c r="D373">
        <v>1</v>
      </c>
      <c r="K373">
        <v>6</v>
      </c>
      <c r="L373">
        <v>3</v>
      </c>
    </row>
    <row r="374" spans="1:13" customFormat="1">
      <c r="B374" t="s">
        <v>6549</v>
      </c>
      <c r="C374" t="s">
        <v>493</v>
      </c>
      <c r="D374">
        <v>100</v>
      </c>
      <c r="K374">
        <v>7</v>
      </c>
    </row>
    <row r="375" spans="1:13" customFormat="1">
      <c r="B375" t="s">
        <v>6550</v>
      </c>
      <c r="C375" t="s">
        <v>520</v>
      </c>
      <c r="K375">
        <v>8</v>
      </c>
    </row>
    <row r="376" spans="1:13" customFormat="1">
      <c r="B376" s="92" t="s">
        <v>6551</v>
      </c>
      <c r="C376" s="62" t="s">
        <v>494</v>
      </c>
      <c r="K376">
        <v>9</v>
      </c>
      <c r="M376">
        <v>1</v>
      </c>
    </row>
    <row r="377" spans="1:13" customFormat="1">
      <c r="B377" t="s">
        <v>6552</v>
      </c>
      <c r="C377" t="s">
        <v>494</v>
      </c>
      <c r="K377">
        <v>10</v>
      </c>
      <c r="L377">
        <v>91</v>
      </c>
    </row>
    <row r="378" spans="1:13" customFormat="1">
      <c r="B378" t="s">
        <v>6553</v>
      </c>
      <c r="C378" t="s">
        <v>494</v>
      </c>
      <c r="K378">
        <v>11</v>
      </c>
      <c r="L378">
        <v>92</v>
      </c>
    </row>
    <row r="379" spans="1:13" customFormat="1">
      <c r="B379" s="70" t="s">
        <v>6691</v>
      </c>
      <c r="C379" s="70" t="s">
        <v>494</v>
      </c>
      <c r="K379">
        <v>12</v>
      </c>
      <c r="L379">
        <v>3</v>
      </c>
    </row>
    <row r="380" spans="1:13" customFormat="1"/>
    <row r="381" spans="1:13" customFormat="1"/>
    <row r="382" spans="1:13" customFormat="1">
      <c r="A382" s="62"/>
      <c r="B382" s="62"/>
      <c r="C382" s="62"/>
      <c r="D382" s="62"/>
      <c r="K382" s="55"/>
    </row>
    <row r="383" spans="1:13" customFormat="1">
      <c r="A383" s="62"/>
    </row>
    <row r="384" spans="1:13" customFormat="1">
      <c r="A384" s="62"/>
    </row>
    <row r="385" spans="1:18" customFormat="1">
      <c r="A385" s="91" t="s">
        <v>3311</v>
      </c>
      <c r="B385" s="62" t="s">
        <v>3312</v>
      </c>
      <c r="C385" s="62" t="s">
        <v>494</v>
      </c>
      <c r="E385" s="62" t="s">
        <v>476</v>
      </c>
      <c r="F385">
        <v>22</v>
      </c>
      <c r="G385">
        <v>2206</v>
      </c>
      <c r="H385" s="62" t="s">
        <v>2890</v>
      </c>
      <c r="I385" s="62" t="s">
        <v>3328</v>
      </c>
      <c r="J385">
        <v>2201</v>
      </c>
      <c r="K385">
        <v>1</v>
      </c>
      <c r="L385" s="9">
        <v>3</v>
      </c>
      <c r="M385" s="1"/>
      <c r="N385" s="10" t="s">
        <v>506</v>
      </c>
      <c r="O385" s="10" t="s">
        <v>514</v>
      </c>
      <c r="P385" s="1" t="s">
        <v>515</v>
      </c>
    </row>
    <row r="386" spans="1:18" customFormat="1">
      <c r="B386" s="62" t="s">
        <v>3313</v>
      </c>
      <c r="C386" s="62" t="s">
        <v>494</v>
      </c>
      <c r="E386" s="62" t="s">
        <v>476</v>
      </c>
      <c r="K386">
        <v>2</v>
      </c>
      <c r="L386" s="68">
        <v>9</v>
      </c>
      <c r="M386" s="1"/>
      <c r="N386" s="1" t="s">
        <v>1038</v>
      </c>
      <c r="O386" s="23" t="s">
        <v>1040</v>
      </c>
      <c r="P386" s="23" t="s">
        <v>1041</v>
      </c>
      <c r="Q386" s="23" t="s">
        <v>1040</v>
      </c>
      <c r="R386" s="14">
        <v>140</v>
      </c>
    </row>
    <row r="387" spans="1:18" customFormat="1">
      <c r="B387" s="62" t="s">
        <v>3315</v>
      </c>
      <c r="C387" s="62" t="s">
        <v>494</v>
      </c>
      <c r="E387" s="62" t="s">
        <v>476</v>
      </c>
      <c r="K387">
        <v>3</v>
      </c>
      <c r="L387">
        <v>6</v>
      </c>
    </row>
    <row r="388" spans="1:18" customFormat="1">
      <c r="B388" s="62" t="s">
        <v>3316</v>
      </c>
      <c r="C388" s="62" t="s">
        <v>494</v>
      </c>
      <c r="K388">
        <v>4</v>
      </c>
      <c r="L388" s="32">
        <v>6</v>
      </c>
      <c r="M388" s="62"/>
      <c r="N388" s="62"/>
      <c r="O388" s="64"/>
      <c r="P388" s="62"/>
      <c r="Q388" s="14"/>
      <c r="R388" s="14"/>
    </row>
    <row r="389" spans="1:18" customFormat="1">
      <c r="B389" s="62" t="s">
        <v>3314</v>
      </c>
      <c r="C389" s="62" t="s">
        <v>494</v>
      </c>
      <c r="E389" s="62"/>
      <c r="K389">
        <v>5</v>
      </c>
    </row>
    <row r="390" spans="1:18">
      <c r="B390" s="66" t="s">
        <v>3317</v>
      </c>
      <c r="C390" s="64" t="s">
        <v>494</v>
      </c>
      <c r="D390" s="16"/>
      <c r="F390" s="14"/>
      <c r="G390" s="14"/>
      <c r="H390" s="47" t="s">
        <v>3358</v>
      </c>
      <c r="I390" s="11"/>
      <c r="J390" s="14"/>
      <c r="K390">
        <v>6</v>
      </c>
      <c r="L390" s="32">
        <v>3</v>
      </c>
      <c r="M390" s="62"/>
      <c r="N390" s="62"/>
      <c r="O390" s="64"/>
      <c r="P390" s="62"/>
      <c r="Q390" s="14"/>
      <c r="R390" s="14"/>
    </row>
    <row r="391" spans="1:18">
      <c r="B391" s="66" t="s">
        <v>3318</v>
      </c>
      <c r="C391" s="64" t="s">
        <v>494</v>
      </c>
      <c r="D391" s="16"/>
      <c r="F391" s="14"/>
      <c r="G391" s="14"/>
      <c r="H391" s="47"/>
      <c r="I391" s="11"/>
      <c r="J391" s="14"/>
      <c r="K391">
        <v>7</v>
      </c>
      <c r="L391" s="32"/>
      <c r="M391" s="62"/>
      <c r="N391" s="62"/>
      <c r="O391" s="64"/>
      <c r="P391" s="62"/>
      <c r="Q391" s="14"/>
      <c r="R391" s="14"/>
    </row>
    <row r="392" spans="1:18">
      <c r="B392" s="66" t="s">
        <v>3319</v>
      </c>
      <c r="C392" s="64" t="s">
        <v>494</v>
      </c>
      <c r="D392" s="16"/>
      <c r="F392" s="14"/>
      <c r="G392" s="14">
        <v>300</v>
      </c>
      <c r="H392" s="47"/>
      <c r="I392" s="11"/>
      <c r="J392" s="14"/>
      <c r="K392">
        <v>8</v>
      </c>
      <c r="L392"/>
      <c r="M392"/>
      <c r="N392"/>
      <c r="O392"/>
      <c r="P392"/>
      <c r="Q392"/>
      <c r="R392"/>
    </row>
    <row r="393" spans="1:18">
      <c r="B393" s="66" t="s">
        <v>3345</v>
      </c>
      <c r="C393" s="64" t="s">
        <v>494</v>
      </c>
      <c r="D393" s="16"/>
      <c r="F393" s="14"/>
      <c r="G393" s="14">
        <v>5</v>
      </c>
      <c r="H393" s="47"/>
      <c r="I393" s="11"/>
      <c r="J393" s="14"/>
      <c r="K393">
        <v>9</v>
      </c>
      <c r="L393"/>
      <c r="M393"/>
      <c r="N393"/>
      <c r="O393"/>
      <c r="P393"/>
      <c r="Q393"/>
      <c r="R393"/>
    </row>
    <row r="394" spans="1:18" customFormat="1">
      <c r="B394" s="66" t="s">
        <v>3320</v>
      </c>
      <c r="C394" s="64" t="s">
        <v>494</v>
      </c>
      <c r="K394">
        <v>10</v>
      </c>
      <c r="L394">
        <v>8</v>
      </c>
    </row>
    <row r="395" spans="1:18" customFormat="1">
      <c r="B395" s="66" t="s">
        <v>3321</v>
      </c>
      <c r="C395" s="64" t="s">
        <v>494</v>
      </c>
      <c r="G395" s="89">
        <f>+G392/G393</f>
        <v>60</v>
      </c>
      <c r="K395">
        <v>11</v>
      </c>
      <c r="L395">
        <v>8</v>
      </c>
    </row>
    <row r="396" spans="1:18" customFormat="1">
      <c r="B396" s="66" t="s">
        <v>3341</v>
      </c>
      <c r="C396" s="64" t="s">
        <v>494</v>
      </c>
      <c r="K396">
        <v>12</v>
      </c>
      <c r="L396">
        <v>8</v>
      </c>
    </row>
    <row r="397" spans="1:18" customFormat="1">
      <c r="B397" s="66" t="s">
        <v>3359</v>
      </c>
      <c r="C397" s="64" t="s">
        <v>494</v>
      </c>
      <c r="K397">
        <v>13</v>
      </c>
    </row>
    <row r="398" spans="1:18" customFormat="1">
      <c r="B398" s="66" t="s">
        <v>3344</v>
      </c>
      <c r="C398" s="64" t="s">
        <v>493</v>
      </c>
      <c r="D398">
        <v>20</v>
      </c>
      <c r="K398">
        <v>14</v>
      </c>
      <c r="O398" s="64"/>
    </row>
    <row r="399" spans="1:18" customFormat="1">
      <c r="B399" s="66" t="s">
        <v>3360</v>
      </c>
      <c r="C399" s="64" t="s">
        <v>494</v>
      </c>
      <c r="G399" s="62" t="s">
        <v>4012</v>
      </c>
      <c r="K399">
        <v>15</v>
      </c>
      <c r="L399">
        <v>3</v>
      </c>
      <c r="M399">
        <v>1</v>
      </c>
      <c r="N399" t="s">
        <v>4694</v>
      </c>
      <c r="O399" s="64" t="s">
        <v>4695</v>
      </c>
      <c r="P399" s="64" t="s">
        <v>4696</v>
      </c>
    </row>
    <row r="400" spans="1:18" customFormat="1">
      <c r="B400" s="62" t="s">
        <v>3971</v>
      </c>
      <c r="C400" s="62" t="s">
        <v>494</v>
      </c>
      <c r="K400">
        <v>16</v>
      </c>
      <c r="L400">
        <v>3</v>
      </c>
      <c r="N400" s="62" t="s">
        <v>379</v>
      </c>
      <c r="O400" s="62" t="s">
        <v>698</v>
      </c>
      <c r="P400" s="62" t="s">
        <v>699</v>
      </c>
    </row>
    <row r="401" spans="1:16" customFormat="1">
      <c r="B401" s="62"/>
      <c r="C401" s="62"/>
      <c r="N401" s="62"/>
      <c r="O401" s="62"/>
      <c r="P401" s="62"/>
    </row>
    <row r="402" spans="1:16" customFormat="1">
      <c r="B402" s="62"/>
      <c r="C402" s="62"/>
      <c r="N402" s="62"/>
      <c r="O402" s="62"/>
      <c r="P402" s="62"/>
    </row>
    <row r="403" spans="1:16" customFormat="1">
      <c r="A403" s="62" t="s">
        <v>4843</v>
      </c>
      <c r="B403" s="62" t="s">
        <v>4848</v>
      </c>
      <c r="C403" s="62" t="s">
        <v>494</v>
      </c>
      <c r="E403" s="62" t="s">
        <v>476</v>
      </c>
      <c r="F403">
        <v>2</v>
      </c>
      <c r="G403">
        <v>251</v>
      </c>
      <c r="H403" s="62" t="s">
        <v>4847</v>
      </c>
      <c r="I403" s="22" t="s">
        <v>4846</v>
      </c>
      <c r="J403">
        <v>1512</v>
      </c>
      <c r="K403">
        <v>1</v>
      </c>
      <c r="L403">
        <v>3</v>
      </c>
      <c r="N403" s="1" t="s">
        <v>536</v>
      </c>
      <c r="O403" s="1" t="s">
        <v>537</v>
      </c>
      <c r="P403" s="1" t="s">
        <v>538</v>
      </c>
    </row>
    <row r="404" spans="1:16" customFormat="1">
      <c r="B404" s="62" t="s">
        <v>4844</v>
      </c>
      <c r="C404" s="62" t="s">
        <v>494</v>
      </c>
      <c r="E404" s="62" t="s">
        <v>476</v>
      </c>
      <c r="K404">
        <v>2</v>
      </c>
      <c r="L404">
        <v>6</v>
      </c>
    </row>
    <row r="405" spans="1:16" customFormat="1">
      <c r="B405" s="62" t="s">
        <v>4845</v>
      </c>
      <c r="C405" s="62" t="s">
        <v>494</v>
      </c>
      <c r="K405">
        <v>3</v>
      </c>
      <c r="L405">
        <v>6</v>
      </c>
    </row>
    <row r="406" spans="1:16" customFormat="1">
      <c r="B406" s="70" t="s">
        <v>6214</v>
      </c>
      <c r="C406" s="62" t="s">
        <v>494</v>
      </c>
      <c r="K406">
        <v>4</v>
      </c>
      <c r="L406">
        <v>3</v>
      </c>
      <c r="N406" s="1" t="s">
        <v>161</v>
      </c>
      <c r="O406" s="29" t="s">
        <v>170</v>
      </c>
      <c r="P406" s="29" t="s">
        <v>172</v>
      </c>
    </row>
    <row r="407" spans="1:16" customFormat="1">
      <c r="B407" s="62" t="s">
        <v>4858</v>
      </c>
      <c r="C407" s="62" t="s">
        <v>493</v>
      </c>
      <c r="D407">
        <v>1</v>
      </c>
      <c r="K407">
        <v>5</v>
      </c>
      <c r="L407">
        <v>30</v>
      </c>
    </row>
    <row r="408" spans="1:16" customFormat="1">
      <c r="B408" s="62" t="s">
        <v>4849</v>
      </c>
      <c r="C408" s="62" t="s">
        <v>494</v>
      </c>
      <c r="K408">
        <v>6</v>
      </c>
      <c r="L408">
        <v>7</v>
      </c>
    </row>
    <row r="409" spans="1:16" customFormat="1">
      <c r="B409" s="62" t="s">
        <v>4850</v>
      </c>
      <c r="C409" s="62" t="s">
        <v>494</v>
      </c>
      <c r="K409">
        <v>7</v>
      </c>
      <c r="M409">
        <v>71</v>
      </c>
    </row>
    <row r="410" spans="1:16" customFormat="1">
      <c r="B410" s="62" t="s">
        <v>4851</v>
      </c>
      <c r="C410" s="62" t="s">
        <v>494</v>
      </c>
      <c r="K410">
        <v>8</v>
      </c>
      <c r="M410">
        <v>72</v>
      </c>
    </row>
    <row r="411" spans="1:16" customFormat="1">
      <c r="B411" s="62" t="s">
        <v>4852</v>
      </c>
      <c r="C411" s="62" t="s">
        <v>494</v>
      </c>
      <c r="K411">
        <v>9</v>
      </c>
      <c r="M411">
        <v>71</v>
      </c>
    </row>
    <row r="412" spans="1:16" customFormat="1">
      <c r="B412" s="62" t="s">
        <v>4853</v>
      </c>
      <c r="C412" s="62" t="s">
        <v>494</v>
      </c>
      <c r="K412">
        <v>10</v>
      </c>
      <c r="M412">
        <v>72</v>
      </c>
    </row>
    <row r="413" spans="1:16" customFormat="1">
      <c r="B413" s="62" t="s">
        <v>4854</v>
      </c>
      <c r="C413" s="62" t="s">
        <v>493</v>
      </c>
      <c r="D413">
        <v>250</v>
      </c>
      <c r="K413">
        <v>11</v>
      </c>
    </row>
    <row r="414" spans="1:16" customFormat="1">
      <c r="B414" s="62" t="s">
        <v>4855</v>
      </c>
      <c r="C414" s="62" t="s">
        <v>520</v>
      </c>
      <c r="K414">
        <v>12</v>
      </c>
    </row>
    <row r="415" spans="1:16" customFormat="1">
      <c r="B415" s="62" t="s">
        <v>4856</v>
      </c>
      <c r="C415" s="62" t="s">
        <v>520</v>
      </c>
      <c r="K415">
        <v>13</v>
      </c>
    </row>
    <row r="416" spans="1:16" customFormat="1">
      <c r="B416" s="62" t="s">
        <v>4857</v>
      </c>
      <c r="C416" s="62" t="s">
        <v>520</v>
      </c>
      <c r="K416">
        <v>14</v>
      </c>
    </row>
    <row r="417" spans="1:15" customFormat="1">
      <c r="B417" s="62" t="s">
        <v>6236</v>
      </c>
      <c r="C417" s="62" t="s">
        <v>494</v>
      </c>
      <c r="K417">
        <v>15</v>
      </c>
      <c r="L417">
        <v>3</v>
      </c>
    </row>
    <row r="418" spans="1:15" customFormat="1"/>
    <row r="419" spans="1:15" customFormat="1">
      <c r="A419" s="62" t="s">
        <v>4859</v>
      </c>
      <c r="B419" s="62" t="s">
        <v>4860</v>
      </c>
      <c r="C419" s="62" t="s">
        <v>494</v>
      </c>
      <c r="E419" s="62" t="s">
        <v>476</v>
      </c>
      <c r="F419">
        <v>2</v>
      </c>
      <c r="G419">
        <v>252</v>
      </c>
      <c r="H419" s="62" t="s">
        <v>1176</v>
      </c>
      <c r="J419">
        <v>1512</v>
      </c>
      <c r="K419">
        <v>1</v>
      </c>
      <c r="L419">
        <v>52</v>
      </c>
      <c r="N419" s="62">
        <v>251</v>
      </c>
      <c r="O419" s="62" t="s">
        <v>4845</v>
      </c>
    </row>
    <row r="420" spans="1:15" customFormat="1">
      <c r="B420" s="62" t="s">
        <v>4861</v>
      </c>
      <c r="C420" s="62" t="s">
        <v>494</v>
      </c>
      <c r="E420" s="62" t="s">
        <v>476</v>
      </c>
      <c r="K420">
        <v>2</v>
      </c>
      <c r="L420">
        <v>8</v>
      </c>
    </row>
    <row r="421" spans="1:15" customFormat="1">
      <c r="B421" s="62" t="s">
        <v>4862</v>
      </c>
      <c r="C421" s="62" t="s">
        <v>494</v>
      </c>
      <c r="K421">
        <v>3</v>
      </c>
      <c r="L421">
        <v>6</v>
      </c>
    </row>
    <row r="422" spans="1:15" customFormat="1">
      <c r="B422" s="62" t="s">
        <v>4863</v>
      </c>
      <c r="C422" s="62" t="s">
        <v>493</v>
      </c>
      <c r="D422">
        <v>1</v>
      </c>
      <c r="K422">
        <v>4</v>
      </c>
      <c r="L422">
        <v>3</v>
      </c>
    </row>
    <row r="423" spans="1:15" customFormat="1"/>
    <row r="424" spans="1:15" customFormat="1">
      <c r="A424" s="70" t="s">
        <v>6216</v>
      </c>
      <c r="B424" s="70" t="s">
        <v>6217</v>
      </c>
      <c r="C424" s="70" t="s">
        <v>494</v>
      </c>
      <c r="E424" s="62" t="s">
        <v>476</v>
      </c>
      <c r="F424">
        <v>2</v>
      </c>
      <c r="G424">
        <v>258</v>
      </c>
      <c r="H424" s="62" t="s">
        <v>111</v>
      </c>
      <c r="J424">
        <v>1512</v>
      </c>
      <c r="K424">
        <v>1</v>
      </c>
      <c r="L424">
        <v>52</v>
      </c>
      <c r="N424" s="62">
        <v>251</v>
      </c>
      <c r="O424" s="62" t="s">
        <v>4845</v>
      </c>
    </row>
    <row r="425" spans="1:15" customFormat="1">
      <c r="A425" s="94"/>
      <c r="B425" s="70" t="s">
        <v>6218</v>
      </c>
      <c r="C425" s="70" t="s">
        <v>494</v>
      </c>
      <c r="E425" s="62" t="s">
        <v>476</v>
      </c>
      <c r="K425">
        <v>2</v>
      </c>
      <c r="M425">
        <v>2</v>
      </c>
    </row>
    <row r="426" spans="1:15" customFormat="1">
      <c r="A426" s="94"/>
      <c r="B426" s="70" t="s">
        <v>6219</v>
      </c>
      <c r="C426" s="70" t="s">
        <v>494</v>
      </c>
      <c r="E426" s="62" t="s">
        <v>476</v>
      </c>
      <c r="K426">
        <v>3</v>
      </c>
      <c r="M426">
        <v>2</v>
      </c>
    </row>
    <row r="427" spans="1:15" customFormat="1">
      <c r="A427" s="94"/>
      <c r="B427" s="70" t="s">
        <v>6220</v>
      </c>
      <c r="C427" s="70" t="s">
        <v>494</v>
      </c>
      <c r="E427" s="62" t="s">
        <v>476</v>
      </c>
      <c r="K427">
        <v>4</v>
      </c>
      <c r="M427">
        <v>2</v>
      </c>
    </row>
    <row r="428" spans="1:15" customFormat="1">
      <c r="A428" s="94"/>
      <c r="B428" s="70" t="s">
        <v>6221</v>
      </c>
      <c r="C428" s="70" t="s">
        <v>494</v>
      </c>
      <c r="E428" s="62" t="s">
        <v>476</v>
      </c>
      <c r="K428">
        <v>5</v>
      </c>
      <c r="L428">
        <v>6</v>
      </c>
    </row>
    <row r="429" spans="1:15" customFormat="1">
      <c r="A429" s="94"/>
      <c r="B429" s="70" t="s">
        <v>6222</v>
      </c>
      <c r="C429" s="70" t="s">
        <v>494</v>
      </c>
      <c r="K429">
        <v>6</v>
      </c>
      <c r="L429">
        <v>6</v>
      </c>
    </row>
    <row r="430" spans="1:15" customFormat="1">
      <c r="A430" s="94"/>
      <c r="B430" s="70" t="s">
        <v>6223</v>
      </c>
      <c r="C430" s="70" t="s">
        <v>493</v>
      </c>
      <c r="D430">
        <v>100</v>
      </c>
      <c r="K430">
        <v>7</v>
      </c>
    </row>
    <row r="431" spans="1:15" customFormat="1">
      <c r="A431" s="94"/>
      <c r="B431" s="70" t="s">
        <v>6224</v>
      </c>
      <c r="C431" s="70" t="s">
        <v>494</v>
      </c>
      <c r="K431">
        <v>8</v>
      </c>
      <c r="L431">
        <v>91</v>
      </c>
    </row>
    <row r="432" spans="1:15" customFormat="1">
      <c r="A432" s="94"/>
      <c r="B432" s="70" t="s">
        <v>6225</v>
      </c>
      <c r="C432" s="70" t="s">
        <v>494</v>
      </c>
      <c r="K432">
        <v>9</v>
      </c>
      <c r="L432">
        <v>92</v>
      </c>
    </row>
    <row r="433" spans="1:16" customFormat="1">
      <c r="A433" s="94"/>
      <c r="B433" s="70" t="s">
        <v>6226</v>
      </c>
      <c r="C433" s="70" t="s">
        <v>494</v>
      </c>
      <c r="K433">
        <v>10</v>
      </c>
      <c r="L433">
        <v>8</v>
      </c>
      <c r="M433">
        <v>1</v>
      </c>
    </row>
    <row r="434" spans="1:16" customFormat="1">
      <c r="A434" s="94"/>
      <c r="B434" s="70" t="s">
        <v>6227</v>
      </c>
      <c r="C434" s="70" t="s">
        <v>494</v>
      </c>
      <c r="K434">
        <v>11</v>
      </c>
      <c r="L434">
        <v>7</v>
      </c>
      <c r="M434">
        <v>1</v>
      </c>
    </row>
    <row r="435" spans="1:16" customFormat="1"/>
    <row r="436" spans="1:16" customFormat="1">
      <c r="A436" s="62" t="s">
        <v>4864</v>
      </c>
      <c r="B436" s="62" t="s">
        <v>4868</v>
      </c>
      <c r="C436" s="62" t="s">
        <v>494</v>
      </c>
      <c r="E436" s="62" t="s">
        <v>476</v>
      </c>
      <c r="F436">
        <v>2</v>
      </c>
      <c r="G436" s="62">
        <v>253</v>
      </c>
      <c r="H436" s="62" t="s">
        <v>4884</v>
      </c>
      <c r="J436">
        <v>1512</v>
      </c>
      <c r="K436">
        <v>1</v>
      </c>
      <c r="L436">
        <v>52</v>
      </c>
      <c r="N436" s="62">
        <v>251</v>
      </c>
      <c r="O436" s="62" t="s">
        <v>4845</v>
      </c>
    </row>
    <row r="437" spans="1:16" customFormat="1">
      <c r="B437" s="62" t="s">
        <v>4869</v>
      </c>
      <c r="C437" s="62" t="s">
        <v>494</v>
      </c>
      <c r="E437" s="62" t="s">
        <v>476</v>
      </c>
      <c r="K437">
        <v>2</v>
      </c>
      <c r="L437">
        <v>6</v>
      </c>
    </row>
    <row r="438" spans="1:16" customFormat="1">
      <c r="B438" s="62" t="s">
        <v>4870</v>
      </c>
      <c r="C438" s="62" t="s">
        <v>494</v>
      </c>
      <c r="K438">
        <v>3</v>
      </c>
      <c r="L438">
        <v>6</v>
      </c>
    </row>
    <row r="439" spans="1:16" customFormat="1">
      <c r="B439" s="62" t="s">
        <v>4871</v>
      </c>
      <c r="C439" s="62" t="s">
        <v>494</v>
      </c>
      <c r="K439">
        <v>4</v>
      </c>
      <c r="L439">
        <v>3</v>
      </c>
      <c r="M439">
        <v>2</v>
      </c>
      <c r="N439" s="1" t="s">
        <v>536</v>
      </c>
      <c r="O439" s="1" t="s">
        <v>537</v>
      </c>
      <c r="P439" s="1" t="s">
        <v>538</v>
      </c>
    </row>
    <row r="440" spans="1:16" customFormat="1">
      <c r="B440" s="62" t="s">
        <v>4872</v>
      </c>
      <c r="C440" s="62" t="s">
        <v>493</v>
      </c>
      <c r="D440">
        <v>250</v>
      </c>
      <c r="K440">
        <v>5</v>
      </c>
    </row>
    <row r="441" spans="1:16" customFormat="1">
      <c r="B441" s="62" t="s">
        <v>4873</v>
      </c>
      <c r="C441" s="62" t="s">
        <v>520</v>
      </c>
      <c r="K441">
        <v>6</v>
      </c>
    </row>
    <row r="442" spans="1:16" customFormat="1">
      <c r="B442" s="62" t="s">
        <v>4867</v>
      </c>
      <c r="C442" s="62" t="s">
        <v>494</v>
      </c>
      <c r="H442" s="62" t="s">
        <v>4874</v>
      </c>
      <c r="K442">
        <v>7</v>
      </c>
      <c r="L442">
        <v>3</v>
      </c>
    </row>
    <row r="443" spans="1:16" customFormat="1">
      <c r="B443" s="62" t="s">
        <v>4875</v>
      </c>
      <c r="C443" s="62" t="s">
        <v>494</v>
      </c>
      <c r="H443" s="62" t="s">
        <v>4874</v>
      </c>
      <c r="K443">
        <v>8</v>
      </c>
      <c r="L443">
        <v>3</v>
      </c>
    </row>
    <row r="444" spans="1:16" customFormat="1">
      <c r="B444" s="62" t="s">
        <v>4878</v>
      </c>
      <c r="C444" s="62" t="s">
        <v>494</v>
      </c>
      <c r="H444" s="62" t="s">
        <v>4876</v>
      </c>
      <c r="K444">
        <v>9</v>
      </c>
    </row>
    <row r="445" spans="1:16" customFormat="1">
      <c r="B445" s="62" t="s">
        <v>4877</v>
      </c>
      <c r="C445" s="62" t="s">
        <v>494</v>
      </c>
      <c r="K445">
        <v>10</v>
      </c>
    </row>
    <row r="446" spans="1:16" customFormat="1">
      <c r="B446" s="62" t="s">
        <v>4879</v>
      </c>
      <c r="C446" s="62" t="s">
        <v>494</v>
      </c>
      <c r="K446">
        <v>11</v>
      </c>
    </row>
    <row r="447" spans="1:16" customFormat="1">
      <c r="B447" s="62" t="s">
        <v>4880</v>
      </c>
      <c r="C447" s="62" t="s">
        <v>494</v>
      </c>
      <c r="K447">
        <v>12</v>
      </c>
      <c r="L447">
        <v>8</v>
      </c>
    </row>
    <row r="448" spans="1:16" customFormat="1">
      <c r="B448" s="62" t="s">
        <v>4881</v>
      </c>
      <c r="C448" s="62" t="s">
        <v>520</v>
      </c>
      <c r="K448">
        <v>13</v>
      </c>
    </row>
    <row r="449" spans="1:18" customFormat="1">
      <c r="B449" s="62" t="s">
        <v>4882</v>
      </c>
      <c r="C449" s="62" t="s">
        <v>520</v>
      </c>
      <c r="K449">
        <v>14</v>
      </c>
    </row>
    <row r="450" spans="1:18" customFormat="1"/>
    <row r="451" spans="1:18" customFormat="1">
      <c r="A451" s="62" t="s">
        <v>4886</v>
      </c>
      <c r="B451" s="62" t="s">
        <v>4885</v>
      </c>
      <c r="C451" s="62" t="s">
        <v>494</v>
      </c>
      <c r="E451" s="62" t="s">
        <v>476</v>
      </c>
      <c r="F451">
        <v>2</v>
      </c>
      <c r="G451">
        <v>254</v>
      </c>
      <c r="H451" s="62" t="s">
        <v>4883</v>
      </c>
      <c r="J451">
        <v>1512</v>
      </c>
      <c r="K451">
        <v>1</v>
      </c>
      <c r="L451">
        <v>52</v>
      </c>
      <c r="N451" s="62">
        <v>251</v>
      </c>
      <c r="O451" s="62" t="s">
        <v>4845</v>
      </c>
    </row>
    <row r="452" spans="1:18" customFormat="1">
      <c r="A452" s="62"/>
      <c r="B452" s="62" t="s">
        <v>4890</v>
      </c>
      <c r="C452" s="62" t="s">
        <v>494</v>
      </c>
      <c r="E452" s="62" t="s">
        <v>476</v>
      </c>
      <c r="H452" s="62"/>
      <c r="K452">
        <v>2</v>
      </c>
      <c r="L452">
        <v>3</v>
      </c>
      <c r="M452">
        <v>31</v>
      </c>
      <c r="N452" s="62" t="s">
        <v>4864</v>
      </c>
      <c r="O452" s="62" t="s">
        <v>4870</v>
      </c>
      <c r="P452" s="62" t="s">
        <v>4872</v>
      </c>
      <c r="Q452" s="62" t="s">
        <v>4868</v>
      </c>
      <c r="R452">
        <v>1</v>
      </c>
    </row>
    <row r="453" spans="1:18" customFormat="1">
      <c r="B453" s="62" t="s">
        <v>4887</v>
      </c>
      <c r="C453" s="62" t="s">
        <v>494</v>
      </c>
      <c r="E453" s="62" t="s">
        <v>476</v>
      </c>
      <c r="K453">
        <v>3</v>
      </c>
      <c r="L453">
        <v>6</v>
      </c>
    </row>
    <row r="454" spans="1:18" customFormat="1">
      <c r="B454" s="62" t="s">
        <v>4888</v>
      </c>
      <c r="C454" s="62" t="s">
        <v>494</v>
      </c>
      <c r="E454" s="62"/>
      <c r="K454">
        <v>4</v>
      </c>
      <c r="L454">
        <v>6</v>
      </c>
    </row>
    <row r="455" spans="1:18" customFormat="1">
      <c r="B455" s="62" t="s">
        <v>4889</v>
      </c>
      <c r="C455" s="62" t="s">
        <v>494</v>
      </c>
      <c r="K455">
        <v>5</v>
      </c>
      <c r="L455">
        <v>3</v>
      </c>
      <c r="M455">
        <v>2</v>
      </c>
      <c r="N455" s="1" t="s">
        <v>536</v>
      </c>
      <c r="O455" s="1" t="s">
        <v>537</v>
      </c>
      <c r="P455" s="1" t="s">
        <v>538</v>
      </c>
    </row>
    <row r="456" spans="1:18" customFormat="1">
      <c r="B456" s="62" t="s">
        <v>4898</v>
      </c>
      <c r="C456" s="62" t="s">
        <v>493</v>
      </c>
      <c r="D456">
        <v>1</v>
      </c>
      <c r="K456">
        <v>6</v>
      </c>
      <c r="L456">
        <v>3</v>
      </c>
      <c r="M456">
        <v>1</v>
      </c>
      <c r="N456" s="1"/>
      <c r="O456" s="1"/>
      <c r="P456" s="1"/>
    </row>
    <row r="457" spans="1:18" customFormat="1">
      <c r="B457" s="62" t="s">
        <v>4891</v>
      </c>
      <c r="C457" s="62" t="s">
        <v>494</v>
      </c>
      <c r="K457">
        <v>7</v>
      </c>
      <c r="L457">
        <v>3</v>
      </c>
      <c r="N457" t="s">
        <v>6215</v>
      </c>
      <c r="O457" t="s">
        <v>6234</v>
      </c>
      <c r="P457" t="s">
        <v>6235</v>
      </c>
    </row>
    <row r="458" spans="1:18" customFormat="1">
      <c r="B458" s="62" t="s">
        <v>4892</v>
      </c>
      <c r="C458" s="62" t="s">
        <v>494</v>
      </c>
      <c r="K458">
        <v>8</v>
      </c>
    </row>
    <row r="459" spans="1:18" customFormat="1">
      <c r="B459" s="62" t="s">
        <v>4893</v>
      </c>
      <c r="C459" s="62" t="s">
        <v>494</v>
      </c>
      <c r="K459">
        <v>9</v>
      </c>
    </row>
    <row r="460" spans="1:18" customFormat="1">
      <c r="B460" s="62" t="s">
        <v>4894</v>
      </c>
      <c r="C460" s="62" t="s">
        <v>494</v>
      </c>
      <c r="K460">
        <v>10</v>
      </c>
      <c r="L460">
        <v>7</v>
      </c>
    </row>
    <row r="461" spans="1:18" customFormat="1">
      <c r="B461" s="62" t="s">
        <v>4895</v>
      </c>
      <c r="C461" s="62" t="s">
        <v>494</v>
      </c>
      <c r="K461">
        <v>11</v>
      </c>
      <c r="L461">
        <v>7</v>
      </c>
    </row>
    <row r="462" spans="1:18" customFormat="1">
      <c r="B462" s="62" t="s">
        <v>4896</v>
      </c>
      <c r="C462" s="62" t="s">
        <v>494</v>
      </c>
      <c r="K462">
        <v>12</v>
      </c>
      <c r="L462">
        <v>8</v>
      </c>
    </row>
    <row r="463" spans="1:18" customFormat="1">
      <c r="B463" s="62" t="s">
        <v>4897</v>
      </c>
      <c r="C463" s="62" t="s">
        <v>520</v>
      </c>
      <c r="K463">
        <v>13</v>
      </c>
    </row>
    <row r="464" spans="1:18" customFormat="1">
      <c r="B464" s="62" t="s">
        <v>6238</v>
      </c>
      <c r="C464" s="62" t="s">
        <v>493</v>
      </c>
      <c r="D464">
        <v>100</v>
      </c>
      <c r="K464">
        <v>14</v>
      </c>
    </row>
    <row r="465" spans="1:18" customFormat="1"/>
    <row r="466" spans="1:18" customFormat="1">
      <c r="A466" s="62" t="s">
        <v>4904</v>
      </c>
      <c r="B466" s="62" t="s">
        <v>4885</v>
      </c>
      <c r="C466" s="62" t="s">
        <v>494</v>
      </c>
      <c r="E466" s="62" t="s">
        <v>476</v>
      </c>
      <c r="F466">
        <v>2</v>
      </c>
      <c r="G466">
        <v>256</v>
      </c>
      <c r="H466" s="62" t="s">
        <v>4917</v>
      </c>
      <c r="J466">
        <v>1512</v>
      </c>
      <c r="K466">
        <v>1</v>
      </c>
      <c r="L466">
        <v>52</v>
      </c>
      <c r="N466" s="62">
        <v>251</v>
      </c>
      <c r="O466" s="62" t="s">
        <v>4845</v>
      </c>
    </row>
    <row r="467" spans="1:18" customFormat="1">
      <c r="A467" s="62"/>
      <c r="B467" s="62" t="s">
        <v>4916</v>
      </c>
      <c r="C467" s="62" t="s">
        <v>494</v>
      </c>
      <c r="E467" s="62" t="s">
        <v>476</v>
      </c>
      <c r="K467">
        <v>2</v>
      </c>
      <c r="L467">
        <v>3</v>
      </c>
      <c r="M467">
        <v>31</v>
      </c>
      <c r="N467" s="62" t="s">
        <v>4864</v>
      </c>
      <c r="O467" s="62" t="s">
        <v>4870</v>
      </c>
      <c r="P467" s="62" t="s">
        <v>4872</v>
      </c>
      <c r="Q467" s="62" t="s">
        <v>4868</v>
      </c>
      <c r="R467">
        <v>1</v>
      </c>
    </row>
    <row r="468" spans="1:18" customFormat="1">
      <c r="B468" s="62" t="s">
        <v>4914</v>
      </c>
      <c r="C468" s="62" t="s">
        <v>494</v>
      </c>
      <c r="E468" s="62" t="s">
        <v>476</v>
      </c>
      <c r="K468">
        <v>3</v>
      </c>
      <c r="L468">
        <v>6</v>
      </c>
    </row>
    <row r="469" spans="1:18" customFormat="1">
      <c r="B469" s="62" t="s">
        <v>4915</v>
      </c>
      <c r="C469" s="62" t="s">
        <v>494</v>
      </c>
      <c r="K469">
        <v>4</v>
      </c>
      <c r="L469">
        <v>6</v>
      </c>
    </row>
    <row r="470" spans="1:18" customFormat="1">
      <c r="B470" s="62" t="s">
        <v>4905</v>
      </c>
      <c r="C470" s="62" t="s">
        <v>494</v>
      </c>
      <c r="K470">
        <v>5</v>
      </c>
      <c r="L470">
        <v>3</v>
      </c>
      <c r="M470">
        <v>2</v>
      </c>
      <c r="N470" s="1" t="s">
        <v>536</v>
      </c>
      <c r="O470" s="1" t="s">
        <v>537</v>
      </c>
      <c r="P470" s="1" t="s">
        <v>538</v>
      </c>
    </row>
    <row r="471" spans="1:18" customFormat="1">
      <c r="B471" s="62" t="s">
        <v>4918</v>
      </c>
      <c r="C471" s="62" t="s">
        <v>520</v>
      </c>
      <c r="K471">
        <v>6</v>
      </c>
      <c r="N471" s="1"/>
      <c r="O471" s="1"/>
      <c r="P471" s="1"/>
    </row>
    <row r="472" spans="1:18" customFormat="1">
      <c r="B472" s="62" t="s">
        <v>4919</v>
      </c>
      <c r="C472" s="62" t="s">
        <v>520</v>
      </c>
      <c r="K472">
        <v>7</v>
      </c>
      <c r="N472" s="1"/>
      <c r="O472" s="1"/>
      <c r="P472" s="1"/>
    </row>
    <row r="473" spans="1:18" customFormat="1">
      <c r="B473" s="62" t="s">
        <v>4920</v>
      </c>
      <c r="C473" s="62" t="s">
        <v>520</v>
      </c>
      <c r="K473">
        <v>8</v>
      </c>
      <c r="N473" s="1"/>
      <c r="O473" s="1"/>
      <c r="P473" s="1"/>
    </row>
    <row r="474" spans="1:18" customFormat="1">
      <c r="B474" s="62" t="s">
        <v>4921</v>
      </c>
      <c r="C474" s="62" t="s">
        <v>493</v>
      </c>
      <c r="D474">
        <v>1</v>
      </c>
      <c r="K474">
        <v>9</v>
      </c>
      <c r="L474">
        <v>3</v>
      </c>
      <c r="N474" s="1"/>
      <c r="O474" s="1"/>
      <c r="P474" s="1"/>
    </row>
    <row r="475" spans="1:18" customFormat="1">
      <c r="B475" s="62"/>
      <c r="C475" s="62"/>
      <c r="N475" s="1"/>
      <c r="O475" s="1"/>
      <c r="P475" s="1"/>
    </row>
    <row r="476" spans="1:18" customFormat="1">
      <c r="A476" s="62" t="s">
        <v>4899</v>
      </c>
      <c r="B476" s="62" t="s">
        <v>4906</v>
      </c>
      <c r="C476" s="62" t="s">
        <v>494</v>
      </c>
      <c r="E476" s="62" t="s">
        <v>476</v>
      </c>
      <c r="F476">
        <v>2</v>
      </c>
      <c r="G476">
        <v>255</v>
      </c>
      <c r="H476" s="62" t="s">
        <v>4901</v>
      </c>
      <c r="I476" s="62" t="s">
        <v>4902</v>
      </c>
      <c r="J476">
        <v>1512</v>
      </c>
      <c r="K476">
        <v>1</v>
      </c>
      <c r="L476">
        <v>3</v>
      </c>
      <c r="N476" s="1" t="s">
        <v>536</v>
      </c>
      <c r="O476" s="1" t="s">
        <v>537</v>
      </c>
      <c r="P476" s="1" t="s">
        <v>538</v>
      </c>
    </row>
    <row r="477" spans="1:18" customFormat="1">
      <c r="B477" s="62" t="s">
        <v>4907</v>
      </c>
      <c r="C477" s="62" t="s">
        <v>494</v>
      </c>
      <c r="E477" s="62" t="s">
        <v>476</v>
      </c>
      <c r="K477">
        <v>2</v>
      </c>
      <c r="L477">
        <v>6</v>
      </c>
    </row>
    <row r="478" spans="1:18" customFormat="1">
      <c r="B478" s="62" t="s">
        <v>4908</v>
      </c>
      <c r="C478" s="62" t="s">
        <v>494</v>
      </c>
      <c r="K478">
        <v>3</v>
      </c>
      <c r="L478">
        <v>6</v>
      </c>
    </row>
    <row r="479" spans="1:18" customFormat="1">
      <c r="B479" s="62" t="s">
        <v>4909</v>
      </c>
      <c r="C479" s="62" t="s">
        <v>494</v>
      </c>
      <c r="K479">
        <v>4</v>
      </c>
      <c r="L479">
        <v>7</v>
      </c>
    </row>
    <row r="480" spans="1:18" customFormat="1">
      <c r="B480" s="62" t="s">
        <v>4910</v>
      </c>
      <c r="C480" s="62" t="s">
        <v>493</v>
      </c>
      <c r="D480">
        <v>1</v>
      </c>
      <c r="H480" s="62" t="s">
        <v>4903</v>
      </c>
      <c r="K480">
        <v>5</v>
      </c>
      <c r="L480">
        <v>3</v>
      </c>
    </row>
    <row r="481" spans="1:18" customFormat="1">
      <c r="B481" s="62" t="s">
        <v>4911</v>
      </c>
      <c r="C481" s="62" t="s">
        <v>493</v>
      </c>
      <c r="D481">
        <v>200</v>
      </c>
      <c r="K481">
        <v>6</v>
      </c>
    </row>
    <row r="482" spans="1:18" customFormat="1">
      <c r="B482" s="62" t="s">
        <v>4912</v>
      </c>
      <c r="C482" s="62" t="s">
        <v>520</v>
      </c>
      <c r="K482">
        <v>7</v>
      </c>
    </row>
    <row r="483" spans="1:18" customFormat="1">
      <c r="B483" s="62" t="s">
        <v>4913</v>
      </c>
      <c r="C483" s="62" t="s">
        <v>520</v>
      </c>
      <c r="H483" s="62" t="s">
        <v>4900</v>
      </c>
      <c r="K483">
        <v>8</v>
      </c>
    </row>
    <row r="484" spans="1:18" customFormat="1"/>
    <row r="485" spans="1:18" customFormat="1">
      <c r="B485" s="62"/>
    </row>
    <row r="486" spans="1:18">
      <c r="A486" s="70" t="s">
        <v>3740</v>
      </c>
      <c r="B486" s="70" t="s">
        <v>3741</v>
      </c>
      <c r="C486" s="70" t="s">
        <v>494</v>
      </c>
      <c r="E486" s="62" t="s">
        <v>476</v>
      </c>
      <c r="F486" s="14">
        <v>17</v>
      </c>
      <c r="G486" s="14">
        <v>1790</v>
      </c>
      <c r="H486" s="47" t="s">
        <v>6229</v>
      </c>
      <c r="I486" s="48" t="s">
        <v>6230</v>
      </c>
      <c r="J486" s="14">
        <v>1704</v>
      </c>
      <c r="K486" s="82">
        <v>1</v>
      </c>
      <c r="L486" s="15">
        <v>52</v>
      </c>
      <c r="M486" s="14"/>
      <c r="N486" s="1">
        <v>1753</v>
      </c>
      <c r="O486" s="62" t="s">
        <v>3731</v>
      </c>
      <c r="P486" s="23"/>
      <c r="Q486" s="14"/>
      <c r="R486" s="14"/>
    </row>
    <row r="487" spans="1:18">
      <c r="A487" s="39"/>
      <c r="B487" s="70" t="s">
        <v>3742</v>
      </c>
      <c r="C487" s="70" t="s">
        <v>494</v>
      </c>
      <c r="E487" s="62" t="s">
        <v>476</v>
      </c>
      <c r="F487" s="14"/>
      <c r="G487" s="14"/>
      <c r="H487" s="14"/>
      <c r="I487" s="11"/>
      <c r="J487" s="14"/>
      <c r="K487" s="82">
        <v>2</v>
      </c>
      <c r="L487" s="15">
        <v>9</v>
      </c>
      <c r="M487" s="14"/>
      <c r="N487" s="62" t="s">
        <v>3655</v>
      </c>
      <c r="O487" s="66" t="s">
        <v>3656</v>
      </c>
      <c r="P487" s="66" t="s">
        <v>3657</v>
      </c>
      <c r="Q487" s="66" t="s">
        <v>3648</v>
      </c>
      <c r="R487">
        <v>2209</v>
      </c>
    </row>
    <row r="488" spans="1:18">
      <c r="A488" s="39"/>
      <c r="B488" s="70" t="s">
        <v>3764</v>
      </c>
      <c r="C488" s="70" t="s">
        <v>494</v>
      </c>
      <c r="E488" s="62" t="s">
        <v>476</v>
      </c>
      <c r="F488" s="14"/>
      <c r="G488" s="14"/>
      <c r="H488" s="14"/>
      <c r="I488" s="11"/>
      <c r="J488" s="14"/>
      <c r="K488" s="82">
        <v>3</v>
      </c>
      <c r="L488" s="15">
        <v>3</v>
      </c>
      <c r="M488" s="14">
        <v>31</v>
      </c>
      <c r="N488" s="62" t="s">
        <v>3649</v>
      </c>
      <c r="O488" s="66" t="s">
        <v>3652</v>
      </c>
      <c r="P488" s="66" t="s">
        <v>3651</v>
      </c>
      <c r="Q488" s="66" t="s">
        <v>3650</v>
      </c>
      <c r="R488" s="14">
        <v>2</v>
      </c>
    </row>
    <row r="489" spans="1:18">
      <c r="A489" s="39"/>
      <c r="B489" s="70" t="s">
        <v>3743</v>
      </c>
      <c r="C489" s="70" t="s">
        <v>494</v>
      </c>
      <c r="F489" s="14"/>
      <c r="G489" s="14"/>
      <c r="H489" s="14"/>
      <c r="I489" s="11"/>
      <c r="J489" s="14"/>
      <c r="K489" s="82">
        <v>4</v>
      </c>
      <c r="L489" s="15">
        <v>6</v>
      </c>
      <c r="M489" s="14"/>
      <c r="O489" s="23"/>
      <c r="P489" s="23"/>
      <c r="Q489" s="14"/>
      <c r="R489" s="14"/>
    </row>
    <row r="490" spans="1:18">
      <c r="A490" s="39"/>
      <c r="B490" s="70" t="s">
        <v>3744</v>
      </c>
      <c r="C490" s="70" t="s">
        <v>494</v>
      </c>
      <c r="F490" s="14"/>
      <c r="G490" s="14"/>
      <c r="H490" s="14"/>
      <c r="I490" s="11"/>
      <c r="J490" s="14"/>
      <c r="K490" s="82">
        <v>5</v>
      </c>
      <c r="L490" s="15">
        <v>3</v>
      </c>
      <c r="M490" s="14">
        <v>1</v>
      </c>
      <c r="N490" s="62" t="s">
        <v>3769</v>
      </c>
      <c r="O490" s="62" t="s">
        <v>3770</v>
      </c>
      <c r="P490" s="62" t="s">
        <v>3771</v>
      </c>
      <c r="Q490" s="14"/>
      <c r="R490" s="14"/>
    </row>
    <row r="491" spans="1:18">
      <c r="A491" s="39"/>
      <c r="B491" s="70" t="s">
        <v>3745</v>
      </c>
      <c r="C491" s="70" t="s">
        <v>494</v>
      </c>
      <c r="F491" s="14"/>
      <c r="G491" s="14"/>
      <c r="H491" s="14"/>
      <c r="I491" s="11"/>
      <c r="J491" s="14"/>
      <c r="K491" s="82">
        <v>6</v>
      </c>
      <c r="L491" s="15"/>
      <c r="M491" s="14"/>
      <c r="P491" s="23"/>
      <c r="Q491" s="14"/>
      <c r="R491" s="14"/>
    </row>
    <row r="492" spans="1:18">
      <c r="A492" s="39"/>
      <c r="B492" s="70" t="s">
        <v>3746</v>
      </c>
      <c r="C492" s="70" t="s">
        <v>494</v>
      </c>
      <c r="F492" s="14"/>
      <c r="G492" s="14"/>
      <c r="H492" s="14"/>
      <c r="I492" s="11"/>
      <c r="J492" s="14"/>
      <c r="K492" s="82">
        <v>7</v>
      </c>
      <c r="L492" s="15">
        <v>3</v>
      </c>
      <c r="M492" s="14">
        <v>31</v>
      </c>
      <c r="N492" s="1" t="s">
        <v>3671</v>
      </c>
      <c r="O492" s="23" t="s">
        <v>3687</v>
      </c>
      <c r="P492" s="23" t="s">
        <v>3687</v>
      </c>
      <c r="Q492" s="14" t="s">
        <v>3672</v>
      </c>
      <c r="R492" s="14">
        <v>3</v>
      </c>
    </row>
    <row r="493" spans="1:18">
      <c r="A493" s="39"/>
      <c r="B493" s="70" t="s">
        <v>3765</v>
      </c>
      <c r="C493" s="70" t="s">
        <v>520</v>
      </c>
      <c r="F493" s="14"/>
      <c r="G493" s="14"/>
      <c r="H493" s="14"/>
      <c r="I493" s="11"/>
      <c r="J493" s="14"/>
      <c r="K493" s="82">
        <v>8</v>
      </c>
      <c r="L493" s="15"/>
      <c r="M493" s="14"/>
      <c r="O493" s="23"/>
      <c r="P493" s="23"/>
      <c r="Q493" s="14"/>
      <c r="R493" s="14"/>
    </row>
    <row r="494" spans="1:18">
      <c r="B494" s="62"/>
      <c r="C494" s="62"/>
      <c r="F494" s="14"/>
      <c r="G494" s="14"/>
      <c r="H494" s="14"/>
      <c r="I494" s="11"/>
      <c r="J494" s="14"/>
      <c r="L494" s="15"/>
      <c r="M494" s="14"/>
      <c r="O494" s="23"/>
      <c r="P494" s="23"/>
      <c r="Q494" s="14"/>
      <c r="R494" s="14"/>
    </row>
    <row r="495" spans="1:18">
      <c r="A495" s="70" t="s">
        <v>3747</v>
      </c>
      <c r="B495" s="94" t="s">
        <v>3749</v>
      </c>
      <c r="C495" s="70" t="s">
        <v>494</v>
      </c>
      <c r="E495" s="62" t="s">
        <v>476</v>
      </c>
      <c r="F495" s="14">
        <v>17</v>
      </c>
      <c r="G495" s="14">
        <v>1789</v>
      </c>
      <c r="H495" s="47" t="s">
        <v>1042</v>
      </c>
      <c r="I495" s="48"/>
      <c r="J495" s="14">
        <v>1704</v>
      </c>
      <c r="K495" s="82">
        <v>1</v>
      </c>
      <c r="L495" s="15">
        <v>52</v>
      </c>
      <c r="M495" s="14"/>
      <c r="N495" s="1">
        <v>1790</v>
      </c>
      <c r="O495" s="23" t="s">
        <v>3743</v>
      </c>
      <c r="P495" s="23"/>
      <c r="Q495" s="14"/>
      <c r="R495" s="14"/>
    </row>
    <row r="496" spans="1:18">
      <c r="A496" s="39"/>
      <c r="B496" s="94" t="s">
        <v>3750</v>
      </c>
      <c r="C496" s="70" t="s">
        <v>494</v>
      </c>
      <c r="E496" s="62" t="s">
        <v>476</v>
      </c>
      <c r="F496" s="14"/>
      <c r="G496" s="14"/>
      <c r="H496" s="14"/>
      <c r="I496" s="11"/>
      <c r="J496" s="14"/>
      <c r="K496" s="82">
        <v>2</v>
      </c>
      <c r="L496" s="15">
        <v>9</v>
      </c>
      <c r="M496" s="14"/>
      <c r="N496" s="62" t="s">
        <v>1038</v>
      </c>
      <c r="O496" s="60" t="s">
        <v>1040</v>
      </c>
      <c r="P496" s="60" t="s">
        <v>1041</v>
      </c>
      <c r="Q496" s="23" t="s">
        <v>1040</v>
      </c>
      <c r="R496" s="14">
        <v>140</v>
      </c>
    </row>
    <row r="497" spans="1:18">
      <c r="A497" s="39"/>
      <c r="B497" s="94" t="s">
        <v>3751</v>
      </c>
      <c r="C497" s="70" t="s">
        <v>494</v>
      </c>
      <c r="E497" s="62"/>
      <c r="F497" s="14"/>
      <c r="G497" s="14"/>
      <c r="H497" s="14"/>
      <c r="I497" s="11"/>
      <c r="J497" s="14"/>
      <c r="K497" s="82">
        <v>3</v>
      </c>
      <c r="L497" s="15">
        <v>6</v>
      </c>
      <c r="M497" s="14"/>
      <c r="N497" s="62"/>
      <c r="O497" s="60"/>
      <c r="P497" s="60"/>
      <c r="Q497" s="23"/>
      <c r="R497" s="14"/>
    </row>
    <row r="498" spans="1:18">
      <c r="A498" s="39"/>
      <c r="B498" s="94" t="s">
        <v>3748</v>
      </c>
      <c r="C498" s="70" t="s">
        <v>494</v>
      </c>
      <c r="F498" s="14"/>
      <c r="G498" s="14"/>
      <c r="H498" s="14"/>
      <c r="I498" s="11"/>
      <c r="J498" s="14"/>
      <c r="K498" s="82">
        <v>4</v>
      </c>
      <c r="L498" s="15"/>
      <c r="M498" s="14">
        <v>1</v>
      </c>
      <c r="O498" s="23"/>
      <c r="P498" s="23"/>
      <c r="Q498" s="14"/>
      <c r="R498" s="14"/>
    </row>
    <row r="499" spans="1:18">
      <c r="A499" s="39"/>
      <c r="B499" s="94" t="s">
        <v>6158</v>
      </c>
      <c r="C499" s="70" t="s">
        <v>494</v>
      </c>
      <c r="F499" s="14"/>
      <c r="G499" s="14"/>
      <c r="H499" s="14"/>
      <c r="I499" s="11"/>
      <c r="J499" s="14"/>
      <c r="K499" s="82">
        <v>5</v>
      </c>
      <c r="L499" s="15"/>
      <c r="M499" s="14">
        <v>1</v>
      </c>
      <c r="N499" s="62"/>
      <c r="O499" s="62"/>
      <c r="P499" s="62"/>
      <c r="Q499" s="14"/>
      <c r="R499" s="14"/>
    </row>
    <row r="500" spans="1:18">
      <c r="A500" s="39"/>
      <c r="B500" s="94" t="s">
        <v>3766</v>
      </c>
      <c r="C500" s="70" t="s">
        <v>494</v>
      </c>
      <c r="F500" s="14"/>
      <c r="G500" s="14"/>
      <c r="H500" s="14"/>
      <c r="I500" s="11"/>
      <c r="J500" s="14"/>
      <c r="K500" s="82">
        <v>6</v>
      </c>
      <c r="L500" s="15"/>
      <c r="M500" s="14">
        <v>1</v>
      </c>
      <c r="N500" s="62"/>
      <c r="O500" s="62"/>
      <c r="P500" s="62"/>
      <c r="Q500" s="14"/>
      <c r="R500" s="14"/>
    </row>
    <row r="501" spans="1:18">
      <c r="A501" s="39"/>
      <c r="B501" s="94" t="s">
        <v>6159</v>
      </c>
      <c r="C501" s="70" t="s">
        <v>494</v>
      </c>
      <c r="F501" s="14"/>
      <c r="G501" s="14"/>
      <c r="H501" s="14"/>
      <c r="I501" s="11"/>
      <c r="J501" s="14"/>
      <c r="K501" s="82">
        <v>7</v>
      </c>
      <c r="L501" s="15"/>
      <c r="M501" s="14">
        <v>1</v>
      </c>
      <c r="N501" s="62"/>
      <c r="O501" s="62"/>
      <c r="P501" s="62"/>
      <c r="Q501" s="14"/>
      <c r="R501" s="14"/>
    </row>
    <row r="502" spans="1:18">
      <c r="A502" s="39"/>
      <c r="B502" s="94" t="s">
        <v>3752</v>
      </c>
      <c r="C502" s="70" t="s">
        <v>494</v>
      </c>
      <c r="F502" s="14"/>
      <c r="G502" s="14"/>
      <c r="H502" s="14"/>
      <c r="I502" s="11"/>
      <c r="J502" s="14"/>
      <c r="K502" s="82">
        <v>8</v>
      </c>
      <c r="L502" s="15">
        <v>3</v>
      </c>
      <c r="M502" s="14">
        <v>1</v>
      </c>
      <c r="N502" s="62" t="s">
        <v>3761</v>
      </c>
      <c r="O502" s="62" t="s">
        <v>3762</v>
      </c>
      <c r="P502" s="62" t="s">
        <v>3763</v>
      </c>
      <c r="Q502" s="14"/>
      <c r="R502" s="14"/>
    </row>
    <row r="503" spans="1:18">
      <c r="A503" s="39"/>
      <c r="B503" s="94" t="s">
        <v>3753</v>
      </c>
      <c r="C503" s="70" t="s">
        <v>494</v>
      </c>
      <c r="F503" s="14"/>
      <c r="G503" s="14"/>
      <c r="H503" s="14"/>
      <c r="I503" s="11"/>
      <c r="J503" s="14"/>
      <c r="K503" s="82">
        <v>9</v>
      </c>
      <c r="L503" s="15"/>
      <c r="M503" s="14"/>
      <c r="N503" s="62"/>
      <c r="O503" s="62"/>
      <c r="P503" s="62"/>
      <c r="Q503" s="14"/>
      <c r="R503" s="14"/>
    </row>
    <row r="504" spans="1:18">
      <c r="A504" s="39"/>
      <c r="B504" s="94" t="s">
        <v>3754</v>
      </c>
      <c r="C504" s="70" t="s">
        <v>494</v>
      </c>
      <c r="F504" s="14"/>
      <c r="G504" s="14"/>
      <c r="H504" s="14"/>
      <c r="I504" s="11"/>
      <c r="J504" s="14"/>
      <c r="K504" s="82">
        <v>10</v>
      </c>
      <c r="L504" s="15"/>
      <c r="M504" s="14"/>
      <c r="N504" s="62"/>
      <c r="O504" s="62"/>
      <c r="P504" s="62"/>
      <c r="Q504" s="14"/>
      <c r="R504" s="14"/>
    </row>
    <row r="505" spans="1:18">
      <c r="A505" s="39"/>
      <c r="B505" s="94" t="s">
        <v>3755</v>
      </c>
      <c r="C505" s="70" t="s">
        <v>520</v>
      </c>
      <c r="F505" s="14"/>
      <c r="G505" s="14"/>
      <c r="H505" s="14"/>
      <c r="I505" s="11"/>
      <c r="J505" s="14"/>
      <c r="K505" s="82">
        <v>11</v>
      </c>
      <c r="L505" s="15"/>
      <c r="M505" s="14"/>
      <c r="N505" s="62"/>
      <c r="O505" s="62"/>
      <c r="P505" s="62"/>
      <c r="Q505" s="14"/>
      <c r="R505" s="14"/>
    </row>
    <row r="506" spans="1:18">
      <c r="A506" s="39"/>
      <c r="B506" s="94" t="s">
        <v>6160</v>
      </c>
      <c r="C506" s="70" t="s">
        <v>494</v>
      </c>
      <c r="F506" s="14"/>
      <c r="G506" s="14"/>
      <c r="H506" s="14"/>
      <c r="I506" s="11"/>
      <c r="J506" s="14"/>
      <c r="K506" s="82">
        <v>12</v>
      </c>
      <c r="L506" s="15"/>
      <c r="M506" s="14">
        <v>1</v>
      </c>
      <c r="N506" s="62"/>
      <c r="O506" s="62"/>
      <c r="P506" s="62"/>
      <c r="Q506" s="14"/>
      <c r="R506" s="14"/>
    </row>
    <row r="507" spans="1:18">
      <c r="A507" s="39"/>
      <c r="B507" s="94" t="s">
        <v>3772</v>
      </c>
      <c r="C507" s="70" t="s">
        <v>494</v>
      </c>
      <c r="F507" s="14"/>
      <c r="G507" s="14"/>
      <c r="H507" s="14"/>
      <c r="I507" s="11"/>
      <c r="J507" s="14"/>
      <c r="K507" s="82">
        <v>13</v>
      </c>
      <c r="L507" s="15"/>
      <c r="M507" s="14">
        <v>1</v>
      </c>
      <c r="N507" s="62"/>
      <c r="O507" s="62"/>
      <c r="P507" s="62"/>
      <c r="Q507" s="14"/>
      <c r="R507" s="14"/>
    </row>
    <row r="508" spans="1:18">
      <c r="A508" s="39"/>
      <c r="B508" s="94" t="s">
        <v>3773</v>
      </c>
      <c r="C508" s="70" t="s">
        <v>494</v>
      </c>
      <c r="F508" s="14"/>
      <c r="G508" s="14"/>
      <c r="H508" s="14"/>
      <c r="I508" s="11"/>
      <c r="J508" s="14"/>
      <c r="K508" s="82">
        <v>14</v>
      </c>
      <c r="L508" s="15"/>
      <c r="M508" s="14">
        <v>1</v>
      </c>
      <c r="N508" s="62"/>
      <c r="O508" s="62"/>
      <c r="P508" s="62"/>
      <c r="Q508" s="14"/>
      <c r="R508" s="14"/>
    </row>
    <row r="509" spans="1:18">
      <c r="A509" s="39"/>
      <c r="B509" s="94" t="s">
        <v>6161</v>
      </c>
      <c r="C509" s="70" t="s">
        <v>494</v>
      </c>
      <c r="F509" s="14"/>
      <c r="G509" s="14"/>
      <c r="H509" s="14"/>
      <c r="I509" s="11"/>
      <c r="J509" s="14"/>
      <c r="K509" s="82">
        <v>15</v>
      </c>
      <c r="L509" s="15"/>
      <c r="M509" s="14">
        <v>1</v>
      </c>
      <c r="N509" s="62"/>
      <c r="O509" s="62"/>
      <c r="P509" s="62"/>
      <c r="Q509" s="14"/>
      <c r="R509" s="14"/>
    </row>
    <row r="510" spans="1:18">
      <c r="A510" s="39"/>
      <c r="B510" s="70" t="s">
        <v>6231</v>
      </c>
      <c r="C510" s="70" t="s">
        <v>494</v>
      </c>
      <c r="F510" s="14"/>
      <c r="G510" s="14"/>
      <c r="H510" s="14"/>
      <c r="I510" s="11"/>
      <c r="J510" s="14"/>
      <c r="K510" s="82">
        <v>16</v>
      </c>
      <c r="L510" s="15"/>
      <c r="M510" s="14">
        <v>1</v>
      </c>
      <c r="N510" s="62"/>
      <c r="O510" s="62"/>
      <c r="P510" s="62"/>
      <c r="Q510" s="14"/>
      <c r="R510" s="14"/>
    </row>
    <row r="511" spans="1:18">
      <c r="A511" s="10"/>
      <c r="B511" s="64"/>
      <c r="C511" s="64"/>
      <c r="F511" s="14"/>
      <c r="G511" s="14"/>
      <c r="H511" s="14"/>
      <c r="I511" s="11"/>
      <c r="J511" s="14"/>
      <c r="L511" s="15"/>
      <c r="M511" s="14"/>
      <c r="O511" s="23"/>
      <c r="P511" s="23"/>
      <c r="Q511" s="14"/>
      <c r="R511" s="14"/>
    </row>
    <row r="512" spans="1:18">
      <c r="B512" s="62"/>
      <c r="C512" s="62"/>
      <c r="F512" s="14"/>
      <c r="G512" s="14"/>
      <c r="H512" s="14"/>
      <c r="I512" s="11"/>
      <c r="J512" s="14"/>
      <c r="L512" s="15"/>
      <c r="M512" s="14"/>
      <c r="O512" s="23"/>
      <c r="P512" s="23"/>
      <c r="Q512" s="14"/>
      <c r="R512" s="14"/>
    </row>
    <row r="513" spans="1:18" customFormat="1">
      <c r="A513" s="70" t="s">
        <v>3210</v>
      </c>
      <c r="B513" s="70" t="s">
        <v>3211</v>
      </c>
      <c r="C513" s="70" t="s">
        <v>494</v>
      </c>
      <c r="E513" s="62" t="s">
        <v>476</v>
      </c>
      <c r="F513">
        <v>21</v>
      </c>
      <c r="G513">
        <v>2144</v>
      </c>
      <c r="H513" s="62" t="s">
        <v>5595</v>
      </c>
      <c r="I513" s="62" t="s">
        <v>5596</v>
      </c>
      <c r="J513">
        <v>2104</v>
      </c>
      <c r="K513" s="55">
        <v>1</v>
      </c>
      <c r="L513">
        <v>8</v>
      </c>
    </row>
    <row r="514" spans="1:18" customFormat="1">
      <c r="A514" s="94"/>
      <c r="B514" s="70" t="s">
        <v>3212</v>
      </c>
      <c r="C514" s="70" t="s">
        <v>494</v>
      </c>
      <c r="E514" s="62" t="s">
        <v>476</v>
      </c>
      <c r="K514" s="55">
        <v>2</v>
      </c>
      <c r="L514">
        <v>3</v>
      </c>
      <c r="M514" s="14">
        <v>31</v>
      </c>
      <c r="N514" s="62" t="s">
        <v>3655</v>
      </c>
      <c r="O514" s="62" t="s">
        <v>3648</v>
      </c>
      <c r="P514" s="62" t="s">
        <v>3657</v>
      </c>
      <c r="Q514" s="47" t="s">
        <v>3658</v>
      </c>
      <c r="R514" s="14">
        <v>4</v>
      </c>
    </row>
    <row r="515" spans="1:18" customFormat="1">
      <c r="A515" s="94"/>
      <c r="B515" s="70" t="s">
        <v>3213</v>
      </c>
      <c r="C515" s="70" t="s">
        <v>494</v>
      </c>
      <c r="H515" s="62"/>
      <c r="K515" s="55">
        <v>3</v>
      </c>
      <c r="L515">
        <v>6</v>
      </c>
    </row>
    <row r="516" spans="1:18" customFormat="1">
      <c r="A516" s="94"/>
      <c r="B516" s="70" t="s">
        <v>3230</v>
      </c>
      <c r="C516" s="70" t="s">
        <v>494</v>
      </c>
      <c r="K516" s="55">
        <v>4</v>
      </c>
      <c r="L516">
        <v>3</v>
      </c>
      <c r="M516">
        <v>3</v>
      </c>
      <c r="N516" s="62" t="s">
        <v>3664</v>
      </c>
      <c r="O516" s="62" t="s">
        <v>3666</v>
      </c>
      <c r="P516" s="62" t="s">
        <v>3667</v>
      </c>
    </row>
    <row r="517" spans="1:18">
      <c r="A517" s="39"/>
      <c r="B517" s="67" t="s">
        <v>3231</v>
      </c>
      <c r="C517" s="70" t="s">
        <v>494</v>
      </c>
      <c r="F517" s="14"/>
      <c r="G517" s="14"/>
      <c r="H517" s="14"/>
      <c r="I517" s="11"/>
      <c r="J517" s="14"/>
      <c r="K517" s="55">
        <v>5</v>
      </c>
      <c r="L517" s="15">
        <v>3</v>
      </c>
      <c r="M517" s="14"/>
      <c r="N517" s="62" t="s">
        <v>693</v>
      </c>
      <c r="O517" s="1" t="s">
        <v>695</v>
      </c>
      <c r="P517" s="1" t="s">
        <v>696</v>
      </c>
      <c r="Q517" s="62"/>
      <c r="R517" s="14"/>
    </row>
    <row r="518" spans="1:18">
      <c r="A518" s="39"/>
      <c r="B518" s="67" t="s">
        <v>3232</v>
      </c>
      <c r="C518" s="70" t="s">
        <v>494</v>
      </c>
      <c r="F518" s="14"/>
      <c r="G518" s="14"/>
      <c r="H518" s="14"/>
      <c r="I518" s="11"/>
      <c r="J518" s="14"/>
      <c r="K518" s="55">
        <v>6</v>
      </c>
      <c r="L518" s="15">
        <v>3</v>
      </c>
      <c r="M518" s="14">
        <v>31</v>
      </c>
      <c r="N518" s="62" t="s">
        <v>379</v>
      </c>
      <c r="O518" s="62" t="s">
        <v>698</v>
      </c>
      <c r="P518" s="62" t="s">
        <v>699</v>
      </c>
      <c r="Q518" s="62" t="s">
        <v>383</v>
      </c>
      <c r="R518" s="14">
        <v>5</v>
      </c>
    </row>
    <row r="519" spans="1:18" customFormat="1">
      <c r="A519" s="94"/>
      <c r="B519" s="70" t="s">
        <v>3217</v>
      </c>
      <c r="C519" s="70" t="s">
        <v>494</v>
      </c>
      <c r="K519" s="55">
        <v>7</v>
      </c>
      <c r="L519">
        <v>3</v>
      </c>
      <c r="N519" s="62" t="s">
        <v>3218</v>
      </c>
      <c r="O519" s="62" t="s">
        <v>3219</v>
      </c>
      <c r="P519" s="62" t="s">
        <v>3220</v>
      </c>
      <c r="Q519" s="66"/>
    </row>
    <row r="520" spans="1:18" customFormat="1">
      <c r="A520" s="94"/>
      <c r="B520" s="70" t="s">
        <v>4321</v>
      </c>
      <c r="C520" s="70" t="s">
        <v>702</v>
      </c>
      <c r="K520" s="55">
        <v>8</v>
      </c>
      <c r="M520">
        <v>1</v>
      </c>
    </row>
    <row r="521" spans="1:18" customFormat="1">
      <c r="A521" s="94"/>
      <c r="B521" s="70" t="s">
        <v>4327</v>
      </c>
      <c r="C521" s="70" t="s">
        <v>494</v>
      </c>
      <c r="H521" s="62"/>
      <c r="K521" s="55">
        <v>9</v>
      </c>
      <c r="L521">
        <v>3</v>
      </c>
      <c r="M521">
        <v>1</v>
      </c>
      <c r="N521" s="62" t="s">
        <v>4452</v>
      </c>
      <c r="O521" s="62" t="s">
        <v>4453</v>
      </c>
      <c r="P521" s="62" t="s">
        <v>4454</v>
      </c>
    </row>
    <row r="522" spans="1:18" customFormat="1">
      <c r="B522" s="96" t="s">
        <v>5591</v>
      </c>
      <c r="C522" s="96" t="s">
        <v>494</v>
      </c>
      <c r="K522" s="55">
        <v>10</v>
      </c>
      <c r="L522">
        <v>3</v>
      </c>
      <c r="M522">
        <v>1</v>
      </c>
      <c r="N522" s="62" t="s">
        <v>5592</v>
      </c>
      <c r="O522" s="66" t="s">
        <v>5593</v>
      </c>
      <c r="P522" s="66" t="s">
        <v>5594</v>
      </c>
    </row>
    <row r="523" spans="1:18" customFormat="1">
      <c r="B523" s="64" t="s">
        <v>5838</v>
      </c>
      <c r="C523" s="64" t="s">
        <v>494</v>
      </c>
      <c r="K523" s="55">
        <v>11</v>
      </c>
      <c r="L523" s="80">
        <v>3</v>
      </c>
      <c r="M523" s="10">
        <v>1</v>
      </c>
      <c r="N523" t="s">
        <v>5567</v>
      </c>
      <c r="O523" s="66" t="s">
        <v>5569</v>
      </c>
      <c r="P523" s="66" t="s">
        <v>5571</v>
      </c>
    </row>
    <row r="524" spans="1:18" customFormat="1">
      <c r="B524" s="66"/>
      <c r="C524" s="62"/>
      <c r="N524" s="62"/>
      <c r="O524" s="62"/>
      <c r="P524" s="62"/>
    </row>
    <row r="525" spans="1:18" customFormat="1">
      <c r="A525" s="62" t="s">
        <v>5597</v>
      </c>
      <c r="B525" s="66" t="s">
        <v>5599</v>
      </c>
      <c r="C525" s="64" t="s">
        <v>494</v>
      </c>
      <c r="E525" t="s">
        <v>476</v>
      </c>
      <c r="F525">
        <v>21</v>
      </c>
      <c r="G525">
        <v>2145</v>
      </c>
      <c r="H525" t="s">
        <v>5612</v>
      </c>
      <c r="J525">
        <v>2104</v>
      </c>
      <c r="K525" s="55">
        <v>1</v>
      </c>
      <c r="L525">
        <v>52</v>
      </c>
      <c r="N525" s="62">
        <v>2144</v>
      </c>
      <c r="O525" s="62" t="s">
        <v>3213</v>
      </c>
      <c r="P525" s="62"/>
    </row>
    <row r="526" spans="1:18" customFormat="1">
      <c r="B526" s="66" t="s">
        <v>5600</v>
      </c>
      <c r="C526" s="64" t="s">
        <v>494</v>
      </c>
      <c r="E526" t="s">
        <v>476</v>
      </c>
      <c r="K526" s="55">
        <v>2</v>
      </c>
      <c r="L526">
        <v>6</v>
      </c>
      <c r="N526" s="62"/>
      <c r="O526" s="62"/>
      <c r="P526" s="62"/>
    </row>
    <row r="527" spans="1:18" customFormat="1">
      <c r="B527" s="66" t="s">
        <v>5598</v>
      </c>
      <c r="C527" s="64" t="s">
        <v>494</v>
      </c>
      <c r="K527" s="55">
        <v>3</v>
      </c>
      <c r="L527">
        <v>6</v>
      </c>
      <c r="N527" s="62"/>
      <c r="O527" s="62"/>
      <c r="P527" s="62"/>
    </row>
    <row r="528" spans="1:18" customFormat="1">
      <c r="B528" s="66" t="s">
        <v>5618</v>
      </c>
      <c r="C528" s="64" t="s">
        <v>494</v>
      </c>
      <c r="K528" s="55">
        <v>4</v>
      </c>
      <c r="L528">
        <v>3</v>
      </c>
      <c r="M528">
        <v>2</v>
      </c>
      <c r="N528" t="s">
        <v>5567</v>
      </c>
      <c r="O528" s="66" t="s">
        <v>5569</v>
      </c>
      <c r="P528" s="66" t="s">
        <v>5571</v>
      </c>
      <c r="Q528">
        <v>2141</v>
      </c>
    </row>
    <row r="529" spans="2:16" customFormat="1">
      <c r="B529" s="66" t="s">
        <v>5601</v>
      </c>
      <c r="C529" s="64" t="s">
        <v>494</v>
      </c>
      <c r="K529" s="55">
        <v>5</v>
      </c>
      <c r="L529">
        <v>7</v>
      </c>
      <c r="M529">
        <v>1</v>
      </c>
      <c r="N529" s="62"/>
      <c r="O529" s="62"/>
      <c r="P529" s="62"/>
    </row>
    <row r="530" spans="2:16" customFormat="1">
      <c r="B530" s="66" t="s">
        <v>5602</v>
      </c>
      <c r="C530" s="64" t="s">
        <v>494</v>
      </c>
      <c r="K530" s="55">
        <v>6</v>
      </c>
      <c r="L530">
        <v>8</v>
      </c>
      <c r="M530">
        <v>1</v>
      </c>
      <c r="N530" s="62"/>
      <c r="O530" s="62"/>
      <c r="P530" s="62"/>
    </row>
    <row r="531" spans="2:16" customFormat="1">
      <c r="B531" s="66" t="s">
        <v>5603</v>
      </c>
      <c r="C531" s="64" t="s">
        <v>494</v>
      </c>
      <c r="K531" s="55">
        <v>7</v>
      </c>
      <c r="L531">
        <v>7</v>
      </c>
      <c r="M531">
        <v>2</v>
      </c>
      <c r="N531" s="62"/>
      <c r="O531" s="62"/>
      <c r="P531" s="62"/>
    </row>
    <row r="532" spans="2:16" customFormat="1">
      <c r="B532" s="66" t="s">
        <v>5604</v>
      </c>
      <c r="C532" s="64" t="s">
        <v>494</v>
      </c>
      <c r="K532" s="55">
        <v>8</v>
      </c>
      <c r="L532">
        <v>7</v>
      </c>
      <c r="M532">
        <v>2</v>
      </c>
      <c r="N532" s="62"/>
      <c r="O532" s="62"/>
      <c r="P532" s="62"/>
    </row>
    <row r="533" spans="2:16" customFormat="1">
      <c r="B533" s="66" t="s">
        <v>5956</v>
      </c>
      <c r="C533" s="64" t="s">
        <v>494</v>
      </c>
      <c r="K533" s="55">
        <v>9</v>
      </c>
      <c r="L533">
        <v>3</v>
      </c>
      <c r="N533" s="64" t="s">
        <v>506</v>
      </c>
      <c r="O533" s="64" t="s">
        <v>514</v>
      </c>
      <c r="P533" s="62" t="s">
        <v>515</v>
      </c>
    </row>
    <row r="534" spans="2:16" customFormat="1">
      <c r="B534" s="66" t="s">
        <v>5957</v>
      </c>
      <c r="C534" s="64" t="s">
        <v>494</v>
      </c>
      <c r="K534" s="55">
        <v>10</v>
      </c>
      <c r="L534">
        <v>3</v>
      </c>
      <c r="N534" s="62" t="s">
        <v>1038</v>
      </c>
      <c r="O534" s="23" t="s">
        <v>1040</v>
      </c>
      <c r="P534" s="23" t="s">
        <v>1041</v>
      </c>
    </row>
    <row r="535" spans="2:16" customFormat="1">
      <c r="B535" s="66" t="s">
        <v>5606</v>
      </c>
      <c r="C535" s="64" t="s">
        <v>494</v>
      </c>
      <c r="K535" s="55">
        <v>11</v>
      </c>
      <c r="L535">
        <v>8</v>
      </c>
      <c r="N535" s="62"/>
      <c r="O535" s="62"/>
      <c r="P535" s="62"/>
    </row>
    <row r="536" spans="2:16" customFormat="1">
      <c r="B536" s="66" t="s">
        <v>5607</v>
      </c>
      <c r="C536" s="64" t="s">
        <v>494</v>
      </c>
      <c r="K536" s="55">
        <v>12</v>
      </c>
      <c r="L536">
        <v>8</v>
      </c>
      <c r="N536" s="62"/>
      <c r="O536" s="62"/>
      <c r="P536" s="62"/>
    </row>
    <row r="537" spans="2:16" customFormat="1">
      <c r="B537" s="66" t="s">
        <v>5608</v>
      </c>
      <c r="C537" s="64" t="s">
        <v>494</v>
      </c>
      <c r="K537" s="55">
        <v>13</v>
      </c>
      <c r="L537">
        <v>3</v>
      </c>
      <c r="M537">
        <v>31</v>
      </c>
      <c r="N537" s="62" t="s">
        <v>5646</v>
      </c>
      <c r="O537" s="62"/>
      <c r="P537" s="62"/>
    </row>
    <row r="538" spans="2:16" customFormat="1">
      <c r="B538" s="66" t="s">
        <v>5605</v>
      </c>
      <c r="C538" s="62" t="s">
        <v>702</v>
      </c>
      <c r="K538" s="55">
        <v>14</v>
      </c>
      <c r="M538">
        <v>1</v>
      </c>
      <c r="N538" s="62"/>
      <c r="O538" s="62"/>
      <c r="P538" s="62"/>
    </row>
    <row r="539" spans="2:16" customFormat="1">
      <c r="B539" s="66" t="s">
        <v>5609</v>
      </c>
      <c r="C539" s="64" t="s">
        <v>494</v>
      </c>
      <c r="K539" s="55">
        <v>15</v>
      </c>
      <c r="L539">
        <v>7</v>
      </c>
      <c r="M539">
        <v>1</v>
      </c>
      <c r="N539" s="62"/>
      <c r="O539" s="62"/>
      <c r="P539" s="62"/>
    </row>
    <row r="540" spans="2:16" customFormat="1">
      <c r="B540" s="66" t="s">
        <v>5610</v>
      </c>
      <c r="C540" s="64" t="s">
        <v>494</v>
      </c>
      <c r="K540" s="55">
        <v>16</v>
      </c>
      <c r="L540">
        <v>8</v>
      </c>
      <c r="M540">
        <v>1</v>
      </c>
      <c r="N540" s="62"/>
      <c r="O540" s="62"/>
      <c r="P540" s="62"/>
    </row>
    <row r="541" spans="2:16" customFormat="1">
      <c r="B541" s="66" t="s">
        <v>5611</v>
      </c>
      <c r="C541" s="62" t="s">
        <v>493</v>
      </c>
      <c r="D541">
        <v>1</v>
      </c>
      <c r="K541" s="55">
        <v>17</v>
      </c>
      <c r="L541">
        <v>3</v>
      </c>
      <c r="M541">
        <v>1</v>
      </c>
      <c r="N541" s="62"/>
      <c r="O541" s="62"/>
      <c r="P541" s="62"/>
    </row>
    <row r="542" spans="2:16" customFormat="1">
      <c r="B542" s="66" t="s">
        <v>5615</v>
      </c>
      <c r="C542" s="62" t="s">
        <v>494</v>
      </c>
      <c r="K542" s="55">
        <v>18</v>
      </c>
      <c r="M542">
        <v>2</v>
      </c>
      <c r="N542" s="62"/>
      <c r="O542" s="62"/>
      <c r="P542" s="62"/>
    </row>
    <row r="543" spans="2:16" customFormat="1">
      <c r="B543" s="66" t="s">
        <v>5616</v>
      </c>
      <c r="C543" s="62" t="s">
        <v>494</v>
      </c>
      <c r="K543" s="55">
        <v>19</v>
      </c>
      <c r="M543">
        <v>2</v>
      </c>
      <c r="N543" s="62"/>
      <c r="O543" s="62"/>
      <c r="P543" s="62"/>
    </row>
    <row r="544" spans="2:16" customFormat="1">
      <c r="B544" s="66" t="s">
        <v>5617</v>
      </c>
      <c r="C544" s="62" t="s">
        <v>494</v>
      </c>
      <c r="K544" s="55">
        <v>20</v>
      </c>
      <c r="L544">
        <v>3</v>
      </c>
      <c r="M544">
        <v>1</v>
      </c>
      <c r="N544" s="62" t="s">
        <v>1906</v>
      </c>
      <c r="O544" s="62" t="s">
        <v>1908</v>
      </c>
      <c r="P544" s="62" t="s">
        <v>1909</v>
      </c>
    </row>
    <row r="545" spans="1:18" customFormat="1">
      <c r="B545" s="66"/>
      <c r="C545" s="62"/>
      <c r="K545" s="55"/>
      <c r="N545" s="62"/>
      <c r="O545" s="62"/>
      <c r="P545" s="62"/>
    </row>
    <row r="546" spans="1:18" customFormat="1">
      <c r="A546" s="62" t="s">
        <v>5619</v>
      </c>
      <c r="B546" s="66" t="s">
        <v>5620</v>
      </c>
      <c r="C546" s="62" t="s">
        <v>494</v>
      </c>
      <c r="E546" s="62" t="s">
        <v>476</v>
      </c>
      <c r="F546">
        <v>21</v>
      </c>
      <c r="G546">
        <v>2146</v>
      </c>
      <c r="H546" s="62" t="s">
        <v>3185</v>
      </c>
      <c r="J546">
        <v>2104</v>
      </c>
      <c r="K546" s="55">
        <v>1</v>
      </c>
      <c r="L546">
        <v>52</v>
      </c>
      <c r="N546" s="62">
        <v>2144</v>
      </c>
      <c r="O546" s="62" t="s">
        <v>3213</v>
      </c>
      <c r="P546" s="62"/>
    </row>
    <row r="547" spans="1:18" customFormat="1">
      <c r="B547" s="66" t="s">
        <v>5613</v>
      </c>
      <c r="C547" s="62" t="s">
        <v>494</v>
      </c>
      <c r="E547" s="62" t="s">
        <v>476</v>
      </c>
      <c r="K547" s="55">
        <v>2</v>
      </c>
      <c r="L547">
        <v>6</v>
      </c>
      <c r="N547" s="62"/>
      <c r="O547" s="62"/>
      <c r="P547" s="62"/>
    </row>
    <row r="548" spans="1:18" customFormat="1">
      <c r="B548" s="66" t="s">
        <v>5614</v>
      </c>
      <c r="C548" s="62" t="s">
        <v>494</v>
      </c>
      <c r="K548" s="55">
        <v>3</v>
      </c>
      <c r="L548">
        <v>6</v>
      </c>
      <c r="N548" s="62"/>
      <c r="O548" s="62"/>
      <c r="P548" s="62"/>
    </row>
    <row r="549" spans="1:18" customFormat="1">
      <c r="B549" s="66" t="s">
        <v>5854</v>
      </c>
      <c r="C549" s="62" t="s">
        <v>494</v>
      </c>
      <c r="K549" s="55">
        <v>4</v>
      </c>
      <c r="L549">
        <v>3</v>
      </c>
      <c r="M549">
        <v>1</v>
      </c>
      <c r="N549" s="62" t="s">
        <v>5577</v>
      </c>
      <c r="O549" s="66" t="s">
        <v>5580</v>
      </c>
      <c r="P549" s="66" t="s">
        <v>5581</v>
      </c>
    </row>
    <row r="550" spans="1:18" customFormat="1">
      <c r="B550" s="66" t="s">
        <v>5621</v>
      </c>
      <c r="C550" s="62" t="s">
        <v>494</v>
      </c>
      <c r="K550" s="55">
        <v>5</v>
      </c>
      <c r="L550">
        <v>3</v>
      </c>
      <c r="M550">
        <v>1</v>
      </c>
      <c r="N550" t="s">
        <v>5597</v>
      </c>
      <c r="O550" s="66" t="s">
        <v>5598</v>
      </c>
      <c r="P550" s="66" t="s">
        <v>5617</v>
      </c>
    </row>
    <row r="551" spans="1:18" customFormat="1">
      <c r="B551" s="66" t="s">
        <v>5634</v>
      </c>
      <c r="C551" s="62" t="s">
        <v>494</v>
      </c>
      <c r="K551" s="55">
        <v>6</v>
      </c>
      <c r="M551">
        <v>1</v>
      </c>
      <c r="N551" s="62"/>
      <c r="O551" s="62"/>
      <c r="P551" s="62"/>
    </row>
    <row r="552" spans="1:18" customFormat="1">
      <c r="B552" s="66" t="s">
        <v>5635</v>
      </c>
      <c r="C552" s="62" t="s">
        <v>494</v>
      </c>
      <c r="K552" s="55">
        <v>7</v>
      </c>
      <c r="L552">
        <v>91</v>
      </c>
      <c r="N552" s="62"/>
      <c r="O552" s="62"/>
      <c r="P552" s="62"/>
    </row>
    <row r="553" spans="1:18" customFormat="1">
      <c r="B553" s="66" t="s">
        <v>5636</v>
      </c>
      <c r="C553" s="62" t="s">
        <v>494</v>
      </c>
      <c r="K553" s="55">
        <v>8</v>
      </c>
      <c r="L553">
        <v>92</v>
      </c>
      <c r="N553" s="62"/>
      <c r="O553" s="62"/>
      <c r="P553" s="62"/>
    </row>
    <row r="554" spans="1:18" customFormat="1">
      <c r="B554" s="66" t="s">
        <v>5637</v>
      </c>
      <c r="C554" s="62" t="s">
        <v>494</v>
      </c>
      <c r="K554" s="55">
        <v>9</v>
      </c>
      <c r="L554">
        <v>7</v>
      </c>
      <c r="N554" s="62"/>
      <c r="O554" s="62"/>
      <c r="P554" s="62"/>
    </row>
    <row r="555" spans="1:18" customFormat="1">
      <c r="B555" s="66" t="s">
        <v>5638</v>
      </c>
      <c r="C555" s="62" t="s">
        <v>494</v>
      </c>
      <c r="K555" s="55">
        <v>10</v>
      </c>
      <c r="L555">
        <v>7</v>
      </c>
      <c r="N555" s="62"/>
      <c r="O555" s="62"/>
      <c r="P555" s="62"/>
    </row>
    <row r="556" spans="1:18" customFormat="1">
      <c r="B556" s="66" t="s">
        <v>5852</v>
      </c>
      <c r="C556" s="62" t="s">
        <v>494</v>
      </c>
      <c r="K556" s="55">
        <v>11</v>
      </c>
      <c r="L556">
        <v>8</v>
      </c>
      <c r="N556" s="62"/>
      <c r="O556" s="62"/>
      <c r="P556" s="62"/>
    </row>
    <row r="557" spans="1:18" customFormat="1">
      <c r="B557" s="66" t="s">
        <v>5853</v>
      </c>
      <c r="C557" s="62" t="s">
        <v>494</v>
      </c>
      <c r="K557" s="55">
        <v>12</v>
      </c>
      <c r="L557">
        <v>7</v>
      </c>
      <c r="N557" s="62"/>
      <c r="O557" s="62"/>
      <c r="P557" s="62"/>
    </row>
    <row r="558" spans="1:18" customFormat="1">
      <c r="B558" s="66"/>
      <c r="C558" s="62"/>
      <c r="N558" s="62"/>
      <c r="O558" s="62"/>
      <c r="P558" s="62"/>
    </row>
    <row r="559" spans="1:18">
      <c r="B559" s="62"/>
      <c r="C559" s="62"/>
      <c r="F559" s="14"/>
      <c r="G559" s="14"/>
      <c r="H559" s="14"/>
      <c r="I559" s="11"/>
      <c r="J559" s="14"/>
      <c r="L559" s="15"/>
      <c r="M559" s="14"/>
      <c r="O559" s="23"/>
      <c r="P559" s="23"/>
      <c r="Q559" s="14"/>
      <c r="R559" s="14"/>
    </row>
    <row r="560" spans="1:18" customFormat="1">
      <c r="B560" s="62"/>
    </row>
    <row r="561" spans="1:18">
      <c r="B561" s="66"/>
      <c r="C561" s="62"/>
      <c r="F561" s="14"/>
      <c r="G561" s="14"/>
      <c r="H561" s="14"/>
      <c r="I561" s="11"/>
      <c r="J561" s="14"/>
      <c r="K561" s="16"/>
      <c r="L561" s="15"/>
      <c r="M561" s="14"/>
      <c r="P561" s="14"/>
      <c r="Q561" s="14"/>
      <c r="R561" s="14"/>
    </row>
    <row r="562" spans="1:18">
      <c r="A562" s="10"/>
      <c r="B562"/>
      <c r="C562" s="64"/>
      <c r="D562" s="10"/>
      <c r="E562" s="10"/>
      <c r="F562" s="10"/>
      <c r="G562" s="10"/>
      <c r="H562" s="10"/>
      <c r="I562" s="10"/>
      <c r="J562" s="10"/>
      <c r="K562" s="16"/>
      <c r="L562" s="80"/>
      <c r="M562" s="10"/>
      <c r="N562" s="10"/>
      <c r="O562" s="10"/>
      <c r="P562" s="10"/>
      <c r="Q562" s="10"/>
      <c r="R562" s="10"/>
    </row>
    <row r="563" spans="1:18">
      <c r="A563" s="10"/>
      <c r="B563" s="45"/>
      <c r="C563" s="10"/>
      <c r="D563" s="10"/>
      <c r="E563" s="10"/>
      <c r="F563" s="10"/>
      <c r="G563" s="10"/>
      <c r="H563" s="10"/>
      <c r="I563" s="10"/>
      <c r="J563" s="10"/>
      <c r="K563" s="16"/>
      <c r="L563" s="31"/>
      <c r="M563" s="10"/>
      <c r="N563" s="10"/>
      <c r="O563" s="10"/>
      <c r="P563" s="10"/>
      <c r="Q563" s="10"/>
      <c r="R563" s="10"/>
    </row>
    <row r="564" spans="1:18">
      <c r="A564" s="10"/>
      <c r="B564" s="45"/>
      <c r="C564" s="10"/>
      <c r="D564" s="10"/>
      <c r="E564" s="10"/>
      <c r="F564" s="10"/>
      <c r="G564" s="10"/>
      <c r="H564" s="10"/>
      <c r="I564" s="10"/>
      <c r="J564" s="10"/>
      <c r="K564" s="16"/>
      <c r="L564" s="31"/>
      <c r="M564" s="10"/>
      <c r="N564" s="10"/>
      <c r="O564" s="10"/>
      <c r="P564" s="10"/>
      <c r="Q564" s="10"/>
      <c r="R564" s="10"/>
    </row>
    <row r="565" spans="1:18">
      <c r="A565" s="62"/>
      <c r="B565" s="64"/>
      <c r="C565" s="64"/>
      <c r="F565" s="14"/>
      <c r="G565" s="14"/>
      <c r="H565" s="14"/>
      <c r="I565" s="11"/>
      <c r="J565" s="14"/>
      <c r="K565" s="16"/>
      <c r="L565" s="15"/>
      <c r="M565" s="14"/>
      <c r="N565" s="14"/>
      <c r="O565" s="14"/>
      <c r="P565" s="14"/>
      <c r="Q565" s="14"/>
      <c r="R565" s="14"/>
    </row>
    <row r="566" spans="1:18" customFormat="1">
      <c r="A566" s="62"/>
      <c r="B566" s="62"/>
      <c r="C566" s="62"/>
      <c r="H566" s="62"/>
      <c r="K566" s="55"/>
      <c r="N566" s="62"/>
      <c r="O566" s="62"/>
      <c r="P566" s="62"/>
      <c r="Q566" s="62"/>
    </row>
    <row r="567" spans="1:18">
      <c r="B567" s="49"/>
      <c r="C567" s="44"/>
      <c r="F567" s="14"/>
      <c r="G567" s="14"/>
      <c r="H567" s="14"/>
      <c r="I567" s="11"/>
      <c r="J567" s="14"/>
      <c r="K567" s="16"/>
      <c r="L567" s="15"/>
      <c r="M567" s="14"/>
      <c r="N567" s="44"/>
      <c r="O567" s="49"/>
      <c r="P567" s="14"/>
      <c r="Q567" s="14"/>
      <c r="R567" s="14"/>
    </row>
    <row r="568" spans="1:18" s="3" customFormat="1">
      <c r="A568" s="70" t="s">
        <v>3362</v>
      </c>
      <c r="B568" s="70" t="s">
        <v>3363</v>
      </c>
      <c r="C568" s="70" t="s">
        <v>494</v>
      </c>
      <c r="D568" s="62"/>
      <c r="E568" s="62" t="s">
        <v>476</v>
      </c>
      <c r="F568" s="62">
        <v>23</v>
      </c>
      <c r="G568" s="62">
        <v>2322</v>
      </c>
      <c r="H568" s="62" t="s">
        <v>5435</v>
      </c>
      <c r="I568" s="62" t="s">
        <v>5487</v>
      </c>
      <c r="J568" s="62">
        <v>2302</v>
      </c>
      <c r="K568" s="76">
        <v>1</v>
      </c>
      <c r="L568" s="9">
        <v>3</v>
      </c>
      <c r="M568" s="1"/>
      <c r="N568" s="64" t="s">
        <v>506</v>
      </c>
      <c r="O568" s="64" t="s">
        <v>514</v>
      </c>
      <c r="P568" s="1" t="s">
        <v>515</v>
      </c>
      <c r="Q568" s="12"/>
      <c r="R568" s="12"/>
    </row>
    <row r="569" spans="1:18" s="3" customFormat="1">
      <c r="A569" s="70"/>
      <c r="B569" s="70" t="s">
        <v>3364</v>
      </c>
      <c r="C569" s="70" t="s">
        <v>494</v>
      </c>
      <c r="D569" s="62"/>
      <c r="E569" s="62" t="s">
        <v>476</v>
      </c>
      <c r="F569" s="62"/>
      <c r="G569" s="62"/>
      <c r="H569" s="62"/>
      <c r="I569" s="62"/>
      <c r="J569" s="62"/>
      <c r="K569" s="76">
        <v>2</v>
      </c>
      <c r="L569" s="62">
        <v>8</v>
      </c>
      <c r="M569" s="62"/>
      <c r="N569" s="62"/>
      <c r="O569" s="62"/>
      <c r="P569" s="62"/>
      <c r="Q569" s="12"/>
      <c r="R569" s="12"/>
    </row>
    <row r="570" spans="1:18" s="3" customFormat="1">
      <c r="A570" s="70"/>
      <c r="B570" s="70" t="s">
        <v>3381</v>
      </c>
      <c r="C570" s="70" t="s">
        <v>494</v>
      </c>
      <c r="D570" s="62"/>
      <c r="E570" s="62"/>
      <c r="F570" s="62"/>
      <c r="G570" s="62"/>
      <c r="H570" s="62"/>
      <c r="I570" s="62"/>
      <c r="J570" s="62"/>
      <c r="K570" s="76">
        <v>3</v>
      </c>
      <c r="L570" s="62">
        <v>6</v>
      </c>
      <c r="M570" s="62"/>
      <c r="N570" s="62"/>
      <c r="O570" s="62"/>
      <c r="P570" s="62"/>
      <c r="Q570" s="12"/>
      <c r="R570" s="12"/>
    </row>
    <row r="571" spans="1:18" s="3" customFormat="1">
      <c r="A571" s="70"/>
      <c r="B571" s="70" t="s">
        <v>3385</v>
      </c>
      <c r="C571" s="70" t="s">
        <v>493</v>
      </c>
      <c r="D571" s="62">
        <v>1</v>
      </c>
      <c r="E571" s="62"/>
      <c r="F571" s="62"/>
      <c r="G571" s="62"/>
      <c r="H571" s="62"/>
      <c r="I571" s="62"/>
      <c r="J571" s="62"/>
      <c r="K571" s="76">
        <v>4</v>
      </c>
      <c r="L571" s="75">
        <v>30</v>
      </c>
      <c r="M571" s="62"/>
      <c r="N571" s="62"/>
      <c r="O571" s="62"/>
      <c r="P571" s="62"/>
      <c r="Q571" s="12"/>
      <c r="R571" s="12"/>
    </row>
    <row r="572" spans="1:18" s="3" customFormat="1">
      <c r="A572" s="70"/>
      <c r="B572" s="70" t="s">
        <v>3365</v>
      </c>
      <c r="C572" s="70" t="s">
        <v>494</v>
      </c>
      <c r="D572" s="62"/>
      <c r="E572" s="62"/>
      <c r="F572" s="62"/>
      <c r="G572" s="62"/>
      <c r="H572" s="62"/>
      <c r="I572" s="62"/>
      <c r="J572" s="62"/>
      <c r="K572" s="76">
        <v>5</v>
      </c>
      <c r="L572" s="62">
        <v>7</v>
      </c>
      <c r="M572" s="62"/>
      <c r="N572" s="62"/>
      <c r="O572" s="62"/>
      <c r="P572" s="62"/>
      <c r="Q572" s="12"/>
      <c r="R572" s="12"/>
    </row>
    <row r="573" spans="1:18" s="3" customFormat="1">
      <c r="A573" s="70"/>
      <c r="B573" s="70" t="s">
        <v>3366</v>
      </c>
      <c r="C573" s="70" t="s">
        <v>494</v>
      </c>
      <c r="D573" s="62"/>
      <c r="E573" s="62"/>
      <c r="F573" s="62"/>
      <c r="G573" s="62"/>
      <c r="H573" s="62"/>
      <c r="I573" s="62"/>
      <c r="J573" s="62"/>
      <c r="K573" s="76">
        <v>6</v>
      </c>
      <c r="L573" s="62"/>
      <c r="M573" s="62">
        <v>1</v>
      </c>
      <c r="N573" s="62"/>
      <c r="O573" s="62"/>
      <c r="P573" s="62"/>
      <c r="Q573" s="12"/>
      <c r="R573" s="12"/>
    </row>
    <row r="574" spans="1:18" s="3" customFormat="1">
      <c r="A574" s="70"/>
      <c r="B574" s="70" t="s">
        <v>3367</v>
      </c>
      <c r="C574" s="70" t="s">
        <v>493</v>
      </c>
      <c r="D574" s="62">
        <v>1</v>
      </c>
      <c r="E574" s="62"/>
      <c r="F574" s="62"/>
      <c r="G574" s="62"/>
      <c r="H574" s="62"/>
      <c r="I574" s="62"/>
      <c r="J574" s="62"/>
      <c r="K574" s="76">
        <v>7</v>
      </c>
      <c r="L574" s="9">
        <v>3</v>
      </c>
      <c r="M574" s="1"/>
      <c r="N574" s="1"/>
      <c r="O574" s="1">
        <v>111</v>
      </c>
      <c r="P574" s="1">
        <v>1</v>
      </c>
      <c r="Q574" s="12"/>
      <c r="R574" s="12"/>
    </row>
    <row r="575" spans="1:18" s="3" customFormat="1">
      <c r="A575" s="70"/>
      <c r="B575" s="70" t="s">
        <v>3369</v>
      </c>
      <c r="C575" s="70" t="s">
        <v>493</v>
      </c>
      <c r="D575" s="62">
        <v>3</v>
      </c>
      <c r="E575" s="62"/>
      <c r="F575" s="62"/>
      <c r="G575" s="62"/>
      <c r="H575" s="62"/>
      <c r="I575" s="62"/>
      <c r="J575" s="62"/>
      <c r="K575" s="76">
        <v>8</v>
      </c>
      <c r="L575" s="9">
        <v>3</v>
      </c>
      <c r="M575" s="1"/>
      <c r="N575" s="1" t="s">
        <v>399</v>
      </c>
      <c r="O575" s="1" t="s">
        <v>401</v>
      </c>
      <c r="P575" s="1" t="s">
        <v>400</v>
      </c>
      <c r="Q575" s="1"/>
      <c r="R575" s="1"/>
    </row>
    <row r="576" spans="1:18" s="3" customFormat="1">
      <c r="A576" s="70"/>
      <c r="B576" s="70" t="s">
        <v>3370</v>
      </c>
      <c r="C576" s="70" t="s">
        <v>493</v>
      </c>
      <c r="D576" s="62">
        <v>5</v>
      </c>
      <c r="E576" s="62"/>
      <c r="F576" s="62"/>
      <c r="G576" s="62"/>
      <c r="H576" s="62"/>
      <c r="I576" s="62"/>
      <c r="J576" s="62"/>
      <c r="K576" s="76">
        <v>9</v>
      </c>
      <c r="L576" s="32">
        <v>3</v>
      </c>
      <c r="M576">
        <v>31</v>
      </c>
      <c r="N576" s="1" t="s">
        <v>404</v>
      </c>
      <c r="O576" s="1" t="s">
        <v>405</v>
      </c>
      <c r="P576" s="1" t="s">
        <v>406</v>
      </c>
      <c r="Q576" s="1" t="s">
        <v>407</v>
      </c>
      <c r="R576">
        <v>18</v>
      </c>
    </row>
    <row r="577" spans="1:18" s="3" customFormat="1">
      <c r="A577" s="70"/>
      <c r="B577" s="70" t="s">
        <v>3371</v>
      </c>
      <c r="C577" s="70" t="s">
        <v>493</v>
      </c>
      <c r="D577" s="62">
        <v>8</v>
      </c>
      <c r="E577" s="62"/>
      <c r="F577" s="62"/>
      <c r="G577" s="62"/>
      <c r="H577" s="62"/>
      <c r="I577" s="62"/>
      <c r="J577" s="62"/>
      <c r="K577" s="76">
        <v>10</v>
      </c>
      <c r="L577" s="32">
        <v>3</v>
      </c>
      <c r="M577">
        <v>31</v>
      </c>
      <c r="N577" s="1" t="s">
        <v>410</v>
      </c>
      <c r="O577" s="1" t="s">
        <v>413</v>
      </c>
      <c r="P577" s="1" t="s">
        <v>414</v>
      </c>
      <c r="Q577" s="1" t="s">
        <v>415</v>
      </c>
      <c r="R577">
        <v>19</v>
      </c>
    </row>
    <row r="578" spans="1:18" s="3" customFormat="1">
      <c r="A578" s="70"/>
      <c r="B578" s="70" t="s">
        <v>3373</v>
      </c>
      <c r="C578" s="70" t="s">
        <v>493</v>
      </c>
      <c r="D578" s="62">
        <v>100</v>
      </c>
      <c r="E578" s="62"/>
      <c r="F578" s="62"/>
      <c r="G578" s="62"/>
      <c r="H578" s="62"/>
      <c r="I578" s="62"/>
      <c r="J578" s="62"/>
      <c r="K578" s="76">
        <v>11</v>
      </c>
      <c r="L578" s="62"/>
      <c r="M578" s="62"/>
      <c r="N578" s="62"/>
      <c r="O578" s="62"/>
      <c r="P578" s="62"/>
      <c r="Q578" s="12"/>
      <c r="R578" s="12"/>
    </row>
    <row r="579" spans="1:18" s="3" customFormat="1">
      <c r="A579" s="70"/>
      <c r="B579" s="70" t="s">
        <v>3372</v>
      </c>
      <c r="C579" s="70" t="s">
        <v>493</v>
      </c>
      <c r="D579" s="62">
        <v>100</v>
      </c>
      <c r="E579" s="62"/>
      <c r="F579" s="62"/>
      <c r="G579" s="62"/>
      <c r="H579" s="62"/>
      <c r="I579" s="62"/>
      <c r="J579" s="62"/>
      <c r="K579" s="76">
        <v>12</v>
      </c>
      <c r="L579" s="62"/>
      <c r="M579" s="62"/>
      <c r="N579" s="62"/>
      <c r="O579" s="62"/>
      <c r="P579" s="62"/>
      <c r="Q579" s="12"/>
      <c r="R579" s="12"/>
    </row>
    <row r="580" spans="1:18" s="3" customFormat="1">
      <c r="A580" s="70"/>
      <c r="B580" s="70" t="s">
        <v>3368</v>
      </c>
      <c r="C580" s="70" t="s">
        <v>494</v>
      </c>
      <c r="D580" s="62"/>
      <c r="E580" s="62"/>
      <c r="F580" s="62"/>
      <c r="G580" s="62"/>
      <c r="H580" s="62"/>
      <c r="I580" s="62"/>
      <c r="J580" s="62"/>
      <c r="K580" s="76">
        <v>13</v>
      </c>
      <c r="L580" s="62">
        <v>3</v>
      </c>
      <c r="M580" s="62"/>
      <c r="N580" s="62"/>
      <c r="O580" s="62"/>
      <c r="P580" s="62"/>
      <c r="Q580" s="12"/>
      <c r="R580" s="12"/>
    </row>
    <row r="581" spans="1:18" customFormat="1">
      <c r="A581" s="94"/>
      <c r="B581" s="67" t="s">
        <v>3380</v>
      </c>
      <c r="C581" s="70" t="s">
        <v>494</v>
      </c>
      <c r="K581" s="76">
        <v>14</v>
      </c>
      <c r="L581" s="68">
        <v>3</v>
      </c>
      <c r="M581">
        <v>3</v>
      </c>
      <c r="N581" s="62" t="s">
        <v>693</v>
      </c>
      <c r="O581" s="1" t="s">
        <v>695</v>
      </c>
      <c r="P581" s="62" t="s">
        <v>696</v>
      </c>
    </row>
    <row r="582" spans="1:18" customFormat="1">
      <c r="A582" s="94"/>
      <c r="B582" s="67" t="s">
        <v>3382</v>
      </c>
      <c r="C582" s="70" t="s">
        <v>494</v>
      </c>
      <c r="E582" s="62"/>
      <c r="K582" s="76">
        <v>15</v>
      </c>
      <c r="L582" s="15">
        <v>3</v>
      </c>
      <c r="M582" s="14">
        <v>31</v>
      </c>
      <c r="N582" s="62" t="s">
        <v>379</v>
      </c>
      <c r="O582" s="62" t="s">
        <v>698</v>
      </c>
      <c r="P582" s="62" t="s">
        <v>699</v>
      </c>
      <c r="Q582" s="62" t="s">
        <v>383</v>
      </c>
      <c r="R582" s="14">
        <v>30</v>
      </c>
    </row>
    <row r="583" spans="1:18" s="3" customFormat="1">
      <c r="A583" s="70"/>
      <c r="B583" s="70" t="s">
        <v>3384</v>
      </c>
      <c r="C583" s="70" t="s">
        <v>493</v>
      </c>
      <c r="D583" s="62">
        <v>1</v>
      </c>
      <c r="E583" s="62"/>
      <c r="F583" s="62"/>
      <c r="G583" s="62"/>
      <c r="H583" s="62"/>
      <c r="I583" s="62"/>
      <c r="J583" s="62"/>
      <c r="K583" s="76">
        <v>16</v>
      </c>
      <c r="L583" s="62">
        <v>3</v>
      </c>
      <c r="M583" s="62"/>
      <c r="N583" s="62"/>
      <c r="O583" s="62"/>
      <c r="P583" s="62"/>
      <c r="Q583" s="12"/>
      <c r="R583" s="12"/>
    </row>
    <row r="584" spans="1:18" s="3" customFormat="1">
      <c r="A584" s="70"/>
      <c r="B584" s="70" t="s">
        <v>3391</v>
      </c>
      <c r="C584" s="70" t="s">
        <v>494</v>
      </c>
      <c r="D584" s="62"/>
      <c r="E584" s="62"/>
      <c r="F584" s="62"/>
      <c r="G584" s="62"/>
      <c r="H584" s="62"/>
      <c r="I584" s="62"/>
      <c r="J584" s="62"/>
      <c r="K584" s="76">
        <v>17</v>
      </c>
      <c r="L584" s="62">
        <v>3</v>
      </c>
      <c r="M584" s="62"/>
      <c r="N584" s="62" t="s">
        <v>3392</v>
      </c>
      <c r="O584" s="62" t="s">
        <v>3394</v>
      </c>
      <c r="P584" s="62" t="s">
        <v>3395</v>
      </c>
      <c r="Q584" s="12"/>
      <c r="R584" s="47">
        <v>2302</v>
      </c>
    </row>
    <row r="585" spans="1:18" s="3" customFormat="1">
      <c r="A585" s="70"/>
      <c r="B585" s="70" t="s">
        <v>3398</v>
      </c>
      <c r="C585" s="70" t="s">
        <v>493</v>
      </c>
      <c r="D585" s="62">
        <v>1</v>
      </c>
      <c r="E585" s="62"/>
      <c r="F585" s="62"/>
      <c r="G585" s="62"/>
      <c r="H585" s="62"/>
      <c r="I585" s="62"/>
      <c r="J585" s="62"/>
      <c r="K585" s="76">
        <v>18</v>
      </c>
      <c r="L585" s="62">
        <v>3</v>
      </c>
      <c r="M585" s="62"/>
      <c r="N585" s="62"/>
      <c r="O585" s="62"/>
      <c r="P585" s="62"/>
      <c r="Q585" s="12"/>
      <c r="R585" s="12"/>
    </row>
    <row r="586" spans="1:18" s="3" customFormat="1">
      <c r="A586" s="70"/>
      <c r="B586" s="70" t="s">
        <v>3402</v>
      </c>
      <c r="C586" s="70" t="s">
        <v>494</v>
      </c>
      <c r="D586" s="62"/>
      <c r="E586" s="62"/>
      <c r="F586" s="62"/>
      <c r="G586" s="62"/>
      <c r="H586" s="62"/>
      <c r="I586" s="62"/>
      <c r="J586" s="62"/>
      <c r="K586" s="76">
        <v>19</v>
      </c>
      <c r="L586" s="62">
        <v>8</v>
      </c>
      <c r="M586" s="62">
        <v>1</v>
      </c>
      <c r="N586" s="62"/>
      <c r="O586" s="62"/>
      <c r="P586" s="62"/>
      <c r="Q586" s="12"/>
      <c r="R586" s="12"/>
    </row>
    <row r="587" spans="1:18" s="3" customFormat="1">
      <c r="A587" s="70"/>
      <c r="B587" s="70" t="s">
        <v>3404</v>
      </c>
      <c r="C587" s="70" t="s">
        <v>493</v>
      </c>
      <c r="D587" s="62">
        <v>1</v>
      </c>
      <c r="E587" s="62"/>
      <c r="F587" s="62"/>
      <c r="G587" s="62"/>
      <c r="H587" s="62"/>
      <c r="I587" s="62"/>
      <c r="J587" s="62"/>
      <c r="K587" s="76">
        <v>20</v>
      </c>
      <c r="L587" s="62">
        <v>3</v>
      </c>
      <c r="M587" s="62"/>
      <c r="N587" s="62"/>
      <c r="O587" s="62"/>
      <c r="P587" s="62"/>
      <c r="Q587" s="12"/>
      <c r="R587" s="12"/>
    </row>
    <row r="588" spans="1:18" s="3" customFormat="1">
      <c r="A588" s="70"/>
      <c r="B588" s="70" t="s">
        <v>3405</v>
      </c>
      <c r="C588" s="70" t="s">
        <v>493</v>
      </c>
      <c r="D588" s="62">
        <v>1</v>
      </c>
      <c r="E588" s="62"/>
      <c r="F588" s="62"/>
      <c r="G588" s="62"/>
      <c r="H588" s="62"/>
      <c r="I588" s="62"/>
      <c r="J588" s="62"/>
      <c r="K588" s="76">
        <v>21</v>
      </c>
      <c r="L588" s="62">
        <v>3</v>
      </c>
      <c r="M588" s="62"/>
      <c r="N588" s="62"/>
      <c r="O588" s="62"/>
      <c r="P588" s="62"/>
      <c r="Q588" s="12"/>
      <c r="R588" s="12"/>
    </row>
    <row r="589" spans="1:18" s="3" customFormat="1">
      <c r="A589" s="70"/>
      <c r="B589" s="70" t="s">
        <v>3416</v>
      </c>
      <c r="C589" s="70" t="s">
        <v>493</v>
      </c>
      <c r="D589" s="62">
        <v>1</v>
      </c>
      <c r="E589" s="62"/>
      <c r="F589" s="62"/>
      <c r="G589" s="62"/>
      <c r="H589" s="62"/>
      <c r="I589" s="62"/>
      <c r="J589" s="62"/>
      <c r="K589" s="76">
        <v>22</v>
      </c>
      <c r="L589" s="62">
        <v>3</v>
      </c>
      <c r="M589" s="62"/>
      <c r="N589" s="62"/>
      <c r="O589" s="62"/>
      <c r="P589" s="62"/>
      <c r="Q589" s="12"/>
      <c r="R589" s="12"/>
    </row>
    <row r="590" spans="1:18" s="3" customFormat="1">
      <c r="A590" s="70"/>
      <c r="B590" s="70" t="s">
        <v>3417</v>
      </c>
      <c r="C590" s="70" t="s">
        <v>493</v>
      </c>
      <c r="D590" s="62">
        <v>1</v>
      </c>
      <c r="E590" s="62"/>
      <c r="F590" s="62"/>
      <c r="G590" s="62"/>
      <c r="H590" s="62"/>
      <c r="I590" s="62"/>
      <c r="J590" s="62"/>
      <c r="K590" s="76">
        <v>23</v>
      </c>
      <c r="L590" s="62">
        <v>3</v>
      </c>
      <c r="M590" s="62"/>
      <c r="N590" s="62"/>
      <c r="O590" s="62"/>
      <c r="P590" s="62"/>
      <c r="Q590" s="12"/>
      <c r="R590" s="12"/>
    </row>
    <row r="591" spans="1:18" s="3" customFormat="1">
      <c r="A591" s="70"/>
      <c r="B591" s="70" t="s">
        <v>3418</v>
      </c>
      <c r="C591" s="70" t="s">
        <v>493</v>
      </c>
      <c r="D591" s="62">
        <v>1</v>
      </c>
      <c r="E591" s="62"/>
      <c r="F591" s="62"/>
      <c r="G591" s="62"/>
      <c r="H591" s="62"/>
      <c r="I591" s="62"/>
      <c r="J591" s="62"/>
      <c r="K591" s="76">
        <v>24</v>
      </c>
      <c r="L591" s="62">
        <v>3</v>
      </c>
      <c r="M591" s="62"/>
      <c r="N591" s="62"/>
      <c r="O591" s="62"/>
      <c r="P591" s="62"/>
      <c r="Q591" s="12"/>
      <c r="R591" s="12"/>
    </row>
    <row r="592" spans="1:18" s="3" customFormat="1">
      <c r="A592" s="62"/>
      <c r="B592" s="70" t="s">
        <v>3606</v>
      </c>
      <c r="C592" s="62" t="s">
        <v>494</v>
      </c>
      <c r="D592" s="62"/>
      <c r="E592" s="62"/>
      <c r="F592" s="62"/>
      <c r="G592" s="62"/>
      <c r="H592" s="62"/>
      <c r="I592" s="62"/>
      <c r="J592" s="62"/>
      <c r="K592" s="76">
        <v>25</v>
      </c>
      <c r="L592" s="62"/>
      <c r="M592" s="62">
        <v>1</v>
      </c>
      <c r="N592" s="62"/>
      <c r="O592" s="62"/>
      <c r="P592" s="62"/>
      <c r="Q592" s="12"/>
      <c r="R592" s="12"/>
    </row>
    <row r="593" spans="1:18" s="3" customFormat="1">
      <c r="A593" s="62"/>
      <c r="B593" s="70" t="s">
        <v>3607</v>
      </c>
      <c r="C593" s="62" t="s">
        <v>494</v>
      </c>
      <c r="D593" s="62"/>
      <c r="E593" s="62"/>
      <c r="F593" s="62"/>
      <c r="G593" s="62"/>
      <c r="H593" s="62"/>
      <c r="I593" s="62"/>
      <c r="J593" s="62"/>
      <c r="K593" s="76">
        <v>26</v>
      </c>
      <c r="L593" s="62"/>
      <c r="M593" s="62">
        <v>1</v>
      </c>
      <c r="N593" s="62"/>
      <c r="O593" s="62"/>
      <c r="P593" s="62"/>
      <c r="Q593" s="12"/>
      <c r="R593" s="12"/>
    </row>
    <row r="594" spans="1:18" s="3" customFormat="1">
      <c r="A594" s="62"/>
      <c r="B594" s="70" t="s">
        <v>3610</v>
      </c>
      <c r="C594" s="62" t="s">
        <v>494</v>
      </c>
      <c r="D594" s="62"/>
      <c r="E594" s="62"/>
      <c r="F594" s="62"/>
      <c r="G594" s="62"/>
      <c r="H594" s="97"/>
      <c r="I594" s="62"/>
      <c r="J594" s="62"/>
      <c r="K594" s="76">
        <v>27</v>
      </c>
      <c r="L594" s="75"/>
      <c r="M594" s="62"/>
      <c r="N594" s="62"/>
      <c r="O594" s="62"/>
      <c r="P594" s="62"/>
      <c r="Q594" s="12"/>
      <c r="R594" s="12"/>
    </row>
    <row r="595" spans="1:18" s="3" customFormat="1">
      <c r="A595" s="62"/>
      <c r="B595" s="62" t="s">
        <v>3711</v>
      </c>
      <c r="C595" s="62" t="s">
        <v>494</v>
      </c>
      <c r="D595" s="62"/>
      <c r="E595" s="62"/>
      <c r="F595" s="62"/>
      <c r="G595" s="62"/>
      <c r="H595" s="62"/>
      <c r="I595" s="62"/>
      <c r="J595" s="62"/>
      <c r="K595" s="76">
        <v>28</v>
      </c>
      <c r="L595" s="62"/>
      <c r="M595" s="62">
        <v>1</v>
      </c>
      <c r="N595" s="62"/>
      <c r="O595" s="62"/>
      <c r="P595" s="62"/>
      <c r="Q595" s="12"/>
      <c r="R595" s="12"/>
    </row>
    <row r="596" spans="1:18" s="3" customFormat="1">
      <c r="A596" s="62"/>
      <c r="B596" s="70" t="s">
        <v>3612</v>
      </c>
      <c r="C596" s="62" t="s">
        <v>494</v>
      </c>
      <c r="D596" s="62"/>
      <c r="E596" s="62"/>
      <c r="F596" s="62"/>
      <c r="G596" s="62"/>
      <c r="H596" s="62"/>
      <c r="I596" s="62"/>
      <c r="J596" s="62"/>
      <c r="K596" s="76">
        <v>29</v>
      </c>
      <c r="L596" s="75"/>
      <c r="M596" s="62"/>
      <c r="N596" s="62"/>
      <c r="O596" s="62"/>
      <c r="P596" s="62"/>
      <c r="Q596" s="12"/>
      <c r="R596" s="12"/>
    </row>
    <row r="597" spans="1:18" s="3" customFormat="1">
      <c r="A597" s="62"/>
      <c r="B597" s="62" t="s">
        <v>3712</v>
      </c>
      <c r="C597" s="62" t="s">
        <v>494</v>
      </c>
      <c r="D597" s="62"/>
      <c r="E597" s="62"/>
      <c r="F597" s="62"/>
      <c r="G597" s="62"/>
      <c r="H597" s="62"/>
      <c r="I597" s="62"/>
      <c r="J597" s="62"/>
      <c r="K597" s="76">
        <v>30</v>
      </c>
      <c r="L597" s="62"/>
      <c r="M597" s="62">
        <v>1</v>
      </c>
      <c r="N597" s="62"/>
      <c r="O597" s="62"/>
      <c r="P597" s="62"/>
      <c r="Q597" s="12"/>
      <c r="R597" s="12"/>
    </row>
    <row r="598" spans="1:18" s="3" customFormat="1">
      <c r="A598" s="62"/>
      <c r="B598" s="70" t="s">
        <v>3611</v>
      </c>
      <c r="C598" s="62" t="s">
        <v>494</v>
      </c>
      <c r="D598" s="62"/>
      <c r="E598" s="62"/>
      <c r="F598" s="62"/>
      <c r="G598" s="62"/>
      <c r="H598" s="62"/>
      <c r="I598" s="62"/>
      <c r="J598" s="62"/>
      <c r="K598" s="76">
        <v>31</v>
      </c>
      <c r="L598" s="75"/>
      <c r="M598" s="62"/>
      <c r="N598" s="62"/>
      <c r="O598" s="62"/>
      <c r="P598" s="62"/>
      <c r="Q598" s="12"/>
      <c r="R598" s="12"/>
    </row>
    <row r="599" spans="1:18" s="3" customFormat="1">
      <c r="A599" s="62"/>
      <c r="B599" s="62" t="s">
        <v>3713</v>
      </c>
      <c r="C599" s="62" t="s">
        <v>494</v>
      </c>
      <c r="D599" s="62"/>
      <c r="E599" s="62"/>
      <c r="F599" s="62"/>
      <c r="G599" s="62"/>
      <c r="H599" s="62"/>
      <c r="I599" s="62"/>
      <c r="J599" s="62"/>
      <c r="K599" s="76">
        <v>32</v>
      </c>
      <c r="L599" s="62"/>
      <c r="M599" s="62">
        <v>1</v>
      </c>
      <c r="N599" s="62"/>
      <c r="O599" s="62"/>
      <c r="P599" s="62"/>
      <c r="Q599" s="12"/>
      <c r="R599" s="12"/>
    </row>
    <row r="600" spans="1:18" s="3" customFormat="1">
      <c r="A600" s="62"/>
      <c r="B600" s="70" t="s">
        <v>3613</v>
      </c>
      <c r="C600" s="62" t="s">
        <v>494</v>
      </c>
      <c r="D600" s="62"/>
      <c r="E600" s="62"/>
      <c r="F600" s="62"/>
      <c r="G600" s="62"/>
      <c r="H600" s="62"/>
      <c r="I600" s="62"/>
      <c r="J600" s="62"/>
      <c r="K600" s="76">
        <v>33</v>
      </c>
      <c r="L600" s="75">
        <v>3</v>
      </c>
      <c r="M600" s="62">
        <v>3</v>
      </c>
      <c r="N600" s="62" t="s">
        <v>3620</v>
      </c>
      <c r="O600" s="62" t="s">
        <v>3622</v>
      </c>
      <c r="P600" s="62" t="s">
        <v>3623</v>
      </c>
      <c r="Q600" s="12"/>
      <c r="R600" s="47">
        <v>2311</v>
      </c>
    </row>
    <row r="601" spans="1:18" s="3" customFormat="1">
      <c r="A601" s="62"/>
      <c r="B601" s="98" t="s">
        <v>3791</v>
      </c>
      <c r="C601" s="62" t="s">
        <v>494</v>
      </c>
      <c r="D601" s="62"/>
      <c r="E601" s="62"/>
      <c r="F601" s="62"/>
      <c r="G601" s="62"/>
      <c r="H601" s="62"/>
      <c r="I601" s="62"/>
      <c r="J601" s="62"/>
      <c r="K601" s="76">
        <v>34</v>
      </c>
      <c r="L601" s="75">
        <v>3</v>
      </c>
      <c r="M601" s="62"/>
      <c r="N601" s="62" t="s">
        <v>3793</v>
      </c>
      <c r="O601" s="62" t="s">
        <v>3795</v>
      </c>
      <c r="P601" s="62" t="s">
        <v>3798</v>
      </c>
      <c r="Q601" s="12"/>
      <c r="R601" s="47"/>
    </row>
    <row r="602" spans="1:18" s="3" customFormat="1">
      <c r="A602" s="62"/>
      <c r="B602" s="70" t="s">
        <v>3808</v>
      </c>
      <c r="C602" s="62" t="s">
        <v>494</v>
      </c>
      <c r="D602" s="62"/>
      <c r="E602" s="62"/>
      <c r="F602" s="62"/>
      <c r="G602" s="62"/>
      <c r="H602" s="62"/>
      <c r="I602" s="62"/>
      <c r="J602" s="62"/>
      <c r="K602" s="76">
        <v>35</v>
      </c>
      <c r="L602" s="75"/>
      <c r="M602" s="62">
        <v>1</v>
      </c>
      <c r="N602" s="62"/>
      <c r="O602" s="62"/>
      <c r="P602" s="62"/>
      <c r="Q602" s="12"/>
      <c r="R602" s="47"/>
    </row>
    <row r="603" spans="1:18" s="3" customFormat="1">
      <c r="A603" s="62"/>
      <c r="B603" s="70" t="s">
        <v>3809</v>
      </c>
      <c r="C603" s="62" t="s">
        <v>494</v>
      </c>
      <c r="D603" s="62"/>
      <c r="E603" s="62"/>
      <c r="F603" s="62"/>
      <c r="G603" s="62"/>
      <c r="H603" s="62"/>
      <c r="I603" s="62"/>
      <c r="J603" s="62"/>
      <c r="K603" s="76">
        <v>36</v>
      </c>
      <c r="L603" s="75"/>
      <c r="M603" s="62">
        <v>1</v>
      </c>
      <c r="N603" s="62"/>
      <c r="O603" s="62"/>
      <c r="P603" s="62"/>
      <c r="Q603" s="12"/>
      <c r="R603" s="47"/>
    </row>
    <row r="604" spans="1:18" s="3" customFormat="1">
      <c r="A604" s="62"/>
      <c r="B604" s="70" t="s">
        <v>3810</v>
      </c>
      <c r="C604" s="62" t="s">
        <v>494</v>
      </c>
      <c r="D604" s="62"/>
      <c r="E604" s="62"/>
      <c r="F604" s="62"/>
      <c r="G604" s="62"/>
      <c r="H604" s="62"/>
      <c r="I604" s="62"/>
      <c r="J604" s="62"/>
      <c r="K604" s="76">
        <v>37</v>
      </c>
      <c r="L604" s="75"/>
      <c r="M604" s="62">
        <v>1</v>
      </c>
      <c r="N604" s="62"/>
      <c r="O604" s="62"/>
      <c r="P604" s="62"/>
      <c r="Q604" s="12"/>
      <c r="R604" s="47"/>
    </row>
    <row r="605" spans="1:18" s="3" customFormat="1">
      <c r="A605" s="62"/>
      <c r="B605" s="70" t="s">
        <v>3811</v>
      </c>
      <c r="C605" s="62" t="s">
        <v>494</v>
      </c>
      <c r="D605" s="62"/>
      <c r="E605" s="62"/>
      <c r="F605" s="62"/>
      <c r="G605" s="62"/>
      <c r="H605" s="62"/>
      <c r="I605" s="62"/>
      <c r="J605" s="62"/>
      <c r="K605" s="76">
        <v>38</v>
      </c>
      <c r="L605" s="75"/>
      <c r="M605" s="62">
        <v>1</v>
      </c>
      <c r="N605" s="62"/>
      <c r="O605" s="62"/>
      <c r="P605" s="62"/>
      <c r="Q605" s="12"/>
      <c r="R605" s="47"/>
    </row>
    <row r="606" spans="1:18" s="3" customFormat="1">
      <c r="A606" s="62"/>
      <c r="B606" s="70" t="s">
        <v>3806</v>
      </c>
      <c r="C606" s="62" t="s">
        <v>494</v>
      </c>
      <c r="D606" s="62"/>
      <c r="E606" s="62"/>
      <c r="F606" s="62"/>
      <c r="G606" s="62"/>
      <c r="H606" s="62"/>
      <c r="I606" s="62"/>
      <c r="J606" s="62"/>
      <c r="K606" s="76">
        <v>39</v>
      </c>
      <c r="L606" s="75"/>
      <c r="M606" s="62">
        <v>1</v>
      </c>
      <c r="N606" s="62"/>
      <c r="O606" s="62"/>
      <c r="P606" s="62"/>
      <c r="Q606" s="12"/>
      <c r="R606" s="47"/>
    </row>
    <row r="607" spans="1:18" s="3" customFormat="1">
      <c r="A607" s="62"/>
      <c r="B607" s="70" t="s">
        <v>3807</v>
      </c>
      <c r="C607" s="62" t="s">
        <v>494</v>
      </c>
      <c r="D607" s="62"/>
      <c r="E607" s="62"/>
      <c r="F607" s="62"/>
      <c r="G607" s="62"/>
      <c r="H607" s="62"/>
      <c r="I607" s="62"/>
      <c r="J607" s="62"/>
      <c r="K607" s="76">
        <v>40</v>
      </c>
      <c r="L607" s="75">
        <v>3</v>
      </c>
      <c r="M607" s="62"/>
      <c r="N607" s="62"/>
      <c r="O607" s="62"/>
      <c r="P607" s="62"/>
      <c r="Q607" s="12"/>
      <c r="R607" s="47"/>
    </row>
    <row r="608" spans="1:18" s="3" customFormat="1">
      <c r="A608" s="62"/>
      <c r="B608" s="70" t="s">
        <v>3812</v>
      </c>
      <c r="C608" s="62" t="s">
        <v>493</v>
      </c>
      <c r="D608" s="62">
        <v>1</v>
      </c>
      <c r="E608" s="62"/>
      <c r="F608" s="62"/>
      <c r="G608" s="62"/>
      <c r="H608" s="62"/>
      <c r="I608" s="62"/>
      <c r="J608" s="62"/>
      <c r="K608" s="76">
        <v>41</v>
      </c>
      <c r="L608" s="75">
        <v>3</v>
      </c>
      <c r="M608" s="62"/>
      <c r="N608" s="62"/>
      <c r="O608" s="62"/>
      <c r="P608" s="62"/>
      <c r="Q608" s="12"/>
      <c r="R608" s="47"/>
    </row>
    <row r="609" spans="1:18" s="3" customFormat="1">
      <c r="A609" s="62"/>
      <c r="B609" s="70" t="s">
        <v>3813</v>
      </c>
      <c r="C609" s="62" t="s">
        <v>494</v>
      </c>
      <c r="D609" s="62"/>
      <c r="E609" s="62"/>
      <c r="F609" s="62"/>
      <c r="G609" s="62"/>
      <c r="H609" s="62"/>
      <c r="I609" s="62"/>
      <c r="J609" s="62"/>
      <c r="K609" s="76">
        <v>42</v>
      </c>
      <c r="L609" s="75">
        <v>3</v>
      </c>
      <c r="M609" s="62"/>
      <c r="N609" s="62" t="s">
        <v>3823</v>
      </c>
      <c r="O609" s="62" t="s">
        <v>3819</v>
      </c>
      <c r="P609" s="62" t="s">
        <v>3822</v>
      </c>
      <c r="Q609" s="12"/>
      <c r="R609" s="47">
        <v>2315</v>
      </c>
    </row>
    <row r="610" spans="1:18" s="3" customFormat="1">
      <c r="A610" s="62"/>
      <c r="B610" s="62" t="s">
        <v>3876</v>
      </c>
      <c r="C610" s="62" t="s">
        <v>494</v>
      </c>
      <c r="D610" s="62"/>
      <c r="E610" s="62"/>
      <c r="F610" s="62"/>
      <c r="G610" s="62"/>
      <c r="H610" s="62"/>
      <c r="I610" s="62"/>
      <c r="J610" s="62"/>
      <c r="K610" s="76">
        <v>43</v>
      </c>
      <c r="L610" s="62"/>
      <c r="M610" s="62">
        <v>1</v>
      </c>
      <c r="N610" s="62"/>
      <c r="O610" s="62"/>
      <c r="P610" s="62"/>
      <c r="Q610" s="12"/>
      <c r="R610" s="12"/>
    </row>
    <row r="611" spans="1:18" s="3" customFormat="1">
      <c r="A611" s="62"/>
      <c r="B611" s="70" t="s">
        <v>5472</v>
      </c>
      <c r="C611" s="62" t="s">
        <v>494</v>
      </c>
      <c r="D611" s="62"/>
      <c r="E611" s="62"/>
      <c r="F611" s="62"/>
      <c r="G611" s="62"/>
      <c r="H611" s="62"/>
      <c r="I611" s="62"/>
      <c r="J611" s="62"/>
      <c r="K611" s="76">
        <v>44</v>
      </c>
      <c r="L611" s="62"/>
      <c r="M611" s="62">
        <v>1</v>
      </c>
      <c r="N611" s="62"/>
      <c r="O611" s="62"/>
      <c r="P611" s="62"/>
      <c r="Q611" s="12"/>
      <c r="R611" s="12"/>
    </row>
    <row r="612" spans="1:18" s="3" customFormat="1">
      <c r="A612" s="62"/>
      <c r="B612" s="70" t="s">
        <v>5904</v>
      </c>
      <c r="C612" s="62" t="s">
        <v>494</v>
      </c>
      <c r="D612" s="62"/>
      <c r="E612" s="62"/>
      <c r="F612" s="62"/>
      <c r="G612" s="62"/>
      <c r="H612" s="62"/>
      <c r="I612" s="62"/>
      <c r="J612" s="62"/>
      <c r="K612" s="76">
        <v>45</v>
      </c>
      <c r="L612" s="62"/>
      <c r="M612" s="62">
        <v>1</v>
      </c>
      <c r="N612" s="62"/>
      <c r="O612" s="62"/>
      <c r="P612" s="62"/>
      <c r="Q612" s="12"/>
      <c r="R612" s="12"/>
    </row>
    <row r="613" spans="1:18" s="3" customFormat="1">
      <c r="A613" s="62"/>
      <c r="B613" s="70" t="s">
        <v>3804</v>
      </c>
      <c r="C613" s="62" t="s">
        <v>494</v>
      </c>
      <c r="D613" s="62"/>
      <c r="E613" s="62"/>
      <c r="F613" s="62"/>
      <c r="G613" s="62"/>
      <c r="H613" s="62"/>
      <c r="I613" s="62"/>
      <c r="J613" s="62"/>
      <c r="K613" s="76">
        <v>46</v>
      </c>
      <c r="L613" s="75"/>
      <c r="M613" s="62">
        <v>1</v>
      </c>
      <c r="N613" s="62"/>
      <c r="O613" s="62"/>
      <c r="P613" s="62"/>
      <c r="Q613" s="12"/>
      <c r="R613" s="47"/>
    </row>
    <row r="614" spans="1:18" s="3" customFormat="1">
      <c r="A614" s="62"/>
      <c r="B614" s="70" t="s">
        <v>3805</v>
      </c>
      <c r="C614" s="62" t="s">
        <v>494</v>
      </c>
      <c r="D614" s="62"/>
      <c r="E614" s="62"/>
      <c r="F614" s="62"/>
      <c r="G614" s="62"/>
      <c r="H614" s="62"/>
      <c r="I614" s="62"/>
      <c r="J614" s="62"/>
      <c r="K614" s="76">
        <v>47</v>
      </c>
      <c r="L614" s="75"/>
      <c r="M614" s="62">
        <v>1</v>
      </c>
      <c r="N614" s="62"/>
      <c r="O614" s="62"/>
      <c r="P614" s="62"/>
      <c r="Q614" s="12"/>
      <c r="R614" s="47"/>
    </row>
    <row r="615" spans="1:18" s="3" customFormat="1">
      <c r="A615" s="62"/>
      <c r="B615" s="70" t="s">
        <v>6141</v>
      </c>
      <c r="C615" s="62" t="s">
        <v>494</v>
      </c>
      <c r="D615" s="62"/>
      <c r="E615" s="62"/>
      <c r="F615" s="62"/>
      <c r="G615" s="62"/>
      <c r="H615" s="62" t="s">
        <v>6142</v>
      </c>
      <c r="I615" s="62"/>
      <c r="J615" s="62"/>
      <c r="K615" s="76">
        <v>48</v>
      </c>
      <c r="L615" s="62">
        <v>3</v>
      </c>
      <c r="M615" s="62"/>
      <c r="N615" s="62" t="s">
        <v>6132</v>
      </c>
      <c r="O615" s="62" t="s">
        <v>6134</v>
      </c>
      <c r="P615" s="62" t="s">
        <v>6137</v>
      </c>
      <c r="Q615" s="12"/>
      <c r="R615" s="12"/>
    </row>
    <row r="616" spans="1:18" s="3" customFormat="1">
      <c r="A616" s="62"/>
      <c r="B616" s="62"/>
      <c r="C616" s="62"/>
      <c r="D616" s="62"/>
      <c r="E616" s="62"/>
      <c r="F616" s="62"/>
      <c r="G616" s="62"/>
      <c r="H616" s="62"/>
      <c r="I616" s="62"/>
      <c r="J616" s="62"/>
      <c r="K616" s="76"/>
      <c r="L616" s="75"/>
      <c r="M616" s="62"/>
      <c r="N616" s="62"/>
      <c r="O616" s="62"/>
      <c r="P616" s="62"/>
      <c r="Q616" s="12"/>
      <c r="R616" s="12"/>
    </row>
    <row r="617" spans="1:18" s="3" customFormat="1">
      <c r="A617" s="62"/>
      <c r="B617" s="62"/>
      <c r="C617" s="62"/>
      <c r="D617" s="62"/>
      <c r="E617" s="62"/>
      <c r="F617" s="62"/>
      <c r="G617" s="62"/>
      <c r="H617" s="62"/>
      <c r="I617" s="62"/>
      <c r="J617" s="62"/>
      <c r="K617" s="76"/>
      <c r="L617" s="75"/>
      <c r="M617" s="62"/>
      <c r="N617" s="62"/>
      <c r="O617" s="62"/>
      <c r="P617" s="62"/>
      <c r="Q617" s="12"/>
      <c r="R617" s="12"/>
    </row>
    <row r="618" spans="1:18" customFormat="1">
      <c r="A618" s="62" t="s">
        <v>5430</v>
      </c>
      <c r="B618" s="66" t="s">
        <v>5434</v>
      </c>
      <c r="C618" s="62" t="s">
        <v>494</v>
      </c>
      <c r="E618" s="62" t="s">
        <v>476</v>
      </c>
      <c r="F618">
        <v>23</v>
      </c>
      <c r="G618">
        <v>2323</v>
      </c>
      <c r="H618" s="62" t="s">
        <v>5435</v>
      </c>
      <c r="I618" s="62" t="s">
        <v>5436</v>
      </c>
      <c r="J618">
        <v>2302</v>
      </c>
      <c r="K618" s="55">
        <v>1</v>
      </c>
      <c r="L618">
        <v>8</v>
      </c>
      <c r="N618" s="64" t="s">
        <v>3362</v>
      </c>
      <c r="O618" s="64" t="s">
        <v>3381</v>
      </c>
      <c r="P618" s="64" t="s">
        <v>3364</v>
      </c>
      <c r="Q618" s="23"/>
    </row>
    <row r="619" spans="1:18" customFormat="1">
      <c r="A619" s="62"/>
      <c r="B619" s="66" t="s">
        <v>5431</v>
      </c>
      <c r="C619" s="62" t="s">
        <v>494</v>
      </c>
      <c r="E619" s="62" t="s">
        <v>476</v>
      </c>
      <c r="H619" s="62"/>
      <c r="I619" s="62"/>
      <c r="K619" s="55">
        <v>2</v>
      </c>
      <c r="L619">
        <v>3</v>
      </c>
      <c r="M619">
        <v>31</v>
      </c>
      <c r="N619" s="64" t="s">
        <v>3362</v>
      </c>
      <c r="O619" s="64" t="s">
        <v>3381</v>
      </c>
      <c r="P619" s="23" t="s">
        <v>3606</v>
      </c>
      <c r="Q619" s="64" t="s">
        <v>3364</v>
      </c>
      <c r="R619">
        <v>1</v>
      </c>
    </row>
    <row r="620" spans="1:18" customFormat="1">
      <c r="A620" s="62"/>
      <c r="B620" s="66" t="s">
        <v>5432</v>
      </c>
      <c r="C620" s="62" t="s">
        <v>494</v>
      </c>
      <c r="E620" s="62" t="s">
        <v>476</v>
      </c>
      <c r="K620" s="55">
        <v>3</v>
      </c>
      <c r="L620">
        <v>6</v>
      </c>
      <c r="N620" s="1"/>
      <c r="O620" s="23"/>
      <c r="P620" s="23"/>
      <c r="Q620" s="23"/>
    </row>
    <row r="621" spans="1:18" customFormat="1">
      <c r="A621" s="62"/>
      <c r="B621" s="66" t="s">
        <v>5433</v>
      </c>
      <c r="C621" s="62" t="s">
        <v>494</v>
      </c>
      <c r="K621" s="55">
        <v>4</v>
      </c>
      <c r="L621">
        <v>6</v>
      </c>
      <c r="N621" s="1"/>
      <c r="O621" s="23"/>
      <c r="P621" s="23"/>
      <c r="Q621" s="23"/>
    </row>
    <row r="622" spans="1:18" customFormat="1">
      <c r="A622" s="62"/>
      <c r="B622" s="66" t="s">
        <v>5495</v>
      </c>
      <c r="C622" s="62" t="s">
        <v>494</v>
      </c>
      <c r="H622" s="78" t="s">
        <v>5488</v>
      </c>
      <c r="K622" s="55">
        <v>5</v>
      </c>
      <c r="L622">
        <v>3</v>
      </c>
      <c r="M622">
        <v>3</v>
      </c>
      <c r="N622" s="1"/>
      <c r="O622" s="23"/>
      <c r="P622" s="23"/>
      <c r="Q622" s="23"/>
    </row>
    <row r="623" spans="1:18" customFormat="1">
      <c r="A623" s="62"/>
      <c r="B623" s="66" t="s">
        <v>5456</v>
      </c>
      <c r="C623" s="62" t="s">
        <v>494</v>
      </c>
      <c r="K623" s="55">
        <v>6</v>
      </c>
      <c r="L623">
        <v>30</v>
      </c>
      <c r="M623">
        <v>1</v>
      </c>
      <c r="N623" s="1"/>
      <c r="O623" s="23"/>
      <c r="P623" s="23"/>
      <c r="Q623" s="23"/>
    </row>
    <row r="624" spans="1:18" customFormat="1">
      <c r="A624" s="62"/>
      <c r="B624" s="66" t="s">
        <v>5438</v>
      </c>
      <c r="C624" s="62" t="s">
        <v>494</v>
      </c>
      <c r="K624" s="55">
        <v>7</v>
      </c>
      <c r="L624">
        <v>3</v>
      </c>
      <c r="N624" s="1"/>
      <c r="O624" s="23"/>
      <c r="P624" s="23"/>
      <c r="Q624" s="23"/>
    </row>
    <row r="625" spans="1:18" customFormat="1">
      <c r="A625" s="62"/>
      <c r="B625" s="66" t="s">
        <v>5437</v>
      </c>
      <c r="C625" s="62" t="s">
        <v>494</v>
      </c>
      <c r="K625" s="55">
        <v>8</v>
      </c>
      <c r="L625">
        <v>3</v>
      </c>
      <c r="N625" s="1"/>
      <c r="O625" s="23"/>
      <c r="P625" s="23"/>
      <c r="Q625" s="23"/>
    </row>
    <row r="626" spans="1:18" customFormat="1">
      <c r="A626" s="62"/>
      <c r="B626" s="66" t="s">
        <v>5474</v>
      </c>
      <c r="C626" s="62" t="s">
        <v>494</v>
      </c>
      <c r="K626" s="55">
        <v>9</v>
      </c>
      <c r="L626">
        <v>3</v>
      </c>
      <c r="N626" s="1"/>
      <c r="O626" s="23"/>
      <c r="P626" s="23"/>
      <c r="Q626" s="23"/>
    </row>
    <row r="627" spans="1:18" customFormat="1">
      <c r="A627" s="62"/>
      <c r="B627" s="66" t="s">
        <v>5475</v>
      </c>
      <c r="C627" s="62" t="s">
        <v>494</v>
      </c>
      <c r="K627" s="55">
        <v>10</v>
      </c>
      <c r="L627">
        <v>3</v>
      </c>
      <c r="N627" s="1"/>
      <c r="O627" s="23"/>
      <c r="P627" s="23"/>
      <c r="Q627" s="23"/>
    </row>
    <row r="628" spans="1:18" customFormat="1">
      <c r="A628" s="62"/>
      <c r="B628" s="66" t="s">
        <v>5476</v>
      </c>
      <c r="C628" s="62" t="s">
        <v>494</v>
      </c>
      <c r="K628" s="55">
        <v>11</v>
      </c>
      <c r="L628">
        <v>3</v>
      </c>
      <c r="N628" s="1"/>
      <c r="O628" s="23"/>
      <c r="P628" s="23"/>
      <c r="Q628" s="23"/>
    </row>
    <row r="629" spans="1:18" customFormat="1">
      <c r="A629" s="62"/>
      <c r="B629" s="66" t="s">
        <v>5477</v>
      </c>
      <c r="C629" s="62" t="s">
        <v>494</v>
      </c>
      <c r="K629" s="55">
        <v>12</v>
      </c>
      <c r="L629">
        <v>3</v>
      </c>
      <c r="N629" s="1"/>
      <c r="O629" s="23"/>
      <c r="P629" s="23"/>
      <c r="Q629" s="23"/>
    </row>
    <row r="630" spans="1:18" customFormat="1">
      <c r="A630" s="62"/>
      <c r="B630" s="66" t="s">
        <v>5471</v>
      </c>
      <c r="C630" s="62" t="s">
        <v>494</v>
      </c>
      <c r="K630" s="55">
        <v>13</v>
      </c>
      <c r="L630">
        <v>3</v>
      </c>
      <c r="N630" s="62" t="s">
        <v>5439</v>
      </c>
      <c r="O630" s="66" t="s">
        <v>5441</v>
      </c>
      <c r="P630" s="66" t="s">
        <v>5444</v>
      </c>
      <c r="Q630" s="23"/>
      <c r="R630">
        <v>2324</v>
      </c>
    </row>
    <row r="631" spans="1:18" customFormat="1">
      <c r="A631" s="62"/>
      <c r="B631" s="63" t="s">
        <v>5470</v>
      </c>
      <c r="C631" s="62" t="s">
        <v>494</v>
      </c>
      <c r="K631" s="55">
        <v>14</v>
      </c>
      <c r="M631">
        <v>1</v>
      </c>
      <c r="N631" s="1"/>
      <c r="O631" s="23"/>
      <c r="P631" s="23"/>
      <c r="Q631" s="23"/>
    </row>
    <row r="632" spans="1:18" customFormat="1">
      <c r="A632" s="62"/>
      <c r="B632" s="67" t="s">
        <v>5480</v>
      </c>
      <c r="C632" s="62" t="s">
        <v>494</v>
      </c>
      <c r="K632" s="55">
        <v>15</v>
      </c>
      <c r="L632">
        <v>3</v>
      </c>
      <c r="N632" s="62" t="s">
        <v>5497</v>
      </c>
      <c r="O632" s="66" t="s">
        <v>5499</v>
      </c>
      <c r="P632" s="66" t="s">
        <v>5501</v>
      </c>
      <c r="Q632" s="23"/>
    </row>
    <row r="633" spans="1:18" customFormat="1">
      <c r="A633" s="62"/>
      <c r="B633" s="67" t="s">
        <v>5479</v>
      </c>
      <c r="C633" s="62" t="s">
        <v>494</v>
      </c>
      <c r="K633" s="55">
        <v>16</v>
      </c>
      <c r="L633">
        <v>3</v>
      </c>
      <c r="N633" s="62" t="s">
        <v>5502</v>
      </c>
      <c r="O633" s="66" t="s">
        <v>5499</v>
      </c>
      <c r="P633" s="66" t="s">
        <v>5508</v>
      </c>
      <c r="Q633" s="23"/>
    </row>
    <row r="634" spans="1:18" customFormat="1">
      <c r="A634" s="62"/>
      <c r="B634" s="66" t="s">
        <v>5478</v>
      </c>
      <c r="C634" s="62" t="s">
        <v>520</v>
      </c>
      <c r="K634" s="55">
        <v>17</v>
      </c>
      <c r="N634" s="1"/>
      <c r="O634" s="23"/>
      <c r="P634" s="23"/>
      <c r="Q634" s="23"/>
    </row>
    <row r="635" spans="1:18" customFormat="1">
      <c r="A635" s="62"/>
      <c r="B635" s="66" t="s">
        <v>5482</v>
      </c>
      <c r="C635" s="62" t="s">
        <v>494</v>
      </c>
      <c r="K635" s="55">
        <v>18</v>
      </c>
      <c r="N635" s="1"/>
      <c r="O635" s="23"/>
      <c r="P635" s="23"/>
      <c r="Q635" s="23"/>
    </row>
    <row r="636" spans="1:18" customFormat="1">
      <c r="A636" s="62"/>
      <c r="B636" s="66" t="s">
        <v>5483</v>
      </c>
      <c r="C636" s="62" t="s">
        <v>494</v>
      </c>
      <c r="K636" s="55">
        <v>19</v>
      </c>
      <c r="N636" s="1"/>
      <c r="O636" s="23"/>
      <c r="P636" s="23"/>
      <c r="Q636" s="23"/>
    </row>
    <row r="637" spans="1:18" customFormat="1">
      <c r="A637" s="62"/>
      <c r="B637" s="66" t="s">
        <v>5484</v>
      </c>
      <c r="C637" s="62" t="s">
        <v>702</v>
      </c>
      <c r="K637" s="55">
        <v>20</v>
      </c>
      <c r="M637">
        <v>1</v>
      </c>
      <c r="N637" s="1"/>
      <c r="O637" s="23"/>
      <c r="P637" s="23"/>
      <c r="Q637" s="23"/>
    </row>
    <row r="638" spans="1:18" customFormat="1">
      <c r="A638" s="62"/>
      <c r="B638" s="66" t="s">
        <v>5493</v>
      </c>
      <c r="C638" s="62" t="s">
        <v>494</v>
      </c>
      <c r="K638" s="55">
        <v>21</v>
      </c>
      <c r="N638" s="1"/>
      <c r="O638" s="23"/>
      <c r="P638" s="23"/>
      <c r="Q638" s="23"/>
    </row>
    <row r="639" spans="1:18" customFormat="1">
      <c r="A639" s="62"/>
      <c r="B639" s="66" t="s">
        <v>5494</v>
      </c>
      <c r="C639" s="62" t="s">
        <v>702</v>
      </c>
      <c r="K639" s="55">
        <v>22</v>
      </c>
      <c r="M639">
        <v>1</v>
      </c>
      <c r="N639" s="1"/>
      <c r="O639" s="23"/>
      <c r="P639" s="23"/>
      <c r="Q639" s="23"/>
    </row>
    <row r="640" spans="1:18" customFormat="1">
      <c r="A640" s="62"/>
      <c r="B640" s="63" t="s">
        <v>5481</v>
      </c>
      <c r="C640" s="62" t="s">
        <v>494</v>
      </c>
      <c r="K640" s="55">
        <v>23</v>
      </c>
      <c r="M640">
        <v>1</v>
      </c>
      <c r="N640" s="1"/>
      <c r="O640" s="23"/>
      <c r="P640" s="23"/>
      <c r="Q640" s="23"/>
    </row>
    <row r="641" spans="1:17" customFormat="1">
      <c r="A641" s="62"/>
      <c r="B641" s="66" t="s">
        <v>5485</v>
      </c>
      <c r="C641" s="62" t="s">
        <v>520</v>
      </c>
      <c r="K641" s="55">
        <v>24</v>
      </c>
      <c r="N641" s="1"/>
      <c r="O641" s="23"/>
      <c r="P641" s="23"/>
      <c r="Q641" s="23"/>
    </row>
    <row r="642" spans="1:17" customFormat="1">
      <c r="A642" s="62"/>
      <c r="B642" s="66" t="s">
        <v>5486</v>
      </c>
      <c r="C642" s="62" t="s">
        <v>520</v>
      </c>
      <c r="K642" s="55">
        <v>25</v>
      </c>
      <c r="N642" s="1"/>
      <c r="O642" s="23"/>
      <c r="P642" s="23"/>
      <c r="Q642" s="23"/>
    </row>
    <row r="643" spans="1:17" customFormat="1">
      <c r="A643" s="62"/>
      <c r="B643" s="66" t="s">
        <v>5448</v>
      </c>
      <c r="C643" s="62" t="s">
        <v>520</v>
      </c>
      <c r="K643" s="55">
        <v>26</v>
      </c>
      <c r="N643" s="1"/>
      <c r="O643" s="23"/>
      <c r="P643" s="23"/>
      <c r="Q643" s="23"/>
    </row>
    <row r="644" spans="1:17" customFormat="1">
      <c r="A644" s="62"/>
      <c r="B644" s="66" t="s">
        <v>5449</v>
      </c>
      <c r="C644" s="62" t="s">
        <v>520</v>
      </c>
      <c r="K644" s="55">
        <v>27</v>
      </c>
      <c r="N644" s="1"/>
      <c r="O644" s="23"/>
      <c r="P644" s="23"/>
      <c r="Q644" s="23"/>
    </row>
    <row r="645" spans="1:17" customFormat="1">
      <c r="A645" s="62"/>
      <c r="B645" s="66" t="s">
        <v>5450</v>
      </c>
      <c r="C645" s="62" t="s">
        <v>520</v>
      </c>
      <c r="K645" s="55">
        <v>28</v>
      </c>
      <c r="N645" s="1"/>
      <c r="O645" s="23"/>
      <c r="P645" s="23"/>
      <c r="Q645" s="23"/>
    </row>
    <row r="646" spans="1:17" customFormat="1">
      <c r="A646" s="62"/>
      <c r="B646" s="66" t="s">
        <v>5451</v>
      </c>
      <c r="C646" s="62" t="s">
        <v>520</v>
      </c>
      <c r="K646" s="55">
        <v>29</v>
      </c>
      <c r="N646" s="1"/>
      <c r="O646" s="23"/>
      <c r="P646" s="23"/>
      <c r="Q646" s="23"/>
    </row>
    <row r="647" spans="1:17" customFormat="1">
      <c r="A647" s="62"/>
      <c r="B647" s="66" t="s">
        <v>5453</v>
      </c>
      <c r="C647" s="62" t="s">
        <v>520</v>
      </c>
      <c r="K647" s="55">
        <v>30</v>
      </c>
      <c r="N647" s="1"/>
      <c r="O647" s="23"/>
      <c r="P647" s="23"/>
      <c r="Q647" s="23"/>
    </row>
    <row r="648" spans="1:17" customFormat="1">
      <c r="A648" s="62"/>
      <c r="B648" s="66" t="s">
        <v>5452</v>
      </c>
      <c r="C648" s="62" t="s">
        <v>520</v>
      </c>
      <c r="K648" s="55">
        <v>31</v>
      </c>
      <c r="N648" s="1"/>
      <c r="O648" s="23"/>
      <c r="P648" s="23"/>
      <c r="Q648" s="23"/>
    </row>
    <row r="649" spans="1:17" customFormat="1">
      <c r="A649" s="62"/>
      <c r="B649" s="66" t="s">
        <v>5454</v>
      </c>
      <c r="C649" s="62" t="s">
        <v>520</v>
      </c>
      <c r="K649" s="55">
        <v>32</v>
      </c>
      <c r="N649" s="1"/>
      <c r="O649" s="23"/>
      <c r="P649" s="23"/>
      <c r="Q649" s="23"/>
    </row>
    <row r="650" spans="1:17" customFormat="1">
      <c r="A650" s="62"/>
      <c r="B650" s="63" t="s">
        <v>5455</v>
      </c>
      <c r="C650" s="62" t="s">
        <v>494</v>
      </c>
      <c r="K650" s="55">
        <v>33</v>
      </c>
      <c r="L650">
        <v>3</v>
      </c>
      <c r="N650" s="1"/>
      <c r="O650" s="23"/>
      <c r="P650" s="23"/>
      <c r="Q650" s="23"/>
    </row>
    <row r="651" spans="1:17" customFormat="1">
      <c r="A651" s="62"/>
      <c r="B651" s="66" t="s">
        <v>5458</v>
      </c>
      <c r="C651" s="62" t="s">
        <v>494</v>
      </c>
      <c r="K651" s="55">
        <v>34</v>
      </c>
      <c r="L651">
        <v>3</v>
      </c>
      <c r="N651" s="1"/>
      <c r="O651" s="23"/>
      <c r="P651" s="23"/>
      <c r="Q651" s="23"/>
    </row>
    <row r="652" spans="1:17" customFormat="1">
      <c r="A652" s="62"/>
      <c r="B652" s="66" t="s">
        <v>5459</v>
      </c>
      <c r="C652" s="62" t="s">
        <v>494</v>
      </c>
      <c r="K652" s="55">
        <v>35</v>
      </c>
      <c r="L652">
        <v>3</v>
      </c>
      <c r="N652" s="1"/>
      <c r="O652" s="23"/>
      <c r="P652" s="23"/>
      <c r="Q652" s="23"/>
    </row>
    <row r="653" spans="1:17" customFormat="1">
      <c r="A653" s="62"/>
      <c r="B653" s="66" t="s">
        <v>5460</v>
      </c>
      <c r="C653" s="62" t="s">
        <v>494</v>
      </c>
      <c r="K653" s="55">
        <v>36</v>
      </c>
      <c r="L653">
        <v>3</v>
      </c>
      <c r="N653" s="1"/>
      <c r="O653" s="23"/>
      <c r="P653" s="23"/>
      <c r="Q653" s="23"/>
    </row>
    <row r="654" spans="1:17" customFormat="1">
      <c r="A654" s="62"/>
      <c r="B654" s="66" t="s">
        <v>5461</v>
      </c>
      <c r="C654" s="62" t="s">
        <v>494</v>
      </c>
      <c r="K654" s="55">
        <v>37</v>
      </c>
      <c r="L654">
        <v>3</v>
      </c>
      <c r="N654" s="1"/>
      <c r="O654" s="23"/>
      <c r="P654" s="23"/>
      <c r="Q654" s="23"/>
    </row>
    <row r="655" spans="1:17" customFormat="1">
      <c r="A655" s="62"/>
      <c r="B655" s="63" t="s">
        <v>5457</v>
      </c>
      <c r="C655" s="62" t="s">
        <v>494</v>
      </c>
      <c r="K655" s="55">
        <v>38</v>
      </c>
      <c r="L655">
        <v>3</v>
      </c>
      <c r="M655">
        <v>1</v>
      </c>
      <c r="N655" s="1"/>
      <c r="O655" s="23"/>
      <c r="P655" s="23"/>
      <c r="Q655" s="23"/>
    </row>
    <row r="656" spans="1:17" customFormat="1">
      <c r="A656" s="62"/>
      <c r="B656" s="67" t="s">
        <v>5462</v>
      </c>
      <c r="C656" s="62" t="s">
        <v>494</v>
      </c>
      <c r="K656" s="55">
        <v>39</v>
      </c>
      <c r="L656">
        <v>3</v>
      </c>
      <c r="N656" s="1"/>
      <c r="O656" s="23"/>
      <c r="P656" s="23"/>
      <c r="Q656" s="23"/>
    </row>
    <row r="657" spans="1:17" customFormat="1">
      <c r="A657" s="62"/>
      <c r="B657" s="67" t="s">
        <v>5463</v>
      </c>
      <c r="C657" s="62" t="s">
        <v>494</v>
      </c>
      <c r="K657" s="55">
        <v>40</v>
      </c>
      <c r="L657">
        <v>3</v>
      </c>
      <c r="N657" s="1"/>
      <c r="O657" s="23"/>
      <c r="P657" s="23"/>
      <c r="Q657" s="23"/>
    </row>
    <row r="658" spans="1:17" customFormat="1">
      <c r="A658" s="62"/>
      <c r="B658" s="67" t="s">
        <v>5464</v>
      </c>
      <c r="C658" s="62" t="s">
        <v>494</v>
      </c>
      <c r="K658" s="55">
        <v>41</v>
      </c>
      <c r="L658">
        <v>3</v>
      </c>
      <c r="N658" s="1"/>
      <c r="O658" s="23"/>
      <c r="P658" s="23"/>
      <c r="Q658" s="23"/>
    </row>
    <row r="659" spans="1:17" customFormat="1">
      <c r="A659" s="62"/>
      <c r="B659" s="67" t="s">
        <v>5465</v>
      </c>
      <c r="C659" s="62" t="s">
        <v>494</v>
      </c>
      <c r="K659" s="55">
        <v>42</v>
      </c>
      <c r="L659">
        <v>3</v>
      </c>
      <c r="N659" s="1"/>
      <c r="O659" s="23"/>
      <c r="P659" s="23"/>
      <c r="Q659" s="23"/>
    </row>
    <row r="660" spans="1:17" customFormat="1">
      <c r="A660" s="62"/>
      <c r="B660" s="67" t="s">
        <v>5466</v>
      </c>
      <c r="C660" s="62" t="s">
        <v>494</v>
      </c>
      <c r="K660" s="55">
        <v>43</v>
      </c>
      <c r="L660">
        <v>3</v>
      </c>
      <c r="N660" s="1"/>
      <c r="O660" s="23"/>
      <c r="P660" s="23"/>
      <c r="Q660" s="23"/>
    </row>
    <row r="661" spans="1:17" customFormat="1">
      <c r="A661" s="62"/>
      <c r="B661" s="66" t="s">
        <v>5467</v>
      </c>
      <c r="C661" s="62" t="s">
        <v>494</v>
      </c>
      <c r="K661" s="55">
        <v>44</v>
      </c>
      <c r="L661">
        <v>3</v>
      </c>
      <c r="N661" s="62"/>
      <c r="O661" s="66"/>
      <c r="P661" s="66"/>
      <c r="Q661" s="23"/>
    </row>
    <row r="662" spans="1:17" customFormat="1">
      <c r="A662" s="62"/>
      <c r="B662" s="67" t="s">
        <v>5468</v>
      </c>
      <c r="C662" s="62" t="s">
        <v>494</v>
      </c>
      <c r="K662" s="55">
        <v>45</v>
      </c>
      <c r="L662">
        <v>3</v>
      </c>
      <c r="N662" s="62" t="s">
        <v>5509</v>
      </c>
      <c r="O662" s="66" t="s">
        <v>5511</v>
      </c>
      <c r="P662" s="66" t="s">
        <v>5514</v>
      </c>
      <c r="Q662" s="23"/>
    </row>
    <row r="663" spans="1:17" customFormat="1">
      <c r="A663" s="62"/>
      <c r="B663" s="66" t="s">
        <v>5489</v>
      </c>
      <c r="C663" s="62" t="s">
        <v>520</v>
      </c>
      <c r="K663" s="55">
        <v>46</v>
      </c>
      <c r="N663" s="1"/>
      <c r="O663" s="23"/>
      <c r="P663" s="23"/>
      <c r="Q663" s="23"/>
    </row>
    <row r="664" spans="1:17" customFormat="1">
      <c r="A664" s="62"/>
      <c r="B664" s="67" t="s">
        <v>5515</v>
      </c>
      <c r="C664" s="62" t="s">
        <v>494</v>
      </c>
      <c r="K664" s="55">
        <v>47</v>
      </c>
      <c r="L664">
        <v>3</v>
      </c>
      <c r="N664" s="1"/>
      <c r="O664" s="23"/>
      <c r="P664" s="23"/>
      <c r="Q664" s="23"/>
    </row>
    <row r="665" spans="1:17" customFormat="1">
      <c r="A665" s="62"/>
      <c r="B665" s="67" t="s">
        <v>5516</v>
      </c>
      <c r="C665" s="62" t="s">
        <v>494</v>
      </c>
      <c r="K665" s="55">
        <v>48</v>
      </c>
      <c r="L665">
        <v>3</v>
      </c>
      <c r="N665" s="1"/>
      <c r="O665" s="23"/>
      <c r="P665" s="23"/>
      <c r="Q665" s="23"/>
    </row>
    <row r="666" spans="1:17" customFormat="1">
      <c r="A666" s="62"/>
      <c r="B666" s="63" t="s">
        <v>5469</v>
      </c>
      <c r="C666" s="62" t="s">
        <v>494</v>
      </c>
      <c r="K666" s="55">
        <v>49</v>
      </c>
      <c r="L666">
        <v>3</v>
      </c>
      <c r="M666">
        <v>1</v>
      </c>
      <c r="N666" s="1"/>
      <c r="O666" s="23"/>
      <c r="P666" s="23"/>
      <c r="Q666" s="23"/>
    </row>
    <row r="667" spans="1:17" customFormat="1">
      <c r="A667" s="62"/>
      <c r="B667" s="66" t="s">
        <v>5490</v>
      </c>
      <c r="C667" s="62" t="s">
        <v>520</v>
      </c>
      <c r="K667" s="55">
        <v>50</v>
      </c>
      <c r="M667">
        <v>1</v>
      </c>
      <c r="N667" s="1"/>
      <c r="O667" s="23"/>
      <c r="P667" s="23"/>
      <c r="Q667" s="23"/>
    </row>
    <row r="668" spans="1:17" customFormat="1">
      <c r="A668" s="62"/>
      <c r="B668" s="66" t="s">
        <v>5491</v>
      </c>
      <c r="C668" s="62" t="s">
        <v>494</v>
      </c>
      <c r="K668" s="55">
        <v>51</v>
      </c>
      <c r="L668">
        <v>7</v>
      </c>
      <c r="M668">
        <v>1</v>
      </c>
      <c r="N668" s="1"/>
      <c r="O668" s="23"/>
      <c r="P668" s="23"/>
      <c r="Q668" s="23"/>
    </row>
    <row r="669" spans="1:17" customFormat="1">
      <c r="A669" s="62"/>
      <c r="B669" s="66" t="s">
        <v>5492</v>
      </c>
      <c r="C669" s="62" t="s">
        <v>494</v>
      </c>
      <c r="K669" s="55">
        <v>52</v>
      </c>
      <c r="L669">
        <v>8</v>
      </c>
      <c r="M669">
        <v>1</v>
      </c>
      <c r="N669" s="1"/>
      <c r="O669" s="23"/>
      <c r="P669" s="23"/>
      <c r="Q669" s="23"/>
    </row>
    <row r="670" spans="1:17" customFormat="1">
      <c r="A670" s="62"/>
      <c r="B670" s="66" t="s">
        <v>5905</v>
      </c>
      <c r="C670" s="62" t="s">
        <v>494</v>
      </c>
      <c r="K670" s="55">
        <v>53</v>
      </c>
      <c r="L670">
        <v>7</v>
      </c>
      <c r="M670">
        <v>1</v>
      </c>
      <c r="N670" s="1"/>
      <c r="O670" s="23"/>
      <c r="P670" s="23"/>
      <c r="Q670" s="23"/>
    </row>
    <row r="671" spans="1:17" customFormat="1">
      <c r="A671" s="62"/>
      <c r="B671" s="66" t="s">
        <v>6017</v>
      </c>
      <c r="C671" s="62" t="s">
        <v>494</v>
      </c>
      <c r="K671" s="55">
        <v>54</v>
      </c>
      <c r="L671">
        <v>3</v>
      </c>
      <c r="N671" s="1"/>
      <c r="O671" s="23"/>
      <c r="P671" s="23"/>
      <c r="Q671" s="23"/>
    </row>
    <row r="672" spans="1:17" customFormat="1">
      <c r="A672" s="62"/>
      <c r="B672" s="66" t="s">
        <v>6018</v>
      </c>
      <c r="C672" s="62" t="s">
        <v>494</v>
      </c>
      <c r="K672" s="55">
        <v>55</v>
      </c>
      <c r="L672">
        <v>3</v>
      </c>
      <c r="N672" s="1"/>
      <c r="O672" s="23"/>
      <c r="P672" s="23"/>
      <c r="Q672" s="23"/>
    </row>
    <row r="673" spans="1:18" customFormat="1">
      <c r="A673" s="62"/>
      <c r="B673" s="66" t="s">
        <v>6019</v>
      </c>
      <c r="C673" s="62" t="s">
        <v>494</v>
      </c>
      <c r="K673" s="55">
        <v>56</v>
      </c>
      <c r="L673">
        <v>3</v>
      </c>
      <c r="N673" s="1"/>
      <c r="O673" s="23"/>
      <c r="P673" s="23"/>
      <c r="Q673" s="23"/>
    </row>
    <row r="674" spans="1:18" customFormat="1">
      <c r="A674" s="62"/>
      <c r="B674" s="66" t="s">
        <v>6020</v>
      </c>
      <c r="C674" s="62" t="s">
        <v>494</v>
      </c>
      <c r="K674" s="55">
        <v>57</v>
      </c>
      <c r="L674">
        <v>3</v>
      </c>
      <c r="N674" s="1"/>
      <c r="O674" s="23"/>
      <c r="P674" s="23"/>
      <c r="Q674" s="23"/>
    </row>
    <row r="675" spans="1:18" customFormat="1">
      <c r="A675" s="62"/>
      <c r="B675" s="66" t="s">
        <v>6021</v>
      </c>
      <c r="C675" s="62" t="s">
        <v>494</v>
      </c>
      <c r="K675" s="55">
        <v>58</v>
      </c>
      <c r="L675">
        <v>3</v>
      </c>
      <c r="N675" s="1"/>
      <c r="O675" s="23"/>
      <c r="P675" s="23"/>
      <c r="Q675" s="23"/>
    </row>
    <row r="676" spans="1:18" customFormat="1">
      <c r="A676" s="62"/>
      <c r="B676" s="66" t="s">
        <v>6022</v>
      </c>
      <c r="C676" s="62" t="s">
        <v>494</v>
      </c>
      <c r="K676" s="55">
        <v>59</v>
      </c>
      <c r="L676">
        <v>3</v>
      </c>
      <c r="N676" s="1"/>
      <c r="O676" s="23"/>
      <c r="P676" s="23"/>
      <c r="Q676" s="23"/>
    </row>
    <row r="677" spans="1:18" customFormat="1">
      <c r="A677" s="62"/>
      <c r="B677" s="66" t="s">
        <v>6023</v>
      </c>
      <c r="C677" s="62" t="s">
        <v>494</v>
      </c>
      <c r="K677" s="55">
        <v>60</v>
      </c>
      <c r="L677">
        <v>3</v>
      </c>
      <c r="N677" s="1"/>
      <c r="O677" s="23"/>
      <c r="P677" s="23"/>
      <c r="Q677" s="23"/>
    </row>
    <row r="678" spans="1:18" customFormat="1">
      <c r="A678" s="62"/>
      <c r="B678" s="66" t="s">
        <v>6024</v>
      </c>
      <c r="C678" s="62" t="s">
        <v>494</v>
      </c>
      <c r="K678" s="55">
        <v>61</v>
      </c>
      <c r="L678">
        <v>3</v>
      </c>
      <c r="N678" s="1"/>
      <c r="O678" s="23"/>
      <c r="P678" s="23"/>
      <c r="Q678" s="23"/>
    </row>
    <row r="679" spans="1:18" customFormat="1">
      <c r="A679" s="62"/>
      <c r="B679" s="66" t="s">
        <v>6089</v>
      </c>
      <c r="C679" s="62" t="s">
        <v>494</v>
      </c>
      <c r="K679" s="55">
        <v>62</v>
      </c>
      <c r="L679">
        <v>3</v>
      </c>
      <c r="N679" s="1"/>
      <c r="O679" s="23"/>
      <c r="P679" s="23"/>
      <c r="Q679" s="23"/>
    </row>
    <row r="680" spans="1:18" customFormat="1">
      <c r="A680" s="62"/>
      <c r="B680" s="66" t="s">
        <v>6091</v>
      </c>
      <c r="C680" s="62" t="s">
        <v>494</v>
      </c>
      <c r="K680" s="55">
        <v>63</v>
      </c>
      <c r="L680">
        <v>3</v>
      </c>
      <c r="N680" s="1"/>
      <c r="O680" s="23"/>
      <c r="P680" s="23"/>
      <c r="Q680" s="23"/>
    </row>
    <row r="681" spans="1:18" customFormat="1">
      <c r="A681" s="62"/>
      <c r="B681" s="67" t="s">
        <v>6094</v>
      </c>
      <c r="C681" s="62" t="s">
        <v>494</v>
      </c>
      <c r="K681" s="55">
        <v>64</v>
      </c>
      <c r="L681">
        <v>3</v>
      </c>
      <c r="N681" s="1"/>
      <c r="O681" s="23"/>
      <c r="P681" s="23"/>
      <c r="Q681" s="23"/>
    </row>
    <row r="682" spans="1:18" customFormat="1">
      <c r="A682" s="62"/>
      <c r="B682" s="66"/>
      <c r="C682" s="62"/>
      <c r="K682" s="55"/>
      <c r="N682" s="1"/>
      <c r="O682" s="23"/>
      <c r="P682" s="23"/>
      <c r="Q682" s="23"/>
    </row>
    <row r="683" spans="1:18" customFormat="1">
      <c r="A683" s="62"/>
      <c r="B683" s="66"/>
      <c r="C683" s="62"/>
      <c r="K683" s="55"/>
      <c r="N683" s="1"/>
      <c r="O683" s="23"/>
      <c r="P683" s="23"/>
      <c r="Q683" s="23"/>
    </row>
    <row r="684" spans="1:18">
      <c r="A684" s="62" t="s">
        <v>956</v>
      </c>
      <c r="B684" s="23" t="s">
        <v>959</v>
      </c>
      <c r="C684" s="1" t="s">
        <v>494</v>
      </c>
      <c r="E684" s="1" t="s">
        <v>476</v>
      </c>
      <c r="F684" s="14">
        <v>17</v>
      </c>
      <c r="G684" s="14">
        <v>1705</v>
      </c>
      <c r="H684" s="14" t="s">
        <v>1149</v>
      </c>
      <c r="I684" s="11" t="s">
        <v>1155</v>
      </c>
      <c r="J684" s="14">
        <v>1</v>
      </c>
      <c r="K684" s="16">
        <v>1</v>
      </c>
      <c r="L684" s="15">
        <v>6</v>
      </c>
      <c r="M684" s="14"/>
      <c r="N684" s="23"/>
      <c r="O684" s="14"/>
      <c r="P684" s="14"/>
      <c r="Q684" s="14"/>
      <c r="R684" s="14"/>
    </row>
    <row r="685" spans="1:18">
      <c r="B685" s="23" t="s">
        <v>1119</v>
      </c>
      <c r="C685" s="1" t="s">
        <v>494</v>
      </c>
      <c r="E685" s="1" t="s">
        <v>476</v>
      </c>
      <c r="F685" s="14"/>
      <c r="G685" s="14"/>
      <c r="H685" s="14"/>
      <c r="I685" s="11"/>
      <c r="J685" s="14"/>
      <c r="K685" s="16">
        <v>2</v>
      </c>
      <c r="L685" s="15"/>
      <c r="M685" s="14"/>
      <c r="N685" s="23"/>
      <c r="O685" s="14"/>
      <c r="P685" s="14"/>
      <c r="Q685" s="14"/>
      <c r="R685" s="14"/>
    </row>
    <row r="686" spans="1:18">
      <c r="B686" s="23" t="s">
        <v>957</v>
      </c>
      <c r="C686" s="1" t="s">
        <v>494</v>
      </c>
      <c r="F686" s="14"/>
      <c r="G686" s="14">
        <v>1705</v>
      </c>
      <c r="H686" s="14" t="s">
        <v>964</v>
      </c>
      <c r="I686" s="11" t="s">
        <v>965</v>
      </c>
      <c r="J686" s="14"/>
      <c r="K686" s="16">
        <v>3</v>
      </c>
      <c r="L686" s="15">
        <v>6</v>
      </c>
      <c r="M686" s="14"/>
      <c r="N686" s="23"/>
      <c r="O686" s="14"/>
      <c r="P686" s="14"/>
      <c r="Q686" s="14"/>
      <c r="R686" s="14"/>
    </row>
    <row r="687" spans="1:18">
      <c r="B687" s="23" t="s">
        <v>1118</v>
      </c>
      <c r="C687" s="1" t="s">
        <v>493</v>
      </c>
      <c r="D687" s="1">
        <v>1</v>
      </c>
      <c r="F687" s="14"/>
      <c r="G687" s="14">
        <v>1718</v>
      </c>
      <c r="H687" s="14" t="s">
        <v>1149</v>
      </c>
      <c r="I687" s="11" t="s">
        <v>1155</v>
      </c>
      <c r="J687" s="14"/>
      <c r="K687" s="16">
        <v>4</v>
      </c>
      <c r="L687" s="15">
        <v>3</v>
      </c>
      <c r="M687" s="14"/>
      <c r="N687" s="23"/>
      <c r="O687" s="14"/>
      <c r="P687" s="14"/>
      <c r="Q687" s="14"/>
      <c r="R687" s="14"/>
    </row>
    <row r="688" spans="1:18">
      <c r="B688" s="23" t="s">
        <v>958</v>
      </c>
      <c r="C688" s="1" t="s">
        <v>493</v>
      </c>
      <c r="D688" s="1">
        <v>100</v>
      </c>
      <c r="F688" s="14"/>
      <c r="G688" s="14"/>
      <c r="H688" s="14"/>
      <c r="I688" s="11"/>
      <c r="J688" s="14"/>
      <c r="K688" s="16">
        <v>5</v>
      </c>
      <c r="L688" s="15"/>
      <c r="M688" s="14"/>
      <c r="N688" s="23"/>
      <c r="O688" s="14"/>
      <c r="P688" s="14"/>
      <c r="Q688" s="14"/>
      <c r="R688" s="14"/>
    </row>
    <row r="689" spans="1:18">
      <c r="B689" s="23" t="s">
        <v>960</v>
      </c>
      <c r="C689" s="1" t="s">
        <v>520</v>
      </c>
      <c r="F689" s="14"/>
      <c r="G689" s="14"/>
      <c r="H689" s="14"/>
      <c r="I689" s="11"/>
      <c r="J689" s="14"/>
      <c r="K689" s="16">
        <v>6</v>
      </c>
      <c r="L689" s="15"/>
      <c r="M689" s="14"/>
      <c r="N689" s="23"/>
      <c r="O689" s="14"/>
      <c r="P689" s="14"/>
      <c r="Q689" s="14"/>
      <c r="R689" s="14"/>
    </row>
    <row r="690" spans="1:18">
      <c r="B690" s="23" t="s">
        <v>1120</v>
      </c>
      <c r="C690" s="1" t="s">
        <v>494</v>
      </c>
      <c r="F690" s="14"/>
      <c r="G690" s="14"/>
      <c r="H690" s="14"/>
      <c r="I690" s="11"/>
      <c r="J690" s="14"/>
      <c r="K690" s="16">
        <v>7</v>
      </c>
      <c r="L690" s="15"/>
      <c r="M690" s="14"/>
      <c r="N690" s="23"/>
      <c r="O690" s="14"/>
      <c r="P690" s="14"/>
      <c r="Q690" s="14"/>
      <c r="R690" s="14"/>
    </row>
    <row r="691" spans="1:18">
      <c r="B691" s="66" t="s">
        <v>1123</v>
      </c>
      <c r="C691" s="1" t="s">
        <v>494</v>
      </c>
      <c r="F691" s="14"/>
      <c r="G691" s="14"/>
      <c r="H691" s="14"/>
      <c r="I691" s="11"/>
      <c r="J691" s="14"/>
      <c r="K691" s="16">
        <v>8</v>
      </c>
      <c r="L691" s="15">
        <v>3</v>
      </c>
      <c r="M691" s="14"/>
      <c r="N691" s="1" t="s">
        <v>1038</v>
      </c>
      <c r="O691" s="23" t="s">
        <v>1040</v>
      </c>
      <c r="P691" s="23" t="s">
        <v>1041</v>
      </c>
      <c r="Q691" s="14"/>
      <c r="R691" s="14"/>
    </row>
    <row r="692" spans="1:18">
      <c r="B692" s="66" t="s">
        <v>70</v>
      </c>
      <c r="C692" s="1" t="s">
        <v>493</v>
      </c>
      <c r="D692" s="1">
        <v>2</v>
      </c>
      <c r="F692" s="14"/>
      <c r="G692" s="14"/>
      <c r="H692" s="14"/>
      <c r="I692" s="11"/>
      <c r="J692" s="14"/>
      <c r="K692" s="16">
        <v>9</v>
      </c>
      <c r="L692" s="15"/>
      <c r="M692" s="14"/>
      <c r="O692" s="23"/>
      <c r="P692" s="23"/>
      <c r="Q692" s="14"/>
      <c r="R692" s="14"/>
    </row>
    <row r="693" spans="1:18">
      <c r="B693" s="66" t="s">
        <v>2514</v>
      </c>
      <c r="C693" s="62" t="s">
        <v>494</v>
      </c>
      <c r="F693" s="14"/>
      <c r="G693" s="14"/>
      <c r="H693" s="14"/>
      <c r="I693" s="11"/>
      <c r="J693" s="14"/>
      <c r="K693" s="16">
        <v>10</v>
      </c>
      <c r="L693" s="15">
        <v>3</v>
      </c>
      <c r="M693" s="14">
        <v>3</v>
      </c>
      <c r="N693" s="64" t="s">
        <v>506</v>
      </c>
      <c r="O693" s="64" t="s">
        <v>514</v>
      </c>
      <c r="P693" s="1" t="s">
        <v>515</v>
      </c>
      <c r="Q693" s="14"/>
      <c r="R693" s="14"/>
    </row>
    <row r="694" spans="1:18">
      <c r="B694" s="23"/>
      <c r="F694" s="14"/>
      <c r="G694" s="14"/>
      <c r="H694" s="14"/>
      <c r="I694" s="11"/>
      <c r="J694" s="14"/>
      <c r="K694" s="16"/>
      <c r="L694" s="15"/>
      <c r="M694" s="14"/>
      <c r="N694" s="23"/>
      <c r="O694" s="14"/>
      <c r="P694" s="14"/>
      <c r="Q694" s="14"/>
      <c r="R694" s="14"/>
    </row>
    <row r="695" spans="1:18">
      <c r="A695" s="62" t="s">
        <v>955</v>
      </c>
      <c r="B695" s="60" t="s">
        <v>944</v>
      </c>
      <c r="C695" s="1" t="s">
        <v>494</v>
      </c>
      <c r="E695" s="1" t="s">
        <v>476</v>
      </c>
      <c r="F695" s="14">
        <v>17</v>
      </c>
      <c r="G695" s="14">
        <v>1706</v>
      </c>
      <c r="H695" s="14" t="s">
        <v>985</v>
      </c>
      <c r="I695" s="11" t="s">
        <v>986</v>
      </c>
      <c r="J695" s="14">
        <v>1</v>
      </c>
      <c r="K695" s="16">
        <v>1</v>
      </c>
      <c r="L695" s="15">
        <v>52</v>
      </c>
      <c r="M695" s="14"/>
      <c r="N695" s="23">
        <v>1705</v>
      </c>
      <c r="O695" s="23" t="s">
        <v>957</v>
      </c>
      <c r="P695" s="14"/>
      <c r="Q695" s="14"/>
      <c r="R695" s="14"/>
    </row>
    <row r="696" spans="1:18">
      <c r="B696" s="60" t="s">
        <v>966</v>
      </c>
      <c r="C696" s="1" t="s">
        <v>494</v>
      </c>
      <c r="E696" s="1" t="s">
        <v>476</v>
      </c>
      <c r="F696" s="14"/>
      <c r="G696" s="14"/>
      <c r="H696" s="14"/>
      <c r="I696" s="11"/>
      <c r="J696" s="14"/>
      <c r="K696" s="16">
        <v>2</v>
      </c>
      <c r="L696" s="15">
        <v>3</v>
      </c>
      <c r="M696" s="14"/>
      <c r="N696" s="62" t="s">
        <v>947</v>
      </c>
      <c r="O696" s="23" t="s">
        <v>938</v>
      </c>
      <c r="P696" s="23" t="s">
        <v>940</v>
      </c>
      <c r="Q696" s="14"/>
      <c r="R696" s="14"/>
    </row>
    <row r="697" spans="1:18">
      <c r="B697" s="60" t="s">
        <v>967</v>
      </c>
      <c r="C697" s="1" t="s">
        <v>494</v>
      </c>
      <c r="E697" s="1" t="s">
        <v>476</v>
      </c>
      <c r="F697" s="14"/>
      <c r="G697" s="14"/>
      <c r="H697" s="14"/>
      <c r="I697" s="11"/>
      <c r="J697" s="14"/>
      <c r="K697" s="16">
        <v>3</v>
      </c>
      <c r="L697" s="15">
        <v>3</v>
      </c>
      <c r="M697" s="14"/>
      <c r="N697" s="1" t="s">
        <v>950</v>
      </c>
      <c r="O697" s="23" t="s">
        <v>941</v>
      </c>
      <c r="P697" s="23" t="s">
        <v>952</v>
      </c>
      <c r="Q697" s="14"/>
      <c r="R697" s="14"/>
    </row>
    <row r="698" spans="1:18">
      <c r="B698" s="60" t="s">
        <v>968</v>
      </c>
      <c r="C698" s="1" t="s">
        <v>494</v>
      </c>
      <c r="E698" s="1" t="s">
        <v>476</v>
      </c>
      <c r="F698" s="14"/>
      <c r="G698" s="14"/>
      <c r="H698" s="14"/>
      <c r="I698" s="11"/>
      <c r="J698" s="14"/>
      <c r="K698" s="16">
        <v>4</v>
      </c>
      <c r="L698" s="15">
        <v>3</v>
      </c>
      <c r="M698" s="14"/>
      <c r="N698" s="62" t="s">
        <v>961</v>
      </c>
      <c r="O698" s="23" t="s">
        <v>942</v>
      </c>
      <c r="P698" s="23" t="s">
        <v>945</v>
      </c>
      <c r="Q698" s="14"/>
      <c r="R698" s="14"/>
    </row>
    <row r="699" spans="1:18">
      <c r="B699" s="23" t="s">
        <v>943</v>
      </c>
      <c r="C699" s="1" t="s">
        <v>494</v>
      </c>
      <c r="F699" s="14"/>
      <c r="G699" s="14"/>
      <c r="H699" s="14"/>
      <c r="I699" s="11"/>
      <c r="J699" s="14"/>
      <c r="K699" s="16">
        <v>5</v>
      </c>
      <c r="L699" s="15">
        <v>6</v>
      </c>
      <c r="M699" s="14"/>
      <c r="N699" s="23"/>
      <c r="P699" s="14"/>
      <c r="Q699" s="14"/>
      <c r="R699" s="14"/>
    </row>
    <row r="700" spans="1:18">
      <c r="B700" s="23" t="s">
        <v>969</v>
      </c>
      <c r="C700" s="1" t="s">
        <v>494</v>
      </c>
      <c r="F700" s="14"/>
      <c r="G700" s="14"/>
      <c r="H700" s="14"/>
      <c r="I700" s="11"/>
      <c r="J700" s="14"/>
      <c r="K700" s="16">
        <v>6</v>
      </c>
      <c r="L700" s="15"/>
      <c r="M700" s="14"/>
      <c r="N700" s="23"/>
      <c r="O700" s="14"/>
      <c r="P700" s="14"/>
      <c r="Q700" s="14"/>
      <c r="R700" s="14"/>
    </row>
    <row r="701" spans="1:18">
      <c r="B701" s="23" t="s">
        <v>970</v>
      </c>
      <c r="C701" s="1" t="s">
        <v>494</v>
      </c>
      <c r="F701" s="14"/>
      <c r="G701" s="14"/>
      <c r="H701" s="14"/>
      <c r="I701" s="11"/>
      <c r="J701" s="14"/>
      <c r="K701" s="16">
        <v>7</v>
      </c>
      <c r="L701" s="15">
        <v>3</v>
      </c>
      <c r="M701" s="14">
        <v>31</v>
      </c>
      <c r="N701" s="23" t="s">
        <v>1091</v>
      </c>
      <c r="O701" s="14" t="s">
        <v>1096</v>
      </c>
      <c r="P701" s="14" t="s">
        <v>1096</v>
      </c>
      <c r="Q701" s="14" t="s">
        <v>1096</v>
      </c>
      <c r="R701" s="14">
        <v>2</v>
      </c>
    </row>
    <row r="702" spans="1:18">
      <c r="B702" s="23" t="s">
        <v>971</v>
      </c>
      <c r="C702" s="1" t="s">
        <v>494</v>
      </c>
      <c r="F702" s="14"/>
      <c r="G702" s="14"/>
      <c r="H702" s="14"/>
      <c r="I702" s="11"/>
      <c r="J702" s="14"/>
      <c r="K702" s="16">
        <v>8</v>
      </c>
      <c r="L702" s="15"/>
      <c r="M702" s="14"/>
      <c r="N702" s="23"/>
      <c r="O702" s="14"/>
      <c r="P702" s="14"/>
      <c r="Q702" s="14"/>
      <c r="R702" s="14"/>
    </row>
    <row r="703" spans="1:18">
      <c r="B703" s="23" t="s">
        <v>972</v>
      </c>
      <c r="C703" s="1" t="s">
        <v>494</v>
      </c>
      <c r="F703" s="14"/>
      <c r="G703" s="14"/>
      <c r="H703" s="14"/>
      <c r="I703" s="11"/>
      <c r="J703" s="14"/>
      <c r="K703" s="16">
        <v>9</v>
      </c>
      <c r="L703" s="15"/>
      <c r="M703" s="14"/>
      <c r="N703" s="23"/>
      <c r="O703" s="14"/>
      <c r="P703" s="14"/>
      <c r="Q703" s="14"/>
      <c r="R703" s="14"/>
    </row>
    <row r="704" spans="1:18">
      <c r="B704" s="60" t="s">
        <v>973</v>
      </c>
      <c r="C704" s="1" t="s">
        <v>494</v>
      </c>
      <c r="F704" s="14"/>
      <c r="G704" s="14"/>
      <c r="H704" s="14"/>
      <c r="I704" s="11"/>
      <c r="J704" s="14"/>
      <c r="K704" s="16">
        <v>10</v>
      </c>
      <c r="L704" s="15"/>
      <c r="M704" s="14"/>
      <c r="N704" s="23"/>
      <c r="O704" s="14"/>
      <c r="P704" s="14"/>
      <c r="Q704" s="14"/>
      <c r="R704" s="14"/>
    </row>
    <row r="705" spans="1:18">
      <c r="B705" s="29" t="s">
        <v>1122</v>
      </c>
      <c r="C705" s="1" t="s">
        <v>520</v>
      </c>
      <c r="F705" s="14"/>
      <c r="G705" s="14"/>
      <c r="H705" s="14"/>
      <c r="I705" s="11"/>
      <c r="J705" s="14"/>
      <c r="K705" s="16">
        <v>11</v>
      </c>
      <c r="L705" s="15"/>
      <c r="M705" s="14"/>
      <c r="N705" s="23"/>
      <c r="O705" s="14"/>
      <c r="P705" s="14"/>
      <c r="Q705" s="14"/>
      <c r="R705" s="14"/>
    </row>
    <row r="706" spans="1:18">
      <c r="B706" s="29"/>
      <c r="F706" s="14"/>
      <c r="G706" s="14"/>
      <c r="H706" s="14"/>
      <c r="I706" s="11"/>
      <c r="J706" s="14"/>
      <c r="K706" s="16"/>
      <c r="L706" s="15"/>
      <c r="M706" s="14"/>
      <c r="N706" s="23"/>
      <c r="O706" s="14"/>
      <c r="P706" s="14"/>
      <c r="Q706" s="14"/>
      <c r="R706" s="14"/>
    </row>
    <row r="707" spans="1:18">
      <c r="A707" s="62" t="s">
        <v>947</v>
      </c>
      <c r="B707" s="23" t="s">
        <v>939</v>
      </c>
      <c r="C707" s="1" t="s">
        <v>494</v>
      </c>
      <c r="E707" s="1" t="s">
        <v>476</v>
      </c>
      <c r="F707" s="14">
        <v>17</v>
      </c>
      <c r="G707" s="14">
        <v>1702</v>
      </c>
      <c r="H707" s="14" t="s">
        <v>948</v>
      </c>
      <c r="I707" s="11" t="s">
        <v>949</v>
      </c>
      <c r="J707" s="14">
        <v>2</v>
      </c>
      <c r="K707" s="16">
        <v>1</v>
      </c>
      <c r="L707" s="15">
        <v>6</v>
      </c>
      <c r="M707" s="14"/>
      <c r="N707" s="23"/>
      <c r="O707" s="14"/>
      <c r="P707" s="14"/>
      <c r="Q707" s="14"/>
      <c r="R707" s="14"/>
    </row>
    <row r="708" spans="1:18">
      <c r="B708" s="23" t="s">
        <v>938</v>
      </c>
      <c r="C708" s="1" t="s">
        <v>494</v>
      </c>
      <c r="F708" s="14"/>
      <c r="G708" s="14"/>
      <c r="H708" s="14"/>
      <c r="I708" s="11"/>
      <c r="J708" s="14"/>
      <c r="K708" s="16">
        <v>2</v>
      </c>
      <c r="L708" s="15">
        <v>6</v>
      </c>
      <c r="M708" s="14"/>
      <c r="N708" s="23"/>
      <c r="O708" s="14"/>
      <c r="P708" s="14"/>
      <c r="Q708" s="14"/>
      <c r="R708" s="14"/>
    </row>
    <row r="709" spans="1:18">
      <c r="B709" s="23" t="s">
        <v>940</v>
      </c>
      <c r="C709" s="1" t="s">
        <v>493</v>
      </c>
      <c r="D709" s="1">
        <v>100</v>
      </c>
      <c r="F709" s="14"/>
      <c r="G709" s="14"/>
      <c r="H709" s="14"/>
      <c r="I709" s="11"/>
      <c r="J709" s="14"/>
      <c r="K709" s="16">
        <v>3</v>
      </c>
      <c r="L709" s="15"/>
      <c r="M709" s="14"/>
      <c r="N709" s="23"/>
      <c r="O709" s="14"/>
      <c r="P709" s="14"/>
      <c r="Q709" s="14"/>
      <c r="R709" s="14"/>
    </row>
    <row r="710" spans="1:18">
      <c r="B710" s="60" t="s">
        <v>1157</v>
      </c>
      <c r="C710" s="1" t="s">
        <v>494</v>
      </c>
      <c r="F710" s="14"/>
      <c r="G710" s="14"/>
      <c r="H710" s="14"/>
      <c r="I710" s="11"/>
      <c r="J710" s="14"/>
      <c r="K710" s="16">
        <v>4</v>
      </c>
      <c r="L710" s="15">
        <v>3</v>
      </c>
      <c r="M710" s="14"/>
      <c r="N710" s="62" t="s">
        <v>11</v>
      </c>
      <c r="O710" s="23" t="s">
        <v>12</v>
      </c>
      <c r="P710" s="23" t="s">
        <v>13</v>
      </c>
      <c r="Q710" s="14"/>
      <c r="R710" s="14"/>
    </row>
    <row r="711" spans="1:18">
      <c r="B711" s="23" t="s">
        <v>1133</v>
      </c>
      <c r="C711" s="1" t="s">
        <v>494</v>
      </c>
      <c r="F711" s="14"/>
      <c r="G711" s="14"/>
      <c r="H711" s="14"/>
      <c r="I711" s="11"/>
      <c r="J711" s="14"/>
      <c r="K711" s="16">
        <v>5</v>
      </c>
      <c r="L711" s="15"/>
      <c r="M711" s="14"/>
      <c r="N711" s="1">
        <v>1718</v>
      </c>
      <c r="O711" s="23" t="s">
        <v>1040</v>
      </c>
      <c r="P711" s="23" t="s">
        <v>1041</v>
      </c>
      <c r="Q711" s="14"/>
      <c r="R711" s="14"/>
    </row>
    <row r="712" spans="1:18">
      <c r="B712" s="66" t="s">
        <v>2520</v>
      </c>
      <c r="C712" s="62" t="s">
        <v>494</v>
      </c>
      <c r="F712" s="14"/>
      <c r="G712" s="14"/>
      <c r="H712" s="14"/>
      <c r="I712" s="11"/>
      <c r="J712" s="14"/>
      <c r="K712" s="16">
        <v>10</v>
      </c>
      <c r="L712" s="15">
        <v>52</v>
      </c>
      <c r="M712" s="14"/>
      <c r="N712" s="1">
        <v>1705</v>
      </c>
      <c r="O712" s="23" t="s">
        <v>957</v>
      </c>
      <c r="P712" s="23"/>
      <c r="Q712" s="14"/>
      <c r="R712" s="14"/>
    </row>
    <row r="713" spans="1:18">
      <c r="B713" s="23"/>
      <c r="F713" s="14"/>
      <c r="G713" s="14"/>
      <c r="H713" s="14"/>
      <c r="I713" s="11"/>
      <c r="J713" s="14"/>
      <c r="K713" s="16"/>
      <c r="L713" s="15"/>
      <c r="M713" s="14"/>
      <c r="P713" s="14"/>
      <c r="Q713" s="14"/>
      <c r="R713" s="14"/>
    </row>
    <row r="714" spans="1:18">
      <c r="A714" s="62" t="s">
        <v>950</v>
      </c>
      <c r="B714" s="23" t="s">
        <v>951</v>
      </c>
      <c r="C714" s="1" t="s">
        <v>494</v>
      </c>
      <c r="E714" s="1" t="s">
        <v>476</v>
      </c>
      <c r="F714" s="14">
        <v>17</v>
      </c>
      <c r="G714" s="14">
        <v>1703</v>
      </c>
      <c r="H714" s="47" t="s">
        <v>4118</v>
      </c>
      <c r="I714" s="11"/>
      <c r="J714" s="14">
        <v>2</v>
      </c>
      <c r="K714" s="16">
        <v>1</v>
      </c>
      <c r="L714" s="15">
        <v>6</v>
      </c>
      <c r="M714" s="14"/>
      <c r="N714" s="23"/>
      <c r="O714" s="14"/>
      <c r="P714" s="14"/>
      <c r="Q714" s="14"/>
      <c r="R714" s="14"/>
    </row>
    <row r="715" spans="1:18">
      <c r="B715" s="60" t="s">
        <v>941</v>
      </c>
      <c r="C715" s="1" t="s">
        <v>494</v>
      </c>
      <c r="F715" s="14"/>
      <c r="G715" s="14"/>
      <c r="H715" s="14"/>
      <c r="I715" s="11"/>
      <c r="J715" s="14"/>
      <c r="K715" s="16">
        <v>2</v>
      </c>
      <c r="L715" s="15">
        <v>6</v>
      </c>
      <c r="M715" s="14"/>
      <c r="N715" s="23"/>
      <c r="O715" s="14"/>
      <c r="P715" s="14"/>
      <c r="Q715" s="14"/>
      <c r="R715" s="14"/>
    </row>
    <row r="716" spans="1:18">
      <c r="B716" s="23" t="s">
        <v>952</v>
      </c>
      <c r="C716" s="1" t="s">
        <v>493</v>
      </c>
      <c r="D716" s="1">
        <v>100</v>
      </c>
      <c r="F716" s="14"/>
      <c r="G716" s="14"/>
      <c r="H716" s="14"/>
      <c r="I716" s="11"/>
      <c r="J716" s="14"/>
      <c r="K716" s="16">
        <v>3</v>
      </c>
      <c r="L716" s="15"/>
      <c r="M716" s="14"/>
      <c r="N716" s="23"/>
      <c r="O716" s="14"/>
      <c r="P716" s="14"/>
      <c r="Q716" s="14"/>
      <c r="R716" s="14"/>
    </row>
    <row r="717" spans="1:18">
      <c r="B717" s="23" t="s">
        <v>1134</v>
      </c>
      <c r="C717" s="1" t="s">
        <v>494</v>
      </c>
      <c r="F717" s="14"/>
      <c r="G717" s="14"/>
      <c r="H717" s="14"/>
      <c r="I717" s="11"/>
      <c r="J717" s="14"/>
      <c r="K717" s="16">
        <v>4</v>
      </c>
      <c r="L717" s="15"/>
      <c r="M717" s="14"/>
      <c r="N717" s="1">
        <v>1718</v>
      </c>
      <c r="O717" s="23" t="s">
        <v>1040</v>
      </c>
      <c r="P717" s="23" t="s">
        <v>1041</v>
      </c>
      <c r="Q717" s="14"/>
      <c r="R717" s="14"/>
    </row>
    <row r="718" spans="1:18">
      <c r="B718" s="29" t="s">
        <v>2521</v>
      </c>
      <c r="C718" s="62" t="s">
        <v>494</v>
      </c>
      <c r="F718" s="14"/>
      <c r="G718" s="14"/>
      <c r="H718" s="14"/>
      <c r="I718" s="11"/>
      <c r="J718" s="14"/>
      <c r="K718" s="16">
        <v>5</v>
      </c>
      <c r="L718" s="15">
        <v>52</v>
      </c>
      <c r="M718" s="14"/>
      <c r="N718" s="1">
        <v>1705</v>
      </c>
      <c r="O718" s="23" t="s">
        <v>957</v>
      </c>
      <c r="P718" s="23"/>
      <c r="Q718" s="14"/>
      <c r="R718" s="14"/>
    </row>
    <row r="719" spans="1:18">
      <c r="B719" s="66" t="s">
        <v>4119</v>
      </c>
      <c r="C719" s="62" t="s">
        <v>494</v>
      </c>
      <c r="F719" s="14"/>
      <c r="G719" s="14"/>
      <c r="H719" s="14"/>
      <c r="I719" s="11"/>
      <c r="J719" s="14"/>
      <c r="K719" s="16">
        <v>6</v>
      </c>
      <c r="L719" s="15">
        <v>3</v>
      </c>
      <c r="M719" s="14"/>
      <c r="O719" s="23"/>
      <c r="P719" s="23"/>
      <c r="Q719" s="14"/>
      <c r="R719" s="14"/>
    </row>
    <row r="720" spans="1:18">
      <c r="B720" s="23"/>
      <c r="F720" s="14"/>
      <c r="G720" s="14"/>
      <c r="H720" s="14"/>
      <c r="I720" s="11"/>
      <c r="J720" s="14"/>
      <c r="K720" s="16"/>
      <c r="L720" s="15"/>
      <c r="M720" s="14"/>
      <c r="N720" s="23"/>
      <c r="O720" s="14"/>
      <c r="P720" s="14"/>
      <c r="Q720" s="14"/>
      <c r="R720" s="14"/>
    </row>
    <row r="721" spans="1:17" s="44" customFormat="1">
      <c r="A721" s="62"/>
      <c r="I721" s="58"/>
      <c r="K721" s="59"/>
      <c r="L721" s="59"/>
    </row>
    <row r="722" spans="1:17" customFormat="1">
      <c r="A722" s="62"/>
      <c r="B722" s="66"/>
      <c r="C722" s="62"/>
      <c r="K722" s="55"/>
      <c r="N722" s="1"/>
      <c r="O722" s="23"/>
      <c r="P722" s="23"/>
      <c r="Q722" s="23"/>
    </row>
    <row r="723" spans="1:17" s="62" customFormat="1">
      <c r="I723" s="22"/>
      <c r="K723" s="32"/>
      <c r="L723" s="76"/>
    </row>
    <row r="724" spans="1:17" s="62" customFormat="1">
      <c r="I724" s="22"/>
      <c r="K724" s="32"/>
      <c r="L724" s="76"/>
    </row>
    <row r="725" spans="1:17" customFormat="1">
      <c r="B725" s="62"/>
      <c r="C725" s="62"/>
      <c r="E725" s="62"/>
      <c r="K725" s="55"/>
      <c r="M725" s="14"/>
      <c r="N725" s="62"/>
      <c r="O725" s="62"/>
      <c r="P725" s="62"/>
      <c r="Q725" s="62"/>
    </row>
    <row r="726" spans="1:17" customFormat="1">
      <c r="B726" s="62"/>
      <c r="C726" s="62"/>
      <c r="E726" s="62"/>
      <c r="K726" s="55"/>
      <c r="M726" s="14"/>
      <c r="N726" s="62"/>
      <c r="O726" s="62"/>
      <c r="P726" s="62"/>
      <c r="Q726" s="62"/>
    </row>
    <row r="727" spans="1:17" customFormat="1">
      <c r="A727" s="62" t="s">
        <v>4565</v>
      </c>
      <c r="B727" s="62" t="s">
        <v>4566</v>
      </c>
      <c r="C727" s="62" t="s">
        <v>494</v>
      </c>
      <c r="E727" s="62" t="s">
        <v>476</v>
      </c>
      <c r="F727">
        <v>1</v>
      </c>
      <c r="G727">
        <v>213</v>
      </c>
      <c r="H727" s="62" t="s">
        <v>4561</v>
      </c>
      <c r="I727" s="62" t="s">
        <v>4562</v>
      </c>
      <c r="J727">
        <v>6</v>
      </c>
      <c r="K727">
        <v>1</v>
      </c>
      <c r="L727">
        <v>7</v>
      </c>
    </row>
    <row r="728" spans="1:17" customFormat="1">
      <c r="A728" s="62"/>
      <c r="B728" s="62" t="s">
        <v>4567</v>
      </c>
      <c r="C728" s="62" t="s">
        <v>494</v>
      </c>
      <c r="E728" s="62" t="s">
        <v>476</v>
      </c>
      <c r="K728">
        <v>2</v>
      </c>
      <c r="L728">
        <v>8</v>
      </c>
    </row>
    <row r="729" spans="1:17" customFormat="1">
      <c r="A729" s="62"/>
      <c r="B729" s="62" t="s">
        <v>4568</v>
      </c>
      <c r="C729" s="62" t="s">
        <v>494</v>
      </c>
      <c r="K729">
        <v>3</v>
      </c>
      <c r="L729">
        <v>6</v>
      </c>
    </row>
    <row r="730" spans="1:17" customFormat="1">
      <c r="A730" s="62"/>
      <c r="B730" s="62" t="s">
        <v>4569</v>
      </c>
      <c r="C730" s="62" t="s">
        <v>494</v>
      </c>
      <c r="K730">
        <v>4</v>
      </c>
      <c r="L730">
        <v>3</v>
      </c>
    </row>
    <row r="731" spans="1:17" customFormat="1">
      <c r="A731" s="62"/>
      <c r="B731" s="62" t="s">
        <v>4570</v>
      </c>
      <c r="C731" s="62" t="s">
        <v>494</v>
      </c>
      <c r="K731">
        <v>5</v>
      </c>
      <c r="L731">
        <v>8</v>
      </c>
    </row>
    <row r="732" spans="1:17" customFormat="1">
      <c r="A732" s="62"/>
      <c r="B732" s="62" t="s">
        <v>4571</v>
      </c>
      <c r="C732" s="62" t="s">
        <v>494</v>
      </c>
      <c r="K732">
        <v>6</v>
      </c>
      <c r="L732">
        <v>7</v>
      </c>
    </row>
    <row r="733" spans="1:17" customFormat="1">
      <c r="A733" s="62"/>
      <c r="B733" s="62" t="s">
        <v>4572</v>
      </c>
      <c r="C733" s="62" t="s">
        <v>520</v>
      </c>
      <c r="K733">
        <v>7</v>
      </c>
    </row>
    <row r="734" spans="1:17" customFormat="1">
      <c r="A734" s="62"/>
      <c r="B734" s="62" t="s">
        <v>4573</v>
      </c>
      <c r="C734" s="62" t="s">
        <v>493</v>
      </c>
      <c r="D734">
        <v>100</v>
      </c>
      <c r="K734">
        <v>8</v>
      </c>
    </row>
    <row r="735" spans="1:17" customFormat="1">
      <c r="A735" s="62"/>
      <c r="B735" s="62" t="s">
        <v>4574</v>
      </c>
      <c r="C735" s="62" t="s">
        <v>494</v>
      </c>
      <c r="K735">
        <v>9</v>
      </c>
    </row>
    <row r="736" spans="1:17" customFormat="1">
      <c r="A736" s="62"/>
      <c r="B736" s="62" t="s">
        <v>4575</v>
      </c>
      <c r="C736" s="62" t="s">
        <v>493</v>
      </c>
      <c r="D736">
        <v>50</v>
      </c>
      <c r="K736">
        <v>10</v>
      </c>
    </row>
    <row r="737" spans="1:16" s="62" customFormat="1">
      <c r="B737" s="62" t="s">
        <v>6042</v>
      </c>
      <c r="C737" s="62" t="s">
        <v>494</v>
      </c>
      <c r="I737" s="22"/>
      <c r="K737">
        <v>11</v>
      </c>
      <c r="L737" s="76"/>
    </row>
    <row r="738" spans="1:16" s="62" customFormat="1">
      <c r="B738" s="62" t="s">
        <v>6043</v>
      </c>
      <c r="C738" s="62" t="s">
        <v>493</v>
      </c>
      <c r="D738" s="62">
        <v>10</v>
      </c>
      <c r="I738" s="22"/>
      <c r="K738">
        <v>12</v>
      </c>
      <c r="L738" s="76"/>
    </row>
    <row r="739" spans="1:16" s="62" customFormat="1">
      <c r="B739" s="62" t="s">
        <v>6044</v>
      </c>
      <c r="C739" s="62" t="s">
        <v>494</v>
      </c>
      <c r="I739" s="22"/>
      <c r="K739">
        <v>13</v>
      </c>
      <c r="L739" s="76"/>
    </row>
    <row r="740" spans="1:16" s="62" customFormat="1">
      <c r="B740" s="62" t="s">
        <v>6045</v>
      </c>
      <c r="C740" s="62" t="s">
        <v>493</v>
      </c>
      <c r="D740" s="62">
        <v>10</v>
      </c>
      <c r="I740" s="22"/>
      <c r="K740">
        <v>14</v>
      </c>
      <c r="L740" s="76"/>
    </row>
    <row r="741" spans="1:16" s="62" customFormat="1">
      <c r="B741" s="62" t="s">
        <v>6046</v>
      </c>
      <c r="C741" s="62" t="s">
        <v>494</v>
      </c>
      <c r="I741" s="22"/>
      <c r="K741">
        <v>15</v>
      </c>
      <c r="L741" s="76"/>
    </row>
    <row r="742" spans="1:16" s="62" customFormat="1">
      <c r="B742" s="62" t="s">
        <v>6047</v>
      </c>
      <c r="C742" s="62" t="s">
        <v>494</v>
      </c>
      <c r="I742" s="22"/>
      <c r="K742">
        <v>16</v>
      </c>
      <c r="L742" s="76"/>
    </row>
    <row r="743" spans="1:16" s="62" customFormat="1">
      <c r="B743" s="62" t="s">
        <v>6056</v>
      </c>
      <c r="C743" s="62" t="s">
        <v>494</v>
      </c>
      <c r="I743" s="22"/>
      <c r="K743">
        <v>17</v>
      </c>
      <c r="L743" s="76"/>
    </row>
    <row r="744" spans="1:16" s="62" customFormat="1">
      <c r="I744" s="22"/>
      <c r="K744"/>
      <c r="L744" s="76"/>
    </row>
    <row r="745" spans="1:16" s="62" customFormat="1">
      <c r="A745" s="62" t="s">
        <v>6057</v>
      </c>
      <c r="B745" s="62" t="s">
        <v>6058</v>
      </c>
      <c r="C745" s="62" t="s">
        <v>494</v>
      </c>
      <c r="E745" s="62" t="s">
        <v>476</v>
      </c>
      <c r="F745" s="62">
        <v>1</v>
      </c>
      <c r="G745" s="62">
        <v>224</v>
      </c>
      <c r="H745" s="62" t="s">
        <v>6063</v>
      </c>
      <c r="I745" s="22"/>
      <c r="J745" s="62">
        <v>6</v>
      </c>
      <c r="K745" s="62">
        <v>1</v>
      </c>
      <c r="L745" s="76">
        <v>52</v>
      </c>
      <c r="N745" s="62">
        <v>213</v>
      </c>
      <c r="O745" s="62" t="s">
        <v>4568</v>
      </c>
    </row>
    <row r="746" spans="1:16" s="62" customFormat="1">
      <c r="B746" s="62" t="s">
        <v>6059</v>
      </c>
      <c r="C746" s="62" t="s">
        <v>494</v>
      </c>
      <c r="E746" s="62" t="s">
        <v>476</v>
      </c>
      <c r="I746" s="22"/>
      <c r="K746" s="62">
        <v>2</v>
      </c>
      <c r="L746" s="76">
        <v>3</v>
      </c>
      <c r="N746" s="62" t="s">
        <v>1038</v>
      </c>
      <c r="O746" s="23" t="s">
        <v>1040</v>
      </c>
      <c r="P746" s="60" t="s">
        <v>1041</v>
      </c>
    </row>
    <row r="747" spans="1:16" s="62" customFormat="1">
      <c r="B747" s="62" t="s">
        <v>6060</v>
      </c>
      <c r="C747" s="62" t="s">
        <v>494</v>
      </c>
      <c r="I747" s="22"/>
      <c r="K747" s="62">
        <v>3</v>
      </c>
      <c r="L747" s="76">
        <v>6</v>
      </c>
    </row>
    <row r="748" spans="1:16" s="62" customFormat="1">
      <c r="B748" s="62" t="s">
        <v>6061</v>
      </c>
      <c r="C748" s="62" t="s">
        <v>494</v>
      </c>
      <c r="I748" s="22"/>
      <c r="K748" s="62">
        <v>4</v>
      </c>
      <c r="L748" s="76">
        <v>7</v>
      </c>
    </row>
    <row r="749" spans="1:16" s="62" customFormat="1">
      <c r="B749" s="62" t="s">
        <v>6062</v>
      </c>
      <c r="C749" s="62" t="s">
        <v>494</v>
      </c>
      <c r="I749" s="22"/>
      <c r="K749" s="62">
        <v>5</v>
      </c>
      <c r="L749" s="76">
        <v>8</v>
      </c>
    </row>
    <row r="750" spans="1:16" s="62" customFormat="1">
      <c r="I750" s="22"/>
      <c r="L750" s="76"/>
    </row>
    <row r="751" spans="1:16" customFormat="1">
      <c r="A751" s="62"/>
    </row>
    <row r="752" spans="1:16" customFormat="1">
      <c r="A752" s="62" t="s">
        <v>6035</v>
      </c>
      <c r="B752" s="62" t="s">
        <v>6036</v>
      </c>
      <c r="C752" s="62" t="s">
        <v>494</v>
      </c>
      <c r="F752">
        <v>1</v>
      </c>
      <c r="G752">
        <v>222</v>
      </c>
      <c r="H752" s="62" t="s">
        <v>6039</v>
      </c>
      <c r="I752" s="62" t="s">
        <v>6040</v>
      </c>
      <c r="J752">
        <v>6</v>
      </c>
      <c r="K752" s="76">
        <v>1</v>
      </c>
      <c r="L752">
        <v>8</v>
      </c>
    </row>
    <row r="753" spans="1:18" customFormat="1">
      <c r="A753" s="62"/>
      <c r="B753" s="62" t="s">
        <v>6037</v>
      </c>
      <c r="C753" s="62" t="s">
        <v>494</v>
      </c>
      <c r="K753" s="76">
        <v>2</v>
      </c>
      <c r="L753">
        <v>7</v>
      </c>
    </row>
    <row r="754" spans="1:18" customFormat="1">
      <c r="A754" s="62"/>
      <c r="B754" s="62" t="s">
        <v>6038</v>
      </c>
      <c r="C754" s="62" t="s">
        <v>494</v>
      </c>
      <c r="K754" s="76">
        <v>3</v>
      </c>
      <c r="L754">
        <v>7</v>
      </c>
    </row>
    <row r="755" spans="1:18" customFormat="1">
      <c r="A755" s="62"/>
      <c r="B755" s="62" t="s">
        <v>6041</v>
      </c>
      <c r="C755" s="62" t="s">
        <v>493</v>
      </c>
      <c r="D755">
        <v>1</v>
      </c>
      <c r="K755" s="117">
        <v>4</v>
      </c>
      <c r="L755">
        <v>3</v>
      </c>
    </row>
    <row r="756" spans="1:18" customFormat="1">
      <c r="A756" s="62"/>
    </row>
    <row r="757" spans="1:18" customFormat="1">
      <c r="A757" s="62"/>
      <c r="B757" s="62"/>
      <c r="C757" s="62"/>
      <c r="K757" s="76"/>
    </row>
    <row r="758" spans="1:18" customFormat="1">
      <c r="A758" s="62"/>
    </row>
    <row r="759" spans="1:18" customFormat="1" ht="14.25" customHeight="1">
      <c r="A759" s="62" t="s">
        <v>3649</v>
      </c>
      <c r="B759" s="66" t="s">
        <v>3650</v>
      </c>
      <c r="C759" s="62" t="s">
        <v>494</v>
      </c>
      <c r="E759" s="62" t="s">
        <v>476</v>
      </c>
      <c r="F759">
        <v>22</v>
      </c>
      <c r="G759">
        <v>2210</v>
      </c>
      <c r="H759" s="62" t="s">
        <v>3663</v>
      </c>
      <c r="I759" s="62" t="s">
        <v>3690</v>
      </c>
      <c r="J759">
        <v>1</v>
      </c>
      <c r="K759">
        <v>1</v>
      </c>
      <c r="L759">
        <v>9</v>
      </c>
      <c r="N759" s="62" t="s">
        <v>3655</v>
      </c>
      <c r="O759" s="66" t="s">
        <v>3656</v>
      </c>
      <c r="P759" s="66" t="s">
        <v>3657</v>
      </c>
      <c r="Q759" s="66" t="s">
        <v>3648</v>
      </c>
      <c r="R759">
        <v>2209</v>
      </c>
    </row>
    <row r="760" spans="1:18" customFormat="1">
      <c r="B760" s="66" t="s">
        <v>3651</v>
      </c>
      <c r="C760" s="62" t="s">
        <v>494</v>
      </c>
      <c r="E760" s="62" t="s">
        <v>476</v>
      </c>
      <c r="K760">
        <v>2</v>
      </c>
      <c r="L760">
        <v>6</v>
      </c>
    </row>
    <row r="761" spans="1:18" customFormat="1">
      <c r="B761" s="66" t="s">
        <v>3652</v>
      </c>
      <c r="C761" s="62" t="s">
        <v>494</v>
      </c>
      <c r="K761">
        <v>3</v>
      </c>
      <c r="L761">
        <v>6</v>
      </c>
      <c r="N761" s="62" t="s">
        <v>3655</v>
      </c>
      <c r="O761" s="66" t="s">
        <v>3648</v>
      </c>
      <c r="P761" s="66" t="s">
        <v>3657</v>
      </c>
    </row>
    <row r="762" spans="1:18" customFormat="1">
      <c r="B762" s="66" t="s">
        <v>3694</v>
      </c>
      <c r="C762" s="62" t="s">
        <v>493</v>
      </c>
      <c r="D762">
        <v>1</v>
      </c>
      <c r="K762">
        <v>4</v>
      </c>
      <c r="L762">
        <v>30</v>
      </c>
      <c r="N762" s="62"/>
      <c r="O762" s="66"/>
      <c r="P762" s="66"/>
    </row>
    <row r="763" spans="1:18" customFormat="1">
      <c r="B763" s="66" t="s">
        <v>3653</v>
      </c>
      <c r="C763" s="62" t="s">
        <v>494</v>
      </c>
      <c r="K763">
        <v>5</v>
      </c>
      <c r="L763">
        <v>7</v>
      </c>
    </row>
    <row r="764" spans="1:18" customFormat="1">
      <c r="B764" s="66" t="s">
        <v>3654</v>
      </c>
      <c r="C764" s="62" t="s">
        <v>494</v>
      </c>
      <c r="K764">
        <v>6</v>
      </c>
      <c r="L764" s="80">
        <v>3</v>
      </c>
      <c r="M764" s="10"/>
      <c r="N764" s="62" t="s">
        <v>3620</v>
      </c>
      <c r="O764" s="62" t="s">
        <v>3622</v>
      </c>
      <c r="P764" s="62" t="s">
        <v>3623</v>
      </c>
      <c r="R764">
        <v>2311</v>
      </c>
    </row>
    <row r="765" spans="1:18" customFormat="1">
      <c r="B765" s="66" t="s">
        <v>3691</v>
      </c>
      <c r="C765" s="62" t="s">
        <v>493</v>
      </c>
      <c r="D765">
        <v>20</v>
      </c>
      <c r="K765">
        <v>7</v>
      </c>
      <c r="L765" s="80"/>
      <c r="M765" s="10"/>
      <c r="N765" s="62"/>
      <c r="O765" s="62"/>
      <c r="P765" s="62"/>
    </row>
    <row r="766" spans="1:18" customFormat="1">
      <c r="B766" s="66" t="s">
        <v>3684</v>
      </c>
      <c r="C766" s="62" t="s">
        <v>494</v>
      </c>
      <c r="K766">
        <v>8</v>
      </c>
      <c r="L766" s="80"/>
      <c r="M766" s="10"/>
      <c r="N766" s="62"/>
      <c r="O766" s="62"/>
      <c r="P766" s="62"/>
    </row>
    <row r="767" spans="1:18" customFormat="1">
      <c r="B767" s="66" t="s">
        <v>3685</v>
      </c>
      <c r="C767" s="62" t="s">
        <v>494</v>
      </c>
      <c r="K767">
        <v>9</v>
      </c>
      <c r="L767" s="80"/>
      <c r="M767" s="10"/>
      <c r="N767" s="62"/>
      <c r="O767" s="62"/>
      <c r="P767" s="62"/>
    </row>
    <row r="768" spans="1:18" customFormat="1">
      <c r="B768" s="66" t="s">
        <v>3686</v>
      </c>
      <c r="C768" s="62" t="s">
        <v>494</v>
      </c>
      <c r="K768">
        <v>10</v>
      </c>
      <c r="L768" s="80"/>
      <c r="M768" s="10"/>
      <c r="N768" s="62"/>
      <c r="O768" s="62"/>
      <c r="P768" s="62"/>
    </row>
    <row r="769" spans="1:18">
      <c r="B769" s="67" t="s">
        <v>3703</v>
      </c>
      <c r="C769" s="70" t="s">
        <v>494</v>
      </c>
      <c r="K769">
        <v>11</v>
      </c>
      <c r="L769" s="32">
        <v>8</v>
      </c>
    </row>
    <row r="770" spans="1:18">
      <c r="B770" s="67" t="s">
        <v>3704</v>
      </c>
      <c r="C770" s="70" t="s">
        <v>494</v>
      </c>
      <c r="K770">
        <v>12</v>
      </c>
      <c r="L770" s="32">
        <v>8</v>
      </c>
    </row>
    <row r="771" spans="1:18">
      <c r="B771" s="67" t="s">
        <v>3705</v>
      </c>
      <c r="C771" s="70" t="s">
        <v>494</v>
      </c>
      <c r="K771">
        <v>13</v>
      </c>
      <c r="L771" s="32">
        <v>7</v>
      </c>
    </row>
    <row r="772" spans="1:18">
      <c r="B772" s="67" t="s">
        <v>3706</v>
      </c>
      <c r="C772" s="70" t="s">
        <v>494</v>
      </c>
      <c r="K772">
        <v>14</v>
      </c>
      <c r="L772" s="32">
        <v>7</v>
      </c>
    </row>
    <row r="773" spans="1:18">
      <c r="B773" s="67" t="s">
        <v>4395</v>
      </c>
      <c r="C773" s="70" t="s">
        <v>494</v>
      </c>
      <c r="K773">
        <v>15</v>
      </c>
      <c r="L773" s="32"/>
    </row>
    <row r="774" spans="1:18">
      <c r="B774" s="67" t="s">
        <v>4396</v>
      </c>
      <c r="C774" s="70" t="s">
        <v>494</v>
      </c>
      <c r="K774">
        <v>16</v>
      </c>
      <c r="L774" s="32"/>
    </row>
    <row r="775" spans="1:18">
      <c r="B775" s="67" t="s">
        <v>4397</v>
      </c>
      <c r="C775" s="70" t="s">
        <v>494</v>
      </c>
      <c r="K775">
        <v>17</v>
      </c>
      <c r="L775" s="32"/>
    </row>
    <row r="776" spans="1:18">
      <c r="B776" s="67" t="s">
        <v>4398</v>
      </c>
      <c r="C776" s="70" t="s">
        <v>494</v>
      </c>
      <c r="K776">
        <v>18</v>
      </c>
      <c r="L776" s="32"/>
    </row>
    <row r="777" spans="1:18" customFormat="1">
      <c r="B777" s="66"/>
      <c r="C777" s="62"/>
      <c r="L777" s="80"/>
      <c r="M777" s="10"/>
      <c r="N777" s="62"/>
      <c r="O777" s="62"/>
      <c r="P777" s="62"/>
    </row>
    <row r="778" spans="1:18" customFormat="1">
      <c r="A778" s="62" t="s">
        <v>3671</v>
      </c>
      <c r="B778" s="66" t="s">
        <v>3672</v>
      </c>
      <c r="C778" s="62" t="s">
        <v>494</v>
      </c>
      <c r="E778" s="62" t="s">
        <v>476</v>
      </c>
      <c r="F778">
        <v>22</v>
      </c>
      <c r="G778">
        <v>2211</v>
      </c>
      <c r="H778" s="62" t="s">
        <v>3260</v>
      </c>
      <c r="J778">
        <v>1</v>
      </c>
      <c r="K778">
        <v>1</v>
      </c>
      <c r="L778">
        <v>52</v>
      </c>
      <c r="N778" s="62">
        <v>2210</v>
      </c>
      <c r="O778" s="66" t="s">
        <v>3652</v>
      </c>
    </row>
    <row r="779" spans="1:18" customFormat="1">
      <c r="B779" s="66" t="s">
        <v>3673</v>
      </c>
      <c r="C779" s="62" t="s">
        <v>494</v>
      </c>
      <c r="E779" s="62" t="s">
        <v>476</v>
      </c>
      <c r="K779">
        <v>2</v>
      </c>
      <c r="L779">
        <v>9</v>
      </c>
      <c r="N779" s="62" t="s">
        <v>1038</v>
      </c>
      <c r="O779" s="60" t="s">
        <v>1040</v>
      </c>
      <c r="P779" s="60" t="s">
        <v>1041</v>
      </c>
      <c r="Q779" s="23" t="s">
        <v>1040</v>
      </c>
      <c r="R779" s="14">
        <v>140</v>
      </c>
    </row>
    <row r="780" spans="1:18" customFormat="1">
      <c r="B780" s="66" t="s">
        <v>3674</v>
      </c>
      <c r="C780" s="62" t="s">
        <v>494</v>
      </c>
      <c r="K780">
        <v>3</v>
      </c>
      <c r="L780">
        <v>6</v>
      </c>
    </row>
    <row r="781" spans="1:18" customFormat="1">
      <c r="B781" s="66" t="s">
        <v>4314</v>
      </c>
      <c r="C781" s="62" t="s">
        <v>494</v>
      </c>
      <c r="K781">
        <v>4</v>
      </c>
      <c r="L781">
        <v>3</v>
      </c>
      <c r="N781" s="62" t="s">
        <v>4306</v>
      </c>
      <c r="O781" s="66" t="s">
        <v>4309</v>
      </c>
      <c r="P781" s="66" t="s">
        <v>4311</v>
      </c>
    </row>
    <row r="782" spans="1:18" customFormat="1">
      <c r="B782" s="66" t="s">
        <v>3675</v>
      </c>
      <c r="C782" s="62" t="s">
        <v>494</v>
      </c>
      <c r="K782">
        <v>5</v>
      </c>
      <c r="M782">
        <v>2</v>
      </c>
    </row>
    <row r="783" spans="1:18" customFormat="1">
      <c r="B783" s="66" t="s">
        <v>3676</v>
      </c>
      <c r="C783" s="62" t="s">
        <v>494</v>
      </c>
      <c r="K783">
        <v>6</v>
      </c>
      <c r="L783">
        <v>3</v>
      </c>
      <c r="N783" s="62" t="s">
        <v>3677</v>
      </c>
      <c r="O783" s="62" t="s">
        <v>3678</v>
      </c>
      <c r="P783" s="62" t="s">
        <v>3679</v>
      </c>
    </row>
    <row r="784" spans="1:18" customFormat="1">
      <c r="B784" s="66" t="s">
        <v>3688</v>
      </c>
      <c r="C784" s="62" t="s">
        <v>494</v>
      </c>
      <c r="K784">
        <v>7</v>
      </c>
      <c r="L784">
        <v>3</v>
      </c>
      <c r="N784" s="62"/>
      <c r="O784" s="62"/>
      <c r="P784" s="62"/>
    </row>
    <row r="785" spans="1:18" customFormat="1">
      <c r="B785" s="66" t="s">
        <v>3681</v>
      </c>
      <c r="C785" s="62" t="s">
        <v>494</v>
      </c>
      <c r="K785">
        <v>8</v>
      </c>
      <c r="M785">
        <v>1</v>
      </c>
      <c r="N785" s="62"/>
      <c r="O785" s="62"/>
      <c r="P785" s="62"/>
    </row>
    <row r="786" spans="1:18" customFormat="1">
      <c r="B786" s="66" t="s">
        <v>3687</v>
      </c>
      <c r="C786" s="62" t="s">
        <v>494</v>
      </c>
      <c r="K786">
        <v>9</v>
      </c>
    </row>
    <row r="787" spans="1:18" customFormat="1">
      <c r="B787" s="66" t="s">
        <v>3682</v>
      </c>
      <c r="C787" s="62" t="s">
        <v>494</v>
      </c>
      <c r="K787">
        <v>10</v>
      </c>
      <c r="L787">
        <v>3</v>
      </c>
      <c r="N787" s="1" t="s">
        <v>1038</v>
      </c>
      <c r="O787" s="23" t="s">
        <v>1040</v>
      </c>
      <c r="P787" s="23" t="s">
        <v>1041</v>
      </c>
      <c r="Q787" s="23" t="s">
        <v>1040</v>
      </c>
      <c r="R787" s="14">
        <v>140</v>
      </c>
    </row>
    <row r="788" spans="1:18" customFormat="1">
      <c r="B788" s="66" t="s">
        <v>4315</v>
      </c>
      <c r="C788" s="62" t="s">
        <v>494</v>
      </c>
      <c r="K788">
        <v>11</v>
      </c>
      <c r="L788">
        <v>3</v>
      </c>
      <c r="N788" s="1" t="s">
        <v>1038</v>
      </c>
      <c r="O788" s="23" t="s">
        <v>1040</v>
      </c>
      <c r="P788" s="23" t="s">
        <v>1041</v>
      </c>
      <c r="Q788" s="23" t="s">
        <v>1040</v>
      </c>
      <c r="R788" s="14">
        <v>140</v>
      </c>
    </row>
    <row r="789" spans="1:18" customFormat="1">
      <c r="B789" s="66" t="s">
        <v>3683</v>
      </c>
      <c r="C789" s="62" t="s">
        <v>494</v>
      </c>
      <c r="K789">
        <v>12</v>
      </c>
      <c r="L789">
        <v>7</v>
      </c>
    </row>
    <row r="790" spans="1:18" customFormat="1">
      <c r="B790" s="66" t="s">
        <v>3695</v>
      </c>
      <c r="C790" s="64" t="s">
        <v>494</v>
      </c>
      <c r="K790">
        <v>13</v>
      </c>
      <c r="L790">
        <v>3</v>
      </c>
      <c r="N790" s="62" t="s">
        <v>3696</v>
      </c>
      <c r="O790" s="62" t="s">
        <v>3698</v>
      </c>
      <c r="P790" s="62" t="s">
        <v>3699</v>
      </c>
      <c r="R790">
        <v>2214</v>
      </c>
    </row>
    <row r="791" spans="1:18">
      <c r="B791" s="66" t="s">
        <v>3728</v>
      </c>
      <c r="C791" s="64" t="s">
        <v>494</v>
      </c>
      <c r="K791">
        <v>14</v>
      </c>
      <c r="L791">
        <v>3</v>
      </c>
      <c r="M791">
        <v>31</v>
      </c>
      <c r="N791" s="62" t="s">
        <v>3719</v>
      </c>
      <c r="O791" s="62" t="s">
        <v>3722</v>
      </c>
      <c r="P791" s="62" t="s">
        <v>3724</v>
      </c>
      <c r="Q791" s="62" t="s">
        <v>3720</v>
      </c>
      <c r="R791" s="1">
        <v>13</v>
      </c>
    </row>
    <row r="792" spans="1:18">
      <c r="B792" s="66" t="s">
        <v>3702</v>
      </c>
      <c r="C792" s="64" t="s">
        <v>493</v>
      </c>
      <c r="D792" s="1">
        <v>1</v>
      </c>
      <c r="K792">
        <v>15</v>
      </c>
      <c r="L792" s="9">
        <v>3</v>
      </c>
    </row>
    <row r="793" spans="1:18">
      <c r="B793" s="66" t="s">
        <v>4316</v>
      </c>
      <c r="C793" s="64" t="s">
        <v>493</v>
      </c>
      <c r="D793" s="1">
        <v>1</v>
      </c>
      <c r="K793">
        <v>16</v>
      </c>
      <c r="L793" s="32">
        <v>3</v>
      </c>
    </row>
    <row r="794" spans="1:18">
      <c r="B794" s="66" t="s">
        <v>4317</v>
      </c>
      <c r="C794" s="64" t="s">
        <v>493</v>
      </c>
      <c r="D794" s="1">
        <v>1</v>
      </c>
      <c r="K794">
        <v>17</v>
      </c>
      <c r="L794" s="32">
        <v>3</v>
      </c>
    </row>
    <row r="795" spans="1:18">
      <c r="B795" s="66" t="s">
        <v>4318</v>
      </c>
      <c r="C795" s="64" t="s">
        <v>493</v>
      </c>
      <c r="D795" s="1">
        <v>1</v>
      </c>
      <c r="K795">
        <v>18</v>
      </c>
      <c r="L795" s="32">
        <v>3</v>
      </c>
    </row>
    <row r="796" spans="1:18" customFormat="1">
      <c r="B796" s="66" t="s">
        <v>4319</v>
      </c>
      <c r="C796" s="64" t="s">
        <v>702</v>
      </c>
      <c r="K796">
        <v>19</v>
      </c>
    </row>
    <row r="797" spans="1:18" customFormat="1">
      <c r="A797" s="7"/>
      <c r="B797" s="66" t="s">
        <v>4371</v>
      </c>
      <c r="C797" s="64" t="s">
        <v>494</v>
      </c>
      <c r="D797" s="7"/>
      <c r="K797">
        <v>20</v>
      </c>
      <c r="L797">
        <v>91</v>
      </c>
    </row>
    <row r="798" spans="1:18" customFormat="1">
      <c r="A798" s="7"/>
      <c r="B798" s="66" t="s">
        <v>4372</v>
      </c>
      <c r="C798" s="64" t="s">
        <v>494</v>
      </c>
      <c r="D798" s="7"/>
      <c r="K798">
        <v>21</v>
      </c>
      <c r="L798">
        <v>92</v>
      </c>
    </row>
    <row r="799" spans="1:18" customFormat="1">
      <c r="A799" s="102"/>
      <c r="B799" s="101" t="s">
        <v>4937</v>
      </c>
      <c r="C799" s="100" t="s">
        <v>494</v>
      </c>
      <c r="D799" s="102"/>
      <c r="K799">
        <v>22</v>
      </c>
      <c r="L799">
        <v>3</v>
      </c>
      <c r="M799">
        <v>31</v>
      </c>
      <c r="N799" s="62" t="s">
        <v>4924</v>
      </c>
      <c r="O799" s="62" t="s">
        <v>4928</v>
      </c>
      <c r="P799" s="62" t="s">
        <v>4927</v>
      </c>
      <c r="Q799" s="62" t="s">
        <v>4926</v>
      </c>
      <c r="R799">
        <v>2</v>
      </c>
    </row>
    <row r="800" spans="1:18" customFormat="1">
      <c r="B800" s="66" t="s">
        <v>5158</v>
      </c>
      <c r="C800" s="62" t="s">
        <v>494</v>
      </c>
      <c r="K800">
        <v>23</v>
      </c>
      <c r="L800">
        <v>3</v>
      </c>
      <c r="N800" s="1" t="s">
        <v>1038</v>
      </c>
      <c r="O800" s="23" t="s">
        <v>1040</v>
      </c>
      <c r="P800" s="23" t="s">
        <v>1041</v>
      </c>
      <c r="Q800" s="23" t="s">
        <v>1040</v>
      </c>
      <c r="R800" s="14">
        <v>140</v>
      </c>
    </row>
    <row r="801" spans="1:18" customFormat="1">
      <c r="B801" s="66" t="s">
        <v>5159</v>
      </c>
      <c r="C801" s="62" t="s">
        <v>494</v>
      </c>
      <c r="K801">
        <v>24</v>
      </c>
      <c r="L801">
        <v>3</v>
      </c>
      <c r="N801" s="1" t="s">
        <v>1038</v>
      </c>
      <c r="O801" s="23" t="s">
        <v>1040</v>
      </c>
      <c r="P801" s="23" t="s">
        <v>1041</v>
      </c>
      <c r="Q801" s="23" t="s">
        <v>1040</v>
      </c>
      <c r="R801" s="14">
        <v>140</v>
      </c>
    </row>
    <row r="802" spans="1:18" customFormat="1">
      <c r="B802" s="66"/>
      <c r="C802" s="62"/>
      <c r="N802" s="1"/>
      <c r="O802" s="23"/>
      <c r="P802" s="23"/>
      <c r="Q802" s="23"/>
      <c r="R802" s="14"/>
    </row>
    <row r="803" spans="1:18" customFormat="1">
      <c r="A803" s="64" t="s">
        <v>4384</v>
      </c>
      <c r="B803" s="66" t="s">
        <v>4385</v>
      </c>
      <c r="C803" s="64" t="s">
        <v>494</v>
      </c>
      <c r="D803" s="7"/>
      <c r="E803" s="108" t="s">
        <v>476</v>
      </c>
      <c r="F803">
        <v>22</v>
      </c>
      <c r="G803">
        <v>2225</v>
      </c>
      <c r="H803" s="62" t="s">
        <v>4380</v>
      </c>
      <c r="J803">
        <v>1</v>
      </c>
      <c r="K803">
        <v>1</v>
      </c>
      <c r="L803">
        <v>52</v>
      </c>
      <c r="N803" s="62">
        <v>2210</v>
      </c>
      <c r="O803" s="66" t="s">
        <v>3652</v>
      </c>
    </row>
    <row r="804" spans="1:18" customFormat="1">
      <c r="A804" s="7"/>
      <c r="B804" s="66" t="s">
        <v>4386</v>
      </c>
      <c r="C804" s="64" t="s">
        <v>494</v>
      </c>
      <c r="D804" s="7"/>
      <c r="E804" s="108" t="s">
        <v>476</v>
      </c>
      <c r="K804">
        <v>2</v>
      </c>
      <c r="L804">
        <v>6</v>
      </c>
    </row>
    <row r="805" spans="1:18" customFormat="1">
      <c r="A805" s="7"/>
      <c r="B805" s="66" t="s">
        <v>4387</v>
      </c>
      <c r="C805" s="64" t="s">
        <v>494</v>
      </c>
      <c r="D805" s="7"/>
      <c r="K805">
        <v>3</v>
      </c>
      <c r="L805">
        <v>6</v>
      </c>
    </row>
    <row r="806" spans="1:18" customFormat="1">
      <c r="A806" s="7"/>
      <c r="B806" s="66" t="s">
        <v>4388</v>
      </c>
      <c r="C806" s="64" t="s">
        <v>493</v>
      </c>
      <c r="D806" s="7">
        <v>1</v>
      </c>
      <c r="K806">
        <v>4</v>
      </c>
      <c r="L806">
        <v>3</v>
      </c>
      <c r="N806" s="64" t="s">
        <v>4383</v>
      </c>
      <c r="O806" s="66" t="s">
        <v>4381</v>
      </c>
      <c r="P806" s="66" t="s">
        <v>4382</v>
      </c>
    </row>
    <row r="807" spans="1:18" customFormat="1">
      <c r="A807" s="7"/>
      <c r="B807" s="66" t="s">
        <v>4389</v>
      </c>
      <c r="C807" s="64" t="s">
        <v>493</v>
      </c>
      <c r="D807" s="7">
        <v>1</v>
      </c>
      <c r="K807">
        <v>5</v>
      </c>
      <c r="L807">
        <v>3</v>
      </c>
      <c r="N807" s="64" t="s">
        <v>4383</v>
      </c>
      <c r="O807" s="66" t="s">
        <v>4381</v>
      </c>
      <c r="P807" s="66" t="s">
        <v>4382</v>
      </c>
    </row>
    <row r="808" spans="1:18" customFormat="1">
      <c r="A808" s="7"/>
      <c r="B808" s="66" t="s">
        <v>4390</v>
      </c>
      <c r="C808" s="64" t="s">
        <v>494</v>
      </c>
      <c r="D808" s="7"/>
      <c r="K808">
        <v>6</v>
      </c>
      <c r="L808">
        <v>7</v>
      </c>
    </row>
    <row r="809" spans="1:18" customFormat="1">
      <c r="A809" s="7"/>
      <c r="B809" s="66" t="s">
        <v>4391</v>
      </c>
      <c r="C809" s="64" t="s">
        <v>494</v>
      </c>
      <c r="D809" s="7"/>
      <c r="K809">
        <v>7</v>
      </c>
      <c r="L809">
        <v>8</v>
      </c>
    </row>
    <row r="810" spans="1:18" customFormat="1">
      <c r="A810" s="7"/>
      <c r="B810" s="66" t="s">
        <v>4392</v>
      </c>
      <c r="C810" s="64" t="s">
        <v>520</v>
      </c>
      <c r="D810" s="7"/>
      <c r="K810">
        <v>8</v>
      </c>
    </row>
    <row r="811" spans="1:18" customFormat="1">
      <c r="A811" s="7"/>
      <c r="B811" s="66"/>
      <c r="C811" s="64"/>
      <c r="D811" s="7"/>
    </row>
    <row r="812" spans="1:18" customFormat="1">
      <c r="B812" s="62"/>
      <c r="C812" s="62"/>
      <c r="G812" s="62"/>
      <c r="K812" s="16"/>
      <c r="N812" s="10"/>
      <c r="O812" s="10"/>
      <c r="P812" s="1"/>
    </row>
    <row r="813" spans="1:18" customFormat="1">
      <c r="B813" s="62"/>
      <c r="C813" s="62"/>
      <c r="G813" s="62"/>
      <c r="K813" s="16"/>
      <c r="N813" s="62"/>
      <c r="O813" s="62"/>
      <c r="P813" s="62"/>
    </row>
    <row r="814" spans="1:18" s="3" customFormat="1">
      <c r="A814" s="64" t="s">
        <v>5907</v>
      </c>
      <c r="B814" s="64" t="s">
        <v>5908</v>
      </c>
      <c r="C814" s="64" t="s">
        <v>494</v>
      </c>
      <c r="D814" s="62"/>
      <c r="E814" s="62" t="s">
        <v>476</v>
      </c>
      <c r="F814" s="62">
        <v>21</v>
      </c>
      <c r="G814" s="62">
        <v>2148</v>
      </c>
      <c r="H814" s="62" t="s">
        <v>6028</v>
      </c>
      <c r="I814" s="62" t="s">
        <v>5645</v>
      </c>
      <c r="J814" s="62">
        <v>2104</v>
      </c>
      <c r="K814" s="76">
        <v>1</v>
      </c>
      <c r="L814" s="62">
        <v>3</v>
      </c>
      <c r="M814" s="62"/>
      <c r="N814" t="s">
        <v>5567</v>
      </c>
      <c r="O814" s="64" t="s">
        <v>5569</v>
      </c>
      <c r="P814" s="62" t="s">
        <v>5571</v>
      </c>
      <c r="Q814" s="12"/>
      <c r="R814" s="12"/>
    </row>
    <row r="815" spans="1:18" s="3" customFormat="1">
      <c r="A815" s="64"/>
      <c r="B815" s="64" t="s">
        <v>5910</v>
      </c>
      <c r="C815" s="64" t="s">
        <v>494</v>
      </c>
      <c r="D815" s="62"/>
      <c r="E815" s="62" t="s">
        <v>476</v>
      </c>
      <c r="F815" s="62"/>
      <c r="G815" s="62"/>
      <c r="H815" s="62"/>
      <c r="I815" s="62"/>
      <c r="J815" s="62"/>
      <c r="K815" s="76">
        <v>2</v>
      </c>
      <c r="L815" s="62">
        <v>3</v>
      </c>
      <c r="M815" s="62"/>
      <c r="N815" s="62" t="s">
        <v>693</v>
      </c>
      <c r="O815" s="1" t="s">
        <v>695</v>
      </c>
      <c r="P815" s="1" t="s">
        <v>696</v>
      </c>
      <c r="Q815" s="12"/>
      <c r="R815" s="12"/>
    </row>
    <row r="816" spans="1:18" s="3" customFormat="1">
      <c r="A816" s="64"/>
      <c r="B816" s="64" t="s">
        <v>5911</v>
      </c>
      <c r="C816" s="64" t="s">
        <v>494</v>
      </c>
      <c r="D816" s="62"/>
      <c r="E816" s="62" t="s">
        <v>476</v>
      </c>
      <c r="F816" s="62"/>
      <c r="G816" s="62"/>
      <c r="H816" s="62"/>
      <c r="I816" s="62"/>
      <c r="J816" s="62"/>
      <c r="K816" s="76">
        <v>3</v>
      </c>
      <c r="L816" s="62">
        <v>3</v>
      </c>
      <c r="M816" s="62">
        <v>31</v>
      </c>
      <c r="N816" s="62" t="s">
        <v>379</v>
      </c>
      <c r="O816" s="62" t="s">
        <v>698</v>
      </c>
      <c r="P816" s="1" t="s">
        <v>699</v>
      </c>
      <c r="Q816" s="62" t="s">
        <v>383</v>
      </c>
      <c r="R816" s="14">
        <v>2</v>
      </c>
    </row>
    <row r="817" spans="1:18" s="3" customFormat="1">
      <c r="A817" s="64"/>
      <c r="B817" s="64" t="s">
        <v>5912</v>
      </c>
      <c r="C817" s="64" t="s">
        <v>494</v>
      </c>
      <c r="D817" s="62"/>
      <c r="E817" s="62" t="s">
        <v>476</v>
      </c>
      <c r="F817" s="62"/>
      <c r="G817" s="62"/>
      <c r="H817" s="62"/>
      <c r="I817" s="62"/>
      <c r="J817" s="62"/>
      <c r="K817" s="76">
        <v>4</v>
      </c>
      <c r="L817" s="62">
        <v>6</v>
      </c>
      <c r="M817" s="62"/>
      <c r="N817" s="62"/>
      <c r="O817" s="62"/>
      <c r="P817" s="62"/>
      <c r="Q817" s="12"/>
      <c r="R817" s="12"/>
    </row>
    <row r="818" spans="1:18" s="3" customFormat="1">
      <c r="A818" s="64"/>
      <c r="B818" s="64" t="s">
        <v>5913</v>
      </c>
      <c r="C818" s="64" t="s">
        <v>494</v>
      </c>
      <c r="D818" s="62"/>
      <c r="E818" s="62"/>
      <c r="F818" s="62"/>
      <c r="G818" s="62"/>
      <c r="H818" s="62"/>
      <c r="I818" s="62"/>
      <c r="J818" s="62"/>
      <c r="K818" s="76">
        <v>5</v>
      </c>
      <c r="L818" s="62">
        <v>6</v>
      </c>
      <c r="M818" s="62"/>
      <c r="N818" s="62"/>
      <c r="O818" s="62"/>
      <c r="P818" s="62"/>
      <c r="Q818" s="12"/>
      <c r="R818" s="12"/>
    </row>
    <row r="819" spans="1:18" s="3" customFormat="1">
      <c r="A819" s="64"/>
      <c r="B819" s="64" t="s">
        <v>5916</v>
      </c>
      <c r="C819" s="64" t="s">
        <v>493</v>
      </c>
      <c r="D819" s="62">
        <v>1</v>
      </c>
      <c r="E819" s="62"/>
      <c r="F819" s="62"/>
      <c r="G819" s="62"/>
      <c r="H819" s="62"/>
      <c r="I819" s="62"/>
      <c r="J819" s="62"/>
      <c r="K819" s="76">
        <v>6</v>
      </c>
      <c r="L819" s="62">
        <v>30</v>
      </c>
      <c r="M819" s="62"/>
      <c r="N819" s="62"/>
      <c r="O819" s="62"/>
      <c r="P819" s="62"/>
      <c r="Q819" s="12"/>
      <c r="R819" s="12"/>
    </row>
    <row r="820" spans="1:18" s="3" customFormat="1">
      <c r="A820" s="64"/>
      <c r="B820" s="64" t="s">
        <v>5919</v>
      </c>
      <c r="C820" s="64" t="s">
        <v>493</v>
      </c>
      <c r="D820" s="62">
        <v>1</v>
      </c>
      <c r="E820" s="62"/>
      <c r="F820" s="62"/>
      <c r="G820" s="62"/>
      <c r="H820" s="62"/>
      <c r="I820" s="62"/>
      <c r="J820" s="62"/>
      <c r="K820" s="76">
        <v>7</v>
      </c>
      <c r="L820" s="62">
        <v>3</v>
      </c>
      <c r="M820" s="62">
        <v>1</v>
      </c>
      <c r="N820" s="62"/>
      <c r="O820" s="62"/>
      <c r="P820" s="62"/>
      <c r="Q820" s="12"/>
      <c r="R820" s="12"/>
    </row>
    <row r="821" spans="1:18" s="3" customFormat="1">
      <c r="A821" s="64"/>
      <c r="B821" s="64" t="s">
        <v>5914</v>
      </c>
      <c r="C821" s="64" t="s">
        <v>494</v>
      </c>
      <c r="D821" s="62"/>
      <c r="E821" s="62"/>
      <c r="F821" s="62"/>
      <c r="G821" s="62"/>
      <c r="H821" s="62"/>
      <c r="I821" s="62"/>
      <c r="J821" s="62"/>
      <c r="K821" s="76">
        <v>8</v>
      </c>
      <c r="L821" s="62">
        <v>8</v>
      </c>
      <c r="M821" s="62"/>
      <c r="N821" s="62"/>
      <c r="O821" s="62"/>
      <c r="P821" s="62"/>
      <c r="Q821" s="12"/>
      <c r="R821" s="12"/>
    </row>
    <row r="822" spans="1:18" s="3" customFormat="1">
      <c r="A822" s="64"/>
      <c r="B822" s="64" t="s">
        <v>5922</v>
      </c>
      <c r="C822" s="64" t="s">
        <v>494</v>
      </c>
      <c r="D822" s="62"/>
      <c r="E822" s="62"/>
      <c r="F822" s="62"/>
      <c r="G822" s="62"/>
      <c r="H822" s="62"/>
      <c r="I822" s="62"/>
      <c r="J822" s="62"/>
      <c r="K822" s="76">
        <v>9</v>
      </c>
      <c r="L822" s="62">
        <v>3</v>
      </c>
      <c r="M822" s="62">
        <v>31</v>
      </c>
      <c r="N822" s="62" t="s">
        <v>1906</v>
      </c>
      <c r="O822" s="62" t="s">
        <v>1908</v>
      </c>
      <c r="P822" s="62" t="s">
        <v>1909</v>
      </c>
      <c r="Q822" s="62" t="s">
        <v>1911</v>
      </c>
      <c r="R822" s="14">
        <v>3</v>
      </c>
    </row>
    <row r="823" spans="1:18" s="3" customFormat="1">
      <c r="A823" s="64"/>
      <c r="B823" s="64" t="s">
        <v>5915</v>
      </c>
      <c r="C823" s="64" t="s">
        <v>494</v>
      </c>
      <c r="D823" s="62"/>
      <c r="E823" s="62"/>
      <c r="F823" s="62"/>
      <c r="G823" s="62"/>
      <c r="H823" s="62"/>
      <c r="I823" s="62"/>
      <c r="J823" s="62"/>
      <c r="K823" s="76">
        <v>10</v>
      </c>
      <c r="L823" s="62"/>
      <c r="M823" s="62"/>
      <c r="N823" s="62"/>
      <c r="O823" s="62"/>
      <c r="P823" s="62"/>
      <c r="Q823" s="12"/>
      <c r="R823" s="12"/>
    </row>
    <row r="824" spans="1:18" s="3" customFormat="1">
      <c r="A824" s="64"/>
      <c r="B824" s="64" t="s">
        <v>5918</v>
      </c>
      <c r="C824" s="64" t="s">
        <v>494</v>
      </c>
      <c r="D824" s="62"/>
      <c r="E824" s="62"/>
      <c r="F824" s="62"/>
      <c r="G824" s="62"/>
      <c r="H824" s="62"/>
      <c r="I824" s="62"/>
      <c r="J824" s="62"/>
      <c r="K824" s="76">
        <v>11</v>
      </c>
      <c r="L824" s="62"/>
      <c r="M824" s="62">
        <v>1</v>
      </c>
      <c r="N824" s="62"/>
      <c r="O824" s="62"/>
      <c r="P824" s="62"/>
      <c r="Q824" s="12"/>
      <c r="R824" s="12"/>
    </row>
    <row r="825" spans="1:18" s="3" customFormat="1">
      <c r="A825" s="64"/>
      <c r="B825" s="64" t="s">
        <v>5920</v>
      </c>
      <c r="C825" s="64" t="s">
        <v>494</v>
      </c>
      <c r="D825" s="62"/>
      <c r="E825" s="62"/>
      <c r="F825" s="62"/>
      <c r="G825" s="62"/>
      <c r="H825" s="62"/>
      <c r="I825" s="62"/>
      <c r="J825" s="62"/>
      <c r="K825" s="76">
        <v>12</v>
      </c>
      <c r="L825" s="62"/>
      <c r="M825" s="62">
        <v>1</v>
      </c>
      <c r="N825" s="62"/>
      <c r="O825" s="62"/>
      <c r="P825" s="62"/>
      <c r="Q825" s="12"/>
      <c r="R825" s="12"/>
    </row>
    <row r="826" spans="1:18" s="3" customFormat="1">
      <c r="A826" s="64"/>
      <c r="B826" s="64" t="s">
        <v>5921</v>
      </c>
      <c r="C826" s="64" t="s">
        <v>494</v>
      </c>
      <c r="D826" s="62"/>
      <c r="E826" s="62"/>
      <c r="F826" s="62"/>
      <c r="G826" s="62"/>
      <c r="H826" s="62"/>
      <c r="I826" s="62"/>
      <c r="J826" s="62"/>
      <c r="K826" s="76">
        <v>13</v>
      </c>
      <c r="L826" s="62"/>
      <c r="M826" s="62">
        <v>1</v>
      </c>
      <c r="N826" s="62"/>
      <c r="O826" s="62"/>
      <c r="P826" s="62"/>
      <c r="Q826" s="12"/>
      <c r="R826" s="12"/>
    </row>
    <row r="827" spans="1:18" s="3" customFormat="1">
      <c r="A827" s="64"/>
      <c r="B827" s="64" t="s">
        <v>5923</v>
      </c>
      <c r="C827" s="64" t="s">
        <v>494</v>
      </c>
      <c r="D827" s="62"/>
      <c r="E827" s="62"/>
      <c r="F827" s="62"/>
      <c r="G827" s="62"/>
      <c r="H827" s="62"/>
      <c r="I827" s="62"/>
      <c r="J827" s="62"/>
      <c r="K827" s="76">
        <v>14</v>
      </c>
      <c r="L827" s="62">
        <v>7</v>
      </c>
      <c r="M827" s="62"/>
      <c r="N827" s="62"/>
      <c r="O827" s="62"/>
      <c r="P827" s="62"/>
      <c r="Q827" s="12"/>
      <c r="R827" s="12"/>
    </row>
    <row r="828" spans="1:18" s="3" customFormat="1">
      <c r="A828" s="64"/>
      <c r="B828" s="64" t="s">
        <v>5924</v>
      </c>
      <c r="C828" s="64" t="s">
        <v>494</v>
      </c>
      <c r="D828" s="62"/>
      <c r="E828" s="62"/>
      <c r="F828" s="62"/>
      <c r="G828" s="62"/>
      <c r="H828" s="62"/>
      <c r="I828" s="62"/>
      <c r="J828" s="62"/>
      <c r="K828" s="76">
        <v>15</v>
      </c>
      <c r="L828" s="62">
        <v>7</v>
      </c>
      <c r="M828" s="62"/>
      <c r="N828" s="62"/>
      <c r="O828" s="62"/>
      <c r="P828" s="62"/>
      <c r="Q828" s="12"/>
      <c r="R828" s="12"/>
    </row>
    <row r="829" spans="1:18" s="3" customFormat="1">
      <c r="A829" s="64"/>
      <c r="B829" s="64" t="s">
        <v>5917</v>
      </c>
      <c r="C829" s="64" t="s">
        <v>494</v>
      </c>
      <c r="D829" s="62"/>
      <c r="E829" s="62"/>
      <c r="F829" s="62"/>
      <c r="G829" s="62"/>
      <c r="H829" s="62"/>
      <c r="I829" s="62"/>
      <c r="J829" s="62"/>
      <c r="K829" s="76">
        <v>16</v>
      </c>
      <c r="L829" s="62"/>
      <c r="M829" s="62">
        <v>1</v>
      </c>
      <c r="N829" s="62"/>
      <c r="O829" s="62"/>
      <c r="P829" s="62"/>
      <c r="Q829" s="12"/>
      <c r="R829" s="12"/>
    </row>
    <row r="830" spans="1:18" s="3" customFormat="1">
      <c r="A830" s="64"/>
      <c r="B830" s="64" t="s">
        <v>5909</v>
      </c>
      <c r="C830" s="64" t="s">
        <v>494</v>
      </c>
      <c r="D830" s="62"/>
      <c r="E830" s="62"/>
      <c r="F830" s="62"/>
      <c r="G830" s="62"/>
      <c r="H830" s="62"/>
      <c r="I830" s="62"/>
      <c r="J830" s="62"/>
      <c r="K830" s="76">
        <v>17</v>
      </c>
      <c r="L830" s="62">
        <v>3</v>
      </c>
      <c r="M830" s="62">
        <v>31</v>
      </c>
      <c r="N830" s="62" t="s">
        <v>1038</v>
      </c>
      <c r="O830" s="23" t="s">
        <v>1040</v>
      </c>
      <c r="P830" s="60" t="s">
        <v>1041</v>
      </c>
      <c r="Q830" s="23"/>
      <c r="R830" s="14">
        <v>1</v>
      </c>
    </row>
    <row r="831" spans="1:18" s="7" customFormat="1">
      <c r="A831" s="64"/>
      <c r="B831" s="64"/>
      <c r="C831" s="64"/>
      <c r="K831" s="113"/>
      <c r="O831" s="66"/>
      <c r="P831" s="66"/>
    </row>
    <row r="832" spans="1:18" s="7" customFormat="1">
      <c r="A832" s="64" t="s">
        <v>5947</v>
      </c>
      <c r="B832" s="64" t="s">
        <v>5948</v>
      </c>
      <c r="C832" s="64" t="s">
        <v>494</v>
      </c>
      <c r="E832" s="7" t="s">
        <v>476</v>
      </c>
      <c r="F832" s="7">
        <v>21</v>
      </c>
      <c r="G832" s="7">
        <v>2152</v>
      </c>
      <c r="H832" s="7" t="s">
        <v>5942</v>
      </c>
      <c r="J832" s="7">
        <v>2104</v>
      </c>
      <c r="K832" s="113">
        <v>1</v>
      </c>
      <c r="L832" s="7">
        <v>52</v>
      </c>
      <c r="N832" s="7">
        <v>2148</v>
      </c>
      <c r="O832" s="66" t="s">
        <v>5913</v>
      </c>
      <c r="P832" s="66"/>
    </row>
    <row r="833" spans="1:16" s="7" customFormat="1">
      <c r="A833" s="64"/>
      <c r="B833" s="64" t="s">
        <v>5949</v>
      </c>
      <c r="C833" s="64" t="s">
        <v>494</v>
      </c>
      <c r="E833" s="7" t="s">
        <v>476</v>
      </c>
      <c r="K833" s="113">
        <v>2</v>
      </c>
      <c r="L833" s="7">
        <v>6</v>
      </c>
      <c r="O833" s="66"/>
      <c r="P833" s="66"/>
    </row>
    <row r="834" spans="1:16" s="7" customFormat="1">
      <c r="A834" s="64"/>
      <c r="B834" s="64" t="s">
        <v>5950</v>
      </c>
      <c r="C834" s="64" t="s">
        <v>494</v>
      </c>
      <c r="K834" s="113">
        <v>3</v>
      </c>
      <c r="L834" s="7">
        <v>6</v>
      </c>
      <c r="O834" s="66"/>
      <c r="P834" s="66"/>
    </row>
    <row r="835" spans="1:16" s="7" customFormat="1">
      <c r="A835" s="64"/>
      <c r="B835" s="64" t="s">
        <v>5951</v>
      </c>
      <c r="C835" s="64" t="s">
        <v>494</v>
      </c>
      <c r="K835" s="113">
        <v>4</v>
      </c>
      <c r="L835" s="7">
        <v>3</v>
      </c>
      <c r="N835" s="62" t="s">
        <v>5943</v>
      </c>
      <c r="O835" s="60" t="s">
        <v>5944</v>
      </c>
      <c r="P835" s="60" t="s">
        <v>5945</v>
      </c>
    </row>
    <row r="836" spans="1:16" s="7" customFormat="1">
      <c r="A836" s="64"/>
      <c r="B836" s="64" t="s">
        <v>5952</v>
      </c>
      <c r="C836" s="64" t="s">
        <v>494</v>
      </c>
      <c r="K836" s="113">
        <v>5</v>
      </c>
      <c r="M836" s="7">
        <v>71</v>
      </c>
      <c r="O836" s="66"/>
      <c r="P836" s="66"/>
    </row>
    <row r="837" spans="1:16" s="7" customFormat="1">
      <c r="A837" s="64"/>
      <c r="B837" s="64" t="s">
        <v>5953</v>
      </c>
      <c r="C837" s="64" t="s">
        <v>494</v>
      </c>
      <c r="K837" s="113">
        <v>6</v>
      </c>
      <c r="M837" s="7">
        <v>72</v>
      </c>
      <c r="O837" s="66"/>
      <c r="P837" s="66"/>
    </row>
    <row r="838" spans="1:16" s="7" customFormat="1">
      <c r="A838" s="64"/>
      <c r="B838" s="64" t="s">
        <v>5954</v>
      </c>
      <c r="C838" s="64" t="s">
        <v>494</v>
      </c>
      <c r="K838" s="113">
        <v>7</v>
      </c>
      <c r="M838" s="7">
        <v>71</v>
      </c>
      <c r="O838" s="66"/>
      <c r="P838" s="66"/>
    </row>
    <row r="839" spans="1:16" s="7" customFormat="1">
      <c r="A839" s="64"/>
      <c r="B839" s="64" t="s">
        <v>5955</v>
      </c>
      <c r="C839" s="64" t="s">
        <v>494</v>
      </c>
      <c r="K839" s="113">
        <v>8</v>
      </c>
      <c r="M839" s="7">
        <v>72</v>
      </c>
      <c r="O839" s="66"/>
      <c r="P839" s="66"/>
    </row>
    <row r="840" spans="1:16" s="7" customFormat="1">
      <c r="A840" s="64"/>
      <c r="B840" s="64"/>
      <c r="C840" s="64"/>
      <c r="K840" s="113"/>
      <c r="O840" s="66"/>
      <c r="P840" s="66"/>
    </row>
    <row r="841" spans="1:16" s="7" customFormat="1">
      <c r="A841" s="64" t="s">
        <v>5702</v>
      </c>
      <c r="B841" s="64" t="s">
        <v>5703</v>
      </c>
      <c r="C841" s="64" t="s">
        <v>494</v>
      </c>
      <c r="E841" s="108" t="s">
        <v>476</v>
      </c>
      <c r="F841" s="7">
        <v>21</v>
      </c>
      <c r="G841" s="7">
        <v>2150</v>
      </c>
      <c r="H841" s="64" t="s">
        <v>5710</v>
      </c>
      <c r="J841" s="7">
        <v>2104</v>
      </c>
      <c r="K841" s="113">
        <v>1</v>
      </c>
      <c r="L841" s="7">
        <v>52</v>
      </c>
      <c r="N841" s="7">
        <v>2148</v>
      </c>
      <c r="O841" s="66" t="s">
        <v>5913</v>
      </c>
      <c r="P841" s="66"/>
    </row>
    <row r="842" spans="1:16" s="7" customFormat="1">
      <c r="A842" s="64"/>
      <c r="B842" s="64" t="s">
        <v>5704</v>
      </c>
      <c r="C842" s="64" t="s">
        <v>494</v>
      </c>
      <c r="E842" s="64" t="s">
        <v>476</v>
      </c>
      <c r="K842" s="113">
        <v>2</v>
      </c>
      <c r="L842" s="7">
        <v>6</v>
      </c>
      <c r="O842" s="66"/>
      <c r="P842" s="66"/>
    </row>
    <row r="843" spans="1:16" s="7" customFormat="1">
      <c r="A843" s="64"/>
      <c r="B843" s="64" t="s">
        <v>5705</v>
      </c>
      <c r="C843" s="64" t="s">
        <v>494</v>
      </c>
      <c r="K843" s="113">
        <v>3</v>
      </c>
      <c r="L843" s="7">
        <v>6</v>
      </c>
      <c r="O843" s="66"/>
      <c r="P843" s="66"/>
    </row>
    <row r="844" spans="1:16" s="7" customFormat="1">
      <c r="A844" s="64"/>
      <c r="B844" s="64" t="s">
        <v>5706</v>
      </c>
      <c r="C844" s="64" t="s">
        <v>494</v>
      </c>
      <c r="K844" s="113">
        <v>4</v>
      </c>
      <c r="L844" s="7">
        <v>3</v>
      </c>
      <c r="M844" s="7">
        <v>1</v>
      </c>
      <c r="N844" s="62" t="s">
        <v>5943</v>
      </c>
      <c r="O844" s="60" t="s">
        <v>5944</v>
      </c>
      <c r="P844" s="60" t="s">
        <v>5945</v>
      </c>
    </row>
    <row r="845" spans="1:16" s="7" customFormat="1">
      <c r="A845" s="64"/>
      <c r="B845" s="64" t="s">
        <v>5707</v>
      </c>
      <c r="C845" s="64" t="s">
        <v>494</v>
      </c>
      <c r="K845" s="113">
        <v>5</v>
      </c>
      <c r="L845" s="7">
        <v>7</v>
      </c>
      <c r="M845" s="7">
        <v>1</v>
      </c>
      <c r="N845" s="1"/>
      <c r="O845" s="60"/>
      <c r="P845" s="66"/>
    </row>
    <row r="846" spans="1:16" s="7" customFormat="1">
      <c r="A846" s="64"/>
      <c r="B846" s="64" t="s">
        <v>5938</v>
      </c>
      <c r="C846" s="64" t="s">
        <v>494</v>
      </c>
      <c r="K846" s="113">
        <v>6</v>
      </c>
      <c r="M846" s="7">
        <v>71</v>
      </c>
      <c r="O846" s="66"/>
      <c r="P846" s="66"/>
    </row>
    <row r="847" spans="1:16" s="7" customFormat="1">
      <c r="A847" s="64"/>
      <c r="B847" s="64" t="s">
        <v>5939</v>
      </c>
      <c r="C847" s="64" t="s">
        <v>494</v>
      </c>
      <c r="K847" s="113">
        <v>7</v>
      </c>
      <c r="M847" s="7">
        <v>72</v>
      </c>
      <c r="O847" s="66"/>
      <c r="P847" s="66"/>
    </row>
    <row r="848" spans="1:16" s="7" customFormat="1">
      <c r="A848" s="64"/>
      <c r="B848" s="64" t="s">
        <v>5940</v>
      </c>
      <c r="C848" s="64" t="s">
        <v>494</v>
      </c>
      <c r="K848" s="113">
        <v>8</v>
      </c>
      <c r="M848" s="7">
        <v>71</v>
      </c>
      <c r="O848" s="66"/>
      <c r="P848" s="66"/>
    </row>
    <row r="849" spans="1:18" s="7" customFormat="1">
      <c r="A849" s="64"/>
      <c r="B849" s="64" t="s">
        <v>5941</v>
      </c>
      <c r="C849" s="64" t="s">
        <v>494</v>
      </c>
      <c r="K849" s="113">
        <v>9</v>
      </c>
      <c r="M849" s="7">
        <v>72</v>
      </c>
      <c r="O849" s="66"/>
      <c r="P849" s="66"/>
    </row>
    <row r="850" spans="1:18" s="7" customFormat="1">
      <c r="A850" s="64"/>
      <c r="B850" s="64" t="s">
        <v>5708</v>
      </c>
      <c r="C850" s="64" t="s">
        <v>494</v>
      </c>
      <c r="H850" s="7" t="s">
        <v>5937</v>
      </c>
      <c r="K850" s="113">
        <v>10</v>
      </c>
      <c r="L850" s="7">
        <v>3</v>
      </c>
      <c r="O850" s="66"/>
      <c r="P850" s="66"/>
    </row>
    <row r="851" spans="1:18" s="7" customFormat="1">
      <c r="A851" s="64"/>
      <c r="B851" s="64" t="s">
        <v>5709</v>
      </c>
      <c r="C851" s="64" t="s">
        <v>520</v>
      </c>
      <c r="K851" s="113">
        <v>11</v>
      </c>
      <c r="O851" s="66"/>
      <c r="P851" s="66"/>
    </row>
    <row r="852" spans="1:18" customFormat="1">
      <c r="B852" s="66"/>
      <c r="C852" s="62"/>
      <c r="N852" s="62"/>
      <c r="O852" s="62"/>
      <c r="P852" s="62"/>
    </row>
    <row r="853" spans="1:18" customFormat="1">
      <c r="A853" s="62" t="s">
        <v>5646</v>
      </c>
      <c r="B853" s="66" t="s">
        <v>5647</v>
      </c>
      <c r="C853" s="62" t="s">
        <v>494</v>
      </c>
      <c r="E853" s="62" t="s">
        <v>476</v>
      </c>
      <c r="F853">
        <v>21</v>
      </c>
      <c r="G853">
        <v>2149</v>
      </c>
      <c r="H853" s="62" t="s">
        <v>5711</v>
      </c>
      <c r="J853">
        <v>2104</v>
      </c>
      <c r="K853" s="113">
        <v>1</v>
      </c>
      <c r="L853">
        <v>52</v>
      </c>
      <c r="N853" s="7">
        <v>2148</v>
      </c>
      <c r="O853" s="66" t="s">
        <v>5913</v>
      </c>
      <c r="P853" s="62"/>
    </row>
    <row r="854" spans="1:18" customFormat="1">
      <c r="B854" s="66" t="s">
        <v>5648</v>
      </c>
      <c r="C854" s="62" t="s">
        <v>494</v>
      </c>
      <c r="K854" s="113">
        <v>2</v>
      </c>
      <c r="L854">
        <v>6</v>
      </c>
      <c r="N854" s="62"/>
      <c r="O854" s="62"/>
      <c r="P854" s="62"/>
    </row>
    <row r="855" spans="1:18" customFormat="1">
      <c r="B855" s="66" t="s">
        <v>5653</v>
      </c>
      <c r="C855" s="62" t="s">
        <v>494</v>
      </c>
      <c r="K855" s="113">
        <v>3</v>
      </c>
      <c r="L855">
        <v>3</v>
      </c>
      <c r="N855" s="62"/>
      <c r="O855" s="62"/>
      <c r="P855" s="62"/>
    </row>
    <row r="856" spans="1:18" customFormat="1">
      <c r="B856" s="66" t="s">
        <v>5649</v>
      </c>
      <c r="C856" s="62" t="s">
        <v>494</v>
      </c>
      <c r="K856" s="113">
        <v>4</v>
      </c>
      <c r="L856">
        <v>8</v>
      </c>
      <c r="N856" s="62"/>
      <c r="O856" s="62"/>
      <c r="P856" s="62"/>
    </row>
    <row r="857" spans="1:18" customFormat="1">
      <c r="B857" s="66"/>
      <c r="C857" s="62"/>
      <c r="K857" s="113"/>
      <c r="N857" s="62"/>
      <c r="O857" s="62"/>
      <c r="P857" s="62"/>
    </row>
    <row r="858" spans="1:18" customFormat="1">
      <c r="B858" s="66"/>
      <c r="C858" s="62"/>
      <c r="K858" s="113"/>
      <c r="N858" s="62"/>
      <c r="O858" s="62"/>
      <c r="P858" s="62"/>
    </row>
    <row r="859" spans="1:18" customFormat="1">
      <c r="B859" s="66"/>
      <c r="C859" s="62"/>
      <c r="K859" s="113"/>
      <c r="N859" s="62"/>
      <c r="O859" s="62"/>
      <c r="P859" s="62"/>
    </row>
    <row r="860" spans="1:18">
      <c r="A860" s="62" t="s">
        <v>3729</v>
      </c>
      <c r="B860" s="62" t="s">
        <v>3730</v>
      </c>
      <c r="C860" s="62" t="s">
        <v>494</v>
      </c>
      <c r="E860" s="62" t="s">
        <v>476</v>
      </c>
      <c r="F860" s="14">
        <v>17</v>
      </c>
      <c r="G860" s="14">
        <v>1753</v>
      </c>
      <c r="H860" s="47" t="s">
        <v>3767</v>
      </c>
      <c r="I860" s="48" t="s">
        <v>3768</v>
      </c>
      <c r="J860" s="14">
        <v>1704</v>
      </c>
      <c r="K860" s="82">
        <v>1</v>
      </c>
      <c r="L860" s="15">
        <v>6</v>
      </c>
      <c r="M860" s="14"/>
      <c r="O860" s="23"/>
      <c r="P860" s="23"/>
      <c r="Q860" s="14"/>
      <c r="R860" s="14"/>
    </row>
    <row r="861" spans="1:18">
      <c r="B861" s="62" t="s">
        <v>3731</v>
      </c>
      <c r="C861" s="62" t="s">
        <v>494</v>
      </c>
      <c r="F861" s="14"/>
      <c r="G861" s="14"/>
      <c r="H861" s="14"/>
      <c r="I861" s="11"/>
      <c r="J861" s="14"/>
      <c r="K861" s="82">
        <v>2</v>
      </c>
      <c r="L861" s="15">
        <v>6</v>
      </c>
      <c r="M861" s="14"/>
      <c r="O861" s="23"/>
      <c r="P861" s="23"/>
      <c r="Q861" s="14"/>
      <c r="R861" s="14"/>
    </row>
    <row r="862" spans="1:18">
      <c r="B862" s="62" t="s">
        <v>3734</v>
      </c>
      <c r="C862" s="62" t="s">
        <v>493</v>
      </c>
      <c r="D862" s="1">
        <v>1</v>
      </c>
      <c r="F862" s="14"/>
      <c r="G862" s="14"/>
      <c r="H862" s="14"/>
      <c r="I862" s="11"/>
      <c r="J862" s="14"/>
      <c r="K862" s="82">
        <v>3</v>
      </c>
      <c r="L862" s="15">
        <v>30</v>
      </c>
      <c r="M862" s="14"/>
      <c r="O862" s="23"/>
      <c r="P862" s="23"/>
      <c r="Q862" s="14"/>
      <c r="R862" s="14"/>
    </row>
    <row r="863" spans="1:18">
      <c r="B863" s="62" t="s">
        <v>3732</v>
      </c>
      <c r="C863" s="62" t="s">
        <v>494</v>
      </c>
      <c r="F863" s="14"/>
      <c r="G863" s="14"/>
      <c r="H863" s="14"/>
      <c r="I863" s="11"/>
      <c r="J863" s="14"/>
      <c r="K863" s="82">
        <v>4</v>
      </c>
      <c r="L863" s="15">
        <v>3</v>
      </c>
      <c r="M863" s="14">
        <v>3</v>
      </c>
      <c r="N863" s="64" t="s">
        <v>506</v>
      </c>
      <c r="O863" s="64" t="s">
        <v>514</v>
      </c>
      <c r="P863" s="1" t="s">
        <v>515</v>
      </c>
      <c r="Q863" s="14"/>
      <c r="R863" s="14"/>
    </row>
    <row r="864" spans="1:18">
      <c r="B864" s="62" t="s">
        <v>3733</v>
      </c>
      <c r="C864" s="62" t="s">
        <v>494</v>
      </c>
      <c r="F864" s="14"/>
      <c r="G864" s="14"/>
      <c r="H864" s="14"/>
      <c r="I864" s="11"/>
      <c r="J864" s="14"/>
      <c r="K864" s="82">
        <v>5</v>
      </c>
      <c r="L864" s="15">
        <v>8</v>
      </c>
      <c r="M864" s="14"/>
      <c r="O864" s="23"/>
      <c r="P864" s="23"/>
      <c r="Q864" s="14"/>
      <c r="R864" s="14"/>
    </row>
    <row r="865" spans="1:18">
      <c r="B865" s="62" t="s">
        <v>3735</v>
      </c>
      <c r="C865" s="62" t="s">
        <v>494</v>
      </c>
      <c r="F865" s="14"/>
      <c r="G865" s="14"/>
      <c r="H865" s="14"/>
      <c r="I865" s="11"/>
      <c r="J865" s="14"/>
      <c r="K865" s="82">
        <v>6</v>
      </c>
      <c r="L865" s="15">
        <v>7</v>
      </c>
      <c r="M865" s="14"/>
      <c r="O865" s="23"/>
      <c r="P865" s="23"/>
      <c r="Q865" s="14"/>
      <c r="R865" s="14"/>
    </row>
    <row r="866" spans="1:18">
      <c r="B866" s="62" t="s">
        <v>3736</v>
      </c>
      <c r="C866" s="62" t="s">
        <v>494</v>
      </c>
      <c r="F866" s="14"/>
      <c r="G866" s="14"/>
      <c r="H866" s="14"/>
      <c r="I866" s="11"/>
      <c r="J866" s="14"/>
      <c r="K866" s="82">
        <v>7</v>
      </c>
      <c r="L866" s="15"/>
      <c r="M866" s="14">
        <v>1</v>
      </c>
      <c r="O866" s="23"/>
      <c r="P866" s="23"/>
      <c r="Q866" s="14"/>
      <c r="R866" s="14"/>
    </row>
    <row r="867" spans="1:18">
      <c r="B867" s="62" t="s">
        <v>3737</v>
      </c>
      <c r="C867" s="62" t="s">
        <v>494</v>
      </c>
      <c r="F867" s="14"/>
      <c r="G867" s="14"/>
      <c r="H867" s="14"/>
      <c r="I867" s="11"/>
      <c r="J867" s="14"/>
      <c r="K867" s="82">
        <v>8</v>
      </c>
      <c r="L867" s="15"/>
      <c r="M867" s="14">
        <v>1</v>
      </c>
      <c r="O867" s="23"/>
      <c r="P867" s="23"/>
      <c r="Q867" s="14"/>
      <c r="R867" s="14"/>
    </row>
    <row r="868" spans="1:18">
      <c r="B868" s="62" t="s">
        <v>3738</v>
      </c>
      <c r="C868" s="62" t="s">
        <v>494</v>
      </c>
      <c r="F868" s="14"/>
      <c r="G868" s="14"/>
      <c r="H868" s="14"/>
      <c r="I868" s="11"/>
      <c r="J868" s="14"/>
      <c r="K868" s="82">
        <v>9</v>
      </c>
      <c r="L868" s="15"/>
      <c r="M868" s="14">
        <v>1</v>
      </c>
      <c r="O868" s="23"/>
      <c r="P868" s="23"/>
      <c r="Q868" s="14"/>
      <c r="R868" s="14"/>
    </row>
    <row r="869" spans="1:18">
      <c r="B869" s="62" t="s">
        <v>3739</v>
      </c>
      <c r="C869" s="62" t="s">
        <v>494</v>
      </c>
      <c r="F869" s="14"/>
      <c r="G869" s="14"/>
      <c r="H869" s="14"/>
      <c r="I869" s="11"/>
      <c r="J869" s="14"/>
      <c r="K869" s="82">
        <v>10</v>
      </c>
      <c r="L869" s="15"/>
      <c r="M869" s="14">
        <v>1</v>
      </c>
      <c r="O869" s="23"/>
      <c r="P869" s="23"/>
      <c r="Q869" s="14"/>
      <c r="R869" s="14"/>
    </row>
    <row r="870" spans="1:18">
      <c r="B870" s="62" t="s">
        <v>6025</v>
      </c>
      <c r="C870" s="62" t="s">
        <v>494</v>
      </c>
      <c r="F870" s="14"/>
      <c r="G870" s="14"/>
      <c r="H870" s="14"/>
      <c r="I870" s="11"/>
      <c r="J870" s="14"/>
      <c r="K870" s="82">
        <v>11</v>
      </c>
      <c r="L870" s="15">
        <v>3</v>
      </c>
      <c r="M870" s="14">
        <v>3</v>
      </c>
      <c r="N870" s="62" t="s">
        <v>3664</v>
      </c>
      <c r="O870" s="60" t="s">
        <v>3666</v>
      </c>
      <c r="P870" s="60" t="s">
        <v>3667</v>
      </c>
      <c r="Q870" s="14"/>
      <c r="R870" s="14"/>
    </row>
    <row r="871" spans="1:18">
      <c r="B871" s="62"/>
      <c r="C871" s="62"/>
      <c r="F871" s="14"/>
      <c r="G871" s="14"/>
      <c r="H871" s="14"/>
      <c r="I871" s="11"/>
      <c r="J871" s="14"/>
      <c r="L871" s="15"/>
      <c r="M871" s="14"/>
      <c r="O871" s="23"/>
      <c r="P871" s="23"/>
      <c r="Q871" s="14"/>
      <c r="R871" s="14"/>
    </row>
    <row r="872" spans="1:18">
      <c r="A872" s="62" t="s">
        <v>3740</v>
      </c>
      <c r="B872" s="62" t="s">
        <v>3741</v>
      </c>
      <c r="C872" s="62" t="s">
        <v>494</v>
      </c>
      <c r="E872" s="62" t="s">
        <v>476</v>
      </c>
      <c r="F872" s="14">
        <v>17</v>
      </c>
      <c r="G872" s="14">
        <v>1754</v>
      </c>
      <c r="H872" s="47" t="s">
        <v>60</v>
      </c>
      <c r="I872" s="11"/>
      <c r="J872" s="14">
        <v>1704</v>
      </c>
      <c r="K872" s="82">
        <v>1</v>
      </c>
      <c r="L872" s="15">
        <v>52</v>
      </c>
      <c r="M872" s="14"/>
      <c r="N872" s="1">
        <v>1753</v>
      </c>
      <c r="O872" s="62" t="s">
        <v>3731</v>
      </c>
      <c r="P872" s="23"/>
      <c r="Q872" s="14"/>
      <c r="R872" s="14"/>
    </row>
    <row r="873" spans="1:18">
      <c r="B873" s="62" t="s">
        <v>3742</v>
      </c>
      <c r="C873" s="62" t="s">
        <v>494</v>
      </c>
      <c r="E873" s="62" t="s">
        <v>476</v>
      </c>
      <c r="F873" s="14"/>
      <c r="G873" s="14"/>
      <c r="H873" s="14"/>
      <c r="I873" s="11"/>
      <c r="J873" s="14"/>
      <c r="K873" s="82">
        <v>2</v>
      </c>
      <c r="L873" s="15">
        <v>9</v>
      </c>
      <c r="M873" s="14"/>
      <c r="N873" s="62" t="s">
        <v>3655</v>
      </c>
      <c r="O873" s="66" t="s">
        <v>3656</v>
      </c>
      <c r="P873" s="66" t="s">
        <v>3657</v>
      </c>
      <c r="Q873" s="66" t="s">
        <v>3648</v>
      </c>
      <c r="R873">
        <v>2209</v>
      </c>
    </row>
    <row r="874" spans="1:18">
      <c r="B874" s="62" t="s">
        <v>3764</v>
      </c>
      <c r="C874" s="62" t="s">
        <v>494</v>
      </c>
      <c r="E874" s="62" t="s">
        <v>476</v>
      </c>
      <c r="F874" s="14"/>
      <c r="G874" s="14"/>
      <c r="H874" s="14"/>
      <c r="I874" s="11"/>
      <c r="J874" s="14"/>
      <c r="K874" s="82">
        <v>3</v>
      </c>
      <c r="L874" s="15">
        <v>3</v>
      </c>
      <c r="M874" s="14">
        <v>31</v>
      </c>
      <c r="N874" s="62" t="s">
        <v>3649</v>
      </c>
      <c r="O874" s="66" t="s">
        <v>3652</v>
      </c>
      <c r="P874" s="66" t="s">
        <v>3651</v>
      </c>
      <c r="Q874" s="66" t="s">
        <v>3650</v>
      </c>
      <c r="R874" s="14">
        <v>2</v>
      </c>
    </row>
    <row r="875" spans="1:18">
      <c r="B875" s="62" t="s">
        <v>3743</v>
      </c>
      <c r="C875" s="62" t="s">
        <v>494</v>
      </c>
      <c r="F875" s="14"/>
      <c r="G875" s="14"/>
      <c r="H875" s="14"/>
      <c r="I875" s="11"/>
      <c r="J875" s="14"/>
      <c r="K875" s="82">
        <v>4</v>
      </c>
      <c r="L875" s="15">
        <v>6</v>
      </c>
      <c r="M875" s="14"/>
      <c r="O875" s="23"/>
      <c r="P875" s="23"/>
      <c r="Q875" s="14"/>
      <c r="R875" s="14"/>
    </row>
    <row r="876" spans="1:18">
      <c r="B876" s="62" t="s">
        <v>3744</v>
      </c>
      <c r="C876" s="62" t="s">
        <v>494</v>
      </c>
      <c r="F876" s="14"/>
      <c r="G876" s="14"/>
      <c r="H876" s="14"/>
      <c r="I876" s="11"/>
      <c r="J876" s="14"/>
      <c r="K876" s="82">
        <v>5</v>
      </c>
      <c r="L876" s="15">
        <v>3</v>
      </c>
      <c r="M876" s="14">
        <v>1</v>
      </c>
      <c r="N876" s="62" t="s">
        <v>3769</v>
      </c>
      <c r="O876" s="62" t="s">
        <v>3770</v>
      </c>
      <c r="P876" s="62" t="s">
        <v>3771</v>
      </c>
      <c r="Q876" s="14"/>
      <c r="R876" s="14"/>
    </row>
    <row r="877" spans="1:18">
      <c r="B877" s="62" t="s">
        <v>3745</v>
      </c>
      <c r="C877" s="62" t="s">
        <v>494</v>
      </c>
      <c r="F877" s="14"/>
      <c r="G877" s="14"/>
      <c r="H877" s="14"/>
      <c r="I877" s="11"/>
      <c r="J877" s="14"/>
      <c r="K877" s="82">
        <v>6</v>
      </c>
      <c r="L877" s="15"/>
      <c r="M877" s="14"/>
      <c r="P877" s="23"/>
      <c r="Q877" s="14"/>
      <c r="R877" s="14"/>
    </row>
    <row r="878" spans="1:18">
      <c r="B878" s="62" t="s">
        <v>3746</v>
      </c>
      <c r="C878" s="62" t="s">
        <v>494</v>
      </c>
      <c r="F878" s="14"/>
      <c r="G878" s="14"/>
      <c r="H878" s="14"/>
      <c r="I878" s="11"/>
      <c r="J878" s="14"/>
      <c r="K878" s="82">
        <v>7</v>
      </c>
      <c r="L878" s="15">
        <v>3</v>
      </c>
      <c r="M878" s="14">
        <v>31</v>
      </c>
      <c r="N878" s="1" t="s">
        <v>3671</v>
      </c>
      <c r="O878" s="23" t="s">
        <v>3687</v>
      </c>
      <c r="P878" s="23" t="s">
        <v>3687</v>
      </c>
      <c r="Q878" s="14" t="s">
        <v>3672</v>
      </c>
      <c r="R878" s="14">
        <v>3</v>
      </c>
    </row>
    <row r="879" spans="1:18">
      <c r="B879" s="62" t="s">
        <v>3765</v>
      </c>
      <c r="C879" s="62" t="s">
        <v>520</v>
      </c>
      <c r="F879" s="14"/>
      <c r="G879" s="14"/>
      <c r="H879" s="14"/>
      <c r="I879" s="11"/>
      <c r="J879" s="14"/>
      <c r="K879" s="82">
        <v>8</v>
      </c>
      <c r="L879" s="15"/>
      <c r="M879" s="14"/>
      <c r="O879" s="23"/>
      <c r="P879" s="23"/>
      <c r="Q879" s="14"/>
      <c r="R879" s="14"/>
    </row>
    <row r="880" spans="1:18">
      <c r="B880" s="62"/>
      <c r="C880" s="62"/>
      <c r="F880" s="14"/>
      <c r="G880" s="14"/>
      <c r="H880" s="14"/>
      <c r="I880" s="11"/>
      <c r="J880" s="14"/>
      <c r="L880" s="15"/>
      <c r="M880" s="14"/>
      <c r="O880" s="23"/>
      <c r="P880" s="23"/>
      <c r="Q880" s="14"/>
      <c r="R880" s="14"/>
    </row>
    <row r="881" spans="1:18">
      <c r="A881" s="62" t="s">
        <v>3747</v>
      </c>
      <c r="B881" s="62" t="s">
        <v>3748</v>
      </c>
      <c r="C881" s="62" t="s">
        <v>494</v>
      </c>
      <c r="E881" s="62" t="s">
        <v>476</v>
      </c>
      <c r="F881" s="14">
        <v>17</v>
      </c>
      <c r="G881" s="14">
        <v>1755</v>
      </c>
      <c r="H881" s="47" t="s">
        <v>1042</v>
      </c>
      <c r="I881" s="11"/>
      <c r="J881" s="14">
        <v>1704</v>
      </c>
      <c r="K881" s="82">
        <v>1</v>
      </c>
      <c r="L881" s="15">
        <v>52</v>
      </c>
      <c r="M881" s="14"/>
      <c r="N881" s="1">
        <v>1753</v>
      </c>
      <c r="O881" s="62" t="s">
        <v>3731</v>
      </c>
      <c r="P881" s="14">
        <v>3000</v>
      </c>
      <c r="Q881" s="14"/>
      <c r="R881" s="14"/>
    </row>
    <row r="882" spans="1:18">
      <c r="B882" s="62" t="s">
        <v>3749</v>
      </c>
      <c r="C882" s="62" t="s">
        <v>494</v>
      </c>
      <c r="E882" s="62" t="s">
        <v>476</v>
      </c>
      <c r="F882" s="14"/>
      <c r="G882" s="14"/>
      <c r="H882" s="14"/>
      <c r="I882" s="11"/>
      <c r="J882" s="14"/>
      <c r="K882" s="82">
        <v>2</v>
      </c>
      <c r="L882" s="15"/>
      <c r="M882" s="14"/>
      <c r="O882" s="23"/>
      <c r="P882" s="23"/>
      <c r="Q882" s="14"/>
      <c r="R882" s="14"/>
    </row>
    <row r="883" spans="1:18">
      <c r="B883" s="62" t="s">
        <v>3750</v>
      </c>
      <c r="C883" s="62" t="s">
        <v>494</v>
      </c>
      <c r="E883" s="62" t="s">
        <v>476</v>
      </c>
      <c r="F883" s="14"/>
      <c r="G883" s="14"/>
      <c r="H883" s="14"/>
      <c r="I883" s="11"/>
      <c r="J883" s="14"/>
      <c r="K883" s="82">
        <v>3</v>
      </c>
      <c r="L883" s="15">
        <v>9</v>
      </c>
      <c r="M883" s="14"/>
      <c r="N883" s="62" t="s">
        <v>1038</v>
      </c>
      <c r="O883" s="60" t="s">
        <v>1040</v>
      </c>
      <c r="P883" s="60" t="s">
        <v>1041</v>
      </c>
      <c r="Q883" s="23" t="s">
        <v>1040</v>
      </c>
      <c r="R883" s="14">
        <v>140</v>
      </c>
    </row>
    <row r="884" spans="1:18">
      <c r="B884" s="62" t="s">
        <v>3751</v>
      </c>
      <c r="C884" s="62" t="s">
        <v>494</v>
      </c>
      <c r="F884" s="14"/>
      <c r="G884" s="14"/>
      <c r="H884" s="14"/>
      <c r="I884" s="11"/>
      <c r="J884" s="14"/>
      <c r="K884" s="82">
        <v>4</v>
      </c>
      <c r="L884" s="15">
        <v>6</v>
      </c>
      <c r="M884" s="14"/>
      <c r="O884" s="23"/>
      <c r="P884" s="23"/>
      <c r="Q884" s="14"/>
      <c r="R884" s="14"/>
    </row>
    <row r="885" spans="1:18">
      <c r="B885" s="62" t="s">
        <v>3752</v>
      </c>
      <c r="C885" s="62" t="s">
        <v>494</v>
      </c>
      <c r="F885" s="14"/>
      <c r="G885" s="14"/>
      <c r="H885" s="14"/>
      <c r="I885" s="11"/>
      <c r="J885" s="14"/>
      <c r="K885" s="82">
        <v>5</v>
      </c>
      <c r="L885" s="15">
        <v>3</v>
      </c>
      <c r="M885" s="14"/>
      <c r="N885" s="62" t="s">
        <v>3761</v>
      </c>
      <c r="O885" s="62" t="s">
        <v>3762</v>
      </c>
      <c r="P885" s="62" t="s">
        <v>3763</v>
      </c>
      <c r="Q885" s="14"/>
      <c r="R885" s="14"/>
    </row>
    <row r="886" spans="1:18">
      <c r="B886" s="62" t="s">
        <v>3766</v>
      </c>
      <c r="C886" s="62" t="s">
        <v>494</v>
      </c>
      <c r="F886" s="14"/>
      <c r="G886" s="14"/>
      <c r="H886" s="14"/>
      <c r="I886" s="11"/>
      <c r="J886" s="14"/>
      <c r="K886" s="82">
        <v>6</v>
      </c>
      <c r="L886" s="15"/>
      <c r="M886" s="14">
        <v>2</v>
      </c>
      <c r="N886" s="62"/>
      <c r="O886" s="62"/>
      <c r="P886" s="62"/>
      <c r="Q886" s="14"/>
      <c r="R886" s="14"/>
    </row>
    <row r="887" spans="1:18">
      <c r="B887" s="62" t="s">
        <v>3753</v>
      </c>
      <c r="C887" s="62" t="s">
        <v>494</v>
      </c>
      <c r="F887" s="14"/>
      <c r="G887" s="14"/>
      <c r="H887" s="14"/>
      <c r="I887" s="11"/>
      <c r="J887" s="14"/>
      <c r="K887" s="82">
        <v>7</v>
      </c>
      <c r="L887" s="15"/>
      <c r="M887" s="14">
        <v>1</v>
      </c>
      <c r="P887" s="23"/>
      <c r="Q887" s="14"/>
      <c r="R887" s="14"/>
    </row>
    <row r="888" spans="1:18">
      <c r="B888" s="62" t="s">
        <v>3754</v>
      </c>
      <c r="C888" s="62" t="s">
        <v>494</v>
      </c>
      <c r="F888" s="14"/>
      <c r="G888" s="14"/>
      <c r="H888" s="14"/>
      <c r="I888" s="11"/>
      <c r="J888" s="14"/>
      <c r="K888" s="82">
        <v>8</v>
      </c>
      <c r="L888" s="15"/>
      <c r="M888" s="14"/>
      <c r="O888" s="23"/>
      <c r="P888" s="23"/>
      <c r="Q888" s="14"/>
      <c r="R888" s="14"/>
    </row>
    <row r="889" spans="1:18">
      <c r="B889" s="62" t="s">
        <v>3755</v>
      </c>
      <c r="C889" s="62" t="s">
        <v>520</v>
      </c>
      <c r="F889" s="14"/>
      <c r="G889" s="14"/>
      <c r="H889" s="14"/>
      <c r="I889" s="11"/>
      <c r="J889" s="14"/>
      <c r="K889" s="82">
        <v>9</v>
      </c>
      <c r="L889" s="15"/>
      <c r="M889" s="14"/>
      <c r="O889" s="23"/>
      <c r="P889" s="23"/>
      <c r="Q889" s="14"/>
      <c r="R889" s="14"/>
    </row>
    <row r="890" spans="1:18">
      <c r="B890" s="62" t="s">
        <v>3756</v>
      </c>
      <c r="C890" s="62" t="s">
        <v>520</v>
      </c>
      <c r="F890" s="14"/>
      <c r="G890" s="14"/>
      <c r="H890" s="14"/>
      <c r="I890" s="11"/>
      <c r="J890" s="14"/>
      <c r="K890" s="82">
        <v>10</v>
      </c>
      <c r="L890" s="15"/>
      <c r="M890" s="14"/>
      <c r="O890" s="23"/>
      <c r="P890" s="23"/>
      <c r="Q890" s="14"/>
      <c r="R890" s="14"/>
    </row>
    <row r="891" spans="1:18">
      <c r="B891" s="62" t="s">
        <v>3757</v>
      </c>
      <c r="C891" s="62" t="s">
        <v>520</v>
      </c>
      <c r="F891" s="14"/>
      <c r="G891" s="14"/>
      <c r="H891" s="14"/>
      <c r="I891" s="11"/>
      <c r="J891" s="14"/>
      <c r="K891" s="82">
        <v>11</v>
      </c>
      <c r="L891" s="15"/>
      <c r="M891" s="14"/>
      <c r="O891" s="23"/>
      <c r="P891" s="23"/>
      <c r="Q891" s="14"/>
      <c r="R891" s="14"/>
    </row>
    <row r="892" spans="1:18">
      <c r="B892" s="62" t="s">
        <v>3758</v>
      </c>
      <c r="C892" s="62" t="s">
        <v>494</v>
      </c>
      <c r="F892" s="14"/>
      <c r="G892" s="14"/>
      <c r="H892" s="14"/>
      <c r="I892" s="11"/>
      <c r="J892" s="14"/>
      <c r="K892" s="82">
        <v>12</v>
      </c>
      <c r="L892" s="15">
        <v>7</v>
      </c>
      <c r="M892" s="14"/>
      <c r="O892" s="23"/>
      <c r="P892" s="23"/>
      <c r="Q892" s="14"/>
      <c r="R892" s="14"/>
    </row>
    <row r="893" spans="1:18">
      <c r="B893" s="62" t="s">
        <v>3759</v>
      </c>
      <c r="C893" s="62" t="s">
        <v>494</v>
      </c>
      <c r="F893" s="14"/>
      <c r="G893" s="14"/>
      <c r="H893" s="14"/>
      <c r="I893" s="11"/>
      <c r="J893" s="14"/>
      <c r="K893" s="82">
        <v>13</v>
      </c>
      <c r="L893" s="15">
        <v>7</v>
      </c>
      <c r="M893" s="14"/>
      <c r="O893" s="23"/>
      <c r="P893" s="23"/>
      <c r="Q893" s="14"/>
      <c r="R893" s="14"/>
    </row>
    <row r="894" spans="1:18">
      <c r="B894" s="62" t="s">
        <v>3760</v>
      </c>
      <c r="C894" s="62" t="s">
        <v>494</v>
      </c>
      <c r="F894" s="14"/>
      <c r="G894" s="14"/>
      <c r="H894" s="14"/>
      <c r="I894" s="11"/>
      <c r="J894" s="14"/>
      <c r="K894" s="82">
        <v>14</v>
      </c>
      <c r="L894" s="15"/>
      <c r="M894" s="14">
        <v>1</v>
      </c>
      <c r="O894" s="23"/>
      <c r="P894" s="23"/>
      <c r="Q894" s="14"/>
      <c r="R894" s="14"/>
    </row>
    <row r="895" spans="1:18">
      <c r="B895" s="70" t="s">
        <v>3772</v>
      </c>
      <c r="C895" s="70" t="s">
        <v>494</v>
      </c>
      <c r="F895" s="14"/>
      <c r="G895" s="14"/>
      <c r="H895" s="14"/>
      <c r="I895" s="11"/>
      <c r="J895" s="14"/>
      <c r="K895" s="82">
        <v>15</v>
      </c>
      <c r="L895" s="15"/>
      <c r="M895" s="14">
        <v>2</v>
      </c>
      <c r="O895" s="23"/>
      <c r="P895" s="23"/>
      <c r="Q895" s="14"/>
      <c r="R895" s="14"/>
    </row>
    <row r="896" spans="1:18">
      <c r="B896" s="70" t="s">
        <v>3773</v>
      </c>
      <c r="C896" s="70" t="s">
        <v>494</v>
      </c>
      <c r="F896" s="14"/>
      <c r="G896" s="14"/>
      <c r="H896" s="14"/>
      <c r="I896" s="11"/>
      <c r="J896" s="14"/>
      <c r="K896" s="82">
        <v>16</v>
      </c>
      <c r="L896" s="15"/>
      <c r="M896" s="14">
        <v>2</v>
      </c>
      <c r="O896" s="23"/>
      <c r="P896" s="23"/>
      <c r="Q896" s="14"/>
      <c r="R896" s="14"/>
    </row>
    <row r="897" spans="1:18">
      <c r="B897" s="62"/>
      <c r="C897" s="62"/>
      <c r="F897" s="14"/>
      <c r="G897" s="14"/>
      <c r="H897" s="14"/>
      <c r="I897" s="11"/>
      <c r="J897" s="14"/>
      <c r="L897" s="15"/>
      <c r="M897" s="14"/>
      <c r="O897" s="23"/>
      <c r="P897" s="23"/>
      <c r="Q897" s="14"/>
      <c r="R897" s="14"/>
    </row>
    <row r="898" spans="1:18" customFormat="1">
      <c r="A898" s="62"/>
      <c r="B898" s="62"/>
      <c r="C898" s="62"/>
      <c r="K898" s="57"/>
    </row>
    <row r="899" spans="1:18" customFormat="1">
      <c r="A899" s="62"/>
    </row>
    <row r="900" spans="1:18" customFormat="1">
      <c r="B900" s="62"/>
      <c r="C900" s="64"/>
      <c r="K900" s="55"/>
      <c r="L900" s="15"/>
      <c r="M900" s="14"/>
      <c r="N900" s="1"/>
      <c r="O900" s="1"/>
      <c r="P900" s="1"/>
    </row>
    <row r="901" spans="1:18" customFormat="1">
      <c r="B901" s="62"/>
      <c r="C901" s="64"/>
      <c r="K901" s="55"/>
      <c r="L901" s="15"/>
      <c r="M901" s="14"/>
      <c r="N901" s="1"/>
      <c r="O901" s="1"/>
      <c r="P901" s="1"/>
    </row>
    <row r="902" spans="1:18" customFormat="1">
      <c r="A902" s="62" t="s">
        <v>3664</v>
      </c>
      <c r="B902" s="62" t="s">
        <v>3665</v>
      </c>
      <c r="C902" s="62" t="s">
        <v>494</v>
      </c>
      <c r="E902" s="62" t="s">
        <v>476</v>
      </c>
      <c r="F902">
        <v>22</v>
      </c>
      <c r="G902">
        <v>2212</v>
      </c>
      <c r="H902" s="62" t="s">
        <v>267</v>
      </c>
      <c r="I902" s="62" t="s">
        <v>3670</v>
      </c>
      <c r="J902">
        <v>1</v>
      </c>
      <c r="K902">
        <v>1</v>
      </c>
      <c r="L902">
        <v>6</v>
      </c>
    </row>
    <row r="903" spans="1:18" customFormat="1">
      <c r="B903" s="62" t="s">
        <v>3666</v>
      </c>
      <c r="C903" s="62" t="s">
        <v>494</v>
      </c>
      <c r="K903">
        <v>2</v>
      </c>
      <c r="L903">
        <v>6</v>
      </c>
    </row>
    <row r="904" spans="1:18" customFormat="1">
      <c r="B904" s="62" t="s">
        <v>3667</v>
      </c>
      <c r="C904" s="62" t="s">
        <v>493</v>
      </c>
      <c r="D904">
        <v>100</v>
      </c>
      <c r="K904">
        <v>3</v>
      </c>
    </row>
    <row r="905" spans="1:18" customFormat="1">
      <c r="B905" s="62" t="s">
        <v>3668</v>
      </c>
      <c r="C905" s="62" t="s">
        <v>494</v>
      </c>
      <c r="K905">
        <v>4</v>
      </c>
      <c r="L905">
        <v>8</v>
      </c>
    </row>
    <row r="906" spans="1:18" customFormat="1">
      <c r="B906" s="62" t="s">
        <v>3669</v>
      </c>
      <c r="C906" s="62" t="s">
        <v>494</v>
      </c>
      <c r="K906">
        <v>5</v>
      </c>
      <c r="L906">
        <v>8</v>
      </c>
    </row>
    <row r="907" spans="1:18" customFormat="1">
      <c r="B907" s="62" t="s">
        <v>3710</v>
      </c>
      <c r="C907" s="62" t="s">
        <v>493</v>
      </c>
      <c r="D907">
        <v>1</v>
      </c>
      <c r="K907">
        <v>6</v>
      </c>
      <c r="L907">
        <v>3</v>
      </c>
    </row>
    <row r="908" spans="1:18" customFormat="1">
      <c r="B908" s="62" t="s">
        <v>4938</v>
      </c>
      <c r="C908" s="62" t="s">
        <v>494</v>
      </c>
      <c r="K908">
        <v>7</v>
      </c>
      <c r="L908">
        <v>8</v>
      </c>
    </row>
    <row r="909" spans="1:18" customFormat="1">
      <c r="B909" s="62" t="s">
        <v>5021</v>
      </c>
      <c r="C909" s="62" t="s">
        <v>493</v>
      </c>
      <c r="D909">
        <v>20</v>
      </c>
      <c r="K909">
        <v>8</v>
      </c>
    </row>
    <row r="910" spans="1:18" customFormat="1">
      <c r="B910" s="62"/>
      <c r="C910" s="62"/>
    </row>
    <row r="911" spans="1:18" customFormat="1">
      <c r="A911" s="70" t="s">
        <v>5982</v>
      </c>
      <c r="B911" s="70" t="s">
        <v>5983</v>
      </c>
      <c r="C911" s="70" t="s">
        <v>494</v>
      </c>
      <c r="E911" s="70" t="s">
        <v>476</v>
      </c>
      <c r="F911">
        <v>22</v>
      </c>
      <c r="G911">
        <v>2244</v>
      </c>
      <c r="H911" s="62" t="s">
        <v>5988</v>
      </c>
      <c r="J911">
        <v>1</v>
      </c>
      <c r="K911">
        <v>1</v>
      </c>
      <c r="L911">
        <v>52</v>
      </c>
      <c r="N911">
        <v>2212</v>
      </c>
      <c r="O911" s="62" t="s">
        <v>3666</v>
      </c>
    </row>
    <row r="912" spans="1:18" customFormat="1">
      <c r="A912" s="94"/>
      <c r="B912" s="70" t="s">
        <v>5984</v>
      </c>
      <c r="C912" s="70" t="s">
        <v>494</v>
      </c>
      <c r="E912" s="62" t="s">
        <v>476</v>
      </c>
      <c r="K912">
        <v>2</v>
      </c>
      <c r="L912">
        <v>6</v>
      </c>
    </row>
    <row r="913" spans="1:17" customFormat="1">
      <c r="A913" s="94"/>
      <c r="B913" s="70" t="s">
        <v>5985</v>
      </c>
      <c r="C913" s="70" t="s">
        <v>494</v>
      </c>
      <c r="K913">
        <v>3</v>
      </c>
      <c r="L913">
        <v>6</v>
      </c>
    </row>
    <row r="914" spans="1:17" customFormat="1">
      <c r="A914" s="94"/>
      <c r="B914" s="70" t="s">
        <v>5986</v>
      </c>
      <c r="C914" s="70" t="s">
        <v>493</v>
      </c>
      <c r="D914">
        <v>100</v>
      </c>
      <c r="K914">
        <v>4</v>
      </c>
    </row>
    <row r="915" spans="1:17" customFormat="1">
      <c r="A915" s="94"/>
      <c r="B915" s="70" t="s">
        <v>5987</v>
      </c>
      <c r="C915" s="70" t="s">
        <v>494</v>
      </c>
      <c r="K915">
        <v>5</v>
      </c>
      <c r="L915">
        <v>8</v>
      </c>
    </row>
    <row r="916" spans="1:17" s="7" customFormat="1">
      <c r="B916" s="64"/>
      <c r="C916" s="64"/>
    </row>
    <row r="917" spans="1:17" customFormat="1">
      <c r="A917" s="70" t="s">
        <v>4415</v>
      </c>
      <c r="B917" s="67" t="s">
        <v>4432</v>
      </c>
      <c r="C917" s="70" t="s">
        <v>494</v>
      </c>
      <c r="D917" s="94"/>
      <c r="E917" s="70" t="s">
        <v>476</v>
      </c>
      <c r="F917">
        <v>22</v>
      </c>
      <c r="G917">
        <v>2226</v>
      </c>
      <c r="H917" s="62" t="s">
        <v>4422</v>
      </c>
      <c r="I917" s="62"/>
      <c r="J917">
        <v>1</v>
      </c>
      <c r="K917" s="55">
        <v>1</v>
      </c>
      <c r="L917">
        <v>3</v>
      </c>
      <c r="N917">
        <v>2212</v>
      </c>
      <c r="O917" s="62" t="s">
        <v>3666</v>
      </c>
      <c r="P917" s="62"/>
    </row>
    <row r="918" spans="1:17" customFormat="1">
      <c r="A918" s="70"/>
      <c r="B918" s="67" t="s">
        <v>4416</v>
      </c>
      <c r="C918" s="70" t="s">
        <v>494</v>
      </c>
      <c r="D918" s="94"/>
      <c r="E918" s="70" t="s">
        <v>476</v>
      </c>
      <c r="H918" s="62"/>
      <c r="I918" s="62"/>
      <c r="K918" s="55">
        <v>2</v>
      </c>
      <c r="L918">
        <v>3</v>
      </c>
      <c r="N918" s="62" t="s">
        <v>693</v>
      </c>
      <c r="O918" s="1" t="s">
        <v>695</v>
      </c>
      <c r="P918" s="62" t="s">
        <v>696</v>
      </c>
    </row>
    <row r="919" spans="1:17" customFormat="1">
      <c r="A919" s="94"/>
      <c r="B919" s="67" t="s">
        <v>4417</v>
      </c>
      <c r="C919" s="70" t="s">
        <v>494</v>
      </c>
      <c r="D919" s="94"/>
      <c r="E919" s="70" t="s">
        <v>476</v>
      </c>
      <c r="K919" s="55">
        <v>3</v>
      </c>
      <c r="L919">
        <v>3</v>
      </c>
      <c r="N919" s="62" t="s">
        <v>4423</v>
      </c>
      <c r="O919" s="66" t="s">
        <v>4425</v>
      </c>
      <c r="P919" s="66" t="s">
        <v>4426</v>
      </c>
    </row>
    <row r="920" spans="1:17" customFormat="1">
      <c r="A920" s="94"/>
      <c r="B920" s="67" t="s">
        <v>4419</v>
      </c>
      <c r="C920" s="70" t="s">
        <v>494</v>
      </c>
      <c r="D920" s="94"/>
      <c r="E920" s="70" t="s">
        <v>476</v>
      </c>
      <c r="K920" s="55">
        <v>4</v>
      </c>
      <c r="L920">
        <v>8</v>
      </c>
    </row>
    <row r="921" spans="1:17" customFormat="1">
      <c r="A921" s="94"/>
      <c r="B921" s="67" t="s">
        <v>4418</v>
      </c>
      <c r="C921" s="70" t="s">
        <v>494</v>
      </c>
      <c r="D921" s="94"/>
      <c r="E921" s="94"/>
      <c r="K921" s="55">
        <v>5</v>
      </c>
      <c r="L921">
        <v>6</v>
      </c>
    </row>
    <row r="922" spans="1:17" customFormat="1">
      <c r="A922" s="94"/>
      <c r="B922" s="67" t="s">
        <v>4420</v>
      </c>
      <c r="C922" s="70" t="s">
        <v>493</v>
      </c>
      <c r="D922" s="94">
        <v>1</v>
      </c>
      <c r="E922" s="94"/>
      <c r="K922" s="55">
        <v>6</v>
      </c>
      <c r="L922">
        <v>3</v>
      </c>
    </row>
    <row r="923" spans="1:17" customFormat="1">
      <c r="B923" s="66"/>
      <c r="C923" s="62"/>
      <c r="K923" s="55"/>
    </row>
    <row r="924" spans="1:17" customFormat="1"/>
    <row r="925" spans="1:17" customFormat="1">
      <c r="A925" s="62" t="s">
        <v>5567</v>
      </c>
      <c r="B925" s="66" t="s">
        <v>5568</v>
      </c>
      <c r="C925" s="62" t="s">
        <v>494</v>
      </c>
      <c r="E925" t="s">
        <v>476</v>
      </c>
      <c r="F925">
        <v>21</v>
      </c>
      <c r="G925">
        <v>2141</v>
      </c>
      <c r="H925" t="s">
        <v>5586</v>
      </c>
      <c r="I925" t="s">
        <v>5587</v>
      </c>
      <c r="J925">
        <v>2</v>
      </c>
      <c r="K925" s="57">
        <v>1</v>
      </c>
      <c r="L925">
        <v>6</v>
      </c>
      <c r="N925" s="62"/>
      <c r="O925" s="23"/>
      <c r="P925" s="23"/>
      <c r="Q925" s="23"/>
    </row>
    <row r="926" spans="1:17" customFormat="1">
      <c r="B926" s="66" t="s">
        <v>5569</v>
      </c>
      <c r="C926" s="62" t="s">
        <v>494</v>
      </c>
      <c r="K926" s="57">
        <v>2</v>
      </c>
      <c r="L926">
        <v>6</v>
      </c>
      <c r="N926" s="62"/>
      <c r="O926" s="23"/>
      <c r="P926" s="23"/>
      <c r="Q926" s="23"/>
    </row>
    <row r="927" spans="1:17" customFormat="1">
      <c r="B927" s="66" t="s">
        <v>5570</v>
      </c>
      <c r="C927" s="62" t="s">
        <v>493</v>
      </c>
      <c r="D927">
        <v>1</v>
      </c>
      <c r="K927" s="57">
        <v>3</v>
      </c>
      <c r="L927">
        <v>3</v>
      </c>
      <c r="N927" s="62"/>
      <c r="O927" s="23"/>
      <c r="P927" s="23"/>
      <c r="Q927" s="23"/>
    </row>
    <row r="928" spans="1:17" customFormat="1">
      <c r="B928" s="66" t="s">
        <v>5571</v>
      </c>
      <c r="C928" s="62" t="s">
        <v>493</v>
      </c>
      <c r="D928">
        <v>200</v>
      </c>
      <c r="K928" s="57">
        <v>4</v>
      </c>
      <c r="N928" s="62"/>
      <c r="O928" s="23"/>
      <c r="P928" s="23"/>
      <c r="Q928" s="23"/>
    </row>
    <row r="929" spans="1:18" customFormat="1">
      <c r="B929" s="66" t="s">
        <v>5572</v>
      </c>
      <c r="C929" s="62" t="s">
        <v>494</v>
      </c>
      <c r="K929" s="57">
        <v>5</v>
      </c>
      <c r="L929">
        <v>3</v>
      </c>
      <c r="N929" s="1" t="s">
        <v>3664</v>
      </c>
      <c r="O929" s="23" t="s">
        <v>3666</v>
      </c>
      <c r="P929" s="23" t="s">
        <v>3667</v>
      </c>
      <c r="Q929" s="23"/>
    </row>
    <row r="930" spans="1:18" customFormat="1">
      <c r="B930" s="66" t="s">
        <v>5573</v>
      </c>
      <c r="C930" s="62" t="s">
        <v>494</v>
      </c>
      <c r="K930" s="57">
        <v>6</v>
      </c>
      <c r="N930" s="62"/>
      <c r="O930" s="23"/>
      <c r="P930" s="23"/>
      <c r="Q930" s="23"/>
    </row>
    <row r="931" spans="1:18" customFormat="1">
      <c r="B931" s="66" t="s">
        <v>5574</v>
      </c>
      <c r="C931" s="62" t="s">
        <v>494</v>
      </c>
      <c r="K931" s="57">
        <v>7</v>
      </c>
      <c r="N931" s="62"/>
      <c r="O931" s="23"/>
      <c r="P931" s="23"/>
      <c r="Q931" s="23"/>
    </row>
    <row r="932" spans="1:18" customFormat="1">
      <c r="B932" s="66" t="s">
        <v>5575</v>
      </c>
      <c r="C932" s="62" t="s">
        <v>494</v>
      </c>
      <c r="K932" s="57">
        <v>8</v>
      </c>
      <c r="N932" s="62"/>
      <c r="O932" s="23"/>
      <c r="P932" s="23"/>
      <c r="Q932" s="23"/>
    </row>
    <row r="933" spans="1:18" customFormat="1">
      <c r="B933" s="66" t="s">
        <v>5576</v>
      </c>
      <c r="C933" s="62" t="s">
        <v>494</v>
      </c>
      <c r="K933" s="57">
        <v>9</v>
      </c>
      <c r="N933" s="62"/>
      <c r="O933" s="23"/>
      <c r="P933" s="23"/>
      <c r="Q933" s="23"/>
    </row>
    <row r="934" spans="1:18" customFormat="1">
      <c r="B934" s="63" t="s">
        <v>5839</v>
      </c>
      <c r="C934" s="78" t="s">
        <v>494</v>
      </c>
      <c r="K934" s="57">
        <v>10</v>
      </c>
      <c r="L934">
        <v>8</v>
      </c>
      <c r="N934" s="62"/>
      <c r="O934" s="23"/>
      <c r="P934" s="23"/>
      <c r="Q934" s="23"/>
    </row>
    <row r="935" spans="1:18" customFormat="1">
      <c r="B935" s="66"/>
      <c r="C935" s="62"/>
      <c r="K935" s="57"/>
      <c r="N935" s="62"/>
      <c r="O935" s="23"/>
      <c r="P935" s="23"/>
      <c r="Q935" s="23"/>
    </row>
    <row r="936" spans="1:18" customFormat="1">
      <c r="A936" s="62" t="s">
        <v>5577</v>
      </c>
      <c r="B936" s="66" t="s">
        <v>5578</v>
      </c>
      <c r="C936" s="62" t="s">
        <v>494</v>
      </c>
      <c r="E936" t="s">
        <v>476</v>
      </c>
      <c r="F936">
        <v>21</v>
      </c>
      <c r="G936">
        <v>2142</v>
      </c>
      <c r="H936" t="s">
        <v>5588</v>
      </c>
      <c r="J936">
        <v>2</v>
      </c>
      <c r="K936" s="57">
        <v>1</v>
      </c>
      <c r="L936">
        <v>52</v>
      </c>
      <c r="N936" s="62">
        <v>2141</v>
      </c>
      <c r="O936" s="66" t="s">
        <v>5569</v>
      </c>
      <c r="P936" s="23"/>
      <c r="Q936" s="23"/>
    </row>
    <row r="937" spans="1:18" customFormat="1">
      <c r="B937" s="66" t="s">
        <v>5579</v>
      </c>
      <c r="C937" s="62" t="s">
        <v>494</v>
      </c>
      <c r="E937" t="s">
        <v>476</v>
      </c>
      <c r="K937" s="57">
        <v>2</v>
      </c>
      <c r="L937">
        <v>6</v>
      </c>
      <c r="N937" s="62"/>
      <c r="O937" s="23"/>
      <c r="P937" s="23"/>
      <c r="Q937" s="23"/>
    </row>
    <row r="938" spans="1:18" customFormat="1">
      <c r="B938" s="66" t="s">
        <v>5580</v>
      </c>
      <c r="C938" s="62" t="s">
        <v>494</v>
      </c>
      <c r="K938" s="57">
        <v>3</v>
      </c>
      <c r="L938">
        <v>6</v>
      </c>
      <c r="N938" s="62"/>
      <c r="O938" s="23"/>
      <c r="P938" s="23"/>
      <c r="Q938" s="23"/>
    </row>
    <row r="939" spans="1:18" customFormat="1">
      <c r="B939" s="66" t="s">
        <v>5582</v>
      </c>
      <c r="C939" s="62" t="s">
        <v>493</v>
      </c>
      <c r="D939">
        <v>1</v>
      </c>
      <c r="K939" s="57">
        <v>4</v>
      </c>
      <c r="L939">
        <v>3</v>
      </c>
      <c r="N939" s="62"/>
      <c r="O939" s="23"/>
      <c r="P939" s="23"/>
      <c r="Q939" s="23"/>
    </row>
    <row r="940" spans="1:18" customFormat="1">
      <c r="B940" s="66" t="s">
        <v>5581</v>
      </c>
      <c r="C940" s="62" t="s">
        <v>493</v>
      </c>
      <c r="D940">
        <v>100</v>
      </c>
      <c r="K940" s="57">
        <v>5</v>
      </c>
      <c r="N940" s="62"/>
      <c r="O940" s="23"/>
      <c r="P940" s="23"/>
      <c r="Q940" s="23"/>
    </row>
    <row r="941" spans="1:18" customFormat="1">
      <c r="B941" s="66" t="s">
        <v>5583</v>
      </c>
      <c r="C941" s="62" t="s">
        <v>493</v>
      </c>
      <c r="D941">
        <v>1</v>
      </c>
      <c r="K941" s="57">
        <v>6</v>
      </c>
      <c r="L941">
        <v>3</v>
      </c>
      <c r="N941" s="62"/>
      <c r="O941" s="23"/>
      <c r="P941" s="23"/>
      <c r="Q941" s="23"/>
    </row>
    <row r="942" spans="1:18" customFormat="1">
      <c r="B942" s="66" t="s">
        <v>5584</v>
      </c>
      <c r="C942" s="62" t="s">
        <v>493</v>
      </c>
      <c r="D942">
        <v>1</v>
      </c>
      <c r="K942" s="57">
        <v>7</v>
      </c>
      <c r="L942">
        <v>3</v>
      </c>
      <c r="N942" s="62"/>
      <c r="O942" s="23"/>
      <c r="P942" s="23"/>
      <c r="Q942" s="23"/>
    </row>
    <row r="943" spans="1:18" customFormat="1">
      <c r="B943" s="66" t="s">
        <v>5585</v>
      </c>
      <c r="C943" s="62" t="s">
        <v>494</v>
      </c>
      <c r="K943" s="57">
        <v>8</v>
      </c>
      <c r="L943">
        <v>9</v>
      </c>
      <c r="N943" s="62" t="s">
        <v>4702</v>
      </c>
      <c r="O943" s="62" t="s">
        <v>4703</v>
      </c>
      <c r="P943" s="62" t="s">
        <v>4705</v>
      </c>
      <c r="Q943" s="62" t="s">
        <v>4704</v>
      </c>
      <c r="R943">
        <v>2602</v>
      </c>
    </row>
    <row r="944" spans="1:18" customFormat="1">
      <c r="B944" s="63" t="s">
        <v>5840</v>
      </c>
      <c r="C944" s="78" t="s">
        <v>494</v>
      </c>
      <c r="K944" s="57">
        <v>9</v>
      </c>
      <c r="N944" s="62"/>
      <c r="O944" s="62"/>
      <c r="P944" s="62"/>
      <c r="Q944" s="62"/>
    </row>
    <row r="945" spans="1:18" customFormat="1">
      <c r="B945" s="63" t="s">
        <v>5966</v>
      </c>
      <c r="C945" s="78" t="s">
        <v>520</v>
      </c>
      <c r="K945" s="57">
        <v>10</v>
      </c>
      <c r="N945" s="62"/>
      <c r="O945" s="62"/>
      <c r="P945" s="62"/>
      <c r="Q945" s="62"/>
    </row>
    <row r="946" spans="1:18" customFormat="1">
      <c r="B946" s="63" t="s">
        <v>5967</v>
      </c>
      <c r="C946" s="78" t="s">
        <v>494</v>
      </c>
      <c r="K946" s="57">
        <v>11</v>
      </c>
      <c r="L946">
        <v>91</v>
      </c>
      <c r="N946" s="62"/>
      <c r="O946" s="62"/>
      <c r="P946" s="62"/>
      <c r="Q946" s="62"/>
    </row>
    <row r="947" spans="1:18" customFormat="1">
      <c r="B947" s="63" t="s">
        <v>5968</v>
      </c>
      <c r="C947" s="78" t="s">
        <v>494</v>
      </c>
      <c r="K947" s="57">
        <v>12</v>
      </c>
      <c r="L947">
        <v>92</v>
      </c>
      <c r="N947" s="62"/>
      <c r="O947" s="62"/>
      <c r="P947" s="62"/>
      <c r="Q947" s="62"/>
    </row>
    <row r="948" spans="1:18" customFormat="1">
      <c r="B948" s="63" t="s">
        <v>5979</v>
      </c>
      <c r="C948" s="78" t="s">
        <v>494</v>
      </c>
      <c r="K948" s="57">
        <v>13</v>
      </c>
      <c r="L948">
        <v>3</v>
      </c>
      <c r="N948" s="62"/>
      <c r="O948" s="62"/>
      <c r="P948" s="62"/>
      <c r="Q948" s="62"/>
    </row>
    <row r="949" spans="1:18" customFormat="1">
      <c r="B949" s="64"/>
      <c r="C949" s="64"/>
      <c r="K949" s="55"/>
      <c r="L949" s="80"/>
      <c r="M949" s="10"/>
      <c r="O949" s="66"/>
      <c r="P949" s="66"/>
    </row>
    <row r="950" spans="1:18" customFormat="1">
      <c r="A950" t="s">
        <v>5973</v>
      </c>
      <c r="B950" s="66" t="s">
        <v>5974</v>
      </c>
      <c r="C950" s="64" t="s">
        <v>494</v>
      </c>
      <c r="E950" t="s">
        <v>476</v>
      </c>
      <c r="F950">
        <v>21</v>
      </c>
      <c r="G950">
        <v>2154</v>
      </c>
      <c r="H950" t="s">
        <v>5978</v>
      </c>
      <c r="J950">
        <v>2</v>
      </c>
      <c r="K950" s="55">
        <v>1</v>
      </c>
      <c r="L950" s="80">
        <v>52</v>
      </c>
      <c r="M950" s="10"/>
      <c r="N950" s="62">
        <v>2141</v>
      </c>
      <c r="O950" s="66" t="s">
        <v>5569</v>
      </c>
      <c r="P950" s="66"/>
    </row>
    <row r="951" spans="1:18" customFormat="1">
      <c r="B951" s="66" t="s">
        <v>5975</v>
      </c>
      <c r="C951" s="64" t="s">
        <v>494</v>
      </c>
      <c r="E951" t="s">
        <v>476</v>
      </c>
      <c r="K951" s="55">
        <v>2</v>
      </c>
      <c r="L951" s="80">
        <v>6</v>
      </c>
      <c r="M951" s="10"/>
      <c r="O951" s="66"/>
      <c r="P951" s="66"/>
    </row>
    <row r="952" spans="1:18" customFormat="1">
      <c r="B952" s="64" t="s">
        <v>5976</v>
      </c>
      <c r="C952" s="64" t="s">
        <v>494</v>
      </c>
      <c r="K952" s="55">
        <v>3</v>
      </c>
      <c r="L952" s="80">
        <v>6</v>
      </c>
      <c r="M952" s="10"/>
      <c r="O952" s="66"/>
      <c r="P952" s="66"/>
    </row>
    <row r="953" spans="1:18" customFormat="1">
      <c r="B953" s="64" t="s">
        <v>5977</v>
      </c>
      <c r="C953" s="64" t="s">
        <v>494</v>
      </c>
      <c r="K953" s="55">
        <v>4</v>
      </c>
      <c r="L953" s="80">
        <v>3</v>
      </c>
      <c r="M953" s="10"/>
      <c r="N953" s="62" t="s">
        <v>1038</v>
      </c>
      <c r="O953" s="23" t="s">
        <v>1040</v>
      </c>
      <c r="P953" s="23" t="s">
        <v>1041</v>
      </c>
    </row>
    <row r="954" spans="1:18" customFormat="1">
      <c r="B954" s="64"/>
      <c r="C954" s="64"/>
      <c r="K954" s="55"/>
      <c r="L954" s="80"/>
      <c r="M954" s="10"/>
      <c r="N954" s="62"/>
      <c r="O954" s="23"/>
      <c r="P954" s="23"/>
    </row>
    <row r="955" spans="1:18" customFormat="1">
      <c r="B955" s="66"/>
      <c r="C955" s="62"/>
      <c r="N955" s="62"/>
      <c r="O955" s="62"/>
      <c r="P955" s="62"/>
    </row>
    <row r="956" spans="1:18" customFormat="1">
      <c r="A956" s="70" t="s">
        <v>3210</v>
      </c>
      <c r="B956" s="70" t="s">
        <v>3211</v>
      </c>
      <c r="C956" s="70" t="s">
        <v>494</v>
      </c>
      <c r="E956" s="62" t="s">
        <v>476</v>
      </c>
      <c r="F956">
        <v>21</v>
      </c>
      <c r="G956">
        <v>2144</v>
      </c>
      <c r="H956" s="62" t="s">
        <v>5595</v>
      </c>
      <c r="I956" s="62" t="s">
        <v>5596</v>
      </c>
      <c r="J956">
        <v>2104</v>
      </c>
      <c r="K956" s="55">
        <v>1</v>
      </c>
      <c r="L956">
        <v>8</v>
      </c>
    </row>
    <row r="957" spans="1:18" customFormat="1">
      <c r="A957" s="94"/>
      <c r="B957" s="70" t="s">
        <v>3212</v>
      </c>
      <c r="C957" s="70" t="s">
        <v>494</v>
      </c>
      <c r="E957" s="62" t="s">
        <v>476</v>
      </c>
      <c r="K957" s="55">
        <v>2</v>
      </c>
      <c r="L957">
        <v>3</v>
      </c>
      <c r="M957" s="14">
        <v>31</v>
      </c>
      <c r="N957" s="62" t="s">
        <v>3655</v>
      </c>
      <c r="O957" s="62" t="s">
        <v>3648</v>
      </c>
      <c r="P957" s="62" t="s">
        <v>3657</v>
      </c>
      <c r="Q957" s="47" t="s">
        <v>3658</v>
      </c>
      <c r="R957" s="14">
        <v>4</v>
      </c>
    </row>
    <row r="958" spans="1:18" customFormat="1">
      <c r="A958" s="94"/>
      <c r="B958" s="70" t="s">
        <v>3213</v>
      </c>
      <c r="C958" s="70" t="s">
        <v>494</v>
      </c>
      <c r="H958" s="62"/>
      <c r="K958" s="55">
        <v>3</v>
      </c>
      <c r="L958">
        <v>6</v>
      </c>
    </row>
    <row r="959" spans="1:18" customFormat="1">
      <c r="A959" s="94"/>
      <c r="B959" s="70" t="s">
        <v>3230</v>
      </c>
      <c r="C959" s="70" t="s">
        <v>494</v>
      </c>
      <c r="K959" s="55">
        <v>4</v>
      </c>
      <c r="L959">
        <v>3</v>
      </c>
      <c r="M959">
        <v>3</v>
      </c>
      <c r="N959" s="62" t="s">
        <v>3664</v>
      </c>
      <c r="O959" s="62" t="s">
        <v>3666</v>
      </c>
      <c r="P959" s="62" t="s">
        <v>3667</v>
      </c>
    </row>
    <row r="960" spans="1:18">
      <c r="A960" s="39"/>
      <c r="B960" s="67" t="s">
        <v>3231</v>
      </c>
      <c r="C960" s="70" t="s">
        <v>494</v>
      </c>
      <c r="F960" s="14"/>
      <c r="G960" s="14"/>
      <c r="H960" s="14"/>
      <c r="I960" s="11"/>
      <c r="J960" s="14"/>
      <c r="K960" s="55">
        <v>5</v>
      </c>
      <c r="L960" s="15">
        <v>3</v>
      </c>
      <c r="M960" s="14"/>
      <c r="N960" s="62" t="s">
        <v>693</v>
      </c>
      <c r="O960" s="1" t="s">
        <v>695</v>
      </c>
      <c r="P960" s="1" t="s">
        <v>696</v>
      </c>
      <c r="Q960" s="62"/>
      <c r="R960" s="14"/>
    </row>
    <row r="961" spans="1:18">
      <c r="A961" s="39"/>
      <c r="B961" s="67" t="s">
        <v>3232</v>
      </c>
      <c r="C961" s="70" t="s">
        <v>494</v>
      </c>
      <c r="F961" s="14"/>
      <c r="G961" s="14"/>
      <c r="H961" s="14"/>
      <c r="I961" s="11"/>
      <c r="J961" s="14"/>
      <c r="K961" s="55">
        <v>6</v>
      </c>
      <c r="L961" s="15">
        <v>3</v>
      </c>
      <c r="M961" s="14">
        <v>31</v>
      </c>
      <c r="N961" s="62" t="s">
        <v>379</v>
      </c>
      <c r="O961" s="62" t="s">
        <v>698</v>
      </c>
      <c r="P961" s="62" t="s">
        <v>699</v>
      </c>
      <c r="Q961" s="62" t="s">
        <v>383</v>
      </c>
      <c r="R961" s="14">
        <v>5</v>
      </c>
    </row>
    <row r="962" spans="1:18" customFormat="1">
      <c r="A962" s="94"/>
      <c r="B962" s="70" t="s">
        <v>3217</v>
      </c>
      <c r="C962" s="70" t="s">
        <v>494</v>
      </c>
      <c r="K962" s="55">
        <v>7</v>
      </c>
      <c r="L962">
        <v>3</v>
      </c>
      <c r="N962" s="62" t="s">
        <v>3218</v>
      </c>
      <c r="O962" s="62" t="s">
        <v>3219</v>
      </c>
      <c r="P962" s="62" t="s">
        <v>3220</v>
      </c>
      <c r="Q962" s="66"/>
    </row>
    <row r="963" spans="1:18" customFormat="1">
      <c r="A963" s="94"/>
      <c r="B963" s="70" t="s">
        <v>4321</v>
      </c>
      <c r="C963" s="70" t="s">
        <v>702</v>
      </c>
      <c r="K963" s="55">
        <v>8</v>
      </c>
      <c r="M963">
        <v>1</v>
      </c>
    </row>
    <row r="964" spans="1:18" customFormat="1">
      <c r="A964" s="94"/>
      <c r="B964" s="70" t="s">
        <v>4327</v>
      </c>
      <c r="C964" s="70" t="s">
        <v>494</v>
      </c>
      <c r="H964" s="62"/>
      <c r="K964" s="55">
        <v>9</v>
      </c>
      <c r="L964">
        <v>3</v>
      </c>
      <c r="M964">
        <v>1</v>
      </c>
      <c r="N964" s="62" t="s">
        <v>4452</v>
      </c>
      <c r="O964" s="62" t="s">
        <v>4453</v>
      </c>
      <c r="P964" s="62" t="s">
        <v>4454</v>
      </c>
    </row>
    <row r="965" spans="1:18" customFormat="1">
      <c r="B965" s="96" t="s">
        <v>5591</v>
      </c>
      <c r="C965" s="96" t="s">
        <v>494</v>
      </c>
      <c r="K965" s="55">
        <v>10</v>
      </c>
      <c r="L965">
        <v>3</v>
      </c>
      <c r="M965">
        <v>1</v>
      </c>
      <c r="N965" s="62" t="s">
        <v>5592</v>
      </c>
      <c r="O965" s="66" t="s">
        <v>5593</v>
      </c>
      <c r="P965" s="66" t="s">
        <v>5594</v>
      </c>
    </row>
    <row r="966" spans="1:18" customFormat="1">
      <c r="B966" s="64" t="s">
        <v>5838</v>
      </c>
      <c r="C966" s="64" t="s">
        <v>494</v>
      </c>
      <c r="K966" s="55">
        <v>11</v>
      </c>
      <c r="L966" s="80">
        <v>3</v>
      </c>
      <c r="M966" s="10">
        <v>1</v>
      </c>
      <c r="N966" t="s">
        <v>5567</v>
      </c>
      <c r="O966" s="66" t="s">
        <v>5569</v>
      </c>
      <c r="P966" s="66" t="s">
        <v>5571</v>
      </c>
    </row>
    <row r="967" spans="1:18" customFormat="1">
      <c r="B967" s="66"/>
      <c r="C967" s="62"/>
      <c r="N967" s="62"/>
      <c r="O967" s="62"/>
      <c r="P967" s="62"/>
    </row>
    <row r="968" spans="1:18" customFormat="1">
      <c r="A968" t="s">
        <v>5597</v>
      </c>
      <c r="B968" s="66" t="s">
        <v>5599</v>
      </c>
      <c r="C968" s="64" t="s">
        <v>494</v>
      </c>
      <c r="E968" t="s">
        <v>476</v>
      </c>
      <c r="F968">
        <v>21</v>
      </c>
      <c r="G968">
        <v>2145</v>
      </c>
      <c r="H968" t="s">
        <v>5612</v>
      </c>
      <c r="J968">
        <v>2104</v>
      </c>
      <c r="K968" s="55">
        <v>1</v>
      </c>
      <c r="L968">
        <v>52</v>
      </c>
      <c r="N968" s="62">
        <v>2144</v>
      </c>
      <c r="O968" s="62" t="s">
        <v>3213</v>
      </c>
      <c r="P968" s="62"/>
    </row>
    <row r="969" spans="1:18" customFormat="1">
      <c r="B969" s="66" t="s">
        <v>5600</v>
      </c>
      <c r="C969" s="64" t="s">
        <v>494</v>
      </c>
      <c r="E969" t="s">
        <v>476</v>
      </c>
      <c r="K969" s="55">
        <v>2</v>
      </c>
      <c r="L969">
        <v>6</v>
      </c>
      <c r="N969" s="62"/>
      <c r="O969" s="62"/>
      <c r="P969" s="62"/>
    </row>
    <row r="970" spans="1:18" customFormat="1">
      <c r="B970" s="66" t="s">
        <v>5598</v>
      </c>
      <c r="C970" s="64" t="s">
        <v>494</v>
      </c>
      <c r="K970" s="55">
        <v>3</v>
      </c>
      <c r="L970">
        <v>6</v>
      </c>
      <c r="N970" s="62"/>
      <c r="O970" s="62"/>
      <c r="P970" s="62"/>
    </row>
    <row r="971" spans="1:18" customFormat="1">
      <c r="B971" s="66" t="s">
        <v>5618</v>
      </c>
      <c r="C971" s="64" t="s">
        <v>494</v>
      </c>
      <c r="K971" s="55">
        <v>4</v>
      </c>
      <c r="L971">
        <v>3</v>
      </c>
      <c r="M971">
        <v>2</v>
      </c>
      <c r="N971" t="s">
        <v>5567</v>
      </c>
      <c r="O971" s="66" t="s">
        <v>5569</v>
      </c>
      <c r="P971" s="66" t="s">
        <v>5571</v>
      </c>
      <c r="Q971">
        <v>2141</v>
      </c>
    </row>
    <row r="972" spans="1:18" customFormat="1">
      <c r="B972" s="66" t="s">
        <v>5601</v>
      </c>
      <c r="C972" s="64" t="s">
        <v>494</v>
      </c>
      <c r="K972" s="55">
        <v>5</v>
      </c>
      <c r="L972">
        <v>7</v>
      </c>
      <c r="M972">
        <v>1</v>
      </c>
      <c r="N972" s="62"/>
      <c r="O972" s="62"/>
      <c r="P972" s="62"/>
    </row>
    <row r="973" spans="1:18" customFormat="1">
      <c r="B973" s="66" t="s">
        <v>5602</v>
      </c>
      <c r="C973" s="64" t="s">
        <v>494</v>
      </c>
      <c r="K973" s="55">
        <v>6</v>
      </c>
      <c r="L973">
        <v>8</v>
      </c>
      <c r="M973">
        <v>1</v>
      </c>
      <c r="N973" s="62"/>
      <c r="O973" s="62"/>
      <c r="P973" s="62"/>
    </row>
    <row r="974" spans="1:18" customFormat="1">
      <c r="B974" s="66" t="s">
        <v>5603</v>
      </c>
      <c r="C974" s="64" t="s">
        <v>494</v>
      </c>
      <c r="K974" s="55">
        <v>7</v>
      </c>
      <c r="L974">
        <v>7</v>
      </c>
      <c r="M974">
        <v>2</v>
      </c>
      <c r="N974" s="62"/>
      <c r="O974" s="62"/>
      <c r="P974" s="62"/>
    </row>
    <row r="975" spans="1:18" customFormat="1">
      <c r="B975" s="66" t="s">
        <v>5604</v>
      </c>
      <c r="C975" s="64" t="s">
        <v>494</v>
      </c>
      <c r="K975" s="55">
        <v>8</v>
      </c>
      <c r="L975">
        <v>7</v>
      </c>
      <c r="M975">
        <v>2</v>
      </c>
      <c r="N975" s="62"/>
      <c r="O975" s="62"/>
      <c r="P975" s="62"/>
    </row>
    <row r="976" spans="1:18" customFormat="1">
      <c r="B976" s="66" t="s">
        <v>5956</v>
      </c>
      <c r="C976" s="64" t="s">
        <v>494</v>
      </c>
      <c r="K976" s="55">
        <v>9</v>
      </c>
      <c r="L976">
        <v>3</v>
      </c>
      <c r="N976" s="64" t="s">
        <v>506</v>
      </c>
      <c r="O976" s="64" t="s">
        <v>514</v>
      </c>
      <c r="P976" s="62" t="s">
        <v>515</v>
      </c>
    </row>
    <row r="977" spans="1:16" customFormat="1">
      <c r="B977" s="66" t="s">
        <v>5957</v>
      </c>
      <c r="C977" s="64" t="s">
        <v>494</v>
      </c>
      <c r="K977" s="55">
        <v>10</v>
      </c>
      <c r="L977">
        <v>3</v>
      </c>
      <c r="N977" s="62" t="s">
        <v>1038</v>
      </c>
      <c r="O977" s="23" t="s">
        <v>1040</v>
      </c>
      <c r="P977" s="23" t="s">
        <v>1041</v>
      </c>
    </row>
    <row r="978" spans="1:16" customFormat="1">
      <c r="B978" s="66" t="s">
        <v>5606</v>
      </c>
      <c r="C978" s="64" t="s">
        <v>494</v>
      </c>
      <c r="K978" s="55">
        <v>11</v>
      </c>
      <c r="L978">
        <v>8</v>
      </c>
      <c r="N978" s="62"/>
      <c r="O978" s="62"/>
      <c r="P978" s="62"/>
    </row>
    <row r="979" spans="1:16" customFormat="1">
      <c r="B979" s="66" t="s">
        <v>5607</v>
      </c>
      <c r="C979" s="64" t="s">
        <v>494</v>
      </c>
      <c r="K979" s="55">
        <v>12</v>
      </c>
      <c r="L979">
        <v>8</v>
      </c>
      <c r="N979" s="62"/>
      <c r="O979" s="62"/>
      <c r="P979" s="62"/>
    </row>
    <row r="980" spans="1:16" customFormat="1">
      <c r="B980" s="66" t="s">
        <v>5608</v>
      </c>
      <c r="C980" s="64" t="s">
        <v>494</v>
      </c>
      <c r="K980" s="55">
        <v>13</v>
      </c>
      <c r="L980">
        <v>3</v>
      </c>
      <c r="N980" s="62"/>
      <c r="O980" s="62"/>
      <c r="P980" s="62"/>
    </row>
    <row r="981" spans="1:16" customFormat="1">
      <c r="B981" s="66" t="s">
        <v>5605</v>
      </c>
      <c r="C981" s="62" t="s">
        <v>702</v>
      </c>
      <c r="K981" s="55">
        <v>14</v>
      </c>
      <c r="M981">
        <v>1</v>
      </c>
      <c r="N981" s="62"/>
      <c r="O981" s="62"/>
      <c r="P981" s="62"/>
    </row>
    <row r="982" spans="1:16" customFormat="1">
      <c r="B982" s="66" t="s">
        <v>5609</v>
      </c>
      <c r="C982" s="64" t="s">
        <v>494</v>
      </c>
      <c r="K982" s="55">
        <v>15</v>
      </c>
      <c r="L982">
        <v>7</v>
      </c>
      <c r="M982">
        <v>1</v>
      </c>
      <c r="N982" s="62"/>
      <c r="O982" s="62"/>
      <c r="P982" s="62"/>
    </row>
    <row r="983" spans="1:16" customFormat="1">
      <c r="B983" s="66" t="s">
        <v>5610</v>
      </c>
      <c r="C983" s="64" t="s">
        <v>494</v>
      </c>
      <c r="K983" s="55">
        <v>16</v>
      </c>
      <c r="L983">
        <v>8</v>
      </c>
      <c r="M983">
        <v>1</v>
      </c>
      <c r="N983" s="62"/>
      <c r="O983" s="62"/>
      <c r="P983" s="62"/>
    </row>
    <row r="984" spans="1:16" customFormat="1">
      <c r="B984" s="66" t="s">
        <v>5611</v>
      </c>
      <c r="C984" s="62" t="s">
        <v>493</v>
      </c>
      <c r="D984">
        <v>1</v>
      </c>
      <c r="K984" s="55">
        <v>17</v>
      </c>
      <c r="L984">
        <v>3</v>
      </c>
      <c r="M984">
        <v>1</v>
      </c>
      <c r="N984" s="62"/>
      <c r="O984" s="62"/>
      <c r="P984" s="62"/>
    </row>
    <row r="985" spans="1:16" customFormat="1">
      <c r="B985" s="66" t="s">
        <v>5615</v>
      </c>
      <c r="C985" s="62" t="s">
        <v>494</v>
      </c>
      <c r="K985" s="55">
        <v>18</v>
      </c>
      <c r="M985">
        <v>2</v>
      </c>
      <c r="N985" s="62"/>
      <c r="O985" s="62"/>
      <c r="P985" s="62"/>
    </row>
    <row r="986" spans="1:16" customFormat="1">
      <c r="B986" s="66" t="s">
        <v>5616</v>
      </c>
      <c r="C986" s="62" t="s">
        <v>494</v>
      </c>
      <c r="K986" s="55">
        <v>19</v>
      </c>
      <c r="M986">
        <v>2</v>
      </c>
      <c r="N986" s="62"/>
      <c r="O986" s="62"/>
      <c r="P986" s="62"/>
    </row>
    <row r="987" spans="1:16" customFormat="1">
      <c r="B987" s="66" t="s">
        <v>5617</v>
      </c>
      <c r="C987" s="62" t="s">
        <v>494</v>
      </c>
      <c r="K987" s="55">
        <v>20</v>
      </c>
      <c r="L987">
        <v>3</v>
      </c>
      <c r="M987">
        <v>1</v>
      </c>
      <c r="N987" s="62" t="s">
        <v>1906</v>
      </c>
      <c r="O987" s="62" t="s">
        <v>1908</v>
      </c>
      <c r="P987" s="62" t="s">
        <v>1909</v>
      </c>
    </row>
    <row r="988" spans="1:16" customFormat="1">
      <c r="B988" s="66"/>
      <c r="C988" s="62"/>
      <c r="K988" s="55"/>
      <c r="N988" s="62"/>
      <c r="O988" s="62"/>
      <c r="P988" s="62"/>
    </row>
    <row r="989" spans="1:16" customFormat="1">
      <c r="A989" s="62" t="s">
        <v>5619</v>
      </c>
      <c r="B989" s="66" t="s">
        <v>5620</v>
      </c>
      <c r="C989" s="62" t="s">
        <v>494</v>
      </c>
      <c r="E989" s="62" t="s">
        <v>476</v>
      </c>
      <c r="F989">
        <v>21</v>
      </c>
      <c r="G989">
        <v>2146</v>
      </c>
      <c r="H989" s="62" t="s">
        <v>3185</v>
      </c>
      <c r="J989">
        <v>2104</v>
      </c>
      <c r="K989" s="55">
        <v>1</v>
      </c>
      <c r="L989">
        <v>52</v>
      </c>
      <c r="N989" s="62">
        <v>2144</v>
      </c>
      <c r="O989" s="62" t="s">
        <v>3213</v>
      </c>
      <c r="P989" s="62"/>
    </row>
    <row r="990" spans="1:16" customFormat="1">
      <c r="B990" s="66" t="s">
        <v>5613</v>
      </c>
      <c r="C990" s="62" t="s">
        <v>494</v>
      </c>
      <c r="E990" s="62" t="s">
        <v>476</v>
      </c>
      <c r="K990" s="55">
        <v>2</v>
      </c>
      <c r="L990">
        <v>6</v>
      </c>
      <c r="N990" s="62"/>
      <c r="O990" s="62"/>
      <c r="P990" s="62"/>
    </row>
    <row r="991" spans="1:16" customFormat="1">
      <c r="B991" s="66" t="s">
        <v>5614</v>
      </c>
      <c r="C991" s="62" t="s">
        <v>494</v>
      </c>
      <c r="K991" s="55">
        <v>3</v>
      </c>
      <c r="L991">
        <v>6</v>
      </c>
      <c r="N991" s="62"/>
      <c r="O991" s="62"/>
      <c r="P991" s="62"/>
    </row>
    <row r="992" spans="1:16" customFormat="1">
      <c r="B992" s="66" t="s">
        <v>5854</v>
      </c>
      <c r="C992" s="62" t="s">
        <v>494</v>
      </c>
      <c r="K992" s="55">
        <v>4</v>
      </c>
      <c r="L992">
        <v>3</v>
      </c>
      <c r="M992">
        <v>1</v>
      </c>
      <c r="N992" s="62" t="s">
        <v>5577</v>
      </c>
      <c r="O992" s="66" t="s">
        <v>5580</v>
      </c>
      <c r="P992" s="66" t="s">
        <v>5581</v>
      </c>
    </row>
    <row r="993" spans="1:16" customFormat="1">
      <c r="B993" s="66" t="s">
        <v>5621</v>
      </c>
      <c r="C993" s="62" t="s">
        <v>494</v>
      </c>
      <c r="K993" s="55">
        <v>5</v>
      </c>
      <c r="L993">
        <v>3</v>
      </c>
      <c r="M993">
        <v>1</v>
      </c>
      <c r="N993" t="s">
        <v>5597</v>
      </c>
      <c r="O993" s="66" t="s">
        <v>5598</v>
      </c>
      <c r="P993" s="66" t="s">
        <v>5617</v>
      </c>
    </row>
    <row r="994" spans="1:16" customFormat="1">
      <c r="B994" s="66" t="s">
        <v>5634</v>
      </c>
      <c r="C994" s="62" t="s">
        <v>494</v>
      </c>
      <c r="K994" s="55">
        <v>6</v>
      </c>
      <c r="M994">
        <v>1</v>
      </c>
      <c r="N994" s="62"/>
      <c r="O994" s="62"/>
      <c r="P994" s="62"/>
    </row>
    <row r="995" spans="1:16" customFormat="1">
      <c r="B995" s="66" t="s">
        <v>5635</v>
      </c>
      <c r="C995" s="62" t="s">
        <v>494</v>
      </c>
      <c r="K995" s="55">
        <v>7</v>
      </c>
      <c r="L995">
        <v>91</v>
      </c>
      <c r="N995" s="62"/>
      <c r="O995" s="62"/>
      <c r="P995" s="62"/>
    </row>
    <row r="996" spans="1:16" customFormat="1">
      <c r="B996" s="66" t="s">
        <v>5636</v>
      </c>
      <c r="C996" s="62" t="s">
        <v>494</v>
      </c>
      <c r="K996" s="55">
        <v>8</v>
      </c>
      <c r="L996">
        <v>92</v>
      </c>
      <c r="N996" s="62"/>
      <c r="O996" s="62"/>
      <c r="P996" s="62"/>
    </row>
    <row r="997" spans="1:16" customFormat="1">
      <c r="B997" s="66" t="s">
        <v>5637</v>
      </c>
      <c r="C997" s="62" t="s">
        <v>494</v>
      </c>
      <c r="K997" s="55">
        <v>9</v>
      </c>
      <c r="L997">
        <v>7</v>
      </c>
      <c r="N997" s="62"/>
      <c r="O997" s="62"/>
      <c r="P997" s="62"/>
    </row>
    <row r="998" spans="1:16" customFormat="1">
      <c r="B998" s="66" t="s">
        <v>5638</v>
      </c>
      <c r="C998" s="62" t="s">
        <v>494</v>
      </c>
      <c r="K998" s="55">
        <v>10</v>
      </c>
      <c r="L998">
        <v>7</v>
      </c>
      <c r="N998" s="62"/>
      <c r="O998" s="62"/>
      <c r="P998" s="62"/>
    </row>
    <row r="999" spans="1:16" customFormat="1">
      <c r="B999" s="66" t="s">
        <v>5852</v>
      </c>
      <c r="C999" s="62" t="s">
        <v>494</v>
      </c>
      <c r="K999" s="55">
        <v>11</v>
      </c>
      <c r="L999">
        <v>8</v>
      </c>
      <c r="N999" s="62"/>
      <c r="O999" s="62"/>
      <c r="P999" s="62"/>
    </row>
    <row r="1000" spans="1:16" customFormat="1">
      <c r="B1000" s="66" t="s">
        <v>5853</v>
      </c>
      <c r="C1000" s="62" t="s">
        <v>494</v>
      </c>
      <c r="K1000" s="55">
        <v>12</v>
      </c>
      <c r="L1000">
        <v>7</v>
      </c>
      <c r="N1000" s="62"/>
      <c r="O1000" s="62"/>
      <c r="P1000" s="62"/>
    </row>
    <row r="1001" spans="1:16" customFormat="1">
      <c r="B1001" s="66" t="s">
        <v>5980</v>
      </c>
      <c r="C1001" s="62" t="s">
        <v>494</v>
      </c>
      <c r="H1001" s="62" t="s">
        <v>5981</v>
      </c>
      <c r="K1001" s="55">
        <v>13</v>
      </c>
      <c r="L1001">
        <v>3</v>
      </c>
      <c r="N1001" s="62"/>
      <c r="O1001" s="62"/>
      <c r="P1001" s="62"/>
    </row>
    <row r="1002" spans="1:16" customFormat="1">
      <c r="B1002" s="66"/>
      <c r="C1002" s="62"/>
      <c r="N1002" s="62"/>
      <c r="O1002" s="62"/>
      <c r="P1002" s="62"/>
    </row>
    <row r="1003" spans="1:16" customFormat="1">
      <c r="A1003" s="62" t="s">
        <v>5843</v>
      </c>
      <c r="B1003" s="64" t="s">
        <v>5844</v>
      </c>
      <c r="C1003" s="64" t="s">
        <v>494</v>
      </c>
      <c r="E1003" s="62" t="s">
        <v>476</v>
      </c>
      <c r="F1003">
        <v>21</v>
      </c>
      <c r="G1003">
        <v>2151</v>
      </c>
      <c r="H1003" s="62" t="s">
        <v>4443</v>
      </c>
      <c r="J1003">
        <v>2104</v>
      </c>
      <c r="K1003" s="55">
        <v>1</v>
      </c>
      <c r="L1003" s="80">
        <v>52</v>
      </c>
      <c r="M1003" s="10"/>
      <c r="N1003" s="64">
        <v>2144</v>
      </c>
      <c r="O1003" s="66" t="s">
        <v>3213</v>
      </c>
      <c r="P1003" s="66"/>
    </row>
    <row r="1004" spans="1:16" customFormat="1">
      <c r="B1004" s="64" t="s">
        <v>5845</v>
      </c>
      <c r="C1004" s="64" t="s">
        <v>494</v>
      </c>
      <c r="E1004" s="62" t="s">
        <v>476</v>
      </c>
      <c r="K1004" s="55">
        <v>2</v>
      </c>
      <c r="L1004" s="80">
        <v>6</v>
      </c>
      <c r="M1004" s="10"/>
      <c r="O1004" s="66"/>
      <c r="P1004" s="66"/>
    </row>
    <row r="1005" spans="1:16" customFormat="1">
      <c r="B1005" s="64" t="s">
        <v>5846</v>
      </c>
      <c r="C1005" s="64" t="s">
        <v>494</v>
      </c>
      <c r="K1005" s="55">
        <v>3</v>
      </c>
      <c r="L1005" s="80">
        <v>6</v>
      </c>
      <c r="M1005" s="10"/>
      <c r="O1005" s="66"/>
      <c r="P1005" s="66"/>
    </row>
    <row r="1006" spans="1:16" customFormat="1">
      <c r="B1006" s="64" t="s">
        <v>5847</v>
      </c>
      <c r="C1006" s="64" t="s">
        <v>494</v>
      </c>
      <c r="K1006" s="55">
        <v>4</v>
      </c>
      <c r="L1006" s="80">
        <v>3</v>
      </c>
      <c r="M1006" s="10"/>
      <c r="N1006" s="62" t="s">
        <v>5592</v>
      </c>
      <c r="O1006" s="66" t="s">
        <v>5593</v>
      </c>
      <c r="P1006" s="66" t="s">
        <v>5594</v>
      </c>
    </row>
    <row r="1007" spans="1:16" customFormat="1">
      <c r="B1007" s="64" t="s">
        <v>5848</v>
      </c>
      <c r="C1007" s="64" t="s">
        <v>494</v>
      </c>
      <c r="K1007" s="55">
        <v>5</v>
      </c>
      <c r="L1007" s="80">
        <v>3</v>
      </c>
      <c r="M1007" s="10"/>
      <c r="N1007" s="62" t="s">
        <v>5592</v>
      </c>
      <c r="O1007" s="66" t="s">
        <v>5593</v>
      </c>
      <c r="P1007" s="66" t="s">
        <v>5594</v>
      </c>
    </row>
    <row r="1008" spans="1:16" customFormat="1">
      <c r="B1008" s="64" t="s">
        <v>5849</v>
      </c>
      <c r="C1008" s="64" t="s">
        <v>520</v>
      </c>
      <c r="K1008" s="55">
        <v>6</v>
      </c>
      <c r="L1008" s="80"/>
      <c r="M1008" s="10"/>
      <c r="O1008" s="66"/>
      <c r="P1008" s="66"/>
    </row>
    <row r="1009" spans="1:18" customFormat="1">
      <c r="B1009" s="64" t="s">
        <v>5850</v>
      </c>
      <c r="C1009" s="64" t="s">
        <v>494</v>
      </c>
      <c r="K1009" s="55">
        <v>7</v>
      </c>
      <c r="L1009" s="80">
        <v>8</v>
      </c>
      <c r="M1009" s="10"/>
      <c r="O1009" s="66"/>
      <c r="P1009" s="66"/>
    </row>
    <row r="1010" spans="1:18" customFormat="1">
      <c r="B1010" s="64" t="s">
        <v>5851</v>
      </c>
      <c r="C1010" s="64" t="s">
        <v>494</v>
      </c>
      <c r="K1010" s="55">
        <v>8</v>
      </c>
      <c r="L1010" s="80">
        <v>7</v>
      </c>
      <c r="M1010" s="10"/>
      <c r="O1010" s="66"/>
      <c r="P1010" s="66"/>
    </row>
    <row r="1011" spans="1:18" customFormat="1">
      <c r="B1011" s="64"/>
      <c r="C1011" s="64"/>
      <c r="K1011" s="55"/>
      <c r="L1011" s="80"/>
      <c r="M1011" s="10"/>
      <c r="O1011" s="66"/>
      <c r="P1011" s="66"/>
    </row>
    <row r="1012" spans="1:18" customFormat="1">
      <c r="B1012" s="66"/>
      <c r="C1012" s="62"/>
      <c r="N1012" s="62"/>
      <c r="O1012" s="62"/>
      <c r="P1012" s="62"/>
    </row>
    <row r="1013" spans="1:18" s="3" customFormat="1">
      <c r="A1013" s="64" t="s">
        <v>5907</v>
      </c>
      <c r="B1013" s="64" t="s">
        <v>5908</v>
      </c>
      <c r="C1013" s="64" t="s">
        <v>494</v>
      </c>
      <c r="D1013" s="62"/>
      <c r="E1013" s="62" t="s">
        <v>476</v>
      </c>
      <c r="F1013" s="62">
        <v>21</v>
      </c>
      <c r="G1013" s="62">
        <v>2148</v>
      </c>
      <c r="H1013" s="62" t="s">
        <v>5644</v>
      </c>
      <c r="I1013" s="62" t="s">
        <v>5645</v>
      </c>
      <c r="J1013" s="62">
        <v>2104</v>
      </c>
      <c r="K1013" s="76">
        <v>1</v>
      </c>
      <c r="L1013" s="62">
        <v>3</v>
      </c>
      <c r="M1013" s="62"/>
      <c r="N1013" t="s">
        <v>5567</v>
      </c>
      <c r="O1013" s="64" t="s">
        <v>5569</v>
      </c>
      <c r="P1013" s="62" t="s">
        <v>5571</v>
      </c>
      <c r="Q1013" s="12"/>
      <c r="R1013" s="12"/>
    </row>
    <row r="1014" spans="1:18" s="3" customFormat="1">
      <c r="A1014" s="64"/>
      <c r="B1014" s="64" t="s">
        <v>5910</v>
      </c>
      <c r="C1014" s="64" t="s">
        <v>494</v>
      </c>
      <c r="D1014" s="62"/>
      <c r="E1014" s="62" t="s">
        <v>476</v>
      </c>
      <c r="F1014" s="62"/>
      <c r="G1014" s="62"/>
      <c r="H1014" s="62"/>
      <c r="I1014" s="62"/>
      <c r="J1014" s="62"/>
      <c r="K1014" s="76">
        <v>2</v>
      </c>
      <c r="L1014" s="62">
        <v>3</v>
      </c>
      <c r="M1014" s="62"/>
      <c r="N1014" s="62" t="s">
        <v>693</v>
      </c>
      <c r="O1014" s="1" t="s">
        <v>695</v>
      </c>
      <c r="P1014" s="1" t="s">
        <v>696</v>
      </c>
      <c r="Q1014" s="12"/>
      <c r="R1014" s="12"/>
    </row>
    <row r="1015" spans="1:18" s="3" customFormat="1">
      <c r="A1015" s="64"/>
      <c r="B1015" s="64" t="s">
        <v>5911</v>
      </c>
      <c r="C1015" s="64" t="s">
        <v>494</v>
      </c>
      <c r="D1015" s="62"/>
      <c r="E1015" s="62" t="s">
        <v>476</v>
      </c>
      <c r="F1015" s="62"/>
      <c r="G1015" s="62"/>
      <c r="H1015" s="62"/>
      <c r="I1015" s="62"/>
      <c r="J1015" s="62"/>
      <c r="K1015" s="76">
        <v>3</v>
      </c>
      <c r="L1015" s="62">
        <v>3</v>
      </c>
      <c r="M1015" s="62">
        <v>31</v>
      </c>
      <c r="N1015" s="62" t="s">
        <v>379</v>
      </c>
      <c r="O1015" s="62" t="s">
        <v>698</v>
      </c>
      <c r="P1015" s="1" t="s">
        <v>699</v>
      </c>
      <c r="Q1015" s="62" t="s">
        <v>383</v>
      </c>
      <c r="R1015" s="14">
        <v>2</v>
      </c>
    </row>
    <row r="1016" spans="1:18" s="3" customFormat="1">
      <c r="A1016" s="64"/>
      <c r="B1016" s="64" t="s">
        <v>5912</v>
      </c>
      <c r="C1016" s="64" t="s">
        <v>494</v>
      </c>
      <c r="D1016" s="62"/>
      <c r="E1016" s="62" t="s">
        <v>476</v>
      </c>
      <c r="F1016" s="62"/>
      <c r="G1016" s="62"/>
      <c r="H1016" s="62"/>
      <c r="I1016" s="62"/>
      <c r="J1016" s="62"/>
      <c r="K1016" s="76">
        <v>4</v>
      </c>
      <c r="L1016" s="62">
        <v>6</v>
      </c>
      <c r="M1016" s="62"/>
      <c r="N1016" s="62"/>
      <c r="O1016" s="62"/>
      <c r="P1016" s="62"/>
      <c r="Q1016" s="12"/>
      <c r="R1016" s="12"/>
    </row>
    <row r="1017" spans="1:18" s="3" customFormat="1">
      <c r="A1017" s="64"/>
      <c r="B1017" s="64" t="s">
        <v>5913</v>
      </c>
      <c r="C1017" s="64" t="s">
        <v>494</v>
      </c>
      <c r="D1017" s="62"/>
      <c r="E1017" s="62"/>
      <c r="F1017" s="62"/>
      <c r="G1017" s="62"/>
      <c r="H1017" s="62"/>
      <c r="I1017" s="62"/>
      <c r="J1017" s="62"/>
      <c r="K1017" s="76">
        <v>5</v>
      </c>
      <c r="L1017" s="62">
        <v>6</v>
      </c>
      <c r="M1017" s="62"/>
      <c r="N1017" s="62"/>
      <c r="O1017" s="62"/>
      <c r="P1017" s="62"/>
      <c r="Q1017" s="12"/>
      <c r="R1017" s="12"/>
    </row>
    <row r="1018" spans="1:18" s="3" customFormat="1">
      <c r="A1018" s="64"/>
      <c r="B1018" s="64" t="s">
        <v>5916</v>
      </c>
      <c r="C1018" s="64" t="s">
        <v>493</v>
      </c>
      <c r="D1018" s="62">
        <v>1</v>
      </c>
      <c r="E1018" s="62"/>
      <c r="F1018" s="62"/>
      <c r="G1018" s="62"/>
      <c r="H1018" s="62"/>
      <c r="I1018" s="62"/>
      <c r="J1018" s="62"/>
      <c r="K1018" s="76">
        <v>6</v>
      </c>
      <c r="L1018" s="62">
        <v>30</v>
      </c>
      <c r="M1018" s="62"/>
      <c r="N1018" s="62"/>
      <c r="O1018" s="62"/>
      <c r="P1018" s="62"/>
      <c r="Q1018" s="12"/>
      <c r="R1018" s="12"/>
    </row>
    <row r="1019" spans="1:18" s="3" customFormat="1">
      <c r="A1019" s="64"/>
      <c r="B1019" s="64" t="s">
        <v>5919</v>
      </c>
      <c r="C1019" s="64" t="s">
        <v>493</v>
      </c>
      <c r="D1019" s="62">
        <v>1</v>
      </c>
      <c r="E1019" s="62"/>
      <c r="F1019" s="62"/>
      <c r="G1019" s="62"/>
      <c r="H1019" s="62"/>
      <c r="I1019" s="62"/>
      <c r="J1019" s="62"/>
      <c r="K1019" s="76">
        <v>7</v>
      </c>
      <c r="L1019" s="62">
        <v>3</v>
      </c>
      <c r="M1019" s="62">
        <v>1</v>
      </c>
      <c r="N1019" s="62"/>
      <c r="O1019" s="62"/>
      <c r="P1019" s="62"/>
      <c r="Q1019" s="12"/>
      <c r="R1019" s="12"/>
    </row>
    <row r="1020" spans="1:18" s="3" customFormat="1">
      <c r="A1020" s="64"/>
      <c r="B1020" s="64" t="s">
        <v>5914</v>
      </c>
      <c r="C1020" s="64" t="s">
        <v>494</v>
      </c>
      <c r="D1020" s="62"/>
      <c r="E1020" s="62"/>
      <c r="F1020" s="62"/>
      <c r="G1020" s="62"/>
      <c r="H1020" s="62"/>
      <c r="I1020" s="62"/>
      <c r="J1020" s="62"/>
      <c r="K1020" s="76">
        <v>8</v>
      </c>
      <c r="L1020" s="62">
        <v>8</v>
      </c>
      <c r="M1020" s="62"/>
      <c r="N1020" s="62"/>
      <c r="O1020" s="62"/>
      <c r="P1020" s="62"/>
      <c r="Q1020" s="12"/>
      <c r="R1020" s="12"/>
    </row>
    <row r="1021" spans="1:18" s="3" customFormat="1">
      <c r="A1021" s="64"/>
      <c r="B1021" s="64" t="s">
        <v>5922</v>
      </c>
      <c r="C1021" s="64" t="s">
        <v>494</v>
      </c>
      <c r="D1021" s="62"/>
      <c r="E1021" s="62"/>
      <c r="F1021" s="62"/>
      <c r="G1021" s="62"/>
      <c r="H1021" s="62"/>
      <c r="I1021" s="62"/>
      <c r="J1021" s="62"/>
      <c r="K1021" s="76">
        <v>9</v>
      </c>
      <c r="L1021" s="62">
        <v>3</v>
      </c>
      <c r="M1021" s="62">
        <v>31</v>
      </c>
      <c r="N1021" s="62" t="s">
        <v>1906</v>
      </c>
      <c r="O1021" s="62" t="s">
        <v>1908</v>
      </c>
      <c r="P1021" s="62" t="s">
        <v>1909</v>
      </c>
      <c r="Q1021" s="62" t="s">
        <v>1911</v>
      </c>
      <c r="R1021" s="14">
        <v>3</v>
      </c>
    </row>
    <row r="1022" spans="1:18" s="3" customFormat="1">
      <c r="A1022" s="64"/>
      <c r="B1022" s="64" t="s">
        <v>5915</v>
      </c>
      <c r="C1022" s="64" t="s">
        <v>494</v>
      </c>
      <c r="D1022" s="62"/>
      <c r="E1022" s="62"/>
      <c r="F1022" s="62"/>
      <c r="G1022" s="62"/>
      <c r="H1022" s="62"/>
      <c r="I1022" s="62"/>
      <c r="J1022" s="62"/>
      <c r="K1022" s="76">
        <v>10</v>
      </c>
      <c r="L1022" s="62"/>
      <c r="M1022" s="62"/>
      <c r="N1022" s="62"/>
      <c r="O1022" s="62"/>
      <c r="P1022" s="62"/>
      <c r="Q1022" s="12"/>
      <c r="R1022" s="12"/>
    </row>
    <row r="1023" spans="1:18" s="3" customFormat="1">
      <c r="A1023" s="64"/>
      <c r="B1023" s="64" t="s">
        <v>5918</v>
      </c>
      <c r="C1023" s="64" t="s">
        <v>494</v>
      </c>
      <c r="D1023" s="62"/>
      <c r="E1023" s="62"/>
      <c r="F1023" s="62"/>
      <c r="G1023" s="62"/>
      <c r="H1023" s="62"/>
      <c r="I1023" s="62"/>
      <c r="J1023" s="62"/>
      <c r="K1023" s="76">
        <v>11</v>
      </c>
      <c r="L1023" s="62"/>
      <c r="M1023" s="62">
        <v>1</v>
      </c>
      <c r="N1023" s="62"/>
      <c r="O1023" s="62"/>
      <c r="P1023" s="62"/>
      <c r="Q1023" s="12"/>
      <c r="R1023" s="12"/>
    </row>
    <row r="1024" spans="1:18" s="3" customFormat="1">
      <c r="A1024" s="64"/>
      <c r="B1024" s="64" t="s">
        <v>5920</v>
      </c>
      <c r="C1024" s="64" t="s">
        <v>494</v>
      </c>
      <c r="D1024" s="62"/>
      <c r="E1024" s="62"/>
      <c r="F1024" s="62"/>
      <c r="G1024" s="62"/>
      <c r="H1024" s="62"/>
      <c r="I1024" s="62"/>
      <c r="J1024" s="62"/>
      <c r="K1024" s="76">
        <v>12</v>
      </c>
      <c r="L1024" s="62"/>
      <c r="M1024" s="62">
        <v>1</v>
      </c>
      <c r="N1024" s="62"/>
      <c r="O1024" s="62"/>
      <c r="P1024" s="62"/>
      <c r="Q1024" s="12"/>
      <c r="R1024" s="12"/>
    </row>
    <row r="1025" spans="1:18" s="3" customFormat="1">
      <c r="A1025" s="64"/>
      <c r="B1025" s="64" t="s">
        <v>5921</v>
      </c>
      <c r="C1025" s="64" t="s">
        <v>494</v>
      </c>
      <c r="D1025" s="62"/>
      <c r="E1025" s="62"/>
      <c r="F1025" s="62"/>
      <c r="G1025" s="62"/>
      <c r="H1025" s="62"/>
      <c r="I1025" s="62"/>
      <c r="J1025" s="62"/>
      <c r="K1025" s="76">
        <v>13</v>
      </c>
      <c r="L1025" s="62"/>
      <c r="M1025" s="62">
        <v>1</v>
      </c>
      <c r="N1025" s="62"/>
      <c r="O1025" s="62"/>
      <c r="P1025" s="62"/>
      <c r="Q1025" s="12"/>
      <c r="R1025" s="12"/>
    </row>
    <row r="1026" spans="1:18" s="3" customFormat="1">
      <c r="A1026" s="64"/>
      <c r="B1026" s="64" t="s">
        <v>5923</v>
      </c>
      <c r="C1026" s="64" t="s">
        <v>494</v>
      </c>
      <c r="D1026" s="62"/>
      <c r="E1026" s="62"/>
      <c r="F1026" s="62"/>
      <c r="G1026" s="62"/>
      <c r="H1026" s="62"/>
      <c r="I1026" s="62"/>
      <c r="J1026" s="62"/>
      <c r="K1026" s="76">
        <v>14</v>
      </c>
      <c r="L1026" s="62">
        <v>7</v>
      </c>
      <c r="M1026" s="62"/>
      <c r="N1026" s="62"/>
      <c r="O1026" s="62"/>
      <c r="P1026" s="62"/>
      <c r="Q1026" s="12"/>
      <c r="R1026" s="12"/>
    </row>
    <row r="1027" spans="1:18" s="3" customFormat="1">
      <c r="A1027" s="64"/>
      <c r="B1027" s="64" t="s">
        <v>5924</v>
      </c>
      <c r="C1027" s="64" t="s">
        <v>494</v>
      </c>
      <c r="D1027" s="62"/>
      <c r="E1027" s="62"/>
      <c r="F1027" s="62"/>
      <c r="G1027" s="62"/>
      <c r="H1027" s="62"/>
      <c r="I1027" s="62"/>
      <c r="J1027" s="62"/>
      <c r="K1027" s="76">
        <v>15</v>
      </c>
      <c r="L1027" s="62">
        <v>7</v>
      </c>
      <c r="M1027" s="62"/>
      <c r="N1027" s="62"/>
      <c r="O1027" s="62"/>
      <c r="P1027" s="62"/>
      <c r="Q1027" s="12"/>
      <c r="R1027" s="12"/>
    </row>
    <row r="1028" spans="1:18" s="3" customFormat="1">
      <c r="A1028" s="64"/>
      <c r="B1028" s="64" t="s">
        <v>5917</v>
      </c>
      <c r="C1028" s="64" t="s">
        <v>494</v>
      </c>
      <c r="D1028" s="62"/>
      <c r="E1028" s="62"/>
      <c r="F1028" s="62"/>
      <c r="G1028" s="62"/>
      <c r="H1028" s="62"/>
      <c r="I1028" s="62"/>
      <c r="J1028" s="62"/>
      <c r="K1028" s="76">
        <v>16</v>
      </c>
      <c r="L1028" s="62"/>
      <c r="M1028" s="62">
        <v>1</v>
      </c>
      <c r="N1028" s="62"/>
      <c r="O1028" s="62"/>
      <c r="P1028" s="62"/>
      <c r="Q1028" s="12"/>
      <c r="R1028" s="12"/>
    </row>
    <row r="1029" spans="1:18" s="3" customFormat="1">
      <c r="A1029" s="64"/>
      <c r="B1029" s="64" t="s">
        <v>5909</v>
      </c>
      <c r="C1029" s="64" t="s">
        <v>494</v>
      </c>
      <c r="D1029" s="62"/>
      <c r="E1029" s="62"/>
      <c r="F1029" s="62"/>
      <c r="G1029" s="62"/>
      <c r="H1029" s="62"/>
      <c r="I1029" s="62"/>
      <c r="J1029" s="62"/>
      <c r="K1029" s="76">
        <v>17</v>
      </c>
      <c r="L1029" s="62">
        <v>3</v>
      </c>
      <c r="M1029" s="62"/>
      <c r="N1029" s="62" t="s">
        <v>1038</v>
      </c>
      <c r="O1029" s="23" t="s">
        <v>1040</v>
      </c>
      <c r="P1029" s="60" t="s">
        <v>1041</v>
      </c>
      <c r="Q1029" s="23"/>
      <c r="R1029" s="14">
        <v>140</v>
      </c>
    </row>
    <row r="1030" spans="1:18" s="7" customFormat="1">
      <c r="A1030" s="64"/>
      <c r="B1030" s="64"/>
      <c r="C1030" s="64"/>
      <c r="K1030" s="113"/>
      <c r="O1030" s="66"/>
      <c r="P1030" s="66"/>
    </row>
    <row r="1031" spans="1:18" s="7" customFormat="1">
      <c r="A1031" s="64" t="s">
        <v>5947</v>
      </c>
      <c r="B1031" s="64" t="s">
        <v>5948</v>
      </c>
      <c r="C1031" s="64" t="s">
        <v>494</v>
      </c>
      <c r="E1031" s="7" t="s">
        <v>476</v>
      </c>
      <c r="F1031" s="7">
        <v>21</v>
      </c>
      <c r="G1031" s="7">
        <v>2152</v>
      </c>
      <c r="H1031" s="7" t="s">
        <v>5942</v>
      </c>
      <c r="J1031" s="7">
        <v>2104</v>
      </c>
      <c r="K1031" s="113">
        <v>1</v>
      </c>
      <c r="L1031" s="7">
        <v>52</v>
      </c>
      <c r="N1031" s="7">
        <v>2148</v>
      </c>
      <c r="O1031" s="66" t="s">
        <v>5913</v>
      </c>
      <c r="P1031" s="66"/>
    </row>
    <row r="1032" spans="1:18" s="7" customFormat="1">
      <c r="A1032" s="64"/>
      <c r="B1032" s="64" t="s">
        <v>5949</v>
      </c>
      <c r="C1032" s="64" t="s">
        <v>494</v>
      </c>
      <c r="E1032" s="7" t="s">
        <v>476</v>
      </c>
      <c r="K1032" s="113">
        <v>2</v>
      </c>
      <c r="L1032" s="7">
        <v>6</v>
      </c>
      <c r="O1032" s="66"/>
      <c r="P1032" s="66"/>
    </row>
    <row r="1033" spans="1:18" s="7" customFormat="1">
      <c r="A1033" s="64"/>
      <c r="B1033" s="64" t="s">
        <v>5950</v>
      </c>
      <c r="C1033" s="64" t="s">
        <v>494</v>
      </c>
      <c r="K1033" s="113">
        <v>3</v>
      </c>
      <c r="L1033" s="7">
        <v>6</v>
      </c>
      <c r="O1033" s="66"/>
      <c r="P1033" s="66"/>
    </row>
    <row r="1034" spans="1:18" s="7" customFormat="1">
      <c r="A1034" s="64"/>
      <c r="B1034" s="64" t="s">
        <v>5951</v>
      </c>
      <c r="C1034" s="64" t="s">
        <v>494</v>
      </c>
      <c r="K1034" s="113">
        <v>4</v>
      </c>
      <c r="L1034" s="7">
        <v>3</v>
      </c>
      <c r="N1034" s="62" t="s">
        <v>5943</v>
      </c>
      <c r="O1034" s="60" t="s">
        <v>5944</v>
      </c>
      <c r="P1034" s="60" t="s">
        <v>5945</v>
      </c>
    </row>
    <row r="1035" spans="1:18" s="7" customFormat="1">
      <c r="A1035" s="64"/>
      <c r="B1035" s="64" t="s">
        <v>5952</v>
      </c>
      <c r="C1035" s="64" t="s">
        <v>494</v>
      </c>
      <c r="K1035" s="113">
        <v>5</v>
      </c>
      <c r="M1035" s="7">
        <v>71</v>
      </c>
      <c r="O1035" s="66"/>
      <c r="P1035" s="66"/>
    </row>
    <row r="1036" spans="1:18" s="7" customFormat="1">
      <c r="A1036" s="64"/>
      <c r="B1036" s="64" t="s">
        <v>5953</v>
      </c>
      <c r="C1036" s="64" t="s">
        <v>494</v>
      </c>
      <c r="K1036" s="113">
        <v>6</v>
      </c>
      <c r="M1036" s="7">
        <v>72</v>
      </c>
      <c r="O1036" s="66"/>
      <c r="P1036" s="66"/>
    </row>
    <row r="1037" spans="1:18" s="7" customFormat="1">
      <c r="A1037" s="64"/>
      <c r="B1037" s="64" t="s">
        <v>5954</v>
      </c>
      <c r="C1037" s="64" t="s">
        <v>494</v>
      </c>
      <c r="K1037" s="113">
        <v>7</v>
      </c>
      <c r="M1037" s="7">
        <v>71</v>
      </c>
      <c r="O1037" s="66"/>
      <c r="P1037" s="66"/>
    </row>
    <row r="1038" spans="1:18" s="7" customFormat="1">
      <c r="A1038" s="64"/>
      <c r="B1038" s="64" t="s">
        <v>5955</v>
      </c>
      <c r="C1038" s="64" t="s">
        <v>494</v>
      </c>
      <c r="K1038" s="113">
        <v>8</v>
      </c>
      <c r="M1038" s="7">
        <v>72</v>
      </c>
      <c r="O1038" s="66"/>
      <c r="P1038" s="66"/>
    </row>
    <row r="1039" spans="1:18" s="7" customFormat="1">
      <c r="A1039" s="64"/>
      <c r="B1039" s="64"/>
      <c r="C1039" s="64"/>
      <c r="K1039" s="113"/>
      <c r="O1039" s="66"/>
      <c r="P1039" s="66"/>
    </row>
    <row r="1040" spans="1:18" s="7" customFormat="1">
      <c r="A1040" s="64" t="s">
        <v>5702</v>
      </c>
      <c r="B1040" s="64" t="s">
        <v>5703</v>
      </c>
      <c r="C1040" s="64" t="s">
        <v>494</v>
      </c>
      <c r="E1040" s="108" t="s">
        <v>476</v>
      </c>
      <c r="F1040" s="7">
        <v>21</v>
      </c>
      <c r="G1040" s="7">
        <v>2150</v>
      </c>
      <c r="H1040" s="64" t="s">
        <v>5710</v>
      </c>
      <c r="J1040" s="7">
        <v>2104</v>
      </c>
      <c r="K1040" s="113">
        <v>1</v>
      </c>
      <c r="L1040" s="7">
        <v>52</v>
      </c>
      <c r="N1040" s="7">
        <v>2148</v>
      </c>
      <c r="O1040" s="66" t="s">
        <v>5913</v>
      </c>
      <c r="P1040" s="66"/>
    </row>
    <row r="1041" spans="1:16" s="7" customFormat="1">
      <c r="A1041" s="64"/>
      <c r="B1041" s="64" t="s">
        <v>5704</v>
      </c>
      <c r="C1041" s="64" t="s">
        <v>494</v>
      </c>
      <c r="E1041" s="64" t="s">
        <v>476</v>
      </c>
      <c r="K1041" s="113">
        <v>2</v>
      </c>
      <c r="O1041" s="66"/>
      <c r="P1041" s="66"/>
    </row>
    <row r="1042" spans="1:16" s="7" customFormat="1">
      <c r="A1042" s="64"/>
      <c r="B1042" s="64" t="s">
        <v>5705</v>
      </c>
      <c r="C1042" s="64" t="s">
        <v>494</v>
      </c>
      <c r="K1042" s="113">
        <v>3</v>
      </c>
      <c r="O1042" s="66"/>
      <c r="P1042" s="66"/>
    </row>
    <row r="1043" spans="1:16" s="7" customFormat="1">
      <c r="A1043" s="64"/>
      <c r="B1043" s="64" t="s">
        <v>5706</v>
      </c>
      <c r="C1043" s="64" t="s">
        <v>494</v>
      </c>
      <c r="K1043" s="113">
        <v>4</v>
      </c>
      <c r="L1043" s="7">
        <v>3</v>
      </c>
      <c r="N1043" s="62" t="s">
        <v>5943</v>
      </c>
      <c r="O1043" s="60" t="s">
        <v>5944</v>
      </c>
      <c r="P1043" s="60" t="s">
        <v>5945</v>
      </c>
    </row>
    <row r="1044" spans="1:16" s="7" customFormat="1">
      <c r="A1044" s="64"/>
      <c r="B1044" s="64" t="s">
        <v>5707</v>
      </c>
      <c r="C1044" s="64" t="s">
        <v>494</v>
      </c>
      <c r="K1044" s="113">
        <v>5</v>
      </c>
      <c r="L1044" s="7">
        <v>7</v>
      </c>
      <c r="O1044" s="66"/>
      <c r="P1044" s="66"/>
    </row>
    <row r="1045" spans="1:16" s="7" customFormat="1">
      <c r="A1045" s="64"/>
      <c r="B1045" s="64" t="s">
        <v>5938</v>
      </c>
      <c r="C1045" s="64" t="s">
        <v>494</v>
      </c>
      <c r="K1045" s="113">
        <v>6</v>
      </c>
      <c r="M1045" s="7">
        <v>71</v>
      </c>
      <c r="O1045" s="66"/>
      <c r="P1045" s="66"/>
    </row>
    <row r="1046" spans="1:16" s="7" customFormat="1">
      <c r="A1046" s="64"/>
      <c r="B1046" s="64" t="s">
        <v>5939</v>
      </c>
      <c r="C1046" s="64" t="s">
        <v>494</v>
      </c>
      <c r="K1046" s="113">
        <v>7</v>
      </c>
      <c r="M1046" s="7">
        <v>72</v>
      </c>
      <c r="O1046" s="66"/>
      <c r="P1046" s="66"/>
    </row>
    <row r="1047" spans="1:16" s="7" customFormat="1">
      <c r="A1047" s="64"/>
      <c r="B1047" s="64" t="s">
        <v>5940</v>
      </c>
      <c r="C1047" s="64" t="s">
        <v>494</v>
      </c>
      <c r="K1047" s="113">
        <v>8</v>
      </c>
      <c r="M1047" s="7">
        <v>71</v>
      </c>
      <c r="O1047" s="66"/>
      <c r="P1047" s="66"/>
    </row>
    <row r="1048" spans="1:16" s="7" customFormat="1">
      <c r="A1048" s="64"/>
      <c r="B1048" s="64" t="s">
        <v>5941</v>
      </c>
      <c r="C1048" s="64" t="s">
        <v>494</v>
      </c>
      <c r="K1048" s="113">
        <v>9</v>
      </c>
      <c r="M1048" s="7">
        <v>72</v>
      </c>
      <c r="O1048" s="66"/>
      <c r="P1048" s="66"/>
    </row>
    <row r="1049" spans="1:16" s="7" customFormat="1">
      <c r="A1049" s="64"/>
      <c r="B1049" s="64" t="s">
        <v>5708</v>
      </c>
      <c r="C1049" s="64" t="s">
        <v>494</v>
      </c>
      <c r="H1049" s="7" t="s">
        <v>5937</v>
      </c>
      <c r="K1049" s="113">
        <v>10</v>
      </c>
      <c r="L1049" s="7">
        <v>3</v>
      </c>
      <c r="O1049" s="66"/>
      <c r="P1049" s="66"/>
    </row>
    <row r="1050" spans="1:16" s="7" customFormat="1">
      <c r="A1050" s="64"/>
      <c r="B1050" s="64" t="s">
        <v>5709</v>
      </c>
      <c r="C1050" s="64" t="s">
        <v>520</v>
      </c>
      <c r="K1050" s="113">
        <v>11</v>
      </c>
      <c r="O1050" s="66"/>
      <c r="P1050" s="66"/>
    </row>
    <row r="1051" spans="1:16" customFormat="1">
      <c r="B1051" s="66"/>
      <c r="C1051" s="62"/>
      <c r="N1051" s="62"/>
      <c r="O1051" s="62"/>
      <c r="P1051" s="62"/>
    </row>
    <row r="1052" spans="1:16" customFormat="1">
      <c r="A1052" s="62" t="s">
        <v>5646</v>
      </c>
      <c r="B1052" s="66" t="s">
        <v>5647</v>
      </c>
      <c r="C1052" s="62" t="s">
        <v>494</v>
      </c>
      <c r="E1052" s="62" t="s">
        <v>476</v>
      </c>
      <c r="F1052">
        <v>21</v>
      </c>
      <c r="G1052">
        <v>2149</v>
      </c>
      <c r="H1052" s="62" t="s">
        <v>5711</v>
      </c>
      <c r="J1052">
        <v>2104</v>
      </c>
      <c r="K1052" s="113">
        <v>1</v>
      </c>
      <c r="L1052">
        <v>52</v>
      </c>
      <c r="N1052" s="7">
        <v>2148</v>
      </c>
      <c r="O1052" s="66" t="s">
        <v>5913</v>
      </c>
      <c r="P1052" s="62"/>
    </row>
    <row r="1053" spans="1:16" customFormat="1">
      <c r="B1053" s="66" t="s">
        <v>5648</v>
      </c>
      <c r="C1053" s="62" t="s">
        <v>494</v>
      </c>
      <c r="K1053" s="113">
        <v>2</v>
      </c>
      <c r="L1053">
        <v>6</v>
      </c>
      <c r="N1053" s="62"/>
      <c r="O1053" s="62"/>
      <c r="P1053" s="62"/>
    </row>
    <row r="1054" spans="1:16" customFormat="1">
      <c r="B1054" s="66" t="s">
        <v>5653</v>
      </c>
      <c r="C1054" s="62" t="s">
        <v>494</v>
      </c>
      <c r="K1054" s="113">
        <v>3</v>
      </c>
      <c r="L1054">
        <v>3</v>
      </c>
      <c r="N1054" s="62"/>
      <c r="O1054" s="62"/>
      <c r="P1054" s="62"/>
    </row>
    <row r="1055" spans="1:16" customFormat="1">
      <c r="B1055" s="66" t="s">
        <v>5649</v>
      </c>
      <c r="C1055" s="62" t="s">
        <v>494</v>
      </c>
      <c r="K1055" s="113">
        <v>4</v>
      </c>
      <c r="L1055">
        <v>8</v>
      </c>
      <c r="N1055" s="62"/>
      <c r="O1055" s="62"/>
      <c r="P1055" s="62"/>
    </row>
    <row r="1056" spans="1:16" customFormat="1">
      <c r="B1056" s="66" t="s">
        <v>5652</v>
      </c>
      <c r="C1056" s="62" t="s">
        <v>494</v>
      </c>
      <c r="K1056" s="113">
        <v>5</v>
      </c>
      <c r="M1056">
        <v>2</v>
      </c>
      <c r="N1056" s="62"/>
      <c r="O1056" s="62"/>
      <c r="P1056" s="62"/>
    </row>
    <row r="1057" spans="2:16" customFormat="1">
      <c r="B1057" s="66" t="s">
        <v>5932</v>
      </c>
      <c r="C1057" s="62" t="s">
        <v>494</v>
      </c>
      <c r="H1057" t="s">
        <v>5933</v>
      </c>
      <c r="K1057" s="113">
        <v>6</v>
      </c>
      <c r="N1057" s="62"/>
      <c r="O1057" s="62"/>
      <c r="P1057" s="62"/>
    </row>
    <row r="1058" spans="2:16" customFormat="1">
      <c r="B1058" s="66" t="s">
        <v>5925</v>
      </c>
      <c r="C1058" s="62" t="s">
        <v>494</v>
      </c>
      <c r="K1058" s="113">
        <v>7</v>
      </c>
      <c r="N1058" s="62"/>
      <c r="O1058" s="62"/>
      <c r="P1058" s="62"/>
    </row>
    <row r="1059" spans="2:16" customFormat="1">
      <c r="B1059" s="66" t="s">
        <v>5926</v>
      </c>
      <c r="C1059" s="62" t="s">
        <v>494</v>
      </c>
      <c r="K1059" s="113">
        <v>8</v>
      </c>
      <c r="N1059" s="62"/>
      <c r="O1059" s="62"/>
      <c r="P1059" s="62"/>
    </row>
    <row r="1060" spans="2:16" customFormat="1">
      <c r="B1060" s="66" t="s">
        <v>5927</v>
      </c>
      <c r="C1060" s="62" t="s">
        <v>494</v>
      </c>
      <c r="K1060" s="113">
        <v>9</v>
      </c>
      <c r="N1060" s="62"/>
      <c r="O1060" s="62"/>
      <c r="P1060" s="62"/>
    </row>
    <row r="1061" spans="2:16" customFormat="1">
      <c r="B1061" s="66" t="s">
        <v>5928</v>
      </c>
      <c r="C1061" s="62" t="s">
        <v>494</v>
      </c>
      <c r="K1061" s="113">
        <v>10</v>
      </c>
      <c r="N1061" s="62"/>
      <c r="O1061" s="62"/>
      <c r="P1061" s="62"/>
    </row>
    <row r="1062" spans="2:16" customFormat="1">
      <c r="B1062" s="66" t="s">
        <v>5929</v>
      </c>
      <c r="C1062" s="62" t="s">
        <v>520</v>
      </c>
      <c r="K1062" s="113">
        <v>11</v>
      </c>
      <c r="N1062" s="62"/>
      <c r="O1062" s="62"/>
      <c r="P1062" s="62"/>
    </row>
    <row r="1063" spans="2:16" customFormat="1">
      <c r="B1063" s="66" t="s">
        <v>5930</v>
      </c>
      <c r="C1063" s="62" t="s">
        <v>494</v>
      </c>
      <c r="K1063" s="113">
        <v>12</v>
      </c>
      <c r="N1063" s="62"/>
      <c r="O1063" s="62"/>
      <c r="P1063" s="62"/>
    </row>
    <row r="1064" spans="2:16" customFormat="1">
      <c r="B1064" s="66" t="s">
        <v>5931</v>
      </c>
      <c r="C1064" s="62" t="s">
        <v>494</v>
      </c>
      <c r="K1064" s="113">
        <v>13</v>
      </c>
      <c r="N1064" s="62"/>
      <c r="O1064" s="62"/>
      <c r="P1064" s="62"/>
    </row>
    <row r="1065" spans="2:16" customFormat="1">
      <c r="B1065" s="66" t="s">
        <v>5650</v>
      </c>
      <c r="C1065" s="62" t="s">
        <v>494</v>
      </c>
      <c r="H1065" t="s">
        <v>5906</v>
      </c>
      <c r="K1065" s="113">
        <v>14</v>
      </c>
      <c r="M1065">
        <v>2</v>
      </c>
      <c r="N1065" s="62"/>
      <c r="O1065" s="62"/>
      <c r="P1065" s="62"/>
    </row>
    <row r="1066" spans="2:16" customFormat="1">
      <c r="B1066" s="66" t="s">
        <v>5651</v>
      </c>
      <c r="C1066" s="62" t="s">
        <v>494</v>
      </c>
      <c r="K1066" s="113">
        <v>15</v>
      </c>
      <c r="M1066">
        <v>2</v>
      </c>
      <c r="N1066" s="62"/>
      <c r="O1066" s="62"/>
      <c r="P1066" s="62"/>
    </row>
    <row r="1067" spans="2:16" customFormat="1">
      <c r="B1067" s="66" t="s">
        <v>5654</v>
      </c>
      <c r="C1067" s="62" t="s">
        <v>494</v>
      </c>
      <c r="K1067" s="113">
        <v>16</v>
      </c>
      <c r="M1067">
        <v>2</v>
      </c>
      <c r="N1067" s="62"/>
      <c r="O1067" s="62"/>
      <c r="P1067" s="62"/>
    </row>
    <row r="1068" spans="2:16" customFormat="1">
      <c r="B1068" s="66" t="s">
        <v>5655</v>
      </c>
      <c r="C1068" s="62" t="s">
        <v>494</v>
      </c>
      <c r="K1068" s="113">
        <v>17</v>
      </c>
      <c r="M1068">
        <v>2</v>
      </c>
      <c r="N1068" s="62"/>
      <c r="O1068" s="62"/>
      <c r="P1068" s="62"/>
    </row>
    <row r="1069" spans="2:16" customFormat="1">
      <c r="B1069" s="66" t="s">
        <v>5656</v>
      </c>
      <c r="C1069" s="62" t="s">
        <v>494</v>
      </c>
      <c r="K1069" s="113">
        <v>18</v>
      </c>
      <c r="M1069">
        <v>2</v>
      </c>
      <c r="N1069" s="62"/>
      <c r="O1069" s="62"/>
      <c r="P1069" s="62"/>
    </row>
    <row r="1070" spans="2:16" customFormat="1">
      <c r="B1070" s="66" t="s">
        <v>5657</v>
      </c>
      <c r="C1070" s="62" t="s">
        <v>494</v>
      </c>
      <c r="K1070" s="113">
        <v>19</v>
      </c>
      <c r="M1070">
        <v>2</v>
      </c>
      <c r="N1070" s="62"/>
      <c r="O1070" s="62"/>
      <c r="P1070" s="62"/>
    </row>
    <row r="1071" spans="2:16" customFormat="1">
      <c r="B1071" s="66" t="s">
        <v>5658</v>
      </c>
      <c r="C1071" s="62" t="s">
        <v>494</v>
      </c>
      <c r="K1071" s="113">
        <v>20</v>
      </c>
      <c r="M1071">
        <v>2</v>
      </c>
      <c r="N1071" s="62"/>
      <c r="O1071" s="62"/>
      <c r="P1071" s="62"/>
    </row>
    <row r="1072" spans="2:16" customFormat="1">
      <c r="B1072" s="66" t="s">
        <v>5659</v>
      </c>
      <c r="C1072" s="62" t="s">
        <v>494</v>
      </c>
      <c r="K1072" s="113">
        <v>21</v>
      </c>
      <c r="M1072">
        <v>2</v>
      </c>
      <c r="N1072" s="62"/>
      <c r="O1072" s="62"/>
      <c r="P1072" s="62"/>
    </row>
    <row r="1073" spans="2:16" customFormat="1">
      <c r="B1073" s="66" t="s">
        <v>5660</v>
      </c>
      <c r="C1073" s="62" t="s">
        <v>494</v>
      </c>
      <c r="K1073" s="113">
        <v>22</v>
      </c>
      <c r="M1073">
        <v>2</v>
      </c>
      <c r="N1073" s="62"/>
      <c r="O1073" s="62"/>
      <c r="P1073" s="62"/>
    </row>
    <row r="1074" spans="2:16" customFormat="1">
      <c r="B1074" s="66" t="s">
        <v>5661</v>
      </c>
      <c r="C1074" s="62" t="s">
        <v>494</v>
      </c>
      <c r="K1074" s="113">
        <v>23</v>
      </c>
      <c r="M1074">
        <v>2</v>
      </c>
      <c r="N1074" s="62"/>
      <c r="O1074" s="62"/>
      <c r="P1074" s="62"/>
    </row>
    <row r="1075" spans="2:16" customFormat="1">
      <c r="B1075" s="66" t="s">
        <v>5662</v>
      </c>
      <c r="C1075" s="62" t="s">
        <v>494</v>
      </c>
      <c r="K1075" s="113">
        <v>24</v>
      </c>
      <c r="M1075">
        <v>2</v>
      </c>
      <c r="N1075" s="62"/>
      <c r="O1075" s="62"/>
      <c r="P1075" s="62"/>
    </row>
    <row r="1076" spans="2:16" customFormat="1">
      <c r="B1076" s="66" t="s">
        <v>5663</v>
      </c>
      <c r="C1076" s="62" t="s">
        <v>494</v>
      </c>
      <c r="K1076" s="113">
        <v>25</v>
      </c>
      <c r="M1076">
        <v>2</v>
      </c>
      <c r="N1076" s="62"/>
      <c r="O1076" s="62"/>
      <c r="P1076" s="62"/>
    </row>
    <row r="1077" spans="2:16" customFormat="1">
      <c r="B1077" s="66" t="s">
        <v>5664</v>
      </c>
      <c r="C1077" s="62" t="s">
        <v>494</v>
      </c>
      <c r="K1077" s="113">
        <v>26</v>
      </c>
      <c r="M1077">
        <v>2</v>
      </c>
      <c r="N1077" s="62"/>
      <c r="O1077" s="62"/>
      <c r="P1077" s="62"/>
    </row>
    <row r="1078" spans="2:16" customFormat="1">
      <c r="B1078" s="66" t="s">
        <v>5665</v>
      </c>
      <c r="C1078" s="62" t="s">
        <v>494</v>
      </c>
      <c r="K1078" s="113">
        <v>27</v>
      </c>
      <c r="M1078">
        <v>2</v>
      </c>
      <c r="N1078" s="62"/>
      <c r="O1078" s="62"/>
      <c r="P1078" s="62"/>
    </row>
    <row r="1079" spans="2:16" customFormat="1">
      <c r="B1079" s="66" t="s">
        <v>5666</v>
      </c>
      <c r="C1079" s="62" t="s">
        <v>494</v>
      </c>
      <c r="K1079" s="113">
        <v>28</v>
      </c>
      <c r="M1079">
        <v>2</v>
      </c>
      <c r="N1079" s="62"/>
      <c r="O1079" s="62"/>
      <c r="P1079" s="62"/>
    </row>
    <row r="1080" spans="2:16" customFormat="1">
      <c r="B1080" s="66" t="s">
        <v>5667</v>
      </c>
      <c r="C1080" s="62" t="s">
        <v>494</v>
      </c>
      <c r="K1080" s="113">
        <v>29</v>
      </c>
      <c r="M1080">
        <v>2</v>
      </c>
      <c r="N1080" s="62"/>
      <c r="O1080" s="62"/>
      <c r="P1080" s="62"/>
    </row>
    <row r="1081" spans="2:16" customFormat="1">
      <c r="B1081" s="66" t="s">
        <v>5668</v>
      </c>
      <c r="C1081" s="62" t="s">
        <v>494</v>
      </c>
      <c r="K1081" s="113">
        <v>30</v>
      </c>
      <c r="M1081">
        <v>2</v>
      </c>
      <c r="N1081" s="62"/>
      <c r="O1081" s="62"/>
      <c r="P1081" s="62"/>
    </row>
    <row r="1082" spans="2:16" customFormat="1">
      <c r="B1082" s="66" t="s">
        <v>5669</v>
      </c>
      <c r="C1082" s="62" t="s">
        <v>494</v>
      </c>
      <c r="K1082" s="113">
        <v>31</v>
      </c>
      <c r="M1082">
        <v>2</v>
      </c>
      <c r="N1082" s="62"/>
      <c r="O1082" s="62"/>
      <c r="P1082" s="62"/>
    </row>
    <row r="1083" spans="2:16" customFormat="1">
      <c r="B1083" s="66" t="s">
        <v>5670</v>
      </c>
      <c r="C1083" s="62" t="s">
        <v>494</v>
      </c>
      <c r="K1083" s="113">
        <v>32</v>
      </c>
      <c r="M1083">
        <v>2</v>
      </c>
      <c r="N1083" s="62"/>
      <c r="O1083" s="62"/>
      <c r="P1083" s="62"/>
    </row>
    <row r="1084" spans="2:16" customFormat="1">
      <c r="B1084" s="66" t="s">
        <v>5671</v>
      </c>
      <c r="C1084" s="62" t="s">
        <v>494</v>
      </c>
      <c r="K1084" s="113">
        <v>33</v>
      </c>
      <c r="M1084">
        <v>2</v>
      </c>
      <c r="N1084" s="62"/>
      <c r="O1084" s="62"/>
      <c r="P1084" s="62"/>
    </row>
    <row r="1085" spans="2:16" customFormat="1">
      <c r="B1085" s="66" t="s">
        <v>5672</v>
      </c>
      <c r="C1085" s="62" t="s">
        <v>494</v>
      </c>
      <c r="K1085" s="113">
        <v>34</v>
      </c>
      <c r="M1085">
        <v>2</v>
      </c>
      <c r="N1085" s="62"/>
      <c r="O1085" s="62"/>
      <c r="P1085" s="62"/>
    </row>
    <row r="1086" spans="2:16" customFormat="1">
      <c r="B1086" s="66" t="s">
        <v>5673</v>
      </c>
      <c r="C1086" s="62" t="s">
        <v>494</v>
      </c>
      <c r="K1086" s="113">
        <v>35</v>
      </c>
      <c r="M1086">
        <v>2</v>
      </c>
      <c r="N1086" s="62"/>
      <c r="O1086" s="62"/>
      <c r="P1086" s="62"/>
    </row>
    <row r="1087" spans="2:16" customFormat="1">
      <c r="B1087" s="66" t="s">
        <v>5674</v>
      </c>
      <c r="C1087" s="62" t="s">
        <v>494</v>
      </c>
      <c r="K1087" s="113">
        <v>36</v>
      </c>
      <c r="M1087">
        <v>2</v>
      </c>
      <c r="N1087" s="62"/>
      <c r="O1087" s="62"/>
      <c r="P1087" s="62"/>
    </row>
    <row r="1088" spans="2:16" customFormat="1">
      <c r="B1088" s="66" t="s">
        <v>5675</v>
      </c>
      <c r="C1088" s="62" t="s">
        <v>494</v>
      </c>
      <c r="K1088" s="113">
        <v>37</v>
      </c>
      <c r="M1088">
        <v>2</v>
      </c>
      <c r="N1088" s="62"/>
      <c r="O1088" s="62"/>
      <c r="P1088" s="62"/>
    </row>
    <row r="1089" spans="2:16" customFormat="1">
      <c r="B1089" s="66" t="s">
        <v>5676</v>
      </c>
      <c r="C1089" s="62" t="s">
        <v>494</v>
      </c>
      <c r="K1089" s="113">
        <v>38</v>
      </c>
      <c r="M1089">
        <v>2</v>
      </c>
      <c r="N1089" s="62"/>
      <c r="O1089" s="62"/>
      <c r="P1089" s="62"/>
    </row>
    <row r="1090" spans="2:16" customFormat="1">
      <c r="B1090" s="66" t="s">
        <v>5677</v>
      </c>
      <c r="C1090" s="62" t="s">
        <v>494</v>
      </c>
      <c r="K1090" s="113">
        <v>39</v>
      </c>
      <c r="M1090">
        <v>2</v>
      </c>
      <c r="N1090" s="62"/>
      <c r="O1090" s="62"/>
      <c r="P1090" s="62"/>
    </row>
    <row r="1091" spans="2:16" customFormat="1">
      <c r="B1091" s="66" t="s">
        <v>5678</v>
      </c>
      <c r="C1091" s="62" t="s">
        <v>494</v>
      </c>
      <c r="K1091" s="113">
        <v>40</v>
      </c>
      <c r="M1091">
        <v>2</v>
      </c>
      <c r="N1091" s="62"/>
      <c r="O1091" s="62"/>
      <c r="P1091" s="62"/>
    </row>
    <row r="1092" spans="2:16" customFormat="1">
      <c r="B1092" s="66" t="s">
        <v>5679</v>
      </c>
      <c r="C1092" s="62" t="s">
        <v>494</v>
      </c>
      <c r="K1092" s="113">
        <v>41</v>
      </c>
      <c r="M1092">
        <v>2</v>
      </c>
      <c r="N1092" s="62"/>
      <c r="O1092" s="62"/>
      <c r="P1092" s="62"/>
    </row>
    <row r="1093" spans="2:16" customFormat="1">
      <c r="B1093" s="66" t="s">
        <v>5680</v>
      </c>
      <c r="C1093" s="62" t="s">
        <v>494</v>
      </c>
      <c r="K1093" s="113">
        <v>42</v>
      </c>
      <c r="M1093">
        <v>2</v>
      </c>
      <c r="N1093" s="62"/>
      <c r="O1093" s="62"/>
      <c r="P1093" s="62"/>
    </row>
    <row r="1094" spans="2:16" customFormat="1">
      <c r="B1094" s="66" t="s">
        <v>5681</v>
      </c>
      <c r="C1094" s="62" t="s">
        <v>494</v>
      </c>
      <c r="K1094" s="113">
        <v>43</v>
      </c>
      <c r="M1094">
        <v>2</v>
      </c>
      <c r="N1094" s="62"/>
      <c r="O1094" s="62"/>
      <c r="P1094" s="62"/>
    </row>
    <row r="1095" spans="2:16" customFormat="1">
      <c r="B1095" s="66" t="s">
        <v>5682</v>
      </c>
      <c r="C1095" s="62" t="s">
        <v>494</v>
      </c>
      <c r="K1095" s="113">
        <v>44</v>
      </c>
      <c r="M1095">
        <v>2</v>
      </c>
      <c r="N1095" s="62"/>
      <c r="O1095" s="62"/>
      <c r="P1095" s="62"/>
    </row>
    <row r="1096" spans="2:16" customFormat="1">
      <c r="B1096" s="66" t="s">
        <v>5683</v>
      </c>
      <c r="C1096" s="62" t="s">
        <v>494</v>
      </c>
      <c r="K1096" s="113">
        <v>45</v>
      </c>
      <c r="M1096">
        <v>2</v>
      </c>
      <c r="N1096" s="62"/>
      <c r="O1096" s="62"/>
      <c r="P1096" s="62"/>
    </row>
    <row r="1097" spans="2:16" customFormat="1">
      <c r="B1097" s="66" t="s">
        <v>5684</v>
      </c>
      <c r="C1097" s="62" t="s">
        <v>494</v>
      </c>
      <c r="K1097" s="113">
        <v>46</v>
      </c>
      <c r="M1097">
        <v>2</v>
      </c>
      <c r="N1097" s="62"/>
      <c r="O1097" s="62"/>
      <c r="P1097" s="62"/>
    </row>
    <row r="1098" spans="2:16" customFormat="1">
      <c r="B1098" s="66" t="s">
        <v>5685</v>
      </c>
      <c r="C1098" s="62" t="s">
        <v>494</v>
      </c>
      <c r="K1098" s="113">
        <v>47</v>
      </c>
      <c r="M1098">
        <v>2</v>
      </c>
      <c r="N1098" s="62"/>
      <c r="O1098" s="62"/>
      <c r="P1098" s="62"/>
    </row>
    <row r="1099" spans="2:16" customFormat="1">
      <c r="B1099" s="66" t="s">
        <v>5686</v>
      </c>
      <c r="C1099" s="62" t="s">
        <v>494</v>
      </c>
      <c r="K1099" s="113">
        <v>48</v>
      </c>
      <c r="M1099">
        <v>2</v>
      </c>
      <c r="N1099" s="62"/>
      <c r="O1099" s="62"/>
      <c r="P1099" s="62"/>
    </row>
    <row r="1100" spans="2:16" customFormat="1">
      <c r="B1100" s="66" t="s">
        <v>5687</v>
      </c>
      <c r="C1100" s="62" t="s">
        <v>494</v>
      </c>
      <c r="K1100" s="113">
        <v>49</v>
      </c>
      <c r="M1100">
        <v>2</v>
      </c>
      <c r="N1100" s="62"/>
      <c r="O1100" s="62"/>
      <c r="P1100" s="62"/>
    </row>
    <row r="1101" spans="2:16" customFormat="1">
      <c r="B1101" s="66" t="s">
        <v>5688</v>
      </c>
      <c r="C1101" s="62" t="s">
        <v>494</v>
      </c>
      <c r="K1101" s="113">
        <v>50</v>
      </c>
      <c r="M1101">
        <v>2</v>
      </c>
      <c r="N1101" s="62"/>
      <c r="O1101" s="62"/>
      <c r="P1101" s="62"/>
    </row>
    <row r="1102" spans="2:16" customFormat="1">
      <c r="B1102" s="66" t="s">
        <v>5689</v>
      </c>
      <c r="C1102" s="62" t="s">
        <v>494</v>
      </c>
      <c r="K1102" s="113">
        <v>51</v>
      </c>
      <c r="M1102">
        <v>2</v>
      </c>
      <c r="N1102" s="62"/>
      <c r="O1102" s="62"/>
      <c r="P1102" s="62"/>
    </row>
    <row r="1103" spans="2:16" customFormat="1">
      <c r="B1103" s="66" t="s">
        <v>5690</v>
      </c>
      <c r="C1103" s="62" t="s">
        <v>494</v>
      </c>
      <c r="K1103" s="113">
        <v>52</v>
      </c>
      <c r="M1103">
        <v>2</v>
      </c>
      <c r="N1103" s="62"/>
      <c r="O1103" s="62"/>
      <c r="P1103" s="62"/>
    </row>
    <row r="1104" spans="2:16" customFormat="1">
      <c r="B1104" s="66" t="s">
        <v>5691</v>
      </c>
      <c r="C1104" s="62" t="s">
        <v>494</v>
      </c>
      <c r="K1104" s="113">
        <v>53</v>
      </c>
      <c r="M1104">
        <v>2</v>
      </c>
      <c r="N1104" s="62"/>
      <c r="O1104" s="62"/>
      <c r="P1104" s="62"/>
    </row>
    <row r="1105" spans="1:16" customFormat="1">
      <c r="B1105" s="66" t="s">
        <v>5692</v>
      </c>
      <c r="C1105" s="62" t="s">
        <v>494</v>
      </c>
      <c r="K1105" s="113">
        <v>54</v>
      </c>
      <c r="M1105">
        <v>2</v>
      </c>
      <c r="N1105" s="62"/>
      <c r="O1105" s="62"/>
      <c r="P1105" s="62"/>
    </row>
    <row r="1106" spans="1:16" customFormat="1">
      <c r="B1106" s="66" t="s">
        <v>5693</v>
      </c>
      <c r="C1106" s="62" t="s">
        <v>494</v>
      </c>
      <c r="K1106" s="113">
        <v>55</v>
      </c>
      <c r="M1106">
        <v>2</v>
      </c>
      <c r="N1106" s="62"/>
      <c r="O1106" s="62"/>
      <c r="P1106" s="62"/>
    </row>
    <row r="1107" spans="1:16" customFormat="1">
      <c r="B1107" s="66" t="s">
        <v>5694</v>
      </c>
      <c r="C1107" s="62" t="s">
        <v>494</v>
      </c>
      <c r="K1107" s="113">
        <v>56</v>
      </c>
      <c r="M1107">
        <v>2</v>
      </c>
      <c r="N1107" s="62"/>
      <c r="O1107" s="62"/>
      <c r="P1107" s="62"/>
    </row>
    <row r="1108" spans="1:16" customFormat="1">
      <c r="B1108" s="66" t="s">
        <v>5695</v>
      </c>
      <c r="C1108" s="62" t="s">
        <v>494</v>
      </c>
      <c r="K1108" s="113">
        <v>57</v>
      </c>
      <c r="M1108">
        <v>2</v>
      </c>
      <c r="N1108" s="62"/>
      <c r="O1108" s="62"/>
      <c r="P1108" s="62"/>
    </row>
    <row r="1109" spans="1:16" customFormat="1">
      <c r="B1109" s="66" t="s">
        <v>5696</v>
      </c>
      <c r="C1109" s="62" t="s">
        <v>494</v>
      </c>
      <c r="K1109" s="113">
        <v>58</v>
      </c>
      <c r="M1109">
        <v>2</v>
      </c>
      <c r="N1109" s="62"/>
      <c r="O1109" s="62"/>
      <c r="P1109" s="62"/>
    </row>
    <row r="1110" spans="1:16" customFormat="1">
      <c r="B1110" s="66" t="s">
        <v>5697</v>
      </c>
      <c r="C1110" s="62" t="s">
        <v>494</v>
      </c>
      <c r="K1110" s="113">
        <v>59</v>
      </c>
      <c r="M1110">
        <v>2</v>
      </c>
      <c r="N1110" s="62"/>
      <c r="O1110" s="62"/>
      <c r="P1110" s="62"/>
    </row>
    <row r="1111" spans="1:16" customFormat="1">
      <c r="B1111" s="66" t="s">
        <v>5698</v>
      </c>
      <c r="C1111" s="62" t="s">
        <v>494</v>
      </c>
      <c r="K1111" s="113">
        <v>60</v>
      </c>
      <c r="M1111">
        <v>2</v>
      </c>
      <c r="N1111" s="62"/>
      <c r="O1111" s="62"/>
      <c r="P1111" s="62"/>
    </row>
    <row r="1112" spans="1:16" customFormat="1">
      <c r="B1112" s="66" t="s">
        <v>5699</v>
      </c>
      <c r="C1112" s="62" t="s">
        <v>494</v>
      </c>
      <c r="K1112" s="113">
        <v>61</v>
      </c>
      <c r="M1112">
        <v>2</v>
      </c>
      <c r="N1112" s="62"/>
      <c r="O1112" s="62"/>
      <c r="P1112" s="62"/>
    </row>
    <row r="1113" spans="1:16" customFormat="1">
      <c r="B1113" s="66" t="s">
        <v>5700</v>
      </c>
      <c r="C1113" s="62" t="s">
        <v>494</v>
      </c>
      <c r="K1113" s="113">
        <v>62</v>
      </c>
      <c r="M1113">
        <v>2</v>
      </c>
      <c r="N1113" s="62"/>
      <c r="O1113" s="62"/>
      <c r="P1113" s="62"/>
    </row>
    <row r="1114" spans="1:16" customFormat="1">
      <c r="B1114" s="66" t="s">
        <v>5701</v>
      </c>
      <c r="C1114" s="62" t="s">
        <v>494</v>
      </c>
      <c r="K1114" s="113">
        <v>63</v>
      </c>
      <c r="M1114">
        <v>2</v>
      </c>
      <c r="N1114" s="62"/>
      <c r="O1114" s="62"/>
      <c r="P1114" s="62"/>
    </row>
    <row r="1115" spans="1:16" customFormat="1">
      <c r="B1115" s="66"/>
      <c r="C1115" s="62"/>
      <c r="K1115" s="113"/>
      <c r="N1115" s="62"/>
      <c r="O1115" s="62"/>
      <c r="P1115" s="62"/>
    </row>
    <row r="1116" spans="1:16" customFormat="1">
      <c r="B1116" s="66"/>
      <c r="C1116" s="62"/>
      <c r="N1116" s="62"/>
      <c r="O1116" s="62"/>
      <c r="P1116" s="62"/>
    </row>
    <row r="1117" spans="1:16" customFormat="1">
      <c r="B1117" s="66"/>
      <c r="C1117" s="62"/>
      <c r="N1117" s="62"/>
      <c r="O1117" s="62"/>
      <c r="P1117" s="62"/>
    </row>
    <row r="1118" spans="1:16" customFormat="1">
      <c r="A1118" s="7"/>
      <c r="B1118" s="7"/>
    </row>
    <row r="1119" spans="1:16" s="44" customFormat="1">
      <c r="F1119" s="47"/>
      <c r="G1119" s="47"/>
      <c r="H1119" s="47"/>
      <c r="I1119" s="48"/>
      <c r="J1119" s="47"/>
      <c r="K1119" s="57"/>
      <c r="L1119" s="57"/>
      <c r="M1119" s="47"/>
      <c r="O1119" s="47"/>
      <c r="P1119" s="47"/>
    </row>
    <row r="1120" spans="1:16" customFormat="1">
      <c r="B1120" s="66"/>
      <c r="C1120" s="62"/>
      <c r="N1120" s="62"/>
      <c r="O1120" s="62"/>
      <c r="P1120" s="62"/>
    </row>
    <row r="1121" spans="1:18" customFormat="1"/>
    <row r="1122" spans="1:18" customFormat="1"/>
    <row r="1123" spans="1:18" customFormat="1">
      <c r="A1123" s="70" t="s">
        <v>3210</v>
      </c>
      <c r="B1123" s="70" t="s">
        <v>3211</v>
      </c>
      <c r="C1123" s="70" t="s">
        <v>494</v>
      </c>
      <c r="E1123" s="62" t="s">
        <v>476</v>
      </c>
      <c r="F1123">
        <v>21</v>
      </c>
      <c r="G1123">
        <v>2143</v>
      </c>
      <c r="H1123" s="62" t="s">
        <v>5589</v>
      </c>
      <c r="I1123" s="62" t="s">
        <v>5590</v>
      </c>
      <c r="J1123">
        <v>2104</v>
      </c>
      <c r="K1123" s="55">
        <v>1</v>
      </c>
      <c r="L1123">
        <v>8</v>
      </c>
    </row>
    <row r="1124" spans="1:18" customFormat="1">
      <c r="A1124" s="94"/>
      <c r="B1124" s="70" t="s">
        <v>3212</v>
      </c>
      <c r="C1124" s="70" t="s">
        <v>494</v>
      </c>
      <c r="E1124" s="62" t="s">
        <v>476</v>
      </c>
      <c r="K1124" s="55">
        <v>2</v>
      </c>
      <c r="L1124">
        <v>3</v>
      </c>
      <c r="M1124" s="14">
        <v>31</v>
      </c>
      <c r="N1124" s="62" t="s">
        <v>3655</v>
      </c>
      <c r="O1124" s="62" t="s">
        <v>3648</v>
      </c>
      <c r="P1124" s="62" t="s">
        <v>3657</v>
      </c>
      <c r="Q1124" s="47" t="s">
        <v>3658</v>
      </c>
      <c r="R1124" s="14">
        <v>4</v>
      </c>
    </row>
    <row r="1125" spans="1:18" customFormat="1">
      <c r="A1125" s="94"/>
      <c r="B1125" s="70" t="s">
        <v>3213</v>
      </c>
      <c r="C1125" s="70" t="s">
        <v>494</v>
      </c>
      <c r="H1125" s="62"/>
      <c r="K1125" s="55">
        <v>3</v>
      </c>
      <c r="L1125">
        <v>6</v>
      </c>
    </row>
    <row r="1126" spans="1:18" customFormat="1">
      <c r="A1126" s="94"/>
      <c r="B1126" s="70" t="s">
        <v>3230</v>
      </c>
      <c r="C1126" s="70" t="s">
        <v>494</v>
      </c>
      <c r="K1126" s="55">
        <v>4</v>
      </c>
      <c r="L1126">
        <v>3</v>
      </c>
      <c r="M1126">
        <v>3</v>
      </c>
      <c r="N1126" s="62" t="s">
        <v>3664</v>
      </c>
      <c r="O1126" s="62" t="s">
        <v>3666</v>
      </c>
      <c r="P1126" s="62" t="s">
        <v>3667</v>
      </c>
    </row>
    <row r="1127" spans="1:18">
      <c r="A1127" s="39"/>
      <c r="B1127" s="67" t="s">
        <v>3231</v>
      </c>
      <c r="C1127" s="70" t="s">
        <v>494</v>
      </c>
      <c r="F1127" s="14"/>
      <c r="G1127" s="14"/>
      <c r="H1127" s="14"/>
      <c r="I1127" s="11"/>
      <c r="J1127" s="14"/>
      <c r="K1127" s="55">
        <v>5</v>
      </c>
      <c r="L1127" s="15">
        <v>3</v>
      </c>
      <c r="M1127" s="14">
        <v>1</v>
      </c>
      <c r="N1127" s="62" t="s">
        <v>693</v>
      </c>
      <c r="O1127" s="1" t="s">
        <v>695</v>
      </c>
      <c r="P1127" s="1" t="s">
        <v>696</v>
      </c>
      <c r="Q1127" s="62"/>
      <c r="R1127" s="14"/>
    </row>
    <row r="1128" spans="1:18">
      <c r="A1128" s="39"/>
      <c r="B1128" s="67" t="s">
        <v>3232</v>
      </c>
      <c r="C1128" s="70" t="s">
        <v>494</v>
      </c>
      <c r="F1128" s="14"/>
      <c r="G1128" s="14"/>
      <c r="H1128" s="14"/>
      <c r="I1128" s="11"/>
      <c r="J1128" s="14"/>
      <c r="K1128" s="55">
        <v>6</v>
      </c>
      <c r="L1128" s="15">
        <v>3</v>
      </c>
      <c r="M1128" s="14">
        <v>1</v>
      </c>
      <c r="N1128" s="62" t="s">
        <v>379</v>
      </c>
      <c r="O1128" s="62" t="s">
        <v>698</v>
      </c>
      <c r="P1128" s="62" t="s">
        <v>699</v>
      </c>
      <c r="Q1128" s="62" t="s">
        <v>383</v>
      </c>
      <c r="R1128" s="14">
        <v>5</v>
      </c>
    </row>
    <row r="1129" spans="1:18" customFormat="1">
      <c r="A1129" s="94"/>
      <c r="B1129" s="70" t="s">
        <v>3217</v>
      </c>
      <c r="C1129" s="70" t="s">
        <v>494</v>
      </c>
      <c r="K1129" s="55">
        <v>7</v>
      </c>
      <c r="L1129">
        <v>3</v>
      </c>
      <c r="M1129" s="47">
        <v>1</v>
      </c>
      <c r="N1129" s="62" t="s">
        <v>3218</v>
      </c>
      <c r="O1129" s="62" t="s">
        <v>3219</v>
      </c>
      <c r="P1129" s="62" t="s">
        <v>3220</v>
      </c>
      <c r="Q1129" s="66"/>
    </row>
    <row r="1130" spans="1:18" customFormat="1">
      <c r="A1130" s="94"/>
      <c r="B1130" s="70" t="s">
        <v>4321</v>
      </c>
      <c r="C1130" s="70" t="s">
        <v>702</v>
      </c>
      <c r="K1130" s="55">
        <v>8</v>
      </c>
      <c r="M1130">
        <v>1</v>
      </c>
    </row>
    <row r="1131" spans="1:18" customFormat="1">
      <c r="A1131" s="94"/>
      <c r="B1131" s="70" t="s">
        <v>4327</v>
      </c>
      <c r="C1131" s="70" t="s">
        <v>494</v>
      </c>
      <c r="H1131" s="62"/>
      <c r="K1131" s="55">
        <v>9</v>
      </c>
      <c r="L1131">
        <v>3</v>
      </c>
      <c r="M1131">
        <v>1</v>
      </c>
      <c r="N1131" s="62" t="s">
        <v>4452</v>
      </c>
      <c r="O1131" s="62" t="s">
        <v>4453</v>
      </c>
      <c r="P1131" s="62" t="s">
        <v>4454</v>
      </c>
    </row>
    <row r="1132" spans="1:18" customFormat="1">
      <c r="B1132" s="96" t="s">
        <v>5591</v>
      </c>
      <c r="C1132" s="96" t="s">
        <v>494</v>
      </c>
      <c r="K1132" s="55">
        <v>10</v>
      </c>
      <c r="L1132">
        <v>3</v>
      </c>
      <c r="M1132">
        <v>1</v>
      </c>
      <c r="N1132" s="62" t="s">
        <v>5592</v>
      </c>
      <c r="O1132" s="66" t="s">
        <v>5593</v>
      </c>
      <c r="P1132" s="66" t="s">
        <v>5594</v>
      </c>
    </row>
    <row r="1133" spans="1:18" customFormat="1">
      <c r="B1133" s="64" t="s">
        <v>5838</v>
      </c>
      <c r="C1133" s="64" t="s">
        <v>494</v>
      </c>
      <c r="K1133" s="55">
        <v>11</v>
      </c>
      <c r="L1133" s="80">
        <v>3</v>
      </c>
      <c r="M1133" s="10">
        <v>1</v>
      </c>
      <c r="N1133" t="s">
        <v>5567</v>
      </c>
      <c r="O1133" s="66" t="s">
        <v>5569</v>
      </c>
      <c r="P1133" s="66" t="s">
        <v>5571</v>
      </c>
    </row>
    <row r="1134" spans="1:18" customFormat="1">
      <c r="B1134" s="64"/>
      <c r="C1134" s="64"/>
      <c r="K1134" s="55"/>
      <c r="L1134" s="80"/>
      <c r="M1134" s="10"/>
      <c r="O1134" s="66"/>
      <c r="P1134" s="66"/>
    </row>
    <row r="1135" spans="1:18" customFormat="1">
      <c r="B1135" s="66"/>
      <c r="C1135" s="62"/>
      <c r="N1135" s="62"/>
      <c r="O1135" s="62"/>
      <c r="P1135" s="62"/>
    </row>
    <row r="1136" spans="1:18" customFormat="1">
      <c r="B1136" s="64"/>
      <c r="C1136" s="64"/>
      <c r="K1136" s="55"/>
      <c r="L1136" s="80"/>
      <c r="M1136" s="10"/>
      <c r="O1136" s="66"/>
      <c r="P1136" s="66"/>
    </row>
    <row r="1137" spans="1:18" customFormat="1">
      <c r="B1137" s="66"/>
      <c r="C1137" s="62"/>
      <c r="N1137" s="62"/>
      <c r="O1137" s="62"/>
      <c r="P1137" s="62"/>
    </row>
    <row r="1138" spans="1:18" customFormat="1">
      <c r="A1138" s="70" t="s">
        <v>3210</v>
      </c>
      <c r="B1138" s="70" t="s">
        <v>3211</v>
      </c>
      <c r="C1138" s="70" t="s">
        <v>494</v>
      </c>
      <c r="E1138" s="62" t="s">
        <v>476</v>
      </c>
      <c r="F1138">
        <v>21</v>
      </c>
      <c r="G1138">
        <v>2144</v>
      </c>
      <c r="H1138" s="62" t="s">
        <v>5595</v>
      </c>
      <c r="I1138" s="62" t="s">
        <v>5596</v>
      </c>
      <c r="J1138">
        <v>2104</v>
      </c>
      <c r="K1138" s="55">
        <v>1</v>
      </c>
      <c r="L1138">
        <v>8</v>
      </c>
    </row>
    <row r="1139" spans="1:18" customFormat="1">
      <c r="A1139" s="94"/>
      <c r="B1139" s="70" t="s">
        <v>3212</v>
      </c>
      <c r="C1139" s="70" t="s">
        <v>494</v>
      </c>
      <c r="E1139" s="62" t="s">
        <v>476</v>
      </c>
      <c r="K1139" s="55">
        <v>2</v>
      </c>
      <c r="L1139">
        <v>3</v>
      </c>
      <c r="M1139" s="14">
        <v>31</v>
      </c>
      <c r="N1139" s="62" t="s">
        <v>3655</v>
      </c>
      <c r="O1139" s="62" t="s">
        <v>3648</v>
      </c>
      <c r="P1139" s="62" t="s">
        <v>3657</v>
      </c>
      <c r="Q1139" s="47" t="s">
        <v>3658</v>
      </c>
      <c r="R1139" s="14">
        <v>4</v>
      </c>
    </row>
    <row r="1140" spans="1:18" customFormat="1">
      <c r="A1140" s="94"/>
      <c r="B1140" s="70" t="s">
        <v>3213</v>
      </c>
      <c r="C1140" s="70" t="s">
        <v>494</v>
      </c>
      <c r="H1140" s="62"/>
      <c r="K1140" s="55">
        <v>3</v>
      </c>
      <c r="L1140">
        <v>6</v>
      </c>
    </row>
    <row r="1141" spans="1:18" customFormat="1">
      <c r="A1141" s="94"/>
      <c r="B1141" s="70" t="s">
        <v>3230</v>
      </c>
      <c r="C1141" s="70" t="s">
        <v>494</v>
      </c>
      <c r="K1141" s="55">
        <v>4</v>
      </c>
      <c r="L1141">
        <v>3</v>
      </c>
      <c r="M1141">
        <v>3</v>
      </c>
      <c r="N1141" s="62" t="s">
        <v>3664</v>
      </c>
      <c r="O1141" s="62" t="s">
        <v>3666</v>
      </c>
      <c r="P1141" s="62" t="s">
        <v>3667</v>
      </c>
    </row>
    <row r="1142" spans="1:18">
      <c r="A1142" s="39"/>
      <c r="B1142" s="67" t="s">
        <v>3231</v>
      </c>
      <c r="C1142" s="70" t="s">
        <v>494</v>
      </c>
      <c r="F1142" s="14"/>
      <c r="G1142" s="14"/>
      <c r="H1142" s="14"/>
      <c r="I1142" s="11"/>
      <c r="J1142" s="14"/>
      <c r="K1142" s="55">
        <v>5</v>
      </c>
      <c r="L1142" s="15">
        <v>3</v>
      </c>
      <c r="M1142" s="14"/>
      <c r="N1142" s="62" t="s">
        <v>693</v>
      </c>
      <c r="O1142" s="1" t="s">
        <v>695</v>
      </c>
      <c r="P1142" s="1" t="s">
        <v>696</v>
      </c>
      <c r="Q1142" s="62"/>
      <c r="R1142" s="14"/>
    </row>
    <row r="1143" spans="1:18">
      <c r="A1143" s="39"/>
      <c r="B1143" s="67" t="s">
        <v>3232</v>
      </c>
      <c r="C1143" s="70" t="s">
        <v>494</v>
      </c>
      <c r="F1143" s="14"/>
      <c r="G1143" s="14"/>
      <c r="H1143" s="14"/>
      <c r="I1143" s="11"/>
      <c r="J1143" s="14"/>
      <c r="K1143" s="55">
        <v>6</v>
      </c>
      <c r="L1143" s="15">
        <v>3</v>
      </c>
      <c r="M1143" s="14">
        <v>31</v>
      </c>
      <c r="N1143" s="62" t="s">
        <v>379</v>
      </c>
      <c r="O1143" s="62" t="s">
        <v>698</v>
      </c>
      <c r="P1143" s="62" t="s">
        <v>699</v>
      </c>
      <c r="Q1143" s="62" t="s">
        <v>383</v>
      </c>
      <c r="R1143" s="14">
        <v>5</v>
      </c>
    </row>
    <row r="1144" spans="1:18" customFormat="1">
      <c r="A1144" s="94"/>
      <c r="B1144" s="70" t="s">
        <v>3217</v>
      </c>
      <c r="C1144" s="70" t="s">
        <v>494</v>
      </c>
      <c r="K1144" s="55">
        <v>7</v>
      </c>
      <c r="L1144">
        <v>3</v>
      </c>
      <c r="N1144" s="62" t="s">
        <v>3218</v>
      </c>
      <c r="O1144" s="62" t="s">
        <v>3219</v>
      </c>
      <c r="P1144" s="62" t="s">
        <v>3220</v>
      </c>
      <c r="Q1144" s="66"/>
    </row>
    <row r="1145" spans="1:18" customFormat="1">
      <c r="A1145" s="94"/>
      <c r="B1145" s="70" t="s">
        <v>4321</v>
      </c>
      <c r="C1145" s="70" t="s">
        <v>702</v>
      </c>
      <c r="K1145" s="55">
        <v>8</v>
      </c>
      <c r="M1145">
        <v>1</v>
      </c>
    </row>
    <row r="1146" spans="1:18" customFormat="1">
      <c r="A1146" s="94"/>
      <c r="B1146" s="70" t="s">
        <v>4327</v>
      </c>
      <c r="C1146" s="70" t="s">
        <v>494</v>
      </c>
      <c r="H1146" s="62"/>
      <c r="K1146" s="55">
        <v>9</v>
      </c>
      <c r="L1146">
        <v>3</v>
      </c>
      <c r="M1146">
        <v>1</v>
      </c>
      <c r="N1146" s="62" t="s">
        <v>4452</v>
      </c>
      <c r="O1146" s="62" t="s">
        <v>4453</v>
      </c>
      <c r="P1146" s="62" t="s">
        <v>4454</v>
      </c>
    </row>
    <row r="1147" spans="1:18" customFormat="1">
      <c r="B1147" s="96" t="s">
        <v>5591</v>
      </c>
      <c r="C1147" s="96" t="s">
        <v>494</v>
      </c>
      <c r="K1147" s="55">
        <v>10</v>
      </c>
      <c r="L1147">
        <v>3</v>
      </c>
      <c r="M1147">
        <v>1</v>
      </c>
      <c r="N1147" t="s">
        <v>5592</v>
      </c>
      <c r="O1147" s="66" t="s">
        <v>5593</v>
      </c>
      <c r="P1147" s="66" t="s">
        <v>5594</v>
      </c>
    </row>
    <row r="1148" spans="1:18" customFormat="1">
      <c r="B1148" s="64" t="s">
        <v>5838</v>
      </c>
      <c r="C1148" s="64" t="s">
        <v>494</v>
      </c>
      <c r="K1148" s="55">
        <v>11</v>
      </c>
      <c r="L1148" s="80">
        <v>3</v>
      </c>
      <c r="M1148" s="10">
        <v>1</v>
      </c>
      <c r="N1148" t="s">
        <v>5567</v>
      </c>
      <c r="O1148" s="66" t="s">
        <v>5569</v>
      </c>
      <c r="P1148" s="66" t="s">
        <v>5571</v>
      </c>
    </row>
    <row r="1149" spans="1:18" customFormat="1">
      <c r="B1149" s="66"/>
      <c r="C1149" s="62"/>
      <c r="N1149" s="62"/>
      <c r="O1149" s="62"/>
      <c r="P1149" s="62"/>
    </row>
    <row r="1150" spans="1:18" customFormat="1">
      <c r="A1150" t="s">
        <v>5597</v>
      </c>
      <c r="B1150" s="66" t="s">
        <v>5599</v>
      </c>
      <c r="C1150" s="64" t="s">
        <v>494</v>
      </c>
      <c r="E1150" t="s">
        <v>476</v>
      </c>
      <c r="F1150">
        <v>21</v>
      </c>
      <c r="G1150">
        <v>2145</v>
      </c>
      <c r="H1150" t="s">
        <v>5612</v>
      </c>
      <c r="J1150">
        <v>2104</v>
      </c>
      <c r="K1150" s="55">
        <v>1</v>
      </c>
      <c r="L1150">
        <v>52</v>
      </c>
      <c r="N1150" s="62">
        <v>2144</v>
      </c>
      <c r="O1150" s="62" t="s">
        <v>3213</v>
      </c>
      <c r="P1150" s="62"/>
    </row>
    <row r="1151" spans="1:18" customFormat="1">
      <c r="B1151" s="66" t="s">
        <v>5600</v>
      </c>
      <c r="C1151" s="64" t="s">
        <v>494</v>
      </c>
      <c r="E1151" t="s">
        <v>476</v>
      </c>
      <c r="K1151" s="55">
        <v>2</v>
      </c>
      <c r="L1151">
        <v>6</v>
      </c>
      <c r="N1151" s="62"/>
      <c r="O1151" s="62"/>
      <c r="P1151" s="62"/>
    </row>
    <row r="1152" spans="1:18" customFormat="1">
      <c r="B1152" s="66" t="s">
        <v>5598</v>
      </c>
      <c r="C1152" s="64" t="s">
        <v>494</v>
      </c>
      <c r="K1152" s="55">
        <v>3</v>
      </c>
      <c r="L1152">
        <v>6</v>
      </c>
      <c r="N1152" s="62"/>
      <c r="O1152" s="62"/>
      <c r="P1152" s="62"/>
    </row>
    <row r="1153" spans="2:17" customFormat="1">
      <c r="B1153" s="66" t="s">
        <v>5618</v>
      </c>
      <c r="C1153" s="64" t="s">
        <v>494</v>
      </c>
      <c r="K1153" s="55">
        <v>4</v>
      </c>
      <c r="L1153">
        <v>3</v>
      </c>
      <c r="M1153">
        <v>3</v>
      </c>
      <c r="N1153" t="s">
        <v>5567</v>
      </c>
      <c r="O1153" s="66" t="s">
        <v>5569</v>
      </c>
      <c r="P1153" s="66" t="s">
        <v>5571</v>
      </c>
      <c r="Q1153">
        <v>2141</v>
      </c>
    </row>
    <row r="1154" spans="2:17" customFormat="1">
      <c r="B1154" s="66" t="s">
        <v>5601</v>
      </c>
      <c r="C1154" s="64" t="s">
        <v>494</v>
      </c>
      <c r="K1154" s="55">
        <v>5</v>
      </c>
      <c r="L1154">
        <v>7</v>
      </c>
      <c r="N1154" s="62"/>
      <c r="O1154" s="62"/>
      <c r="P1154" s="62"/>
    </row>
    <row r="1155" spans="2:17" customFormat="1">
      <c r="B1155" s="66" t="s">
        <v>5602</v>
      </c>
      <c r="C1155" s="64" t="s">
        <v>494</v>
      </c>
      <c r="K1155" s="55">
        <v>6</v>
      </c>
      <c r="L1155">
        <v>8</v>
      </c>
      <c r="N1155" s="62"/>
      <c r="O1155" s="62"/>
      <c r="P1155" s="62"/>
    </row>
    <row r="1156" spans="2:17" customFormat="1">
      <c r="B1156" s="66" t="s">
        <v>5603</v>
      </c>
      <c r="C1156" s="64" t="s">
        <v>494</v>
      </c>
      <c r="K1156" s="55">
        <v>7</v>
      </c>
      <c r="L1156">
        <v>7</v>
      </c>
      <c r="N1156" s="62"/>
      <c r="O1156" s="62"/>
      <c r="P1156" s="62"/>
    </row>
    <row r="1157" spans="2:17" customFormat="1">
      <c r="B1157" s="66" t="s">
        <v>5604</v>
      </c>
      <c r="C1157" s="64" t="s">
        <v>494</v>
      </c>
      <c r="K1157" s="55">
        <v>8</v>
      </c>
      <c r="L1157">
        <v>7</v>
      </c>
      <c r="N1157" s="62"/>
      <c r="O1157" s="62"/>
      <c r="P1157" s="62"/>
    </row>
    <row r="1158" spans="2:17" customFormat="1">
      <c r="B1158" s="66" t="s">
        <v>5606</v>
      </c>
      <c r="C1158" s="64" t="s">
        <v>494</v>
      </c>
      <c r="K1158" s="55">
        <v>9</v>
      </c>
      <c r="L1158">
        <v>8</v>
      </c>
      <c r="N1158" s="62"/>
      <c r="O1158" s="62"/>
      <c r="P1158" s="62"/>
    </row>
    <row r="1159" spans="2:17" customFormat="1">
      <c r="B1159" s="66" t="s">
        <v>5607</v>
      </c>
      <c r="C1159" s="64" t="s">
        <v>494</v>
      </c>
      <c r="K1159" s="55">
        <v>10</v>
      </c>
      <c r="L1159">
        <v>8</v>
      </c>
      <c r="N1159" s="62"/>
      <c r="O1159" s="62"/>
      <c r="P1159" s="62"/>
    </row>
    <row r="1160" spans="2:17" customFormat="1">
      <c r="B1160" s="66" t="s">
        <v>5608</v>
      </c>
      <c r="C1160" s="64" t="s">
        <v>494</v>
      </c>
      <c r="K1160" s="55">
        <v>11</v>
      </c>
      <c r="L1160">
        <v>3</v>
      </c>
      <c r="N1160" s="62"/>
      <c r="O1160" s="62"/>
      <c r="P1160" s="62"/>
    </row>
    <row r="1161" spans="2:17" customFormat="1">
      <c r="B1161" s="66" t="s">
        <v>5605</v>
      </c>
      <c r="C1161" s="62" t="s">
        <v>702</v>
      </c>
      <c r="K1161" s="55">
        <v>12</v>
      </c>
      <c r="N1161" s="62"/>
      <c r="O1161" s="62"/>
      <c r="P1161" s="62"/>
    </row>
    <row r="1162" spans="2:17" customFormat="1">
      <c r="B1162" s="66" t="s">
        <v>5609</v>
      </c>
      <c r="C1162" s="64" t="s">
        <v>494</v>
      </c>
      <c r="K1162" s="55">
        <v>13</v>
      </c>
      <c r="L1162">
        <v>7</v>
      </c>
      <c r="N1162" s="62"/>
      <c r="O1162" s="62"/>
      <c r="P1162" s="62"/>
    </row>
    <row r="1163" spans="2:17" customFormat="1">
      <c r="B1163" s="66" t="s">
        <v>5610</v>
      </c>
      <c r="C1163" s="64" t="s">
        <v>494</v>
      </c>
      <c r="K1163" s="55">
        <v>14</v>
      </c>
      <c r="L1163">
        <v>8</v>
      </c>
      <c r="N1163" s="62"/>
      <c r="O1163" s="62"/>
      <c r="P1163" s="62"/>
    </row>
    <row r="1164" spans="2:17" customFormat="1">
      <c r="B1164" s="66" t="s">
        <v>5611</v>
      </c>
      <c r="C1164" s="62" t="s">
        <v>493</v>
      </c>
      <c r="D1164">
        <v>1</v>
      </c>
      <c r="K1164" s="55">
        <v>15</v>
      </c>
      <c r="L1164">
        <v>3</v>
      </c>
      <c r="N1164" s="62"/>
      <c r="O1164" s="62"/>
      <c r="P1164" s="62"/>
    </row>
    <row r="1165" spans="2:17" customFormat="1">
      <c r="B1165" s="66" t="s">
        <v>5615</v>
      </c>
      <c r="C1165" s="62" t="s">
        <v>494</v>
      </c>
      <c r="K1165" s="55">
        <v>16</v>
      </c>
      <c r="M1165">
        <v>2</v>
      </c>
      <c r="N1165" s="62"/>
      <c r="O1165" s="62"/>
      <c r="P1165" s="62"/>
    </row>
    <row r="1166" spans="2:17" customFormat="1">
      <c r="B1166" s="66" t="s">
        <v>5616</v>
      </c>
      <c r="C1166" s="62" t="s">
        <v>494</v>
      </c>
      <c r="K1166" s="55">
        <v>17</v>
      </c>
      <c r="M1166">
        <v>2</v>
      </c>
      <c r="N1166" s="62"/>
      <c r="O1166" s="62"/>
      <c r="P1166" s="62"/>
    </row>
    <row r="1167" spans="2:17" customFormat="1">
      <c r="B1167" s="66" t="s">
        <v>5617</v>
      </c>
      <c r="C1167" s="62" t="s">
        <v>494</v>
      </c>
      <c r="K1167" s="55">
        <v>18</v>
      </c>
      <c r="M1167">
        <v>2</v>
      </c>
      <c r="N1167" s="62"/>
      <c r="O1167" s="62"/>
      <c r="P1167" s="62"/>
    </row>
    <row r="1168" spans="2:17" customFormat="1">
      <c r="B1168" s="66"/>
      <c r="C1168" s="62"/>
      <c r="K1168" s="55"/>
      <c r="N1168" s="62"/>
      <c r="O1168" s="62"/>
      <c r="P1168" s="62"/>
    </row>
    <row r="1169" spans="1:18" customFormat="1">
      <c r="A1169" t="s">
        <v>5619</v>
      </c>
      <c r="B1169" s="66" t="s">
        <v>5620</v>
      </c>
      <c r="C1169" s="62" t="s">
        <v>494</v>
      </c>
      <c r="E1169" s="62" t="s">
        <v>476</v>
      </c>
      <c r="F1169">
        <v>21</v>
      </c>
      <c r="G1169">
        <v>2146</v>
      </c>
      <c r="H1169" s="62" t="s">
        <v>3185</v>
      </c>
      <c r="J1169">
        <v>2104</v>
      </c>
      <c r="K1169" s="55">
        <v>1</v>
      </c>
      <c r="L1169">
        <v>52</v>
      </c>
      <c r="N1169" s="62">
        <v>2144</v>
      </c>
      <c r="O1169" s="62" t="s">
        <v>3213</v>
      </c>
      <c r="P1169" s="62"/>
    </row>
    <row r="1170" spans="1:18" customFormat="1">
      <c r="B1170" s="66" t="s">
        <v>5613</v>
      </c>
      <c r="C1170" s="62" t="s">
        <v>494</v>
      </c>
      <c r="E1170" s="62" t="s">
        <v>476</v>
      </c>
      <c r="K1170" s="55">
        <v>2</v>
      </c>
      <c r="L1170">
        <v>6</v>
      </c>
      <c r="N1170" s="62"/>
      <c r="O1170" s="62"/>
      <c r="P1170" s="62"/>
    </row>
    <row r="1171" spans="1:18" customFormat="1">
      <c r="B1171" s="66" t="s">
        <v>5614</v>
      </c>
      <c r="C1171" s="62" t="s">
        <v>494</v>
      </c>
      <c r="K1171" s="55">
        <v>3</v>
      </c>
      <c r="L1171">
        <v>6</v>
      </c>
      <c r="N1171" s="62"/>
      <c r="O1171" s="62"/>
      <c r="P1171" s="62"/>
    </row>
    <row r="1172" spans="1:18" customFormat="1" ht="14.25" customHeight="1">
      <c r="B1172" s="66" t="s">
        <v>5621</v>
      </c>
      <c r="C1172" s="62" t="s">
        <v>494</v>
      </c>
      <c r="K1172" s="55">
        <v>4</v>
      </c>
      <c r="L1172">
        <v>3</v>
      </c>
      <c r="M1172">
        <v>1</v>
      </c>
      <c r="N1172" t="s">
        <v>5597</v>
      </c>
      <c r="O1172" s="66" t="s">
        <v>5598</v>
      </c>
      <c r="P1172" s="66" t="s">
        <v>5617</v>
      </c>
    </row>
    <row r="1173" spans="1:18" customFormat="1">
      <c r="B1173" s="66" t="s">
        <v>5634</v>
      </c>
      <c r="C1173" s="62" t="s">
        <v>494</v>
      </c>
      <c r="K1173" s="55">
        <v>5</v>
      </c>
      <c r="M1173">
        <v>1</v>
      </c>
      <c r="N1173" s="62"/>
      <c r="O1173" s="62"/>
      <c r="P1173" s="62"/>
    </row>
    <row r="1174" spans="1:18" customFormat="1">
      <c r="B1174" s="66" t="s">
        <v>5635</v>
      </c>
      <c r="C1174" s="62" t="s">
        <v>494</v>
      </c>
      <c r="K1174" s="55">
        <v>6</v>
      </c>
      <c r="L1174">
        <v>91</v>
      </c>
      <c r="N1174" s="62"/>
      <c r="O1174" s="62"/>
      <c r="P1174" s="62"/>
    </row>
    <row r="1175" spans="1:18" customFormat="1">
      <c r="B1175" s="66" t="s">
        <v>5636</v>
      </c>
      <c r="C1175" s="62" t="s">
        <v>494</v>
      </c>
      <c r="K1175" s="55">
        <v>7</v>
      </c>
      <c r="L1175">
        <v>92</v>
      </c>
      <c r="N1175" s="62"/>
      <c r="O1175" s="62"/>
      <c r="P1175" s="62"/>
    </row>
    <row r="1176" spans="1:18" customFormat="1">
      <c r="B1176" s="66" t="s">
        <v>5637</v>
      </c>
      <c r="C1176" s="62" t="s">
        <v>494</v>
      </c>
      <c r="K1176" s="55">
        <v>8</v>
      </c>
      <c r="L1176">
        <v>7</v>
      </c>
      <c r="N1176" s="62"/>
      <c r="O1176" s="62"/>
      <c r="P1176" s="62"/>
    </row>
    <row r="1177" spans="1:18" customFormat="1">
      <c r="B1177" s="66" t="s">
        <v>5638</v>
      </c>
      <c r="C1177" s="62" t="s">
        <v>494</v>
      </c>
      <c r="K1177" s="55">
        <v>9</v>
      </c>
      <c r="L1177">
        <v>7</v>
      </c>
      <c r="N1177" s="62"/>
      <c r="O1177" s="62"/>
      <c r="P1177" s="62"/>
    </row>
    <row r="1178" spans="1:18" customFormat="1">
      <c r="B1178" s="66"/>
      <c r="C1178" s="62"/>
      <c r="N1178" s="62"/>
      <c r="O1178" s="62"/>
      <c r="P1178" s="62"/>
    </row>
    <row r="1179" spans="1:18" customFormat="1" ht="12.75" customHeight="1">
      <c r="A1179" s="70" t="s">
        <v>1906</v>
      </c>
      <c r="B1179" s="70" t="s">
        <v>2882</v>
      </c>
      <c r="C1179" s="70" t="s">
        <v>494</v>
      </c>
      <c r="D1179" s="62"/>
      <c r="E1179" s="62" t="s">
        <v>476</v>
      </c>
      <c r="F1179" s="62">
        <v>21</v>
      </c>
      <c r="G1179" s="62">
        <v>2147</v>
      </c>
      <c r="H1179" s="62" t="s">
        <v>5640</v>
      </c>
      <c r="I1179" s="62" t="s">
        <v>5641</v>
      </c>
      <c r="J1179" s="62">
        <v>2104</v>
      </c>
      <c r="K1179" s="76">
        <v>1</v>
      </c>
      <c r="L1179" s="62"/>
      <c r="M1179" s="62"/>
      <c r="N1179" s="62"/>
      <c r="O1179" s="62"/>
      <c r="P1179" s="62"/>
    </row>
    <row r="1180" spans="1:18" customFormat="1" ht="12.75" customHeight="1">
      <c r="A1180" s="70"/>
      <c r="B1180" s="70" t="s">
        <v>1907</v>
      </c>
      <c r="C1180" s="70" t="s">
        <v>494</v>
      </c>
      <c r="D1180" s="62"/>
      <c r="E1180" s="62" t="s">
        <v>476</v>
      </c>
      <c r="F1180" s="62"/>
      <c r="G1180" s="62"/>
      <c r="H1180" s="62"/>
      <c r="I1180" s="62"/>
      <c r="J1180" s="62"/>
      <c r="K1180" s="76">
        <v>2</v>
      </c>
      <c r="L1180" s="62">
        <v>6</v>
      </c>
      <c r="M1180" s="62"/>
      <c r="N1180" s="62"/>
      <c r="O1180" s="62"/>
      <c r="P1180" s="62"/>
    </row>
    <row r="1181" spans="1:18" s="3" customFormat="1">
      <c r="A1181" s="70"/>
      <c r="B1181" s="70" t="s">
        <v>1908</v>
      </c>
      <c r="C1181" s="70" t="s">
        <v>494</v>
      </c>
      <c r="D1181" s="62"/>
      <c r="E1181" s="62"/>
      <c r="F1181" s="62"/>
      <c r="G1181" s="62"/>
      <c r="H1181" s="62"/>
      <c r="I1181" s="62"/>
      <c r="J1181" s="62"/>
      <c r="K1181" s="76">
        <v>3</v>
      </c>
      <c r="L1181" s="62">
        <v>6</v>
      </c>
      <c r="M1181" s="62"/>
      <c r="N1181" s="62"/>
      <c r="O1181" s="62"/>
      <c r="P1181" s="62"/>
      <c r="Q1181" s="12"/>
      <c r="R1181" s="12"/>
    </row>
    <row r="1182" spans="1:18" s="3" customFormat="1">
      <c r="A1182" s="70"/>
      <c r="B1182" s="70" t="s">
        <v>1914</v>
      </c>
      <c r="C1182" s="70" t="s">
        <v>493</v>
      </c>
      <c r="D1182" s="62">
        <v>1</v>
      </c>
      <c r="E1182" s="62"/>
      <c r="F1182" s="62"/>
      <c r="G1182" s="62"/>
      <c r="H1182" s="62"/>
      <c r="I1182" s="62"/>
      <c r="J1182" s="62"/>
      <c r="K1182" s="76">
        <v>4</v>
      </c>
      <c r="L1182" s="62">
        <v>3</v>
      </c>
      <c r="M1182" s="62"/>
      <c r="N1182" s="62"/>
      <c r="O1182" s="62"/>
      <c r="P1182" s="62"/>
      <c r="Q1182" s="12"/>
      <c r="R1182" s="12"/>
    </row>
    <row r="1183" spans="1:18" s="3" customFormat="1">
      <c r="A1183" s="70"/>
      <c r="B1183" s="70" t="s">
        <v>1915</v>
      </c>
      <c r="C1183" s="70" t="s">
        <v>493</v>
      </c>
      <c r="D1183" s="62">
        <v>1</v>
      </c>
      <c r="E1183" s="62"/>
      <c r="F1183" s="62"/>
      <c r="G1183" s="62"/>
      <c r="H1183" s="62"/>
      <c r="I1183" s="62"/>
      <c r="J1183" s="62"/>
      <c r="K1183" s="76">
        <v>5</v>
      </c>
      <c r="L1183" s="75">
        <v>3</v>
      </c>
      <c r="M1183" s="62"/>
      <c r="N1183" s="62"/>
      <c r="O1183" s="62"/>
      <c r="P1183" s="62"/>
      <c r="Q1183" s="12"/>
      <c r="R1183" s="12"/>
    </row>
    <row r="1184" spans="1:18" s="3" customFormat="1">
      <c r="A1184" s="70"/>
      <c r="B1184" s="70" t="s">
        <v>1909</v>
      </c>
      <c r="C1184" s="70" t="s">
        <v>493</v>
      </c>
      <c r="D1184" s="62">
        <v>100</v>
      </c>
      <c r="E1184" s="62"/>
      <c r="F1184" s="62"/>
      <c r="G1184" s="62"/>
      <c r="H1184" s="62"/>
      <c r="I1184" s="62"/>
      <c r="J1184" s="62"/>
      <c r="K1184" s="76">
        <v>6</v>
      </c>
      <c r="L1184" s="62"/>
      <c r="M1184" s="62"/>
      <c r="N1184" s="62"/>
      <c r="O1184" s="62"/>
      <c r="P1184" s="62"/>
      <c r="Q1184" s="12"/>
      <c r="R1184" s="12"/>
    </row>
    <row r="1185" spans="1:18" s="3" customFormat="1">
      <c r="A1185" s="70"/>
      <c r="B1185" s="70" t="s">
        <v>1910</v>
      </c>
      <c r="C1185" s="70" t="s">
        <v>494</v>
      </c>
      <c r="D1185" s="62"/>
      <c r="E1185" s="62"/>
      <c r="F1185" s="62"/>
      <c r="G1185" s="62"/>
      <c r="H1185" s="62"/>
      <c r="I1185" s="62"/>
      <c r="J1185" s="62"/>
      <c r="K1185" s="76">
        <v>7</v>
      </c>
      <c r="L1185" s="15">
        <v>3</v>
      </c>
      <c r="M1185" s="1"/>
      <c r="N1185" s="1" t="s">
        <v>693</v>
      </c>
      <c r="O1185" s="1" t="s">
        <v>695</v>
      </c>
      <c r="P1185" s="1" t="s">
        <v>696</v>
      </c>
      <c r="Q1185" s="14"/>
      <c r="R1185" s="14"/>
    </row>
    <row r="1186" spans="1:18" s="3" customFormat="1">
      <c r="A1186" s="70"/>
      <c r="B1186" s="70" t="s">
        <v>1911</v>
      </c>
      <c r="C1186" s="70" t="s">
        <v>494</v>
      </c>
      <c r="D1186" s="62"/>
      <c r="E1186" s="62"/>
      <c r="F1186" s="62"/>
      <c r="G1186" s="62"/>
      <c r="H1186" s="62"/>
      <c r="I1186" s="62"/>
      <c r="J1186" s="62"/>
      <c r="K1186" s="76">
        <v>8</v>
      </c>
      <c r="L1186" s="1">
        <v>3</v>
      </c>
      <c r="M1186" s="1">
        <v>31</v>
      </c>
      <c r="N1186" s="62" t="s">
        <v>379</v>
      </c>
      <c r="O1186" s="62" t="s">
        <v>698</v>
      </c>
      <c r="P1186" s="1" t="s">
        <v>699</v>
      </c>
      <c r="Q1186" s="62" t="s">
        <v>383</v>
      </c>
      <c r="R1186" s="14">
        <f>+K1185</f>
        <v>7</v>
      </c>
    </row>
    <row r="1187" spans="1:18" s="3" customFormat="1">
      <c r="A1187" s="70"/>
      <c r="B1187" s="70" t="s">
        <v>1916</v>
      </c>
      <c r="C1187" s="70" t="s">
        <v>494</v>
      </c>
      <c r="D1187" s="62"/>
      <c r="E1187" s="62"/>
      <c r="F1187" s="62"/>
      <c r="G1187" s="62"/>
      <c r="H1187" s="62"/>
      <c r="I1187" s="62"/>
      <c r="J1187" s="62"/>
      <c r="K1187" s="76">
        <v>9</v>
      </c>
      <c r="L1187" s="62">
        <v>3</v>
      </c>
      <c r="M1187" s="62"/>
      <c r="N1187" s="62" t="s">
        <v>1917</v>
      </c>
      <c r="O1187" s="62" t="s">
        <v>1919</v>
      </c>
      <c r="P1187" s="62" t="s">
        <v>1921</v>
      </c>
      <c r="Q1187" s="12"/>
      <c r="R1187" s="12"/>
    </row>
    <row r="1188" spans="1:18" s="3" customFormat="1">
      <c r="A1188" s="70"/>
      <c r="B1188" s="70" t="s">
        <v>1931</v>
      </c>
      <c r="C1188" s="70" t="s">
        <v>520</v>
      </c>
      <c r="D1188" s="62"/>
      <c r="E1188" s="62"/>
      <c r="F1188" s="62"/>
      <c r="G1188" s="62"/>
      <c r="H1188" s="62"/>
      <c r="I1188" s="62"/>
      <c r="J1188" s="62"/>
      <c r="K1188" s="76">
        <v>10</v>
      </c>
      <c r="L1188" s="62"/>
      <c r="M1188" s="62"/>
      <c r="N1188" s="62"/>
      <c r="O1188" s="62"/>
      <c r="P1188" s="62"/>
      <c r="Q1188" s="12"/>
      <c r="R1188" s="12"/>
    </row>
    <row r="1189" spans="1:18" s="3" customFormat="1">
      <c r="A1189" s="70"/>
      <c r="B1189" s="70" t="s">
        <v>5639</v>
      </c>
      <c r="C1189" s="70" t="s">
        <v>494</v>
      </c>
      <c r="D1189" s="62"/>
      <c r="E1189" s="62"/>
      <c r="F1189" s="62"/>
      <c r="G1189" s="62"/>
      <c r="H1189" s="62"/>
      <c r="I1189" s="62"/>
      <c r="J1189" s="62"/>
      <c r="K1189" s="76">
        <v>11</v>
      </c>
      <c r="L1189">
        <v>3</v>
      </c>
      <c r="M1189">
        <v>3</v>
      </c>
      <c r="N1189" t="s">
        <v>5567</v>
      </c>
      <c r="O1189" s="66" t="s">
        <v>5569</v>
      </c>
      <c r="P1189" s="66" t="s">
        <v>5571</v>
      </c>
      <c r="Q1189">
        <v>2141</v>
      </c>
      <c r="R1189" s="12"/>
    </row>
    <row r="1190" spans="1:18" customFormat="1">
      <c r="B1190" s="66"/>
      <c r="C1190" s="62"/>
      <c r="N1190" s="62"/>
      <c r="O1190" s="62"/>
      <c r="P1190" s="62"/>
    </row>
    <row r="1191" spans="1:18" s="3" customFormat="1">
      <c r="A1191" s="70" t="s">
        <v>1960</v>
      </c>
      <c r="B1191" s="70" t="s">
        <v>1961</v>
      </c>
      <c r="C1191" s="70" t="s">
        <v>494</v>
      </c>
      <c r="D1191" s="62"/>
      <c r="E1191" s="62" t="s">
        <v>476</v>
      </c>
      <c r="F1191" s="62">
        <v>21</v>
      </c>
      <c r="G1191" s="62">
        <v>2148</v>
      </c>
      <c r="H1191" s="62" t="s">
        <v>5644</v>
      </c>
      <c r="I1191" s="62" t="s">
        <v>5645</v>
      </c>
      <c r="J1191" s="62">
        <v>2104</v>
      </c>
      <c r="K1191" s="76">
        <v>1</v>
      </c>
      <c r="L1191" s="62">
        <v>3</v>
      </c>
      <c r="M1191" s="62"/>
      <c r="N1191" s="64" t="s">
        <v>506</v>
      </c>
      <c r="O1191" s="64" t="s">
        <v>514</v>
      </c>
      <c r="P1191" s="1" t="s">
        <v>515</v>
      </c>
      <c r="Q1191" s="12"/>
      <c r="R1191" s="12"/>
    </row>
    <row r="1192" spans="1:18" s="3" customFormat="1">
      <c r="A1192" s="70"/>
      <c r="B1192" s="70" t="s">
        <v>2878</v>
      </c>
      <c r="C1192" s="70" t="s">
        <v>494</v>
      </c>
      <c r="D1192" s="62"/>
      <c r="E1192" s="62" t="s">
        <v>476</v>
      </c>
      <c r="F1192" s="62"/>
      <c r="G1192" s="62"/>
      <c r="H1192" s="62"/>
      <c r="I1192" s="62"/>
      <c r="J1192" s="62"/>
      <c r="K1192" s="76">
        <v>2</v>
      </c>
      <c r="L1192" s="62"/>
      <c r="M1192" s="62">
        <v>2</v>
      </c>
      <c r="N1192" s="64"/>
      <c r="O1192" s="64"/>
      <c r="P1192" s="1"/>
      <c r="Q1192" s="12"/>
      <c r="R1192" s="12"/>
    </row>
    <row r="1193" spans="1:18" s="3" customFormat="1">
      <c r="A1193" s="70"/>
      <c r="B1193" s="70" t="s">
        <v>1962</v>
      </c>
      <c r="C1193" s="70" t="s">
        <v>494</v>
      </c>
      <c r="D1193" s="62"/>
      <c r="E1193" s="62" t="s">
        <v>476</v>
      </c>
      <c r="F1193" s="62"/>
      <c r="G1193" s="62"/>
      <c r="H1193" s="62"/>
      <c r="I1193" s="62"/>
      <c r="J1193" s="62"/>
      <c r="K1193" s="76">
        <v>3</v>
      </c>
      <c r="L1193" s="62">
        <v>9</v>
      </c>
      <c r="M1193" s="62"/>
      <c r="N1193" s="62" t="s">
        <v>1038</v>
      </c>
      <c r="O1193" s="23" t="s">
        <v>1040</v>
      </c>
      <c r="P1193" s="60" t="s">
        <v>1041</v>
      </c>
      <c r="Q1193" s="23" t="s">
        <v>1040</v>
      </c>
      <c r="R1193" s="14">
        <v>140</v>
      </c>
    </row>
    <row r="1194" spans="1:18" s="3" customFormat="1">
      <c r="A1194" s="70"/>
      <c r="B1194" s="70" t="s">
        <v>1966</v>
      </c>
      <c r="C1194" s="70" t="s">
        <v>494</v>
      </c>
      <c r="D1194" s="62"/>
      <c r="E1194" s="62"/>
      <c r="F1194" s="62"/>
      <c r="G1194" s="62"/>
      <c r="H1194" s="62"/>
      <c r="I1194" s="62"/>
      <c r="J1194" s="62"/>
      <c r="K1194" s="76">
        <v>4</v>
      </c>
      <c r="L1194" s="62">
        <v>3</v>
      </c>
      <c r="M1194" s="62">
        <v>1</v>
      </c>
      <c r="N1194" s="62" t="s">
        <v>693</v>
      </c>
      <c r="O1194" s="1" t="s">
        <v>695</v>
      </c>
      <c r="P1194" s="1" t="s">
        <v>696</v>
      </c>
      <c r="Q1194" s="12"/>
      <c r="R1194" s="12"/>
    </row>
    <row r="1195" spans="1:18" s="3" customFormat="1">
      <c r="A1195" s="70"/>
      <c r="B1195" s="70" t="s">
        <v>1963</v>
      </c>
      <c r="C1195" s="70" t="s">
        <v>494</v>
      </c>
      <c r="D1195" s="62"/>
      <c r="E1195" s="62" t="s">
        <v>476</v>
      </c>
      <c r="F1195" s="62"/>
      <c r="G1195" s="62"/>
      <c r="H1195" s="62"/>
      <c r="I1195" s="62"/>
      <c r="J1195" s="62"/>
      <c r="K1195" s="76">
        <v>5</v>
      </c>
      <c r="L1195" s="62">
        <v>3</v>
      </c>
      <c r="M1195" s="62">
        <v>31</v>
      </c>
      <c r="N1195" s="62" t="s">
        <v>379</v>
      </c>
      <c r="O1195" s="62" t="s">
        <v>698</v>
      </c>
      <c r="P1195" s="1" t="s">
        <v>699</v>
      </c>
      <c r="Q1195" s="62" t="s">
        <v>383</v>
      </c>
      <c r="R1195" s="14">
        <v>3</v>
      </c>
    </row>
    <row r="1196" spans="1:18" s="3" customFormat="1">
      <c r="A1196" s="70"/>
      <c r="B1196" s="70" t="s">
        <v>1980</v>
      </c>
      <c r="C1196" s="70" t="s">
        <v>494</v>
      </c>
      <c r="D1196" s="62"/>
      <c r="E1196" s="62" t="s">
        <v>476</v>
      </c>
      <c r="F1196" s="62"/>
      <c r="G1196" s="62"/>
      <c r="H1196" s="62"/>
      <c r="I1196" s="62"/>
      <c r="J1196" s="62"/>
      <c r="K1196" s="76">
        <v>6</v>
      </c>
      <c r="L1196" s="62">
        <v>6</v>
      </c>
      <c r="M1196" s="62"/>
      <c r="N1196" s="62"/>
      <c r="O1196" s="62"/>
      <c r="P1196" s="62"/>
      <c r="Q1196" s="12"/>
      <c r="R1196" s="12"/>
    </row>
    <row r="1197" spans="1:18" s="3" customFormat="1">
      <c r="A1197" s="70"/>
      <c r="B1197" s="70" t="s">
        <v>1964</v>
      </c>
      <c r="C1197" s="70" t="s">
        <v>494</v>
      </c>
      <c r="D1197" s="62"/>
      <c r="E1197" s="62"/>
      <c r="F1197" s="62"/>
      <c r="G1197" s="62"/>
      <c r="H1197" s="62"/>
      <c r="I1197" s="62"/>
      <c r="J1197" s="62"/>
      <c r="K1197" s="76">
        <v>7</v>
      </c>
      <c r="L1197" s="62">
        <v>6</v>
      </c>
      <c r="M1197" s="62"/>
      <c r="N1197" s="62"/>
      <c r="O1197" s="62"/>
      <c r="P1197" s="62"/>
      <c r="Q1197" s="12"/>
      <c r="R1197" s="12"/>
    </row>
    <row r="1198" spans="1:18" s="3" customFormat="1">
      <c r="A1198" s="70"/>
      <c r="B1198" s="70" t="s">
        <v>1965</v>
      </c>
      <c r="C1198" s="70" t="s">
        <v>494</v>
      </c>
      <c r="D1198" s="62"/>
      <c r="E1198" s="62"/>
      <c r="F1198" s="62"/>
      <c r="G1198" s="62"/>
      <c r="H1198" s="62"/>
      <c r="I1198" s="62"/>
      <c r="J1198" s="62"/>
      <c r="K1198" s="76">
        <v>8</v>
      </c>
      <c r="L1198" s="62">
        <v>3</v>
      </c>
      <c r="M1198" s="62">
        <v>1</v>
      </c>
      <c r="N1198" s="1" t="s">
        <v>995</v>
      </c>
      <c r="O1198" s="23" t="s">
        <v>997</v>
      </c>
      <c r="P1198" s="23" t="s">
        <v>996</v>
      </c>
      <c r="Q1198" s="12"/>
      <c r="R1198" s="12"/>
    </row>
    <row r="1199" spans="1:18" s="3" customFormat="1">
      <c r="A1199" s="70"/>
      <c r="B1199" s="70" t="s">
        <v>1981</v>
      </c>
      <c r="C1199" s="70" t="s">
        <v>494</v>
      </c>
      <c r="D1199" s="62"/>
      <c r="E1199" s="62"/>
      <c r="F1199" s="62"/>
      <c r="G1199" s="62"/>
      <c r="H1199" s="62"/>
      <c r="I1199" s="62"/>
      <c r="J1199" s="62"/>
      <c r="K1199" s="76">
        <v>9</v>
      </c>
      <c r="L1199" s="62">
        <v>8</v>
      </c>
      <c r="M1199" s="62"/>
      <c r="N1199" s="62"/>
      <c r="O1199" s="62"/>
      <c r="P1199" s="62"/>
      <c r="Q1199" s="12"/>
      <c r="R1199" s="12"/>
    </row>
    <row r="1200" spans="1:18" s="3" customFormat="1">
      <c r="A1200" s="70"/>
      <c r="B1200" s="70" t="s">
        <v>1982</v>
      </c>
      <c r="C1200" s="70" t="s">
        <v>494</v>
      </c>
      <c r="D1200" s="62"/>
      <c r="E1200" s="62"/>
      <c r="F1200" s="62"/>
      <c r="G1200" s="62"/>
      <c r="H1200" s="62"/>
      <c r="I1200" s="62" t="s">
        <v>3008</v>
      </c>
      <c r="J1200" s="62"/>
      <c r="K1200" s="76">
        <v>10</v>
      </c>
      <c r="L1200" s="62">
        <v>3</v>
      </c>
      <c r="M1200" s="62">
        <v>31</v>
      </c>
      <c r="N1200" s="62" t="s">
        <v>1906</v>
      </c>
      <c r="O1200" s="62" t="s">
        <v>1908</v>
      </c>
      <c r="P1200" s="62" t="s">
        <v>1909</v>
      </c>
      <c r="Q1200" s="62" t="s">
        <v>1911</v>
      </c>
      <c r="R1200" s="14">
        <v>4</v>
      </c>
    </row>
    <row r="1201" spans="1:18" s="3" customFormat="1">
      <c r="A1201" s="70"/>
      <c r="B1201" s="70" t="s">
        <v>1983</v>
      </c>
      <c r="C1201" s="70" t="s">
        <v>494</v>
      </c>
      <c r="D1201" s="62"/>
      <c r="E1201" s="62"/>
      <c r="F1201" s="62"/>
      <c r="G1201" s="62"/>
      <c r="H1201" s="62"/>
      <c r="I1201" s="62"/>
      <c r="J1201" s="62"/>
      <c r="K1201" s="76">
        <v>11</v>
      </c>
      <c r="L1201" s="62"/>
      <c r="M1201" s="62"/>
      <c r="N1201" s="62"/>
      <c r="O1201" s="62"/>
      <c r="P1201" s="62"/>
      <c r="Q1201" s="12"/>
      <c r="R1201" s="12"/>
    </row>
    <row r="1202" spans="1:18" s="3" customFormat="1">
      <c r="A1202" s="70"/>
      <c r="B1202" s="70" t="s">
        <v>2018</v>
      </c>
      <c r="C1202" s="70" t="s">
        <v>493</v>
      </c>
      <c r="D1202" s="62">
        <v>1</v>
      </c>
      <c r="E1202" s="62"/>
      <c r="F1202" s="62"/>
      <c r="G1202" s="62"/>
      <c r="H1202" s="62"/>
      <c r="I1202" s="62"/>
      <c r="J1202" s="62"/>
      <c r="K1202" s="76">
        <v>12</v>
      </c>
      <c r="L1202" s="62">
        <v>30</v>
      </c>
      <c r="M1202" s="62"/>
      <c r="N1202" s="62"/>
      <c r="O1202" s="62"/>
      <c r="P1202" s="62"/>
      <c r="Q1202" s="12"/>
      <c r="R1202" s="12"/>
    </row>
    <row r="1203" spans="1:18" s="3" customFormat="1">
      <c r="A1203" s="70"/>
      <c r="B1203" s="70" t="s">
        <v>2047</v>
      </c>
      <c r="C1203" s="70" t="s">
        <v>494</v>
      </c>
      <c r="D1203" s="62"/>
      <c r="E1203" s="62"/>
      <c r="F1203" s="62"/>
      <c r="G1203" s="62"/>
      <c r="H1203" s="62"/>
      <c r="I1203" s="62"/>
      <c r="J1203" s="62"/>
      <c r="K1203" s="76">
        <v>13</v>
      </c>
      <c r="L1203" s="62"/>
      <c r="M1203" s="62">
        <v>1</v>
      </c>
      <c r="N1203" s="62"/>
      <c r="O1203" s="62"/>
      <c r="P1203" s="62"/>
      <c r="Q1203" s="12"/>
      <c r="R1203" s="12"/>
    </row>
    <row r="1204" spans="1:18" s="3" customFormat="1">
      <c r="A1204" s="70"/>
      <c r="B1204" s="70" t="s">
        <v>2048</v>
      </c>
      <c r="C1204" s="70" t="s">
        <v>494</v>
      </c>
      <c r="D1204" s="62"/>
      <c r="E1204" s="62"/>
      <c r="F1204" s="62"/>
      <c r="G1204" s="62"/>
      <c r="H1204" s="62"/>
      <c r="I1204" s="62"/>
      <c r="J1204" s="62"/>
      <c r="K1204" s="76">
        <v>14</v>
      </c>
      <c r="L1204" s="62"/>
      <c r="M1204" s="62">
        <v>1</v>
      </c>
      <c r="N1204" s="62"/>
      <c r="O1204" s="62"/>
      <c r="P1204" s="62"/>
      <c r="Q1204" s="12"/>
      <c r="R1204" s="12"/>
    </row>
    <row r="1205" spans="1:18" s="3" customFormat="1">
      <c r="A1205" s="70"/>
      <c r="B1205" s="70" t="s">
        <v>2139</v>
      </c>
      <c r="C1205" s="70" t="s">
        <v>493</v>
      </c>
      <c r="D1205" s="62">
        <v>1</v>
      </c>
      <c r="E1205" s="62"/>
      <c r="F1205" s="62"/>
      <c r="G1205" s="62"/>
      <c r="H1205" s="62"/>
      <c r="I1205" s="62"/>
      <c r="J1205" s="62"/>
      <c r="K1205" s="76">
        <v>15</v>
      </c>
      <c r="L1205" s="62">
        <v>3</v>
      </c>
      <c r="M1205" s="62">
        <v>1</v>
      </c>
      <c r="N1205" s="62"/>
      <c r="O1205" s="62"/>
      <c r="P1205" s="62"/>
      <c r="Q1205" s="12"/>
      <c r="R1205" s="12"/>
    </row>
    <row r="1206" spans="1:18" s="3" customFormat="1">
      <c r="A1206" s="70"/>
      <c r="B1206" s="70" t="s">
        <v>2428</v>
      </c>
      <c r="C1206" s="70" t="s">
        <v>494</v>
      </c>
      <c r="D1206" s="62"/>
      <c r="E1206" s="62"/>
      <c r="F1206" s="62"/>
      <c r="G1206" s="62"/>
      <c r="H1206" s="62"/>
      <c r="I1206" s="62"/>
      <c r="J1206" s="62"/>
      <c r="K1206" s="76">
        <v>16</v>
      </c>
      <c r="L1206" s="62"/>
      <c r="M1206" s="62">
        <v>1</v>
      </c>
      <c r="N1206" s="62"/>
      <c r="O1206" s="62"/>
      <c r="P1206" s="62"/>
      <c r="Q1206" s="12"/>
      <c r="R1206" s="12"/>
    </row>
    <row r="1207" spans="1:18" s="3" customFormat="1">
      <c r="A1207" s="70"/>
      <c r="B1207" s="70" t="s">
        <v>2429</v>
      </c>
      <c r="C1207" s="70" t="s">
        <v>494</v>
      </c>
      <c r="D1207" s="62"/>
      <c r="E1207" s="62"/>
      <c r="F1207" s="62"/>
      <c r="G1207" s="62"/>
      <c r="H1207" s="62"/>
      <c r="I1207" s="62"/>
      <c r="J1207" s="62"/>
      <c r="K1207" s="76">
        <v>17</v>
      </c>
      <c r="L1207" s="62"/>
      <c r="M1207" s="62">
        <v>1</v>
      </c>
      <c r="N1207" s="62"/>
      <c r="O1207" s="62"/>
      <c r="P1207" s="62"/>
      <c r="Q1207" s="12"/>
      <c r="R1207" s="12"/>
    </row>
    <row r="1208" spans="1:18" s="3" customFormat="1">
      <c r="A1208" s="70"/>
      <c r="B1208" s="70" t="s">
        <v>2430</v>
      </c>
      <c r="C1208" s="70" t="s">
        <v>494</v>
      </c>
      <c r="D1208" s="62"/>
      <c r="E1208" s="62"/>
      <c r="F1208" s="62"/>
      <c r="G1208" s="62"/>
      <c r="H1208" s="62"/>
      <c r="I1208" s="62"/>
      <c r="J1208" s="62"/>
      <c r="K1208" s="76">
        <v>18</v>
      </c>
      <c r="L1208" s="62"/>
      <c r="M1208" s="62">
        <v>1</v>
      </c>
      <c r="N1208" s="62"/>
      <c r="O1208" s="62"/>
      <c r="P1208" s="62"/>
      <c r="Q1208" s="12"/>
      <c r="R1208" s="12"/>
    </row>
    <row r="1209" spans="1:18" s="3" customFormat="1">
      <c r="A1209" s="70"/>
      <c r="B1209" s="70" t="s">
        <v>5642</v>
      </c>
      <c r="C1209" s="70" t="s">
        <v>494</v>
      </c>
      <c r="D1209" s="62"/>
      <c r="E1209" s="62"/>
      <c r="F1209" s="62"/>
      <c r="G1209" s="62"/>
      <c r="H1209" s="62"/>
      <c r="I1209" s="62"/>
      <c r="J1209" s="62"/>
      <c r="K1209" s="76">
        <v>19</v>
      </c>
      <c r="L1209" s="62">
        <v>3</v>
      </c>
      <c r="M1209" s="62">
        <v>31</v>
      </c>
      <c r="N1209" s="62" t="s">
        <v>3655</v>
      </c>
      <c r="O1209" s="62" t="s">
        <v>3648</v>
      </c>
      <c r="P1209" s="62" t="s">
        <v>3657</v>
      </c>
      <c r="Q1209" s="47" t="s">
        <v>3658</v>
      </c>
      <c r="R1209" s="12">
        <v>8</v>
      </c>
    </row>
    <row r="1210" spans="1:18" customFormat="1">
      <c r="A1210" s="70"/>
      <c r="B1210" s="70" t="s">
        <v>5643</v>
      </c>
      <c r="C1210" s="70" t="s">
        <v>494</v>
      </c>
      <c r="K1210" s="76">
        <v>20</v>
      </c>
      <c r="L1210">
        <v>3</v>
      </c>
      <c r="N1210" t="s">
        <v>5567</v>
      </c>
      <c r="O1210" s="66" t="s">
        <v>5569</v>
      </c>
      <c r="P1210" s="66" t="s">
        <v>5571</v>
      </c>
      <c r="R1210">
        <v>2141</v>
      </c>
    </row>
    <row r="1211" spans="1:18" s="7" customFormat="1">
      <c r="A1211" s="64"/>
      <c r="B1211" s="64"/>
      <c r="C1211" s="64"/>
      <c r="K1211" s="113"/>
      <c r="O1211" s="66"/>
      <c r="P1211" s="66"/>
    </row>
    <row r="1212" spans="1:18" s="7" customFormat="1">
      <c r="A1212" s="64" t="s">
        <v>5702</v>
      </c>
      <c r="B1212" s="64" t="s">
        <v>5703</v>
      </c>
      <c r="C1212" s="64" t="s">
        <v>494</v>
      </c>
      <c r="E1212" s="108" t="s">
        <v>476</v>
      </c>
      <c r="F1212" s="7">
        <v>21</v>
      </c>
      <c r="G1212" s="7">
        <v>2150</v>
      </c>
      <c r="H1212" s="64" t="s">
        <v>5710</v>
      </c>
      <c r="J1212" s="7">
        <v>2104</v>
      </c>
      <c r="K1212" s="113">
        <v>1</v>
      </c>
      <c r="L1212" s="7">
        <v>52</v>
      </c>
      <c r="N1212" s="7">
        <v>2148</v>
      </c>
      <c r="O1212" s="66" t="s">
        <v>1964</v>
      </c>
      <c r="P1212" s="66"/>
    </row>
    <row r="1213" spans="1:18" s="7" customFormat="1">
      <c r="A1213" s="64"/>
      <c r="B1213" s="64" t="s">
        <v>5704</v>
      </c>
      <c r="C1213" s="64" t="s">
        <v>494</v>
      </c>
      <c r="E1213" s="64" t="s">
        <v>476</v>
      </c>
      <c r="K1213" s="113">
        <v>2</v>
      </c>
      <c r="O1213" s="66"/>
      <c r="P1213" s="66"/>
    </row>
    <row r="1214" spans="1:18" s="7" customFormat="1">
      <c r="A1214" s="64"/>
      <c r="B1214" s="64" t="s">
        <v>5705</v>
      </c>
      <c r="C1214" s="64" t="s">
        <v>494</v>
      </c>
      <c r="K1214" s="113">
        <v>3</v>
      </c>
      <c r="O1214" s="66"/>
      <c r="P1214" s="66"/>
    </row>
    <row r="1215" spans="1:18" s="7" customFormat="1">
      <c r="A1215" s="64"/>
      <c r="B1215" s="64" t="s">
        <v>5706</v>
      </c>
      <c r="C1215" s="64" t="s">
        <v>494</v>
      </c>
      <c r="K1215" s="113">
        <v>4</v>
      </c>
      <c r="L1215" s="7">
        <v>3</v>
      </c>
      <c r="O1215" s="66"/>
      <c r="P1215" s="66"/>
    </row>
    <row r="1216" spans="1:18" s="7" customFormat="1">
      <c r="A1216" s="64"/>
      <c r="B1216" s="64" t="s">
        <v>5707</v>
      </c>
      <c r="C1216" s="64" t="s">
        <v>494</v>
      </c>
      <c r="K1216" s="113">
        <v>5</v>
      </c>
      <c r="L1216" s="7">
        <v>7</v>
      </c>
      <c r="O1216" s="66"/>
      <c r="P1216" s="66"/>
    </row>
    <row r="1217" spans="1:16" s="7" customFormat="1">
      <c r="A1217" s="64"/>
      <c r="B1217" s="64" t="s">
        <v>5708</v>
      </c>
      <c r="C1217" s="64" t="s">
        <v>494</v>
      </c>
      <c r="K1217" s="113">
        <v>6</v>
      </c>
      <c r="L1217" s="7">
        <v>3</v>
      </c>
      <c r="O1217" s="66"/>
      <c r="P1217" s="66"/>
    </row>
    <row r="1218" spans="1:16" s="7" customFormat="1">
      <c r="A1218" s="64"/>
      <c r="B1218" s="64" t="s">
        <v>5709</v>
      </c>
      <c r="C1218" s="64" t="s">
        <v>520</v>
      </c>
      <c r="K1218" s="113">
        <v>7</v>
      </c>
      <c r="O1218" s="66"/>
      <c r="P1218" s="66"/>
    </row>
    <row r="1219" spans="1:16" customFormat="1">
      <c r="B1219" s="66"/>
      <c r="C1219" s="62"/>
      <c r="N1219" s="62"/>
      <c r="O1219" s="62"/>
      <c r="P1219" s="62"/>
    </row>
    <row r="1220" spans="1:16" customFormat="1">
      <c r="A1220" s="62" t="s">
        <v>5646</v>
      </c>
      <c r="B1220" s="66" t="s">
        <v>5647</v>
      </c>
      <c r="C1220" s="62" t="s">
        <v>494</v>
      </c>
      <c r="E1220" s="62" t="s">
        <v>476</v>
      </c>
      <c r="F1220">
        <v>21</v>
      </c>
      <c r="G1220">
        <v>2149</v>
      </c>
      <c r="H1220" s="62" t="s">
        <v>5711</v>
      </c>
      <c r="J1220">
        <v>2104</v>
      </c>
      <c r="K1220" s="113">
        <v>1</v>
      </c>
      <c r="L1220">
        <v>52</v>
      </c>
      <c r="N1220" s="7">
        <v>2148</v>
      </c>
      <c r="O1220" s="66" t="s">
        <v>1964</v>
      </c>
      <c r="P1220" s="62"/>
    </row>
    <row r="1221" spans="1:16" customFormat="1">
      <c r="B1221" s="66" t="s">
        <v>5648</v>
      </c>
      <c r="C1221" s="62" t="s">
        <v>494</v>
      </c>
      <c r="K1221" s="113">
        <v>2</v>
      </c>
      <c r="L1221">
        <v>6</v>
      </c>
      <c r="N1221" s="62"/>
      <c r="O1221" s="62"/>
      <c r="P1221" s="62"/>
    </row>
    <row r="1222" spans="1:16" customFormat="1">
      <c r="B1222" s="66" t="s">
        <v>5653</v>
      </c>
      <c r="C1222" s="62" t="s">
        <v>494</v>
      </c>
      <c r="K1222" s="113">
        <v>3</v>
      </c>
      <c r="L1222">
        <v>3</v>
      </c>
      <c r="N1222" s="62"/>
      <c r="O1222" s="62"/>
      <c r="P1222" s="62"/>
    </row>
    <row r="1223" spans="1:16" customFormat="1">
      <c r="B1223" s="66" t="s">
        <v>5649</v>
      </c>
      <c r="C1223" s="62" t="s">
        <v>494</v>
      </c>
      <c r="K1223" s="113">
        <v>4</v>
      </c>
      <c r="L1223">
        <v>8</v>
      </c>
      <c r="N1223" s="62"/>
      <c r="O1223" s="62"/>
      <c r="P1223" s="62"/>
    </row>
    <row r="1224" spans="1:16" customFormat="1">
      <c r="B1224" s="66" t="s">
        <v>5652</v>
      </c>
      <c r="C1224" s="62" t="s">
        <v>494</v>
      </c>
      <c r="K1224" s="113">
        <v>5</v>
      </c>
      <c r="M1224">
        <v>2</v>
      </c>
      <c r="N1224" s="62"/>
      <c r="O1224" s="62"/>
      <c r="P1224" s="62"/>
    </row>
    <row r="1225" spans="1:16" customFormat="1">
      <c r="B1225" s="66" t="s">
        <v>5650</v>
      </c>
      <c r="C1225" s="62" t="s">
        <v>494</v>
      </c>
      <c r="K1225" s="113">
        <v>6</v>
      </c>
      <c r="N1225" s="62"/>
      <c r="O1225" s="62"/>
      <c r="P1225" s="62"/>
    </row>
    <row r="1226" spans="1:16" customFormat="1">
      <c r="B1226" s="66" t="s">
        <v>5651</v>
      </c>
      <c r="C1226" s="62" t="s">
        <v>494</v>
      </c>
      <c r="K1226" s="113">
        <v>7</v>
      </c>
      <c r="N1226" s="62"/>
      <c r="O1226" s="62"/>
      <c r="P1226" s="62"/>
    </row>
    <row r="1227" spans="1:16" customFormat="1">
      <c r="B1227" s="66" t="s">
        <v>5654</v>
      </c>
      <c r="C1227" s="62" t="s">
        <v>494</v>
      </c>
      <c r="K1227" s="113">
        <v>8</v>
      </c>
      <c r="N1227" s="62"/>
      <c r="O1227" s="62"/>
      <c r="P1227" s="62"/>
    </row>
    <row r="1228" spans="1:16" customFormat="1">
      <c r="B1228" s="66" t="s">
        <v>5655</v>
      </c>
      <c r="C1228" s="62" t="s">
        <v>494</v>
      </c>
      <c r="K1228" s="113">
        <v>9</v>
      </c>
      <c r="N1228" s="62"/>
      <c r="O1228" s="62"/>
      <c r="P1228" s="62"/>
    </row>
    <row r="1229" spans="1:16" customFormat="1">
      <c r="B1229" s="66" t="s">
        <v>5656</v>
      </c>
      <c r="C1229" s="62" t="s">
        <v>494</v>
      </c>
      <c r="K1229" s="113">
        <v>10</v>
      </c>
      <c r="N1229" s="62"/>
      <c r="O1229" s="62"/>
      <c r="P1229" s="62"/>
    </row>
    <row r="1230" spans="1:16" customFormat="1">
      <c r="B1230" s="66" t="s">
        <v>5657</v>
      </c>
      <c r="C1230" s="62" t="s">
        <v>494</v>
      </c>
      <c r="K1230" s="113">
        <v>11</v>
      </c>
      <c r="N1230" s="62"/>
      <c r="O1230" s="62"/>
      <c r="P1230" s="62"/>
    </row>
    <row r="1231" spans="1:16" customFormat="1">
      <c r="B1231" s="66" t="s">
        <v>5658</v>
      </c>
      <c r="C1231" s="62" t="s">
        <v>494</v>
      </c>
      <c r="K1231" s="113">
        <v>12</v>
      </c>
      <c r="N1231" s="62"/>
      <c r="O1231" s="62"/>
      <c r="P1231" s="62"/>
    </row>
    <row r="1232" spans="1:16" customFormat="1">
      <c r="B1232" s="66" t="s">
        <v>5659</v>
      </c>
      <c r="C1232" s="62" t="s">
        <v>494</v>
      </c>
      <c r="K1232" s="113">
        <v>13</v>
      </c>
      <c r="N1232" s="62"/>
      <c r="O1232" s="62"/>
      <c r="P1232" s="62"/>
    </row>
    <row r="1233" spans="2:16" customFormat="1">
      <c r="B1233" s="66" t="s">
        <v>5660</v>
      </c>
      <c r="C1233" s="62" t="s">
        <v>494</v>
      </c>
      <c r="K1233" s="113">
        <v>14</v>
      </c>
      <c r="N1233" s="62"/>
      <c r="O1233" s="62"/>
      <c r="P1233" s="62"/>
    </row>
    <row r="1234" spans="2:16" customFormat="1">
      <c r="B1234" s="66" t="s">
        <v>5661</v>
      </c>
      <c r="C1234" s="62" t="s">
        <v>494</v>
      </c>
      <c r="K1234" s="113">
        <v>15</v>
      </c>
      <c r="N1234" s="62"/>
      <c r="O1234" s="62"/>
      <c r="P1234" s="62"/>
    </row>
    <row r="1235" spans="2:16" customFormat="1">
      <c r="B1235" s="66" t="s">
        <v>5662</v>
      </c>
      <c r="C1235" s="62" t="s">
        <v>494</v>
      </c>
      <c r="K1235" s="113">
        <v>16</v>
      </c>
      <c r="N1235" s="62"/>
      <c r="O1235" s="62"/>
      <c r="P1235" s="62"/>
    </row>
    <row r="1236" spans="2:16" customFormat="1">
      <c r="B1236" s="66" t="s">
        <v>5663</v>
      </c>
      <c r="C1236" s="62" t="s">
        <v>494</v>
      </c>
      <c r="K1236" s="113">
        <v>17</v>
      </c>
      <c r="N1236" s="62"/>
      <c r="O1236" s="62"/>
      <c r="P1236" s="62"/>
    </row>
    <row r="1237" spans="2:16" customFormat="1">
      <c r="B1237" s="66" t="s">
        <v>5664</v>
      </c>
      <c r="C1237" s="62" t="s">
        <v>494</v>
      </c>
      <c r="K1237" s="113">
        <v>18</v>
      </c>
      <c r="N1237" s="62"/>
      <c r="O1237" s="62"/>
      <c r="P1237" s="62"/>
    </row>
    <row r="1238" spans="2:16" customFormat="1">
      <c r="B1238" s="66" t="s">
        <v>5665</v>
      </c>
      <c r="C1238" s="62" t="s">
        <v>494</v>
      </c>
      <c r="K1238" s="113">
        <v>19</v>
      </c>
      <c r="N1238" s="62"/>
      <c r="O1238" s="62"/>
      <c r="P1238" s="62"/>
    </row>
    <row r="1239" spans="2:16" customFormat="1">
      <c r="B1239" s="66" t="s">
        <v>5666</v>
      </c>
      <c r="C1239" s="62" t="s">
        <v>494</v>
      </c>
      <c r="K1239" s="113">
        <v>20</v>
      </c>
      <c r="N1239" s="62"/>
      <c r="O1239" s="62"/>
      <c r="P1239" s="62"/>
    </row>
    <row r="1240" spans="2:16" customFormat="1">
      <c r="B1240" s="66" t="s">
        <v>5667</v>
      </c>
      <c r="C1240" s="62" t="s">
        <v>494</v>
      </c>
      <c r="K1240" s="113">
        <v>21</v>
      </c>
      <c r="N1240" s="62"/>
      <c r="O1240" s="62"/>
      <c r="P1240" s="62"/>
    </row>
    <row r="1241" spans="2:16" customFormat="1">
      <c r="B1241" s="66" t="s">
        <v>5668</v>
      </c>
      <c r="C1241" s="62" t="s">
        <v>494</v>
      </c>
      <c r="K1241" s="113">
        <v>22</v>
      </c>
      <c r="N1241" s="62"/>
      <c r="O1241" s="62"/>
      <c r="P1241" s="62"/>
    </row>
    <row r="1242" spans="2:16" customFormat="1">
      <c r="B1242" s="66" t="s">
        <v>5669</v>
      </c>
      <c r="C1242" s="62" t="s">
        <v>494</v>
      </c>
      <c r="K1242" s="113">
        <v>23</v>
      </c>
      <c r="N1242" s="62"/>
      <c r="O1242" s="62"/>
      <c r="P1242" s="62"/>
    </row>
    <row r="1243" spans="2:16" customFormat="1">
      <c r="B1243" s="66" t="s">
        <v>5670</v>
      </c>
      <c r="C1243" s="62" t="s">
        <v>494</v>
      </c>
      <c r="K1243" s="113">
        <v>24</v>
      </c>
      <c r="N1243" s="62"/>
      <c r="O1243" s="62"/>
      <c r="P1243" s="62"/>
    </row>
    <row r="1244" spans="2:16" customFormat="1">
      <c r="B1244" s="66" t="s">
        <v>5671</v>
      </c>
      <c r="C1244" s="62" t="s">
        <v>494</v>
      </c>
      <c r="K1244" s="113">
        <v>25</v>
      </c>
      <c r="N1244" s="62"/>
      <c r="O1244" s="62"/>
      <c r="P1244" s="62"/>
    </row>
    <row r="1245" spans="2:16" customFormat="1">
      <c r="B1245" s="66" t="s">
        <v>5672</v>
      </c>
      <c r="C1245" s="62" t="s">
        <v>494</v>
      </c>
      <c r="K1245" s="113">
        <v>26</v>
      </c>
      <c r="N1245" s="62"/>
      <c r="O1245" s="62"/>
      <c r="P1245" s="62"/>
    </row>
    <row r="1246" spans="2:16" customFormat="1">
      <c r="B1246" s="66" t="s">
        <v>5673</v>
      </c>
      <c r="C1246" s="62" t="s">
        <v>494</v>
      </c>
      <c r="K1246" s="113">
        <v>27</v>
      </c>
      <c r="N1246" s="62"/>
      <c r="O1246" s="62"/>
      <c r="P1246" s="62"/>
    </row>
    <row r="1247" spans="2:16" customFormat="1">
      <c r="B1247" s="66" t="s">
        <v>5674</v>
      </c>
      <c r="C1247" s="62" t="s">
        <v>494</v>
      </c>
      <c r="K1247" s="113">
        <v>28</v>
      </c>
      <c r="N1247" s="62"/>
      <c r="O1247" s="62"/>
      <c r="P1247" s="62"/>
    </row>
    <row r="1248" spans="2:16" customFormat="1">
      <c r="B1248" s="66" t="s">
        <v>5675</v>
      </c>
      <c r="C1248" s="62" t="s">
        <v>494</v>
      </c>
      <c r="K1248" s="113">
        <v>29</v>
      </c>
      <c r="N1248" s="62"/>
      <c r="O1248" s="62"/>
      <c r="P1248" s="62"/>
    </row>
    <row r="1249" spans="2:16" customFormat="1">
      <c r="B1249" s="66" t="s">
        <v>5676</v>
      </c>
      <c r="C1249" s="62" t="s">
        <v>494</v>
      </c>
      <c r="K1249" s="113">
        <v>30</v>
      </c>
      <c r="N1249" s="62"/>
      <c r="O1249" s="62"/>
      <c r="P1249" s="62"/>
    </row>
    <row r="1250" spans="2:16" customFormat="1">
      <c r="B1250" s="66" t="s">
        <v>5677</v>
      </c>
      <c r="C1250" s="62" t="s">
        <v>494</v>
      </c>
      <c r="K1250" s="113">
        <v>31</v>
      </c>
      <c r="N1250" s="62"/>
      <c r="O1250" s="62"/>
      <c r="P1250" s="62"/>
    </row>
    <row r="1251" spans="2:16" customFormat="1">
      <c r="B1251" s="66" t="s">
        <v>5678</v>
      </c>
      <c r="C1251" s="62" t="s">
        <v>494</v>
      </c>
      <c r="K1251" s="113">
        <v>32</v>
      </c>
      <c r="N1251" s="62"/>
      <c r="O1251" s="62"/>
      <c r="P1251" s="62"/>
    </row>
    <row r="1252" spans="2:16" customFormat="1">
      <c r="B1252" s="66" t="s">
        <v>5679</v>
      </c>
      <c r="C1252" s="62" t="s">
        <v>494</v>
      </c>
      <c r="K1252" s="113">
        <v>33</v>
      </c>
      <c r="N1252" s="62"/>
      <c r="O1252" s="62"/>
      <c r="P1252" s="62"/>
    </row>
    <row r="1253" spans="2:16" customFormat="1">
      <c r="B1253" s="66" t="s">
        <v>5680</v>
      </c>
      <c r="C1253" s="62" t="s">
        <v>494</v>
      </c>
      <c r="K1253" s="113">
        <v>34</v>
      </c>
      <c r="N1253" s="62"/>
      <c r="O1253" s="62"/>
      <c r="P1253" s="62"/>
    </row>
    <row r="1254" spans="2:16" customFormat="1">
      <c r="B1254" s="66" t="s">
        <v>5681</v>
      </c>
      <c r="C1254" s="62" t="s">
        <v>494</v>
      </c>
      <c r="K1254" s="113">
        <v>35</v>
      </c>
      <c r="N1254" s="62"/>
      <c r="O1254" s="62"/>
      <c r="P1254" s="62"/>
    </row>
    <row r="1255" spans="2:16" customFormat="1">
      <c r="B1255" s="66" t="s">
        <v>5682</v>
      </c>
      <c r="C1255" s="62" t="s">
        <v>494</v>
      </c>
      <c r="K1255" s="113">
        <v>36</v>
      </c>
      <c r="N1255" s="62"/>
      <c r="O1255" s="62"/>
      <c r="P1255" s="62"/>
    </row>
    <row r="1256" spans="2:16" customFormat="1">
      <c r="B1256" s="66" t="s">
        <v>5683</v>
      </c>
      <c r="C1256" s="62" t="s">
        <v>494</v>
      </c>
      <c r="K1256" s="113">
        <v>37</v>
      </c>
      <c r="N1256" s="62"/>
      <c r="O1256" s="62"/>
      <c r="P1256" s="62"/>
    </row>
    <row r="1257" spans="2:16" customFormat="1">
      <c r="B1257" s="66" t="s">
        <v>5684</v>
      </c>
      <c r="C1257" s="62" t="s">
        <v>494</v>
      </c>
      <c r="K1257" s="113">
        <v>38</v>
      </c>
      <c r="N1257" s="62"/>
      <c r="O1257" s="62"/>
      <c r="P1257" s="62"/>
    </row>
    <row r="1258" spans="2:16" customFormat="1">
      <c r="B1258" s="66" t="s">
        <v>5685</v>
      </c>
      <c r="C1258" s="62" t="s">
        <v>494</v>
      </c>
      <c r="K1258" s="113">
        <v>39</v>
      </c>
      <c r="N1258" s="62"/>
      <c r="O1258" s="62"/>
      <c r="P1258" s="62"/>
    </row>
    <row r="1259" spans="2:16" customFormat="1">
      <c r="B1259" s="66" t="s">
        <v>5686</v>
      </c>
      <c r="C1259" s="62" t="s">
        <v>494</v>
      </c>
      <c r="K1259" s="113">
        <v>40</v>
      </c>
      <c r="N1259" s="62"/>
      <c r="O1259" s="62"/>
      <c r="P1259" s="62"/>
    </row>
    <row r="1260" spans="2:16" customFormat="1">
      <c r="B1260" s="66" t="s">
        <v>5687</v>
      </c>
      <c r="C1260" s="62" t="s">
        <v>494</v>
      </c>
      <c r="K1260" s="113">
        <v>41</v>
      </c>
      <c r="N1260" s="62"/>
      <c r="O1260" s="62"/>
      <c r="P1260" s="62"/>
    </row>
    <row r="1261" spans="2:16" customFormat="1">
      <c r="B1261" s="66" t="s">
        <v>5688</v>
      </c>
      <c r="C1261" s="62" t="s">
        <v>494</v>
      </c>
      <c r="K1261" s="113">
        <v>42</v>
      </c>
      <c r="N1261" s="62"/>
      <c r="O1261" s="62"/>
      <c r="P1261" s="62"/>
    </row>
    <row r="1262" spans="2:16" customFormat="1">
      <c r="B1262" s="66" t="s">
        <v>5689</v>
      </c>
      <c r="C1262" s="62" t="s">
        <v>494</v>
      </c>
      <c r="K1262" s="113">
        <v>43</v>
      </c>
      <c r="N1262" s="62"/>
      <c r="O1262" s="62"/>
      <c r="P1262" s="62"/>
    </row>
    <row r="1263" spans="2:16" customFormat="1">
      <c r="B1263" s="66" t="s">
        <v>5690</v>
      </c>
      <c r="C1263" s="62" t="s">
        <v>494</v>
      </c>
      <c r="K1263" s="113">
        <v>44</v>
      </c>
      <c r="N1263" s="62"/>
      <c r="O1263" s="62"/>
      <c r="P1263" s="62"/>
    </row>
    <row r="1264" spans="2:16" customFormat="1">
      <c r="B1264" s="66" t="s">
        <v>5691</v>
      </c>
      <c r="C1264" s="62" t="s">
        <v>494</v>
      </c>
      <c r="K1264" s="113">
        <v>45</v>
      </c>
      <c r="N1264" s="62"/>
      <c r="O1264" s="62"/>
      <c r="P1264" s="62"/>
    </row>
    <row r="1265" spans="1:18" customFormat="1">
      <c r="B1265" s="66" t="s">
        <v>5692</v>
      </c>
      <c r="C1265" s="62" t="s">
        <v>494</v>
      </c>
      <c r="K1265" s="113">
        <v>46</v>
      </c>
      <c r="N1265" s="62"/>
      <c r="O1265" s="62"/>
      <c r="P1265" s="62"/>
    </row>
    <row r="1266" spans="1:18" customFormat="1">
      <c r="B1266" s="66" t="s">
        <v>5693</v>
      </c>
      <c r="C1266" s="62" t="s">
        <v>494</v>
      </c>
      <c r="K1266" s="113">
        <v>47</v>
      </c>
      <c r="N1266" s="62"/>
      <c r="O1266" s="62"/>
      <c r="P1266" s="62"/>
    </row>
    <row r="1267" spans="1:18" customFormat="1">
      <c r="B1267" s="66" t="s">
        <v>5694</v>
      </c>
      <c r="C1267" s="62" t="s">
        <v>494</v>
      </c>
      <c r="K1267" s="113">
        <v>48</v>
      </c>
      <c r="N1267" s="62"/>
      <c r="O1267" s="62"/>
      <c r="P1267" s="62"/>
    </row>
    <row r="1268" spans="1:18" customFormat="1">
      <c r="B1268" s="66" t="s">
        <v>5695</v>
      </c>
      <c r="C1268" s="62" t="s">
        <v>494</v>
      </c>
      <c r="K1268" s="113">
        <v>49</v>
      </c>
      <c r="N1268" s="62"/>
      <c r="O1268" s="62"/>
      <c r="P1268" s="62"/>
    </row>
    <row r="1269" spans="1:18" customFormat="1">
      <c r="B1269" s="66" t="s">
        <v>5696</v>
      </c>
      <c r="C1269" s="62" t="s">
        <v>494</v>
      </c>
      <c r="K1269" s="113">
        <v>50</v>
      </c>
      <c r="N1269" s="62"/>
      <c r="O1269" s="62"/>
      <c r="P1269" s="62"/>
    </row>
    <row r="1270" spans="1:18" customFormat="1">
      <c r="B1270" s="66" t="s">
        <v>5697</v>
      </c>
      <c r="C1270" s="62" t="s">
        <v>494</v>
      </c>
      <c r="K1270" s="113">
        <v>51</v>
      </c>
      <c r="N1270" s="62"/>
      <c r="O1270" s="62"/>
      <c r="P1270" s="62"/>
    </row>
    <row r="1271" spans="1:18" customFormat="1">
      <c r="B1271" s="66" t="s">
        <v>5698</v>
      </c>
      <c r="C1271" s="62" t="s">
        <v>494</v>
      </c>
      <c r="K1271" s="113">
        <v>52</v>
      </c>
      <c r="N1271" s="62"/>
      <c r="O1271" s="62"/>
      <c r="P1271" s="62"/>
    </row>
    <row r="1272" spans="1:18" customFormat="1">
      <c r="B1272" s="66" t="s">
        <v>5699</v>
      </c>
      <c r="C1272" s="62" t="s">
        <v>494</v>
      </c>
      <c r="K1272" s="113">
        <v>53</v>
      </c>
      <c r="N1272" s="62"/>
      <c r="O1272" s="62"/>
      <c r="P1272" s="62"/>
    </row>
    <row r="1273" spans="1:18" customFormat="1">
      <c r="B1273" s="66" t="s">
        <v>5700</v>
      </c>
      <c r="C1273" s="62" t="s">
        <v>494</v>
      </c>
      <c r="K1273" s="113">
        <v>54</v>
      </c>
      <c r="N1273" s="62"/>
      <c r="O1273" s="62"/>
      <c r="P1273" s="62"/>
    </row>
    <row r="1274" spans="1:18" customFormat="1">
      <c r="B1274" s="66" t="s">
        <v>5701</v>
      </c>
      <c r="C1274" s="62" t="s">
        <v>494</v>
      </c>
      <c r="K1274" s="113">
        <v>55</v>
      </c>
      <c r="N1274" s="62"/>
      <c r="O1274" s="62"/>
      <c r="P1274" s="62"/>
    </row>
    <row r="1275" spans="1:18" customFormat="1">
      <c r="B1275" s="66"/>
      <c r="C1275" s="62"/>
      <c r="N1275" s="62"/>
      <c r="O1275" s="62"/>
      <c r="P1275" s="62"/>
    </row>
    <row r="1276" spans="1:18">
      <c r="B1276" s="66"/>
      <c r="C1276" s="62"/>
      <c r="F1276" s="14"/>
      <c r="G1276" s="14"/>
      <c r="H1276" s="14"/>
      <c r="I1276" s="11"/>
      <c r="J1276" s="14"/>
      <c r="K1276" s="16"/>
      <c r="L1276" s="15"/>
      <c r="M1276" s="14"/>
      <c r="O1276" s="23"/>
      <c r="P1276" s="23"/>
      <c r="Q1276" s="14"/>
      <c r="R1276" s="14"/>
    </row>
    <row r="1277" spans="1:18">
      <c r="B1277" s="23"/>
      <c r="F1277" s="14"/>
      <c r="G1277" s="14"/>
      <c r="H1277" s="14"/>
      <c r="I1277" s="11"/>
      <c r="J1277" s="14"/>
      <c r="K1277" s="16"/>
      <c r="L1277" s="15"/>
      <c r="M1277" s="14"/>
      <c r="N1277" s="23"/>
      <c r="O1277" s="14"/>
      <c r="P1277" s="14"/>
      <c r="Q1277" s="14"/>
      <c r="R1277" s="14"/>
    </row>
    <row r="1278" spans="1:18" customFormat="1">
      <c r="A1278" s="62"/>
      <c r="B1278" s="66"/>
      <c r="C1278" s="62"/>
      <c r="K1278" s="55"/>
      <c r="N1278" s="62"/>
      <c r="O1278" s="66"/>
      <c r="P1278" s="66"/>
      <c r="Q1278" s="23"/>
    </row>
    <row r="1279" spans="1:18" customFormat="1">
      <c r="A1279" s="62"/>
      <c r="B1279" s="66"/>
      <c r="C1279" s="62"/>
      <c r="K1279" s="55"/>
      <c r="N1279" s="1"/>
      <c r="O1279" s="23"/>
      <c r="P1279" s="23"/>
      <c r="Q1279" s="23"/>
    </row>
    <row r="1280" spans="1:18" s="3" customFormat="1">
      <c r="A1280" s="62"/>
      <c r="B1280" s="62"/>
      <c r="C1280" s="62"/>
      <c r="D1280" s="62"/>
      <c r="E1280" s="62"/>
      <c r="F1280" s="62"/>
      <c r="G1280" s="62"/>
      <c r="H1280" s="62"/>
      <c r="I1280" s="62"/>
      <c r="J1280" s="62"/>
      <c r="K1280" s="76"/>
      <c r="L1280" s="75"/>
      <c r="M1280" s="62"/>
      <c r="N1280" s="62"/>
      <c r="O1280" s="62"/>
      <c r="P1280" s="62"/>
      <c r="Q1280" s="12"/>
      <c r="R1280" s="12"/>
    </row>
    <row r="1281" spans="1:18" customFormat="1"/>
    <row r="1282" spans="1:18" customFormat="1">
      <c r="A1282" s="62" t="s">
        <v>3655</v>
      </c>
      <c r="B1282" s="66" t="s">
        <v>3656</v>
      </c>
      <c r="C1282" s="62" t="s">
        <v>494</v>
      </c>
      <c r="E1282" s="62" t="s">
        <v>476</v>
      </c>
      <c r="F1282">
        <v>22</v>
      </c>
      <c r="G1282">
        <v>2209</v>
      </c>
      <c r="H1282" s="62" t="s">
        <v>3661</v>
      </c>
      <c r="I1282" s="62" t="s">
        <v>3662</v>
      </c>
      <c r="J1282">
        <v>1</v>
      </c>
      <c r="K1282" s="62">
        <v>1</v>
      </c>
      <c r="L1282" s="62">
        <v>6</v>
      </c>
    </row>
    <row r="1283" spans="1:18" customFormat="1">
      <c r="A1283" s="62"/>
      <c r="B1283" s="66" t="s">
        <v>3648</v>
      </c>
      <c r="C1283" s="62" t="s">
        <v>494</v>
      </c>
      <c r="K1283" s="62">
        <v>2</v>
      </c>
      <c r="L1283">
        <v>6</v>
      </c>
    </row>
    <row r="1284" spans="1:18" customFormat="1">
      <c r="A1284" s="62"/>
      <c r="B1284" s="66" t="s">
        <v>3657</v>
      </c>
      <c r="C1284" s="62" t="s">
        <v>493</v>
      </c>
      <c r="D1284">
        <v>250</v>
      </c>
      <c r="H1284" s="62" t="s">
        <v>3693</v>
      </c>
      <c r="K1284" s="62">
        <v>3</v>
      </c>
    </row>
    <row r="1285" spans="1:18" customFormat="1">
      <c r="A1285" s="62"/>
      <c r="B1285" s="66" t="s">
        <v>3658</v>
      </c>
      <c r="C1285" s="62" t="s">
        <v>494</v>
      </c>
      <c r="K1285" s="62">
        <v>4</v>
      </c>
      <c r="L1285">
        <v>3</v>
      </c>
      <c r="N1285" s="62" t="s">
        <v>3664</v>
      </c>
      <c r="O1285" s="62" t="s">
        <v>3666</v>
      </c>
      <c r="P1285" s="62" t="s">
        <v>3667</v>
      </c>
    </row>
    <row r="1286" spans="1:18" customFormat="1">
      <c r="A1286" s="62"/>
      <c r="B1286" s="66" t="s">
        <v>3659</v>
      </c>
      <c r="C1286" s="62" t="s">
        <v>494</v>
      </c>
      <c r="K1286" s="62">
        <v>5</v>
      </c>
      <c r="L1286">
        <v>8</v>
      </c>
    </row>
    <row r="1287" spans="1:18" customFormat="1">
      <c r="A1287" s="62"/>
      <c r="B1287" s="66" t="s">
        <v>3660</v>
      </c>
      <c r="C1287" s="62" t="s">
        <v>494</v>
      </c>
      <c r="K1287" s="62">
        <v>6</v>
      </c>
      <c r="M1287">
        <v>1</v>
      </c>
    </row>
    <row r="1288" spans="1:18" customFormat="1">
      <c r="A1288" s="62"/>
      <c r="B1288" s="66" t="s">
        <v>3708</v>
      </c>
      <c r="C1288" s="62" t="s">
        <v>493</v>
      </c>
      <c r="D1288">
        <v>1</v>
      </c>
      <c r="K1288" s="62">
        <v>7</v>
      </c>
      <c r="L1288">
        <v>3</v>
      </c>
    </row>
    <row r="1289" spans="1:18" customFormat="1">
      <c r="B1289" s="66" t="s">
        <v>3879</v>
      </c>
      <c r="C1289" s="62" t="s">
        <v>494</v>
      </c>
      <c r="K1289">
        <v>8</v>
      </c>
      <c r="L1289" s="80">
        <v>3</v>
      </c>
      <c r="M1289" s="10">
        <v>1</v>
      </c>
      <c r="N1289" s="62" t="s">
        <v>3620</v>
      </c>
      <c r="O1289" s="62" t="s">
        <v>3622</v>
      </c>
      <c r="P1289" s="62" t="s">
        <v>3623</v>
      </c>
      <c r="R1289">
        <v>2311</v>
      </c>
    </row>
    <row r="1290" spans="1:18" customFormat="1">
      <c r="B1290" s="66" t="s">
        <v>4305</v>
      </c>
      <c r="C1290" s="62" t="s">
        <v>493</v>
      </c>
      <c r="D1290">
        <v>50</v>
      </c>
      <c r="K1290">
        <v>9</v>
      </c>
      <c r="L1290" s="80"/>
      <c r="M1290" s="10"/>
      <c r="N1290" s="62"/>
      <c r="O1290" s="62"/>
      <c r="P1290" s="62"/>
    </row>
    <row r="1291" spans="1:18" customFormat="1">
      <c r="B1291" s="66" t="s">
        <v>4359</v>
      </c>
      <c r="C1291" s="62" t="s">
        <v>494</v>
      </c>
      <c r="K1291">
        <v>10</v>
      </c>
      <c r="L1291" s="80">
        <v>3</v>
      </c>
      <c r="M1291" s="10"/>
      <c r="N1291" s="62" t="s">
        <v>4360</v>
      </c>
      <c r="O1291" s="62" t="s">
        <v>4335</v>
      </c>
      <c r="P1291" s="62" t="s">
        <v>4361</v>
      </c>
    </row>
    <row r="1292" spans="1:18" customFormat="1">
      <c r="B1292" s="66" t="s">
        <v>5147</v>
      </c>
      <c r="C1292" s="62" t="s">
        <v>494</v>
      </c>
      <c r="K1292">
        <v>11</v>
      </c>
      <c r="L1292" s="80"/>
      <c r="M1292" s="10"/>
      <c r="N1292" s="62"/>
      <c r="O1292" s="62"/>
      <c r="P1292" s="62"/>
    </row>
    <row r="1293" spans="1:18" customFormat="1">
      <c r="B1293" s="66" t="s">
        <v>5148</v>
      </c>
      <c r="C1293" s="62" t="s">
        <v>493</v>
      </c>
      <c r="D1293">
        <v>100</v>
      </c>
      <c r="K1293">
        <v>12</v>
      </c>
      <c r="L1293" s="80"/>
      <c r="M1293" s="10"/>
      <c r="N1293" s="62"/>
      <c r="O1293" s="62"/>
      <c r="P1293" s="62"/>
    </row>
    <row r="1294" spans="1:18" customFormat="1">
      <c r="B1294" s="66" t="s">
        <v>5149</v>
      </c>
      <c r="C1294" s="62" t="s">
        <v>493</v>
      </c>
      <c r="D1294">
        <v>100</v>
      </c>
      <c r="K1294">
        <v>13</v>
      </c>
      <c r="L1294" s="80"/>
      <c r="M1294" s="10"/>
      <c r="N1294" s="62"/>
      <c r="O1294" s="62"/>
      <c r="P1294" s="62"/>
    </row>
    <row r="1295" spans="1:18" customFormat="1">
      <c r="B1295" s="67" t="s">
        <v>5566</v>
      </c>
      <c r="C1295" s="70" t="s">
        <v>494</v>
      </c>
      <c r="K1295">
        <v>14</v>
      </c>
      <c r="L1295" s="80"/>
      <c r="M1295" s="10"/>
      <c r="N1295" s="62"/>
      <c r="O1295" s="62"/>
      <c r="P1295" s="62"/>
    </row>
    <row r="1296" spans="1:18" customFormat="1"/>
    <row r="1297" spans="1:18" customFormat="1">
      <c r="B1297" s="66"/>
      <c r="C1297" s="62"/>
      <c r="K1297" s="55"/>
      <c r="N1297" s="1"/>
      <c r="O1297" s="23"/>
      <c r="P1297" s="23"/>
      <c r="Q1297" s="23"/>
    </row>
    <row r="1298" spans="1:18" customFormat="1">
      <c r="A1298" s="62"/>
      <c r="B1298" s="66"/>
      <c r="C1298" s="62"/>
      <c r="K1298" s="55"/>
      <c r="N1298" s="1"/>
      <c r="O1298" s="23"/>
      <c r="P1298" s="23"/>
      <c r="Q1298" s="23"/>
    </row>
    <row r="1299" spans="1:18" customFormat="1">
      <c r="B1299" s="66"/>
      <c r="C1299" s="62"/>
      <c r="K1299" s="55"/>
      <c r="N1299" s="1"/>
      <c r="O1299" s="23"/>
      <c r="P1299" s="23"/>
      <c r="Q1299" s="23"/>
    </row>
    <row r="1300" spans="1:18" customFormat="1">
      <c r="A1300" s="62"/>
      <c r="B1300" s="66"/>
      <c r="C1300" s="62"/>
      <c r="K1300" s="55"/>
      <c r="N1300" s="1"/>
      <c r="O1300" s="23"/>
      <c r="P1300" s="23"/>
      <c r="Q1300" s="23"/>
    </row>
    <row r="1301" spans="1:18" s="3" customFormat="1">
      <c r="A1301" s="70" t="s">
        <v>3362</v>
      </c>
      <c r="B1301" s="70" t="s">
        <v>3363</v>
      </c>
      <c r="C1301" s="70" t="s">
        <v>494</v>
      </c>
      <c r="D1301" s="62"/>
      <c r="E1301" s="62" t="s">
        <v>476</v>
      </c>
      <c r="F1301" s="62">
        <v>23</v>
      </c>
      <c r="G1301" s="62">
        <v>2322</v>
      </c>
      <c r="H1301" s="62" t="s">
        <v>5496</v>
      </c>
      <c r="I1301" s="62" t="s">
        <v>5487</v>
      </c>
      <c r="J1301" s="62">
        <v>2302</v>
      </c>
      <c r="K1301" s="76">
        <v>1</v>
      </c>
      <c r="L1301" s="9">
        <v>3</v>
      </c>
      <c r="M1301" s="1"/>
      <c r="N1301" s="64" t="s">
        <v>506</v>
      </c>
      <c r="O1301" s="64" t="s">
        <v>514</v>
      </c>
      <c r="P1301" s="1" t="s">
        <v>515</v>
      </c>
      <c r="Q1301" s="12"/>
      <c r="R1301" s="12"/>
    </row>
    <row r="1302" spans="1:18" s="3" customFormat="1">
      <c r="A1302" s="70"/>
      <c r="B1302" s="70" t="s">
        <v>3364</v>
      </c>
      <c r="C1302" s="70" t="s">
        <v>494</v>
      </c>
      <c r="D1302" s="62"/>
      <c r="E1302" s="62" t="s">
        <v>476</v>
      </c>
      <c r="F1302" s="62"/>
      <c r="G1302" s="62"/>
      <c r="H1302" s="62"/>
      <c r="I1302" s="62"/>
      <c r="J1302" s="62"/>
      <c r="K1302" s="76">
        <v>2</v>
      </c>
      <c r="L1302" s="62">
        <v>8</v>
      </c>
      <c r="M1302" s="62"/>
      <c r="N1302" s="62"/>
      <c r="O1302" s="62"/>
      <c r="P1302" s="62"/>
      <c r="Q1302" s="12"/>
      <c r="R1302" s="12"/>
    </row>
    <row r="1303" spans="1:18" s="3" customFormat="1">
      <c r="A1303" s="70"/>
      <c r="B1303" s="70" t="s">
        <v>3381</v>
      </c>
      <c r="C1303" s="70" t="s">
        <v>494</v>
      </c>
      <c r="D1303" s="62"/>
      <c r="E1303" s="62"/>
      <c r="F1303" s="62"/>
      <c r="G1303" s="62"/>
      <c r="H1303" s="62"/>
      <c r="I1303" s="62"/>
      <c r="J1303" s="62"/>
      <c r="K1303" s="76">
        <v>3</v>
      </c>
      <c r="L1303" s="62">
        <v>6</v>
      </c>
      <c r="M1303" s="62"/>
      <c r="N1303" s="62"/>
      <c r="O1303" s="62"/>
      <c r="P1303" s="62"/>
      <c r="Q1303" s="12"/>
      <c r="R1303" s="12"/>
    </row>
    <row r="1304" spans="1:18" s="3" customFormat="1">
      <c r="A1304" s="70"/>
      <c r="B1304" s="70" t="s">
        <v>3385</v>
      </c>
      <c r="C1304" s="70" t="s">
        <v>493</v>
      </c>
      <c r="D1304" s="62">
        <v>1</v>
      </c>
      <c r="E1304" s="62"/>
      <c r="F1304" s="62"/>
      <c r="G1304" s="62"/>
      <c r="H1304" s="62"/>
      <c r="I1304" s="62"/>
      <c r="J1304" s="62"/>
      <c r="K1304" s="76">
        <v>4</v>
      </c>
      <c r="L1304" s="75">
        <v>30</v>
      </c>
      <c r="M1304" s="62"/>
      <c r="N1304" s="62"/>
      <c r="O1304" s="62"/>
      <c r="P1304" s="62"/>
      <c r="Q1304" s="12"/>
      <c r="R1304" s="12"/>
    </row>
    <row r="1305" spans="1:18" s="3" customFormat="1">
      <c r="A1305" s="70"/>
      <c r="B1305" s="70" t="s">
        <v>3365</v>
      </c>
      <c r="C1305" s="70" t="s">
        <v>494</v>
      </c>
      <c r="D1305" s="62"/>
      <c r="E1305" s="62"/>
      <c r="F1305" s="62"/>
      <c r="G1305" s="62"/>
      <c r="H1305" s="62"/>
      <c r="I1305" s="62"/>
      <c r="J1305" s="62"/>
      <c r="K1305" s="76">
        <v>5</v>
      </c>
      <c r="L1305" s="62">
        <v>7</v>
      </c>
      <c r="M1305" s="62"/>
      <c r="N1305" s="62"/>
      <c r="O1305" s="62"/>
      <c r="P1305" s="62"/>
      <c r="Q1305" s="12"/>
      <c r="R1305" s="12"/>
    </row>
    <row r="1306" spans="1:18" s="3" customFormat="1">
      <c r="A1306" s="70"/>
      <c r="B1306" s="70" t="s">
        <v>3366</v>
      </c>
      <c r="C1306" s="70" t="s">
        <v>494</v>
      </c>
      <c r="D1306" s="62"/>
      <c r="E1306" s="62"/>
      <c r="F1306" s="62"/>
      <c r="G1306" s="62"/>
      <c r="H1306" s="62"/>
      <c r="I1306" s="62"/>
      <c r="J1306" s="62"/>
      <c r="K1306" s="76">
        <v>6</v>
      </c>
      <c r="L1306" s="62"/>
      <c r="M1306" s="62">
        <v>1</v>
      </c>
      <c r="N1306" s="62"/>
      <c r="O1306" s="62"/>
      <c r="P1306" s="62"/>
      <c r="Q1306" s="12"/>
      <c r="R1306" s="12"/>
    </row>
    <row r="1307" spans="1:18" s="3" customFormat="1">
      <c r="A1307" s="70"/>
      <c r="B1307" s="70" t="s">
        <v>3367</v>
      </c>
      <c r="C1307" s="70" t="s">
        <v>493</v>
      </c>
      <c r="D1307" s="62">
        <v>1</v>
      </c>
      <c r="E1307" s="62"/>
      <c r="F1307" s="62"/>
      <c r="G1307" s="62"/>
      <c r="H1307" s="62"/>
      <c r="I1307" s="62"/>
      <c r="J1307" s="62"/>
      <c r="K1307" s="76">
        <v>7</v>
      </c>
      <c r="L1307" s="9">
        <v>3</v>
      </c>
      <c r="M1307" s="1"/>
      <c r="N1307" s="1"/>
      <c r="O1307" s="1">
        <v>111</v>
      </c>
      <c r="P1307" s="1">
        <v>1</v>
      </c>
      <c r="Q1307" s="12"/>
      <c r="R1307" s="12"/>
    </row>
    <row r="1308" spans="1:18" s="3" customFormat="1">
      <c r="A1308" s="70"/>
      <c r="B1308" s="70" t="s">
        <v>3369</v>
      </c>
      <c r="C1308" s="70" t="s">
        <v>493</v>
      </c>
      <c r="D1308" s="62">
        <v>3</v>
      </c>
      <c r="E1308" s="62"/>
      <c r="F1308" s="62"/>
      <c r="G1308" s="62"/>
      <c r="H1308" s="62"/>
      <c r="I1308" s="62"/>
      <c r="J1308" s="62"/>
      <c r="K1308" s="76">
        <v>8</v>
      </c>
      <c r="L1308" s="9">
        <v>3</v>
      </c>
      <c r="M1308" s="1"/>
      <c r="N1308" s="1" t="s">
        <v>399</v>
      </c>
      <c r="O1308" s="1" t="s">
        <v>401</v>
      </c>
      <c r="P1308" s="1" t="s">
        <v>400</v>
      </c>
      <c r="Q1308" s="1"/>
      <c r="R1308" s="1"/>
    </row>
    <row r="1309" spans="1:18" s="3" customFormat="1">
      <c r="A1309" s="70"/>
      <c r="B1309" s="70" t="s">
        <v>3370</v>
      </c>
      <c r="C1309" s="70" t="s">
        <v>493</v>
      </c>
      <c r="D1309" s="62">
        <v>5</v>
      </c>
      <c r="E1309" s="62"/>
      <c r="F1309" s="62"/>
      <c r="G1309" s="62"/>
      <c r="H1309" s="62"/>
      <c r="I1309" s="62"/>
      <c r="J1309" s="62"/>
      <c r="K1309" s="76">
        <v>9</v>
      </c>
      <c r="L1309" s="32">
        <v>3</v>
      </c>
      <c r="M1309">
        <v>31</v>
      </c>
      <c r="N1309" s="1" t="s">
        <v>404</v>
      </c>
      <c r="O1309" s="1" t="s">
        <v>405</v>
      </c>
      <c r="P1309" s="1" t="s">
        <v>406</v>
      </c>
      <c r="Q1309" s="1" t="s">
        <v>407</v>
      </c>
      <c r="R1309">
        <v>18</v>
      </c>
    </row>
    <row r="1310" spans="1:18" s="3" customFormat="1">
      <c r="A1310" s="70"/>
      <c r="B1310" s="70" t="s">
        <v>3371</v>
      </c>
      <c r="C1310" s="70" t="s">
        <v>493</v>
      </c>
      <c r="D1310" s="62">
        <v>8</v>
      </c>
      <c r="E1310" s="62"/>
      <c r="F1310" s="62"/>
      <c r="G1310" s="62"/>
      <c r="H1310" s="62"/>
      <c r="I1310" s="62"/>
      <c r="J1310" s="62"/>
      <c r="K1310" s="76">
        <v>10</v>
      </c>
      <c r="L1310" s="32">
        <v>3</v>
      </c>
      <c r="M1310">
        <v>31</v>
      </c>
      <c r="N1310" s="1" t="s">
        <v>410</v>
      </c>
      <c r="O1310" s="1" t="s">
        <v>413</v>
      </c>
      <c r="P1310" s="1" t="s">
        <v>414</v>
      </c>
      <c r="Q1310" s="1" t="s">
        <v>415</v>
      </c>
      <c r="R1310">
        <v>19</v>
      </c>
    </row>
    <row r="1311" spans="1:18" s="3" customFormat="1">
      <c r="A1311" s="70"/>
      <c r="B1311" s="70" t="s">
        <v>3373</v>
      </c>
      <c r="C1311" s="70" t="s">
        <v>493</v>
      </c>
      <c r="D1311" s="62">
        <v>100</v>
      </c>
      <c r="E1311" s="62"/>
      <c r="F1311" s="62"/>
      <c r="G1311" s="62"/>
      <c r="H1311" s="62"/>
      <c r="I1311" s="62"/>
      <c r="J1311" s="62"/>
      <c r="K1311" s="76">
        <v>11</v>
      </c>
      <c r="L1311" s="62"/>
      <c r="M1311" s="62"/>
      <c r="N1311" s="62"/>
      <c r="O1311" s="62"/>
      <c r="P1311" s="62"/>
      <c r="Q1311" s="12"/>
      <c r="R1311" s="12"/>
    </row>
    <row r="1312" spans="1:18" s="3" customFormat="1">
      <c r="A1312" s="70"/>
      <c r="B1312" s="70" t="s">
        <v>3372</v>
      </c>
      <c r="C1312" s="70" t="s">
        <v>493</v>
      </c>
      <c r="D1312" s="62">
        <v>100</v>
      </c>
      <c r="E1312" s="62"/>
      <c r="F1312" s="62"/>
      <c r="G1312" s="62"/>
      <c r="H1312" s="62"/>
      <c r="I1312" s="62"/>
      <c r="J1312" s="62"/>
      <c r="K1312" s="76">
        <v>12</v>
      </c>
      <c r="L1312" s="62"/>
      <c r="M1312" s="62"/>
      <c r="N1312" s="62"/>
      <c r="O1312" s="62"/>
      <c r="P1312" s="62"/>
      <c r="Q1312" s="12"/>
      <c r="R1312" s="12"/>
    </row>
    <row r="1313" spans="1:18" s="3" customFormat="1">
      <c r="A1313" s="70"/>
      <c r="B1313" s="70" t="s">
        <v>3368</v>
      </c>
      <c r="C1313" s="70" t="s">
        <v>494</v>
      </c>
      <c r="D1313" s="62"/>
      <c r="E1313" s="62"/>
      <c r="F1313" s="62"/>
      <c r="G1313" s="62"/>
      <c r="H1313" s="62"/>
      <c r="I1313" s="62"/>
      <c r="J1313" s="62"/>
      <c r="K1313" s="76">
        <v>13</v>
      </c>
      <c r="L1313" s="62">
        <v>3</v>
      </c>
      <c r="M1313" s="62"/>
      <c r="N1313" s="62"/>
      <c r="O1313" s="62"/>
      <c r="P1313" s="62"/>
      <c r="Q1313" s="12"/>
      <c r="R1313" s="12"/>
    </row>
    <row r="1314" spans="1:18" customFormat="1">
      <c r="A1314" s="94"/>
      <c r="B1314" s="67" t="s">
        <v>3380</v>
      </c>
      <c r="C1314" s="70" t="s">
        <v>494</v>
      </c>
      <c r="K1314" s="76">
        <v>14</v>
      </c>
      <c r="L1314" s="68">
        <v>3</v>
      </c>
      <c r="M1314">
        <v>3</v>
      </c>
      <c r="N1314" s="62" t="s">
        <v>693</v>
      </c>
      <c r="O1314" s="1" t="s">
        <v>695</v>
      </c>
      <c r="P1314" s="62" t="s">
        <v>696</v>
      </c>
    </row>
    <row r="1315" spans="1:18" customFormat="1">
      <c r="A1315" s="94"/>
      <c r="B1315" s="67" t="s">
        <v>3382</v>
      </c>
      <c r="C1315" s="70" t="s">
        <v>494</v>
      </c>
      <c r="E1315" s="62"/>
      <c r="K1315" s="76">
        <v>15</v>
      </c>
      <c r="L1315" s="15">
        <v>3</v>
      </c>
      <c r="M1315" s="14">
        <v>31</v>
      </c>
      <c r="N1315" s="62" t="s">
        <v>379</v>
      </c>
      <c r="O1315" s="62" t="s">
        <v>698</v>
      </c>
      <c r="P1315" s="62" t="s">
        <v>699</v>
      </c>
      <c r="Q1315" s="62" t="s">
        <v>383</v>
      </c>
      <c r="R1315" s="14">
        <v>30</v>
      </c>
    </row>
    <row r="1316" spans="1:18" s="3" customFormat="1">
      <c r="A1316" s="70"/>
      <c r="B1316" s="70" t="s">
        <v>3384</v>
      </c>
      <c r="C1316" s="70" t="s">
        <v>493</v>
      </c>
      <c r="D1316" s="62">
        <v>1</v>
      </c>
      <c r="E1316" s="62"/>
      <c r="F1316" s="62"/>
      <c r="G1316" s="62"/>
      <c r="H1316" s="62"/>
      <c r="I1316" s="62"/>
      <c r="J1316" s="62"/>
      <c r="K1316" s="76">
        <v>16</v>
      </c>
      <c r="L1316" s="62">
        <v>3</v>
      </c>
      <c r="M1316" s="62"/>
      <c r="N1316" s="62"/>
      <c r="O1316" s="62"/>
      <c r="P1316" s="62"/>
      <c r="Q1316" s="12"/>
      <c r="R1316" s="12"/>
    </row>
    <row r="1317" spans="1:18" s="3" customFormat="1">
      <c r="A1317" s="70"/>
      <c r="B1317" s="70" t="s">
        <v>3391</v>
      </c>
      <c r="C1317" s="70" t="s">
        <v>494</v>
      </c>
      <c r="D1317" s="62"/>
      <c r="E1317" s="62"/>
      <c r="F1317" s="62"/>
      <c r="G1317" s="62"/>
      <c r="H1317" s="62"/>
      <c r="I1317" s="62"/>
      <c r="J1317" s="62"/>
      <c r="K1317" s="76">
        <v>17</v>
      </c>
      <c r="L1317" s="62">
        <v>3</v>
      </c>
      <c r="M1317" s="62"/>
      <c r="N1317" s="62" t="s">
        <v>3392</v>
      </c>
      <c r="O1317" s="62" t="s">
        <v>3394</v>
      </c>
      <c r="P1317" s="62" t="s">
        <v>3395</v>
      </c>
      <c r="Q1317" s="12"/>
      <c r="R1317" s="47">
        <v>2302</v>
      </c>
    </row>
    <row r="1318" spans="1:18" s="3" customFormat="1">
      <c r="A1318" s="70"/>
      <c r="B1318" s="70" t="s">
        <v>3398</v>
      </c>
      <c r="C1318" s="70" t="s">
        <v>493</v>
      </c>
      <c r="D1318" s="62">
        <v>1</v>
      </c>
      <c r="E1318" s="62"/>
      <c r="F1318" s="62"/>
      <c r="G1318" s="62"/>
      <c r="H1318" s="62"/>
      <c r="I1318" s="62"/>
      <c r="J1318" s="62"/>
      <c r="K1318" s="76">
        <v>18</v>
      </c>
      <c r="L1318" s="62">
        <v>3</v>
      </c>
      <c r="M1318" s="62"/>
      <c r="N1318" s="62"/>
      <c r="O1318" s="62"/>
      <c r="P1318" s="62"/>
      <c r="Q1318" s="12"/>
      <c r="R1318" s="12"/>
    </row>
    <row r="1319" spans="1:18" s="3" customFormat="1">
      <c r="A1319" s="70"/>
      <c r="B1319" s="70" t="s">
        <v>3402</v>
      </c>
      <c r="C1319" s="70" t="s">
        <v>494</v>
      </c>
      <c r="D1319" s="62"/>
      <c r="E1319" s="62"/>
      <c r="F1319" s="62"/>
      <c r="G1319" s="62"/>
      <c r="H1319" s="62"/>
      <c r="I1319" s="62"/>
      <c r="J1319" s="62"/>
      <c r="K1319" s="76">
        <v>19</v>
      </c>
      <c r="L1319" s="62">
        <v>8</v>
      </c>
      <c r="M1319" s="62">
        <v>1</v>
      </c>
      <c r="N1319" s="62"/>
      <c r="O1319" s="62"/>
      <c r="P1319" s="62"/>
      <c r="Q1319" s="12"/>
      <c r="R1319" s="12"/>
    </row>
    <row r="1320" spans="1:18" s="3" customFormat="1">
      <c r="A1320" s="70"/>
      <c r="B1320" s="70" t="s">
        <v>3404</v>
      </c>
      <c r="C1320" s="70" t="s">
        <v>493</v>
      </c>
      <c r="D1320" s="62">
        <v>1</v>
      </c>
      <c r="E1320" s="62"/>
      <c r="F1320" s="62"/>
      <c r="G1320" s="62"/>
      <c r="H1320" s="62"/>
      <c r="I1320" s="62"/>
      <c r="J1320" s="62"/>
      <c r="K1320" s="76">
        <v>20</v>
      </c>
      <c r="L1320" s="62">
        <v>3</v>
      </c>
      <c r="M1320" s="62"/>
      <c r="N1320" s="62"/>
      <c r="O1320" s="62"/>
      <c r="P1320" s="62"/>
      <c r="Q1320" s="12"/>
      <c r="R1320" s="12"/>
    </row>
    <row r="1321" spans="1:18" s="3" customFormat="1">
      <c r="A1321" s="70"/>
      <c r="B1321" s="70" t="s">
        <v>3405</v>
      </c>
      <c r="C1321" s="70" t="s">
        <v>493</v>
      </c>
      <c r="D1321" s="62">
        <v>1</v>
      </c>
      <c r="E1321" s="62"/>
      <c r="F1321" s="62"/>
      <c r="G1321" s="62"/>
      <c r="H1321" s="62"/>
      <c r="I1321" s="62"/>
      <c r="J1321" s="62"/>
      <c r="K1321" s="76">
        <v>21</v>
      </c>
      <c r="L1321" s="62">
        <v>3</v>
      </c>
      <c r="M1321" s="62"/>
      <c r="N1321" s="62"/>
      <c r="O1321" s="62"/>
      <c r="P1321" s="62"/>
      <c r="Q1321" s="12"/>
      <c r="R1321" s="12"/>
    </row>
    <row r="1322" spans="1:18" s="3" customFormat="1">
      <c r="A1322" s="70"/>
      <c r="B1322" s="70" t="s">
        <v>3416</v>
      </c>
      <c r="C1322" s="70" t="s">
        <v>493</v>
      </c>
      <c r="D1322" s="62">
        <v>1</v>
      </c>
      <c r="E1322" s="62"/>
      <c r="F1322" s="62"/>
      <c r="G1322" s="62"/>
      <c r="H1322" s="62"/>
      <c r="I1322" s="62"/>
      <c r="J1322" s="62"/>
      <c r="K1322" s="76">
        <v>22</v>
      </c>
      <c r="L1322" s="62">
        <v>3</v>
      </c>
      <c r="M1322" s="62"/>
      <c r="N1322" s="62"/>
      <c r="O1322" s="62"/>
      <c r="P1322" s="62"/>
      <c r="Q1322" s="12"/>
      <c r="R1322" s="12"/>
    </row>
    <row r="1323" spans="1:18" s="3" customFormat="1">
      <c r="A1323" s="70"/>
      <c r="B1323" s="70" t="s">
        <v>3417</v>
      </c>
      <c r="C1323" s="70" t="s">
        <v>493</v>
      </c>
      <c r="D1323" s="62">
        <v>1</v>
      </c>
      <c r="E1323" s="62"/>
      <c r="F1323" s="62"/>
      <c r="G1323" s="62"/>
      <c r="H1323" s="62"/>
      <c r="I1323" s="62"/>
      <c r="J1323" s="62"/>
      <c r="K1323" s="76">
        <v>23</v>
      </c>
      <c r="L1323" s="62">
        <v>3</v>
      </c>
      <c r="M1323" s="62"/>
      <c r="N1323" s="62"/>
      <c r="O1323" s="62"/>
      <c r="P1323" s="62"/>
      <c r="Q1323" s="12"/>
      <c r="R1323" s="12"/>
    </row>
    <row r="1324" spans="1:18" s="3" customFormat="1">
      <c r="A1324" s="70"/>
      <c r="B1324" s="70" t="s">
        <v>3418</v>
      </c>
      <c r="C1324" s="70" t="s">
        <v>493</v>
      </c>
      <c r="D1324" s="62">
        <v>1</v>
      </c>
      <c r="E1324" s="62"/>
      <c r="F1324" s="62"/>
      <c r="G1324" s="62"/>
      <c r="H1324" s="62"/>
      <c r="I1324" s="62"/>
      <c r="J1324" s="62"/>
      <c r="K1324" s="76">
        <v>24</v>
      </c>
      <c r="L1324" s="62">
        <v>3</v>
      </c>
      <c r="M1324" s="62"/>
      <c r="N1324" s="62"/>
      <c r="O1324" s="62"/>
      <c r="P1324" s="62"/>
      <c r="Q1324" s="12"/>
      <c r="R1324" s="12"/>
    </row>
    <row r="1325" spans="1:18" s="3" customFormat="1">
      <c r="A1325" s="62"/>
      <c r="B1325" s="70" t="s">
        <v>3606</v>
      </c>
      <c r="C1325" s="62" t="s">
        <v>494</v>
      </c>
      <c r="D1325" s="62"/>
      <c r="E1325" s="62"/>
      <c r="F1325" s="62"/>
      <c r="G1325" s="62"/>
      <c r="H1325" s="62"/>
      <c r="I1325" s="62"/>
      <c r="J1325" s="62"/>
      <c r="K1325" s="76">
        <v>25</v>
      </c>
      <c r="L1325" s="62"/>
      <c r="M1325" s="62">
        <v>1</v>
      </c>
      <c r="N1325" s="62"/>
      <c r="O1325" s="62"/>
      <c r="P1325" s="62"/>
      <c r="Q1325" s="12"/>
      <c r="R1325" s="12"/>
    </row>
    <row r="1326" spans="1:18" s="3" customFormat="1">
      <c r="A1326" s="62"/>
      <c r="B1326" s="70" t="s">
        <v>3607</v>
      </c>
      <c r="C1326" s="62" t="s">
        <v>494</v>
      </c>
      <c r="D1326" s="62"/>
      <c r="E1326" s="62"/>
      <c r="F1326" s="62"/>
      <c r="G1326" s="62"/>
      <c r="H1326" s="62"/>
      <c r="I1326" s="62"/>
      <c r="J1326" s="62"/>
      <c r="K1326" s="76">
        <v>26</v>
      </c>
      <c r="L1326" s="62"/>
      <c r="M1326" s="62">
        <v>1</v>
      </c>
      <c r="N1326" s="62"/>
      <c r="O1326" s="62"/>
      <c r="P1326" s="62"/>
      <c r="Q1326" s="12"/>
      <c r="R1326" s="12"/>
    </row>
    <row r="1327" spans="1:18" s="3" customFormat="1">
      <c r="A1327" s="62"/>
      <c r="B1327" s="70" t="s">
        <v>3610</v>
      </c>
      <c r="C1327" s="62" t="s">
        <v>494</v>
      </c>
      <c r="D1327" s="62"/>
      <c r="E1327" s="62"/>
      <c r="F1327" s="62"/>
      <c r="G1327" s="62"/>
      <c r="H1327" s="97"/>
      <c r="I1327" s="62"/>
      <c r="J1327" s="62"/>
      <c r="K1327" s="76">
        <v>27</v>
      </c>
      <c r="L1327" s="75"/>
      <c r="M1327" s="62"/>
      <c r="N1327" s="62"/>
      <c r="O1327" s="62"/>
      <c r="P1327" s="62"/>
      <c r="Q1327" s="12"/>
      <c r="R1327" s="12"/>
    </row>
    <row r="1328" spans="1:18" s="3" customFormat="1">
      <c r="A1328" s="62"/>
      <c r="B1328" s="62" t="s">
        <v>3711</v>
      </c>
      <c r="C1328" s="62" t="s">
        <v>494</v>
      </c>
      <c r="D1328" s="62"/>
      <c r="E1328" s="62"/>
      <c r="F1328" s="62"/>
      <c r="G1328" s="62"/>
      <c r="H1328" s="62"/>
      <c r="I1328" s="62"/>
      <c r="J1328" s="62"/>
      <c r="K1328" s="76">
        <v>28</v>
      </c>
      <c r="L1328" s="62"/>
      <c r="M1328" s="62">
        <v>1</v>
      </c>
      <c r="N1328" s="62"/>
      <c r="O1328" s="62"/>
      <c r="P1328" s="62"/>
      <c r="Q1328" s="12"/>
      <c r="R1328" s="12"/>
    </row>
    <row r="1329" spans="1:18" s="3" customFormat="1">
      <c r="A1329" s="62"/>
      <c r="B1329" s="70" t="s">
        <v>3612</v>
      </c>
      <c r="C1329" s="62" t="s">
        <v>494</v>
      </c>
      <c r="D1329" s="62"/>
      <c r="E1329" s="62"/>
      <c r="F1329" s="62"/>
      <c r="G1329" s="62"/>
      <c r="H1329" s="62"/>
      <c r="I1329" s="62"/>
      <c r="J1329" s="62"/>
      <c r="K1329" s="76">
        <v>29</v>
      </c>
      <c r="L1329" s="75"/>
      <c r="M1329" s="62"/>
      <c r="N1329" s="62"/>
      <c r="O1329" s="62"/>
      <c r="P1329" s="62"/>
      <c r="Q1329" s="12"/>
      <c r="R1329" s="12"/>
    </row>
    <row r="1330" spans="1:18" s="3" customFormat="1">
      <c r="A1330" s="62"/>
      <c r="B1330" s="62" t="s">
        <v>3712</v>
      </c>
      <c r="C1330" s="62" t="s">
        <v>494</v>
      </c>
      <c r="D1330" s="62"/>
      <c r="E1330" s="62"/>
      <c r="F1330" s="62"/>
      <c r="G1330" s="62"/>
      <c r="H1330" s="62"/>
      <c r="I1330" s="62"/>
      <c r="J1330" s="62"/>
      <c r="K1330" s="76">
        <v>30</v>
      </c>
      <c r="L1330" s="62"/>
      <c r="M1330" s="62">
        <v>1</v>
      </c>
      <c r="N1330" s="62"/>
      <c r="O1330" s="62"/>
      <c r="P1330" s="62"/>
      <c r="Q1330" s="12"/>
      <c r="R1330" s="12"/>
    </row>
    <row r="1331" spans="1:18" s="3" customFormat="1">
      <c r="A1331" s="62"/>
      <c r="B1331" s="70" t="s">
        <v>3611</v>
      </c>
      <c r="C1331" s="62" t="s">
        <v>494</v>
      </c>
      <c r="D1331" s="62"/>
      <c r="E1331" s="62"/>
      <c r="F1331" s="62"/>
      <c r="G1331" s="62"/>
      <c r="H1331" s="62"/>
      <c r="I1331" s="62"/>
      <c r="J1331" s="62"/>
      <c r="K1331" s="76">
        <v>31</v>
      </c>
      <c r="L1331" s="75"/>
      <c r="M1331" s="62"/>
      <c r="N1331" s="62"/>
      <c r="O1331" s="62"/>
      <c r="P1331" s="62"/>
      <c r="Q1331" s="12"/>
      <c r="R1331" s="12"/>
    </row>
    <row r="1332" spans="1:18" s="3" customFormat="1">
      <c r="A1332" s="62"/>
      <c r="B1332" s="62" t="s">
        <v>3713</v>
      </c>
      <c r="C1332" s="62" t="s">
        <v>494</v>
      </c>
      <c r="D1332" s="62"/>
      <c r="E1332" s="62"/>
      <c r="F1332" s="62"/>
      <c r="G1332" s="62"/>
      <c r="H1332" s="62"/>
      <c r="I1332" s="62"/>
      <c r="J1332" s="62"/>
      <c r="K1332" s="76">
        <v>32</v>
      </c>
      <c r="L1332" s="62"/>
      <c r="M1332" s="62">
        <v>1</v>
      </c>
      <c r="N1332" s="62"/>
      <c r="O1332" s="62"/>
      <c r="P1332" s="62"/>
      <c r="Q1332" s="12"/>
      <c r="R1332" s="12"/>
    </row>
    <row r="1333" spans="1:18" s="3" customFormat="1">
      <c r="A1333" s="62"/>
      <c r="B1333" s="70" t="s">
        <v>3613</v>
      </c>
      <c r="C1333" s="62" t="s">
        <v>494</v>
      </c>
      <c r="D1333" s="62"/>
      <c r="E1333" s="62"/>
      <c r="F1333" s="62"/>
      <c r="G1333" s="62"/>
      <c r="H1333" s="62"/>
      <c r="I1333" s="62"/>
      <c r="J1333" s="62"/>
      <c r="K1333" s="76">
        <v>33</v>
      </c>
      <c r="L1333" s="75">
        <v>3</v>
      </c>
      <c r="M1333" s="62">
        <v>3</v>
      </c>
      <c r="N1333" s="62" t="s">
        <v>3620</v>
      </c>
      <c r="O1333" s="62" t="s">
        <v>3622</v>
      </c>
      <c r="P1333" s="62" t="s">
        <v>3623</v>
      </c>
      <c r="Q1333" s="12"/>
      <c r="R1333" s="47">
        <v>2311</v>
      </c>
    </row>
    <row r="1334" spans="1:18" s="3" customFormat="1">
      <c r="A1334" s="62"/>
      <c r="B1334" s="98" t="s">
        <v>3791</v>
      </c>
      <c r="C1334" s="62" t="s">
        <v>494</v>
      </c>
      <c r="D1334" s="62"/>
      <c r="E1334" s="62"/>
      <c r="F1334" s="62"/>
      <c r="G1334" s="62"/>
      <c r="H1334" s="62"/>
      <c r="I1334" s="62"/>
      <c r="J1334" s="62"/>
      <c r="K1334" s="76">
        <v>34</v>
      </c>
      <c r="L1334" s="75">
        <v>3</v>
      </c>
      <c r="M1334" s="62"/>
      <c r="N1334" s="62" t="s">
        <v>3793</v>
      </c>
      <c r="O1334" s="62" t="s">
        <v>3795</v>
      </c>
      <c r="P1334" s="62" t="s">
        <v>3798</v>
      </c>
      <c r="Q1334" s="12"/>
      <c r="R1334" s="47"/>
    </row>
    <row r="1335" spans="1:18" s="3" customFormat="1">
      <c r="A1335" s="62"/>
      <c r="B1335" s="70" t="s">
        <v>3808</v>
      </c>
      <c r="C1335" s="62" t="s">
        <v>494</v>
      </c>
      <c r="D1335" s="62"/>
      <c r="E1335" s="62"/>
      <c r="F1335" s="62"/>
      <c r="G1335" s="62"/>
      <c r="H1335" s="62"/>
      <c r="I1335" s="62"/>
      <c r="J1335" s="62"/>
      <c r="K1335" s="76">
        <v>35</v>
      </c>
      <c r="L1335" s="75"/>
      <c r="M1335" s="62">
        <v>1</v>
      </c>
      <c r="N1335" s="62"/>
      <c r="O1335" s="62"/>
      <c r="P1335" s="62"/>
      <c r="Q1335" s="12"/>
      <c r="R1335" s="47"/>
    </row>
    <row r="1336" spans="1:18" s="3" customFormat="1">
      <c r="A1336" s="62"/>
      <c r="B1336" s="70" t="s">
        <v>3809</v>
      </c>
      <c r="C1336" s="62" t="s">
        <v>494</v>
      </c>
      <c r="D1336" s="62"/>
      <c r="E1336" s="62"/>
      <c r="F1336" s="62"/>
      <c r="G1336" s="62"/>
      <c r="H1336" s="62"/>
      <c r="I1336" s="62"/>
      <c r="J1336" s="62"/>
      <c r="K1336" s="76">
        <v>36</v>
      </c>
      <c r="L1336" s="75"/>
      <c r="M1336" s="62">
        <v>1</v>
      </c>
      <c r="N1336" s="62"/>
      <c r="O1336" s="62"/>
      <c r="P1336" s="62"/>
      <c r="Q1336" s="12"/>
      <c r="R1336" s="47"/>
    </row>
    <row r="1337" spans="1:18" s="3" customFormat="1">
      <c r="A1337" s="62"/>
      <c r="B1337" s="70" t="s">
        <v>3810</v>
      </c>
      <c r="C1337" s="62" t="s">
        <v>494</v>
      </c>
      <c r="D1337" s="62"/>
      <c r="E1337" s="62"/>
      <c r="F1337" s="62"/>
      <c r="G1337" s="62"/>
      <c r="H1337" s="62"/>
      <c r="I1337" s="62"/>
      <c r="J1337" s="62"/>
      <c r="K1337" s="76">
        <v>37</v>
      </c>
      <c r="L1337" s="75"/>
      <c r="M1337" s="62">
        <v>1</v>
      </c>
      <c r="N1337" s="62"/>
      <c r="O1337" s="62"/>
      <c r="P1337" s="62"/>
      <c r="Q1337" s="12"/>
      <c r="R1337" s="47"/>
    </row>
    <row r="1338" spans="1:18" s="3" customFormat="1">
      <c r="A1338" s="62"/>
      <c r="B1338" s="70" t="s">
        <v>3811</v>
      </c>
      <c r="C1338" s="62" t="s">
        <v>494</v>
      </c>
      <c r="D1338" s="62"/>
      <c r="E1338" s="62"/>
      <c r="F1338" s="62"/>
      <c r="G1338" s="62"/>
      <c r="H1338" s="62"/>
      <c r="I1338" s="62"/>
      <c r="J1338" s="62"/>
      <c r="K1338" s="76">
        <v>38</v>
      </c>
      <c r="L1338" s="75"/>
      <c r="M1338" s="62">
        <v>1</v>
      </c>
      <c r="N1338" s="62"/>
      <c r="O1338" s="62"/>
      <c r="P1338" s="62"/>
      <c r="Q1338" s="12"/>
      <c r="R1338" s="47"/>
    </row>
    <row r="1339" spans="1:18" s="3" customFormat="1">
      <c r="A1339" s="62"/>
      <c r="B1339" s="70" t="s">
        <v>3806</v>
      </c>
      <c r="C1339" s="62" t="s">
        <v>494</v>
      </c>
      <c r="D1339" s="62"/>
      <c r="E1339" s="62"/>
      <c r="F1339" s="62"/>
      <c r="G1339" s="62"/>
      <c r="H1339" s="62"/>
      <c r="I1339" s="62"/>
      <c r="J1339" s="62"/>
      <c r="K1339" s="76">
        <v>39</v>
      </c>
      <c r="L1339" s="75"/>
      <c r="M1339" s="62">
        <v>1</v>
      </c>
      <c r="N1339" s="62"/>
      <c r="O1339" s="62"/>
      <c r="P1339" s="62"/>
      <c r="Q1339" s="12"/>
      <c r="R1339" s="47"/>
    </row>
    <row r="1340" spans="1:18" s="3" customFormat="1">
      <c r="A1340" s="62"/>
      <c r="B1340" s="70" t="s">
        <v>3807</v>
      </c>
      <c r="C1340" s="62" t="s">
        <v>494</v>
      </c>
      <c r="D1340" s="62"/>
      <c r="E1340" s="62"/>
      <c r="F1340" s="62"/>
      <c r="G1340" s="62"/>
      <c r="H1340" s="62"/>
      <c r="I1340" s="62"/>
      <c r="J1340" s="62"/>
      <c r="K1340" s="76">
        <v>40</v>
      </c>
      <c r="L1340" s="75">
        <v>3</v>
      </c>
      <c r="M1340" s="62"/>
      <c r="N1340" s="62"/>
      <c r="O1340" s="62"/>
      <c r="P1340" s="62"/>
      <c r="Q1340" s="12"/>
      <c r="R1340" s="47"/>
    </row>
    <row r="1341" spans="1:18" s="3" customFormat="1">
      <c r="A1341" s="62"/>
      <c r="B1341" s="70" t="s">
        <v>3812</v>
      </c>
      <c r="C1341" s="62" t="s">
        <v>493</v>
      </c>
      <c r="D1341" s="62">
        <v>1</v>
      </c>
      <c r="E1341" s="62"/>
      <c r="F1341" s="62"/>
      <c r="G1341" s="62"/>
      <c r="H1341" s="62"/>
      <c r="I1341" s="62"/>
      <c r="J1341" s="62"/>
      <c r="K1341" s="76">
        <v>41</v>
      </c>
      <c r="L1341" s="75">
        <v>3</v>
      </c>
      <c r="M1341" s="62"/>
      <c r="N1341" s="62"/>
      <c r="O1341" s="62"/>
      <c r="P1341" s="62"/>
      <c r="Q1341" s="12"/>
      <c r="R1341" s="47"/>
    </row>
    <row r="1342" spans="1:18" s="3" customFormat="1">
      <c r="A1342" s="62"/>
      <c r="B1342" s="70" t="s">
        <v>3813</v>
      </c>
      <c r="C1342" s="62" t="s">
        <v>494</v>
      </c>
      <c r="D1342" s="62"/>
      <c r="E1342" s="62"/>
      <c r="F1342" s="62"/>
      <c r="G1342" s="62"/>
      <c r="H1342" s="62"/>
      <c r="I1342" s="62"/>
      <c r="J1342" s="62"/>
      <c r="K1342" s="76">
        <v>42</v>
      </c>
      <c r="L1342" s="75">
        <v>3</v>
      </c>
      <c r="M1342" s="62"/>
      <c r="N1342" s="62" t="s">
        <v>3823</v>
      </c>
      <c r="O1342" s="62" t="s">
        <v>3819</v>
      </c>
      <c r="P1342" s="62" t="s">
        <v>3822</v>
      </c>
      <c r="Q1342" s="12"/>
      <c r="R1342" s="47">
        <v>2315</v>
      </c>
    </row>
    <row r="1343" spans="1:18" s="3" customFormat="1">
      <c r="A1343" s="62"/>
      <c r="B1343" s="62" t="s">
        <v>3876</v>
      </c>
      <c r="C1343" s="62" t="s">
        <v>494</v>
      </c>
      <c r="D1343" s="62"/>
      <c r="E1343" s="62"/>
      <c r="F1343" s="62"/>
      <c r="G1343" s="62"/>
      <c r="H1343" s="62"/>
      <c r="I1343" s="62"/>
      <c r="J1343" s="62"/>
      <c r="K1343" s="76">
        <v>43</v>
      </c>
      <c r="L1343" s="62"/>
      <c r="M1343" s="62">
        <v>1</v>
      </c>
      <c r="N1343" s="62"/>
      <c r="O1343" s="62"/>
      <c r="P1343" s="62"/>
      <c r="Q1343" s="12"/>
      <c r="R1343" s="12"/>
    </row>
    <row r="1344" spans="1:18" s="3" customFormat="1">
      <c r="A1344" s="62"/>
      <c r="B1344" s="70" t="s">
        <v>5472</v>
      </c>
      <c r="C1344" s="62" t="s">
        <v>494</v>
      </c>
      <c r="D1344" s="62"/>
      <c r="E1344" s="62"/>
      <c r="F1344" s="62"/>
      <c r="G1344" s="62"/>
      <c r="H1344" s="62"/>
      <c r="I1344" s="62"/>
      <c r="J1344" s="62"/>
      <c r="K1344" s="76">
        <v>44</v>
      </c>
      <c r="L1344" s="62"/>
      <c r="M1344" s="62">
        <v>1</v>
      </c>
      <c r="N1344" s="62"/>
      <c r="O1344" s="62"/>
      <c r="P1344" s="62"/>
      <c r="Q1344" s="12"/>
      <c r="R1344" s="12"/>
    </row>
    <row r="1345" spans="1:18" s="3" customFormat="1">
      <c r="A1345" s="62"/>
      <c r="B1345" s="62"/>
      <c r="C1345" s="62"/>
      <c r="D1345" s="62"/>
      <c r="E1345" s="62"/>
      <c r="F1345" s="62"/>
      <c r="G1345" s="62"/>
      <c r="H1345" s="62"/>
      <c r="I1345" s="62"/>
      <c r="J1345" s="62"/>
      <c r="K1345" s="76"/>
      <c r="L1345" s="75"/>
      <c r="M1345" s="62"/>
      <c r="N1345" s="62"/>
      <c r="O1345" s="62"/>
      <c r="P1345" s="62"/>
      <c r="Q1345" s="12"/>
      <c r="R1345" s="12"/>
    </row>
    <row r="1346" spans="1:18" customFormat="1">
      <c r="A1346" s="62" t="s">
        <v>5430</v>
      </c>
      <c r="B1346" s="66" t="s">
        <v>5434</v>
      </c>
      <c r="C1346" s="62" t="s">
        <v>494</v>
      </c>
      <c r="E1346" s="62" t="s">
        <v>476</v>
      </c>
      <c r="F1346">
        <v>23</v>
      </c>
      <c r="G1346">
        <v>2323</v>
      </c>
      <c r="H1346" s="62" t="s">
        <v>5435</v>
      </c>
      <c r="I1346" s="62" t="s">
        <v>5436</v>
      </c>
      <c r="J1346">
        <v>2302</v>
      </c>
      <c r="K1346" s="55">
        <v>1</v>
      </c>
      <c r="L1346">
        <v>8</v>
      </c>
      <c r="N1346" s="64" t="s">
        <v>3362</v>
      </c>
      <c r="O1346" s="64" t="s">
        <v>3381</v>
      </c>
      <c r="P1346" s="64" t="s">
        <v>3364</v>
      </c>
      <c r="Q1346" s="23"/>
    </row>
    <row r="1347" spans="1:18" customFormat="1">
      <c r="A1347" s="62"/>
      <c r="B1347" s="66" t="s">
        <v>5431</v>
      </c>
      <c r="C1347" s="62" t="s">
        <v>494</v>
      </c>
      <c r="E1347" s="62" t="s">
        <v>476</v>
      </c>
      <c r="H1347" s="62"/>
      <c r="I1347" s="62"/>
      <c r="K1347" s="55">
        <v>2</v>
      </c>
      <c r="L1347">
        <v>3</v>
      </c>
      <c r="M1347">
        <v>31</v>
      </c>
      <c r="N1347" s="64" t="s">
        <v>3362</v>
      </c>
      <c r="O1347" s="64" t="s">
        <v>3381</v>
      </c>
      <c r="P1347" s="23" t="s">
        <v>3606</v>
      </c>
      <c r="Q1347" s="64" t="s">
        <v>3364</v>
      </c>
      <c r="R1347">
        <v>1</v>
      </c>
    </row>
    <row r="1348" spans="1:18" customFormat="1">
      <c r="A1348" s="62"/>
      <c r="B1348" s="66" t="s">
        <v>5432</v>
      </c>
      <c r="C1348" s="62" t="s">
        <v>494</v>
      </c>
      <c r="E1348" s="62" t="s">
        <v>476</v>
      </c>
      <c r="K1348" s="55">
        <v>3</v>
      </c>
      <c r="L1348">
        <v>6</v>
      </c>
      <c r="N1348" s="1"/>
      <c r="O1348" s="23"/>
      <c r="P1348" s="23"/>
      <c r="Q1348" s="23"/>
    </row>
    <row r="1349" spans="1:18" customFormat="1">
      <c r="A1349" s="62"/>
      <c r="B1349" s="66" t="s">
        <v>5433</v>
      </c>
      <c r="C1349" s="62" t="s">
        <v>494</v>
      </c>
      <c r="K1349" s="55">
        <v>4</v>
      </c>
      <c r="L1349">
        <v>6</v>
      </c>
      <c r="N1349" s="1"/>
      <c r="O1349" s="23"/>
      <c r="P1349" s="23"/>
      <c r="Q1349" s="23"/>
    </row>
    <row r="1350" spans="1:18" customFormat="1">
      <c r="A1350" s="62"/>
      <c r="B1350" s="66" t="s">
        <v>5495</v>
      </c>
      <c r="C1350" s="62" t="s">
        <v>494</v>
      </c>
      <c r="H1350" s="78" t="s">
        <v>5488</v>
      </c>
      <c r="K1350" s="55">
        <v>5</v>
      </c>
      <c r="L1350">
        <v>3</v>
      </c>
      <c r="M1350">
        <v>3</v>
      </c>
      <c r="N1350" s="1"/>
      <c r="O1350" s="23"/>
      <c r="P1350" s="23"/>
      <c r="Q1350" s="23"/>
    </row>
    <row r="1351" spans="1:18" customFormat="1">
      <c r="A1351" s="62"/>
      <c r="B1351" s="66" t="s">
        <v>5456</v>
      </c>
      <c r="C1351" s="62" t="s">
        <v>494</v>
      </c>
      <c r="K1351" s="55">
        <v>6</v>
      </c>
      <c r="L1351">
        <v>30</v>
      </c>
      <c r="M1351">
        <v>1</v>
      </c>
      <c r="N1351" s="1"/>
      <c r="O1351" s="23"/>
      <c r="P1351" s="23"/>
      <c r="Q1351" s="23"/>
    </row>
    <row r="1352" spans="1:18" customFormat="1">
      <c r="A1352" s="62"/>
      <c r="B1352" s="66" t="s">
        <v>5438</v>
      </c>
      <c r="C1352" s="62" t="s">
        <v>494</v>
      </c>
      <c r="K1352" s="55">
        <v>7</v>
      </c>
      <c r="L1352">
        <v>3</v>
      </c>
      <c r="N1352" s="1"/>
      <c r="O1352" s="23"/>
      <c r="P1352" s="23"/>
      <c r="Q1352" s="23"/>
    </row>
    <row r="1353" spans="1:18" customFormat="1">
      <c r="A1353" s="62"/>
      <c r="B1353" s="66" t="s">
        <v>5437</v>
      </c>
      <c r="C1353" s="62" t="s">
        <v>494</v>
      </c>
      <c r="K1353" s="55">
        <v>8</v>
      </c>
      <c r="L1353">
        <v>3</v>
      </c>
      <c r="N1353" s="1"/>
      <c r="O1353" s="23"/>
      <c r="P1353" s="23"/>
      <c r="Q1353" s="23"/>
    </row>
    <row r="1354" spans="1:18" customFormat="1">
      <c r="A1354" s="62"/>
      <c r="B1354" s="66" t="s">
        <v>5474</v>
      </c>
      <c r="C1354" s="62" t="s">
        <v>494</v>
      </c>
      <c r="K1354" s="55">
        <v>9</v>
      </c>
      <c r="L1354">
        <v>3</v>
      </c>
      <c r="N1354" s="1"/>
      <c r="O1354" s="23"/>
      <c r="P1354" s="23"/>
      <c r="Q1354" s="23"/>
    </row>
    <row r="1355" spans="1:18" customFormat="1">
      <c r="A1355" s="62"/>
      <c r="B1355" s="66" t="s">
        <v>5475</v>
      </c>
      <c r="C1355" s="62" t="s">
        <v>494</v>
      </c>
      <c r="K1355" s="55">
        <v>10</v>
      </c>
      <c r="L1355">
        <v>3</v>
      </c>
      <c r="N1355" s="1"/>
      <c r="O1355" s="23"/>
      <c r="P1355" s="23"/>
      <c r="Q1355" s="23"/>
    </row>
    <row r="1356" spans="1:18" customFormat="1">
      <c r="A1356" s="62"/>
      <c r="B1356" s="66" t="s">
        <v>5476</v>
      </c>
      <c r="C1356" s="62" t="s">
        <v>494</v>
      </c>
      <c r="K1356" s="55">
        <v>11</v>
      </c>
      <c r="L1356">
        <v>3</v>
      </c>
      <c r="N1356" s="1"/>
      <c r="O1356" s="23"/>
      <c r="P1356" s="23"/>
      <c r="Q1356" s="23"/>
    </row>
    <row r="1357" spans="1:18" customFormat="1">
      <c r="A1357" s="62"/>
      <c r="B1357" s="66" t="s">
        <v>5477</v>
      </c>
      <c r="C1357" s="62" t="s">
        <v>494</v>
      </c>
      <c r="K1357" s="55">
        <v>12</v>
      </c>
      <c r="L1357">
        <v>3</v>
      </c>
      <c r="N1357" s="1"/>
      <c r="O1357" s="23"/>
      <c r="P1357" s="23"/>
      <c r="Q1357" s="23"/>
    </row>
    <row r="1358" spans="1:18" customFormat="1">
      <c r="A1358" s="62"/>
      <c r="B1358" s="66" t="s">
        <v>5471</v>
      </c>
      <c r="C1358" s="62" t="s">
        <v>494</v>
      </c>
      <c r="K1358" s="55">
        <v>13</v>
      </c>
      <c r="L1358">
        <v>3</v>
      </c>
      <c r="N1358" s="62" t="s">
        <v>5439</v>
      </c>
      <c r="O1358" s="66" t="s">
        <v>5441</v>
      </c>
      <c r="P1358" s="66" t="s">
        <v>5444</v>
      </c>
      <c r="Q1358" s="23"/>
      <c r="R1358">
        <v>2324</v>
      </c>
    </row>
    <row r="1359" spans="1:18" customFormat="1">
      <c r="A1359" s="62"/>
      <c r="B1359" s="63" t="s">
        <v>5470</v>
      </c>
      <c r="C1359" s="62" t="s">
        <v>494</v>
      </c>
      <c r="K1359" s="55">
        <v>14</v>
      </c>
      <c r="M1359">
        <v>1</v>
      </c>
      <c r="N1359" s="1"/>
      <c r="O1359" s="23"/>
      <c r="P1359" s="23"/>
      <c r="Q1359" s="23"/>
    </row>
    <row r="1360" spans="1:18" customFormat="1">
      <c r="A1360" s="62"/>
      <c r="B1360" s="67" t="s">
        <v>5480</v>
      </c>
      <c r="C1360" s="62" t="s">
        <v>494</v>
      </c>
      <c r="K1360" s="55">
        <v>15</v>
      </c>
      <c r="L1360">
        <v>3</v>
      </c>
      <c r="N1360" s="62" t="s">
        <v>5497</v>
      </c>
      <c r="O1360" s="66" t="s">
        <v>5499</v>
      </c>
      <c r="P1360" s="66" t="s">
        <v>5501</v>
      </c>
      <c r="Q1360" s="23"/>
    </row>
    <row r="1361" spans="1:17" customFormat="1">
      <c r="A1361" s="62"/>
      <c r="B1361" s="67" t="s">
        <v>5479</v>
      </c>
      <c r="C1361" s="62" t="s">
        <v>494</v>
      </c>
      <c r="K1361" s="55">
        <v>16</v>
      </c>
      <c r="L1361">
        <v>3</v>
      </c>
      <c r="N1361" s="62" t="s">
        <v>5502</v>
      </c>
      <c r="O1361" s="66" t="s">
        <v>5499</v>
      </c>
      <c r="P1361" s="66" t="s">
        <v>5508</v>
      </c>
      <c r="Q1361" s="23"/>
    </row>
    <row r="1362" spans="1:17" customFormat="1">
      <c r="A1362" s="62"/>
      <c r="B1362" s="66" t="s">
        <v>5478</v>
      </c>
      <c r="C1362" s="62" t="s">
        <v>520</v>
      </c>
      <c r="K1362" s="55">
        <v>17</v>
      </c>
      <c r="N1362" s="1"/>
      <c r="O1362" s="23"/>
      <c r="P1362" s="23"/>
      <c r="Q1362" s="23"/>
    </row>
    <row r="1363" spans="1:17" customFormat="1">
      <c r="A1363" s="62"/>
      <c r="B1363" s="66" t="s">
        <v>5482</v>
      </c>
      <c r="C1363" s="62" t="s">
        <v>494</v>
      </c>
      <c r="K1363" s="55">
        <v>18</v>
      </c>
      <c r="N1363" s="1"/>
      <c r="O1363" s="23"/>
      <c r="P1363" s="23"/>
      <c r="Q1363" s="23"/>
    </row>
    <row r="1364" spans="1:17" customFormat="1">
      <c r="A1364" s="62"/>
      <c r="B1364" s="66" t="s">
        <v>5483</v>
      </c>
      <c r="C1364" s="62" t="s">
        <v>494</v>
      </c>
      <c r="K1364" s="55">
        <v>19</v>
      </c>
      <c r="N1364" s="1"/>
      <c r="O1364" s="23"/>
      <c r="P1364" s="23"/>
      <c r="Q1364" s="23"/>
    </row>
    <row r="1365" spans="1:17" customFormat="1">
      <c r="A1365" s="62"/>
      <c r="B1365" s="66" t="s">
        <v>5484</v>
      </c>
      <c r="C1365" s="62" t="s">
        <v>702</v>
      </c>
      <c r="K1365" s="55">
        <v>20</v>
      </c>
      <c r="M1365">
        <v>1</v>
      </c>
      <c r="N1365" s="1"/>
      <c r="O1365" s="23"/>
      <c r="P1365" s="23"/>
      <c r="Q1365" s="23"/>
    </row>
    <row r="1366" spans="1:17" customFormat="1">
      <c r="A1366" s="62"/>
      <c r="B1366" s="66" t="s">
        <v>5493</v>
      </c>
      <c r="C1366" s="62" t="s">
        <v>494</v>
      </c>
      <c r="K1366" s="55">
        <v>21</v>
      </c>
      <c r="N1366" s="1"/>
      <c r="O1366" s="23"/>
      <c r="P1366" s="23"/>
      <c r="Q1366" s="23"/>
    </row>
    <row r="1367" spans="1:17" customFormat="1">
      <c r="A1367" s="62"/>
      <c r="B1367" s="66" t="s">
        <v>5494</v>
      </c>
      <c r="C1367" s="62" t="s">
        <v>702</v>
      </c>
      <c r="K1367" s="55">
        <v>22</v>
      </c>
      <c r="M1367">
        <v>1</v>
      </c>
      <c r="N1367" s="1"/>
      <c r="O1367" s="23"/>
      <c r="P1367" s="23"/>
      <c r="Q1367" s="23"/>
    </row>
    <row r="1368" spans="1:17" customFormat="1">
      <c r="A1368" s="62"/>
      <c r="B1368" s="63" t="s">
        <v>5481</v>
      </c>
      <c r="C1368" s="62" t="s">
        <v>494</v>
      </c>
      <c r="K1368" s="55">
        <v>23</v>
      </c>
      <c r="M1368">
        <v>1</v>
      </c>
      <c r="N1368" s="1"/>
      <c r="O1368" s="23"/>
      <c r="P1368" s="23"/>
      <c r="Q1368" s="23"/>
    </row>
    <row r="1369" spans="1:17" customFormat="1">
      <c r="A1369" s="62"/>
      <c r="B1369" s="66" t="s">
        <v>5485</v>
      </c>
      <c r="C1369" s="62" t="s">
        <v>520</v>
      </c>
      <c r="K1369" s="55">
        <v>24</v>
      </c>
      <c r="N1369" s="1"/>
      <c r="O1369" s="23"/>
      <c r="P1369" s="23"/>
      <c r="Q1369" s="23"/>
    </row>
    <row r="1370" spans="1:17" customFormat="1">
      <c r="A1370" s="62"/>
      <c r="B1370" s="66" t="s">
        <v>5486</v>
      </c>
      <c r="C1370" s="62" t="s">
        <v>520</v>
      </c>
      <c r="K1370" s="55">
        <v>25</v>
      </c>
      <c r="N1370" s="1"/>
      <c r="O1370" s="23"/>
      <c r="P1370" s="23"/>
      <c r="Q1370" s="23"/>
    </row>
    <row r="1371" spans="1:17" customFormat="1">
      <c r="A1371" s="62"/>
      <c r="B1371" s="66" t="s">
        <v>5448</v>
      </c>
      <c r="C1371" s="62" t="s">
        <v>520</v>
      </c>
      <c r="K1371" s="55">
        <v>26</v>
      </c>
      <c r="N1371" s="1"/>
      <c r="O1371" s="23"/>
      <c r="P1371" s="23"/>
      <c r="Q1371" s="23"/>
    </row>
    <row r="1372" spans="1:17" customFormat="1">
      <c r="A1372" s="62"/>
      <c r="B1372" s="66" t="s">
        <v>5449</v>
      </c>
      <c r="C1372" s="62" t="s">
        <v>520</v>
      </c>
      <c r="K1372" s="55">
        <v>27</v>
      </c>
      <c r="N1372" s="1"/>
      <c r="O1372" s="23"/>
      <c r="P1372" s="23"/>
      <c r="Q1372" s="23"/>
    </row>
    <row r="1373" spans="1:17" customFormat="1">
      <c r="A1373" s="62"/>
      <c r="B1373" s="66" t="s">
        <v>5450</v>
      </c>
      <c r="C1373" s="62" t="s">
        <v>520</v>
      </c>
      <c r="K1373" s="55">
        <v>28</v>
      </c>
      <c r="N1373" s="1"/>
      <c r="O1373" s="23"/>
      <c r="P1373" s="23"/>
      <c r="Q1373" s="23"/>
    </row>
    <row r="1374" spans="1:17" customFormat="1">
      <c r="A1374" s="62"/>
      <c r="B1374" s="66" t="s">
        <v>5451</v>
      </c>
      <c r="C1374" s="62" t="s">
        <v>520</v>
      </c>
      <c r="K1374" s="55">
        <v>29</v>
      </c>
      <c r="N1374" s="1"/>
      <c r="O1374" s="23"/>
      <c r="P1374" s="23"/>
      <c r="Q1374" s="23"/>
    </row>
    <row r="1375" spans="1:17" customFormat="1">
      <c r="A1375" s="62"/>
      <c r="B1375" s="66" t="s">
        <v>5453</v>
      </c>
      <c r="C1375" s="62" t="s">
        <v>520</v>
      </c>
      <c r="K1375" s="55">
        <v>30</v>
      </c>
      <c r="N1375" s="1"/>
      <c r="O1375" s="23"/>
      <c r="P1375" s="23"/>
      <c r="Q1375" s="23"/>
    </row>
    <row r="1376" spans="1:17" customFormat="1">
      <c r="A1376" s="62"/>
      <c r="B1376" s="66" t="s">
        <v>5452</v>
      </c>
      <c r="C1376" s="62" t="s">
        <v>520</v>
      </c>
      <c r="K1376" s="55">
        <v>31</v>
      </c>
      <c r="N1376" s="1"/>
      <c r="O1376" s="23"/>
      <c r="P1376" s="23"/>
      <c r="Q1376" s="23"/>
    </row>
    <row r="1377" spans="1:17" customFormat="1">
      <c r="A1377" s="62"/>
      <c r="B1377" s="66" t="s">
        <v>5454</v>
      </c>
      <c r="C1377" s="62" t="s">
        <v>520</v>
      </c>
      <c r="K1377" s="55">
        <v>32</v>
      </c>
      <c r="N1377" s="1"/>
      <c r="O1377" s="23"/>
      <c r="P1377" s="23"/>
      <c r="Q1377" s="23"/>
    </row>
    <row r="1378" spans="1:17" customFormat="1">
      <c r="A1378" s="62"/>
      <c r="B1378" s="63" t="s">
        <v>5455</v>
      </c>
      <c r="C1378" s="62" t="s">
        <v>494</v>
      </c>
      <c r="K1378" s="55">
        <v>33</v>
      </c>
      <c r="L1378">
        <v>3</v>
      </c>
      <c r="N1378" s="1"/>
      <c r="O1378" s="23"/>
      <c r="P1378" s="23"/>
      <c r="Q1378" s="23"/>
    </row>
    <row r="1379" spans="1:17" customFormat="1">
      <c r="A1379" s="62"/>
      <c r="B1379" s="66" t="s">
        <v>5458</v>
      </c>
      <c r="C1379" s="62" t="s">
        <v>494</v>
      </c>
      <c r="K1379" s="55">
        <v>34</v>
      </c>
      <c r="L1379">
        <v>3</v>
      </c>
      <c r="N1379" s="1"/>
      <c r="O1379" s="23"/>
      <c r="P1379" s="23"/>
      <c r="Q1379" s="23"/>
    </row>
    <row r="1380" spans="1:17" customFormat="1">
      <c r="A1380" s="62"/>
      <c r="B1380" s="66" t="s">
        <v>5459</v>
      </c>
      <c r="C1380" s="62" t="s">
        <v>494</v>
      </c>
      <c r="K1380" s="55">
        <v>35</v>
      </c>
      <c r="L1380">
        <v>3</v>
      </c>
      <c r="N1380" s="1"/>
      <c r="O1380" s="23"/>
      <c r="P1380" s="23"/>
      <c r="Q1380" s="23"/>
    </row>
    <row r="1381" spans="1:17" customFormat="1">
      <c r="A1381" s="62"/>
      <c r="B1381" s="66" t="s">
        <v>5460</v>
      </c>
      <c r="C1381" s="62" t="s">
        <v>494</v>
      </c>
      <c r="K1381" s="55">
        <v>36</v>
      </c>
      <c r="L1381">
        <v>3</v>
      </c>
      <c r="N1381" s="1"/>
      <c r="O1381" s="23"/>
      <c r="P1381" s="23"/>
      <c r="Q1381" s="23"/>
    </row>
    <row r="1382" spans="1:17" customFormat="1">
      <c r="A1382" s="62"/>
      <c r="B1382" s="66" t="s">
        <v>5461</v>
      </c>
      <c r="C1382" s="62" t="s">
        <v>494</v>
      </c>
      <c r="K1382" s="55">
        <v>37</v>
      </c>
      <c r="L1382">
        <v>3</v>
      </c>
      <c r="N1382" s="1"/>
      <c r="O1382" s="23"/>
      <c r="P1382" s="23"/>
      <c r="Q1382" s="23"/>
    </row>
    <row r="1383" spans="1:17" customFormat="1">
      <c r="A1383" s="62"/>
      <c r="B1383" s="63" t="s">
        <v>5457</v>
      </c>
      <c r="C1383" s="62" t="s">
        <v>494</v>
      </c>
      <c r="K1383" s="55">
        <v>38</v>
      </c>
      <c r="L1383">
        <v>3</v>
      </c>
      <c r="M1383">
        <v>1</v>
      </c>
      <c r="N1383" s="1"/>
      <c r="O1383" s="23"/>
      <c r="P1383" s="23"/>
      <c r="Q1383" s="23"/>
    </row>
    <row r="1384" spans="1:17" customFormat="1">
      <c r="A1384" s="62"/>
      <c r="B1384" s="67" t="s">
        <v>5462</v>
      </c>
      <c r="C1384" s="62" t="s">
        <v>494</v>
      </c>
      <c r="K1384" s="55">
        <v>39</v>
      </c>
      <c r="L1384">
        <v>3</v>
      </c>
      <c r="N1384" s="1"/>
      <c r="O1384" s="23"/>
      <c r="P1384" s="23"/>
      <c r="Q1384" s="23"/>
    </row>
    <row r="1385" spans="1:17" customFormat="1">
      <c r="A1385" s="62"/>
      <c r="B1385" s="67" t="s">
        <v>5463</v>
      </c>
      <c r="C1385" s="62" t="s">
        <v>494</v>
      </c>
      <c r="K1385" s="55">
        <v>40</v>
      </c>
      <c r="L1385">
        <v>3</v>
      </c>
      <c r="N1385" s="1"/>
      <c r="O1385" s="23"/>
      <c r="P1385" s="23"/>
      <c r="Q1385" s="23"/>
    </row>
    <row r="1386" spans="1:17" customFormat="1">
      <c r="A1386" s="62"/>
      <c r="B1386" s="67" t="s">
        <v>5464</v>
      </c>
      <c r="C1386" s="62" t="s">
        <v>494</v>
      </c>
      <c r="K1386" s="55">
        <v>41</v>
      </c>
      <c r="L1386">
        <v>3</v>
      </c>
      <c r="N1386" s="1"/>
      <c r="O1386" s="23"/>
      <c r="P1386" s="23"/>
      <c r="Q1386" s="23"/>
    </row>
    <row r="1387" spans="1:17" customFormat="1">
      <c r="A1387" s="62"/>
      <c r="B1387" s="67" t="s">
        <v>5465</v>
      </c>
      <c r="C1387" s="62" t="s">
        <v>494</v>
      </c>
      <c r="K1387" s="55">
        <v>42</v>
      </c>
      <c r="L1387">
        <v>3</v>
      </c>
      <c r="N1387" s="1"/>
      <c r="O1387" s="23"/>
      <c r="P1387" s="23"/>
      <c r="Q1387" s="23"/>
    </row>
    <row r="1388" spans="1:17" customFormat="1">
      <c r="A1388" s="62"/>
      <c r="B1388" s="67" t="s">
        <v>5466</v>
      </c>
      <c r="C1388" s="62" t="s">
        <v>494</v>
      </c>
      <c r="K1388" s="55">
        <v>43</v>
      </c>
      <c r="L1388">
        <v>3</v>
      </c>
      <c r="N1388" s="1"/>
      <c r="O1388" s="23"/>
      <c r="P1388" s="23"/>
      <c r="Q1388" s="23"/>
    </row>
    <row r="1389" spans="1:17" customFormat="1">
      <c r="A1389" s="62"/>
      <c r="B1389" s="66" t="s">
        <v>5467</v>
      </c>
      <c r="C1389" s="62" t="s">
        <v>494</v>
      </c>
      <c r="K1389" s="55">
        <v>44</v>
      </c>
      <c r="L1389">
        <v>3</v>
      </c>
      <c r="N1389" s="62"/>
      <c r="O1389" s="66"/>
      <c r="P1389" s="66"/>
      <c r="Q1389" s="23"/>
    </row>
    <row r="1390" spans="1:17" customFormat="1">
      <c r="A1390" s="62"/>
      <c r="B1390" s="67" t="s">
        <v>5468</v>
      </c>
      <c r="C1390" s="62" t="s">
        <v>494</v>
      </c>
      <c r="K1390" s="55">
        <v>45</v>
      </c>
      <c r="L1390">
        <v>3</v>
      </c>
      <c r="N1390" s="62" t="s">
        <v>5509</v>
      </c>
      <c r="O1390" s="66" t="s">
        <v>5511</v>
      </c>
      <c r="P1390" s="66" t="s">
        <v>5514</v>
      </c>
      <c r="Q1390" s="23"/>
    </row>
    <row r="1391" spans="1:17" customFormat="1">
      <c r="A1391" s="62"/>
      <c r="B1391" s="66" t="s">
        <v>5489</v>
      </c>
      <c r="C1391" s="62" t="s">
        <v>520</v>
      </c>
      <c r="K1391" s="55">
        <v>46</v>
      </c>
      <c r="N1391" s="1"/>
      <c r="O1391" s="23"/>
      <c r="P1391" s="23"/>
      <c r="Q1391" s="23"/>
    </row>
    <row r="1392" spans="1:17" customFormat="1">
      <c r="A1392" s="62"/>
      <c r="B1392" s="67" t="s">
        <v>5515</v>
      </c>
      <c r="C1392" s="62" t="s">
        <v>494</v>
      </c>
      <c r="K1392" s="55">
        <v>47</v>
      </c>
      <c r="L1392">
        <v>3</v>
      </c>
      <c r="N1392" s="1"/>
      <c r="O1392" s="23"/>
      <c r="P1392" s="23"/>
      <c r="Q1392" s="23"/>
    </row>
    <row r="1393" spans="1:18" customFormat="1">
      <c r="A1393" s="62"/>
      <c r="B1393" s="67" t="s">
        <v>5516</v>
      </c>
      <c r="C1393" s="62" t="s">
        <v>494</v>
      </c>
      <c r="K1393" s="55">
        <v>48</v>
      </c>
      <c r="L1393">
        <v>3</v>
      </c>
      <c r="N1393" s="1"/>
      <c r="O1393" s="23"/>
      <c r="P1393" s="23"/>
      <c r="Q1393" s="23"/>
    </row>
    <row r="1394" spans="1:18" customFormat="1">
      <c r="A1394" s="62"/>
      <c r="B1394" s="63" t="s">
        <v>5469</v>
      </c>
      <c r="C1394" s="62" t="s">
        <v>494</v>
      </c>
      <c r="K1394" s="55">
        <v>49</v>
      </c>
      <c r="L1394">
        <v>3</v>
      </c>
      <c r="M1394">
        <v>1</v>
      </c>
      <c r="N1394" s="1"/>
      <c r="O1394" s="23"/>
      <c r="P1394" s="23"/>
      <c r="Q1394" s="23"/>
    </row>
    <row r="1395" spans="1:18" customFormat="1">
      <c r="A1395" s="62"/>
      <c r="B1395" s="66" t="s">
        <v>5490</v>
      </c>
      <c r="C1395" s="62" t="s">
        <v>520</v>
      </c>
      <c r="K1395" s="55">
        <v>50</v>
      </c>
      <c r="M1395">
        <v>1</v>
      </c>
      <c r="N1395" s="1"/>
      <c r="O1395" s="23"/>
      <c r="P1395" s="23"/>
      <c r="Q1395" s="23"/>
    </row>
    <row r="1396" spans="1:18" customFormat="1">
      <c r="A1396" s="62"/>
      <c r="B1396" s="66" t="s">
        <v>5491</v>
      </c>
      <c r="C1396" s="62" t="s">
        <v>494</v>
      </c>
      <c r="K1396" s="55">
        <v>51</v>
      </c>
      <c r="L1396">
        <v>7</v>
      </c>
      <c r="M1396">
        <v>1</v>
      </c>
      <c r="N1396" s="1"/>
      <c r="O1396" s="23"/>
      <c r="P1396" s="23"/>
      <c r="Q1396" s="23"/>
    </row>
    <row r="1397" spans="1:18" customFormat="1">
      <c r="A1397" s="62"/>
      <c r="B1397" s="66" t="s">
        <v>5492</v>
      </c>
      <c r="C1397" s="62" t="s">
        <v>494</v>
      </c>
      <c r="K1397" s="55">
        <v>52</v>
      </c>
      <c r="L1397">
        <v>8</v>
      </c>
      <c r="M1397">
        <v>1</v>
      </c>
      <c r="N1397" s="1"/>
      <c r="O1397" s="23"/>
      <c r="P1397" s="23"/>
      <c r="Q1397" s="23"/>
    </row>
    <row r="1398" spans="1:18" customFormat="1">
      <c r="A1398" s="62"/>
      <c r="B1398" s="66"/>
      <c r="C1398" s="62"/>
      <c r="K1398" s="55"/>
      <c r="N1398" s="1"/>
      <c r="O1398" s="23"/>
      <c r="P1398" s="23"/>
      <c r="Q1398" s="23"/>
    </row>
    <row r="1399" spans="1:18" customFormat="1">
      <c r="B1399" s="66"/>
      <c r="C1399" s="62"/>
      <c r="K1399" s="55"/>
      <c r="N1399" s="1"/>
      <c r="O1399" s="23"/>
      <c r="P1399" s="23"/>
      <c r="Q1399" s="23"/>
    </row>
    <row r="1400" spans="1:18" customFormat="1">
      <c r="A1400" s="62"/>
      <c r="B1400" s="66"/>
      <c r="C1400" s="62"/>
      <c r="K1400" s="55"/>
      <c r="N1400" s="1"/>
      <c r="O1400" s="23"/>
      <c r="P1400" s="23"/>
      <c r="Q1400" s="23"/>
    </row>
    <row r="1401" spans="1:18" customFormat="1">
      <c r="B1401" s="66"/>
      <c r="C1401" s="62"/>
      <c r="K1401" s="55"/>
      <c r="N1401" s="1"/>
      <c r="O1401" s="23"/>
      <c r="P1401" s="23"/>
      <c r="Q1401" s="23"/>
    </row>
    <row r="1402" spans="1:18" customFormat="1">
      <c r="B1402" s="66"/>
      <c r="C1402" s="62"/>
      <c r="K1402" s="55"/>
      <c r="N1402" s="1"/>
      <c r="O1402" s="23"/>
      <c r="P1402" s="23"/>
      <c r="Q1402" s="23"/>
    </row>
    <row r="1403" spans="1:18" customFormat="1">
      <c r="A1403" s="64" t="s">
        <v>3828</v>
      </c>
      <c r="B1403" s="62" t="s">
        <v>3829</v>
      </c>
      <c r="C1403" s="62" t="s">
        <v>494</v>
      </c>
      <c r="E1403" s="62" t="s">
        <v>476</v>
      </c>
      <c r="F1403">
        <v>22</v>
      </c>
      <c r="G1403">
        <v>2216</v>
      </c>
      <c r="H1403" s="62" t="s">
        <v>3833</v>
      </c>
      <c r="I1403" s="62" t="s">
        <v>3834</v>
      </c>
      <c r="J1403">
        <v>2201</v>
      </c>
      <c r="K1403" s="55">
        <v>1</v>
      </c>
      <c r="L1403" s="9">
        <v>3</v>
      </c>
      <c r="M1403" s="1"/>
      <c r="N1403" s="10" t="s">
        <v>506</v>
      </c>
      <c r="O1403" s="10" t="s">
        <v>514</v>
      </c>
      <c r="P1403" s="1" t="s">
        <v>515</v>
      </c>
    </row>
    <row r="1404" spans="1:18" customFormat="1">
      <c r="B1404" s="62" t="s">
        <v>3830</v>
      </c>
      <c r="C1404" s="62" t="s">
        <v>494</v>
      </c>
      <c r="E1404" s="62" t="s">
        <v>476</v>
      </c>
      <c r="K1404" s="55">
        <v>2</v>
      </c>
      <c r="L1404">
        <v>8</v>
      </c>
    </row>
    <row r="1405" spans="1:18" customFormat="1">
      <c r="B1405" s="62" t="s">
        <v>3831</v>
      </c>
      <c r="C1405" s="62" t="s">
        <v>494</v>
      </c>
      <c r="E1405" s="62" t="s">
        <v>476</v>
      </c>
      <c r="K1405" s="55">
        <v>3</v>
      </c>
      <c r="L1405">
        <v>3</v>
      </c>
      <c r="M1405">
        <v>31</v>
      </c>
      <c r="N1405" s="62" t="s">
        <v>3655</v>
      </c>
      <c r="O1405" s="62" t="s">
        <v>3648</v>
      </c>
      <c r="P1405" s="62" t="s">
        <v>3657</v>
      </c>
      <c r="Q1405" s="14" t="s">
        <v>3658</v>
      </c>
      <c r="R1405" s="14">
        <v>7</v>
      </c>
    </row>
    <row r="1406" spans="1:18" customFormat="1">
      <c r="B1406" s="62" t="s">
        <v>3778</v>
      </c>
      <c r="C1406" s="62" t="s">
        <v>494</v>
      </c>
      <c r="E1406" s="62"/>
      <c r="K1406" s="55">
        <v>4</v>
      </c>
      <c r="L1406">
        <v>6</v>
      </c>
    </row>
    <row r="1407" spans="1:18" customFormat="1">
      <c r="B1407" s="62" t="s">
        <v>3832</v>
      </c>
      <c r="C1407" s="62" t="s">
        <v>494</v>
      </c>
      <c r="E1407" s="62"/>
      <c r="K1407" s="55">
        <v>5</v>
      </c>
      <c r="L1407">
        <v>3</v>
      </c>
      <c r="M1407" s="14">
        <v>31</v>
      </c>
      <c r="N1407" s="62" t="s">
        <v>379</v>
      </c>
      <c r="O1407" s="62" t="s">
        <v>698</v>
      </c>
      <c r="P1407" s="62" t="s">
        <v>699</v>
      </c>
      <c r="Q1407" s="62" t="s">
        <v>383</v>
      </c>
      <c r="R1407">
        <v>8</v>
      </c>
    </row>
    <row r="1408" spans="1:18" customFormat="1">
      <c r="B1408" s="62" t="s">
        <v>3840</v>
      </c>
      <c r="C1408" s="62" t="s">
        <v>493</v>
      </c>
      <c r="D1408">
        <v>250</v>
      </c>
      <c r="E1408" s="62"/>
      <c r="K1408" s="55">
        <v>6</v>
      </c>
    </row>
    <row r="1409" spans="2:16" customFormat="1">
      <c r="B1409" s="62" t="s">
        <v>3835</v>
      </c>
      <c r="C1409" s="62" t="s">
        <v>494</v>
      </c>
      <c r="E1409" s="62"/>
      <c r="K1409" s="55">
        <v>7</v>
      </c>
      <c r="L1409">
        <v>3</v>
      </c>
      <c r="N1409" s="62" t="s">
        <v>3664</v>
      </c>
      <c r="O1409" s="62" t="s">
        <v>3666</v>
      </c>
      <c r="P1409" s="62" t="s">
        <v>3667</v>
      </c>
    </row>
    <row r="1410" spans="2:16" customFormat="1">
      <c r="B1410" s="62" t="s">
        <v>3836</v>
      </c>
      <c r="C1410" s="62" t="s">
        <v>494</v>
      </c>
      <c r="E1410" s="62"/>
      <c r="K1410" s="55">
        <v>8</v>
      </c>
      <c r="L1410">
        <v>3</v>
      </c>
      <c r="N1410" s="62" t="s">
        <v>693</v>
      </c>
      <c r="O1410" s="1" t="s">
        <v>695</v>
      </c>
      <c r="P1410" s="1" t="s">
        <v>696</v>
      </c>
    </row>
    <row r="1411" spans="2:16" customFormat="1">
      <c r="B1411" s="62" t="s">
        <v>3837</v>
      </c>
      <c r="C1411" s="62" t="s">
        <v>494</v>
      </c>
      <c r="E1411" s="62"/>
      <c r="K1411" s="55">
        <v>9</v>
      </c>
      <c r="L1411">
        <v>7</v>
      </c>
    </row>
    <row r="1412" spans="2:16" customFormat="1">
      <c r="B1412" s="62" t="s">
        <v>3838</v>
      </c>
      <c r="C1412" s="62" t="s">
        <v>494</v>
      </c>
      <c r="E1412" s="62"/>
      <c r="K1412" s="55">
        <v>10</v>
      </c>
    </row>
    <row r="1413" spans="2:16" customFormat="1">
      <c r="B1413" s="62" t="s">
        <v>3839</v>
      </c>
      <c r="C1413" s="62" t="s">
        <v>494</v>
      </c>
      <c r="E1413" s="62"/>
      <c r="K1413" s="55">
        <v>11</v>
      </c>
      <c r="M1413">
        <v>1</v>
      </c>
    </row>
    <row r="1414" spans="2:16" customFormat="1">
      <c r="B1414" s="66" t="s">
        <v>3841</v>
      </c>
      <c r="C1414" s="62" t="s">
        <v>494</v>
      </c>
      <c r="K1414" s="55">
        <v>12</v>
      </c>
      <c r="M1414">
        <v>1</v>
      </c>
    </row>
    <row r="1415" spans="2:16" customFormat="1">
      <c r="B1415" s="66" t="s">
        <v>3842</v>
      </c>
      <c r="C1415" s="62" t="s">
        <v>494</v>
      </c>
      <c r="K1415" s="55">
        <v>13</v>
      </c>
      <c r="M1415">
        <v>1</v>
      </c>
    </row>
    <row r="1416" spans="2:16" customFormat="1">
      <c r="B1416" s="66" t="s">
        <v>3843</v>
      </c>
      <c r="C1416" s="62" t="s">
        <v>702</v>
      </c>
      <c r="K1416" s="55">
        <v>14</v>
      </c>
      <c r="M1416">
        <v>1</v>
      </c>
    </row>
    <row r="1417" spans="2:16" customFormat="1">
      <c r="B1417" s="66" t="s">
        <v>3844</v>
      </c>
      <c r="C1417" s="62" t="s">
        <v>494</v>
      </c>
      <c r="K1417" s="55">
        <v>15</v>
      </c>
      <c r="L1417">
        <v>3</v>
      </c>
      <c r="M1417">
        <v>3</v>
      </c>
      <c r="N1417" s="62" t="s">
        <v>5398</v>
      </c>
      <c r="O1417" s="66" t="s">
        <v>5399</v>
      </c>
      <c r="P1417" s="66" t="s">
        <v>5400</v>
      </c>
    </row>
    <row r="1418" spans="2:16" customFormat="1">
      <c r="B1418" s="66" t="s">
        <v>3845</v>
      </c>
      <c r="C1418" s="62" t="s">
        <v>494</v>
      </c>
      <c r="K1418" s="55">
        <v>16</v>
      </c>
      <c r="L1418">
        <v>3</v>
      </c>
    </row>
    <row r="1419" spans="2:16" customFormat="1">
      <c r="B1419" s="66" t="s">
        <v>3877</v>
      </c>
      <c r="C1419" s="62" t="s">
        <v>494</v>
      </c>
      <c r="K1419" s="55">
        <v>17</v>
      </c>
      <c r="M1419">
        <v>1</v>
      </c>
    </row>
    <row r="1420" spans="2:16" customFormat="1">
      <c r="B1420" s="66" t="s">
        <v>3878</v>
      </c>
      <c r="C1420" s="62" t="s">
        <v>494</v>
      </c>
      <c r="K1420" s="55">
        <v>18</v>
      </c>
      <c r="M1420">
        <v>1</v>
      </c>
    </row>
    <row r="1421" spans="2:16" customFormat="1">
      <c r="B1421" s="66" t="s">
        <v>3967</v>
      </c>
      <c r="C1421" s="62" t="s">
        <v>494</v>
      </c>
      <c r="H1421" s="62" t="s">
        <v>3968</v>
      </c>
      <c r="K1421" s="55">
        <v>19</v>
      </c>
      <c r="L1421">
        <v>8</v>
      </c>
      <c r="M1421">
        <v>2</v>
      </c>
    </row>
    <row r="1422" spans="2:16" customFormat="1">
      <c r="B1422" s="66" t="s">
        <v>4002</v>
      </c>
      <c r="C1422" s="62" t="s">
        <v>494</v>
      </c>
      <c r="H1422" s="62"/>
      <c r="K1422" s="55">
        <v>20</v>
      </c>
      <c r="M1422">
        <v>1</v>
      </c>
    </row>
    <row r="1423" spans="2:16" customFormat="1">
      <c r="B1423" s="66" t="s">
        <v>4027</v>
      </c>
      <c r="C1423" s="64" t="s">
        <v>494</v>
      </c>
      <c r="D1423" s="7"/>
      <c r="E1423" s="7"/>
      <c r="F1423" s="7"/>
      <c r="G1423" s="7"/>
      <c r="H1423" s="64"/>
      <c r="I1423" s="7"/>
      <c r="J1423" s="7"/>
      <c r="K1423" s="55">
        <v>21</v>
      </c>
      <c r="L1423" s="7">
        <v>3</v>
      </c>
      <c r="M1423" s="7">
        <v>1</v>
      </c>
      <c r="N1423" s="62" t="s">
        <v>5401</v>
      </c>
      <c r="O1423" s="66" t="s">
        <v>5402</v>
      </c>
      <c r="P1423" s="66" t="s">
        <v>5403</v>
      </c>
    </row>
    <row r="1424" spans="2:16" customFormat="1">
      <c r="B1424" s="66" t="s">
        <v>4058</v>
      </c>
      <c r="C1424" s="64" t="s">
        <v>494</v>
      </c>
      <c r="D1424" s="7"/>
      <c r="E1424" s="7"/>
      <c r="F1424" s="7"/>
      <c r="G1424" s="7"/>
      <c r="H1424" s="64"/>
      <c r="I1424" s="7"/>
      <c r="J1424" s="7"/>
      <c r="K1424" s="55">
        <v>22</v>
      </c>
      <c r="L1424" s="7"/>
      <c r="M1424" s="7">
        <v>1</v>
      </c>
      <c r="O1424" s="66"/>
    </row>
    <row r="1425" spans="1:18" customFormat="1">
      <c r="B1425" s="67" t="s">
        <v>5114</v>
      </c>
      <c r="C1425" s="70" t="s">
        <v>493</v>
      </c>
      <c r="D1425" s="94">
        <v>250</v>
      </c>
      <c r="E1425" s="94"/>
      <c r="F1425" s="94"/>
      <c r="G1425" s="94"/>
      <c r="H1425" s="70"/>
      <c r="I1425" s="94"/>
      <c r="J1425" s="94"/>
      <c r="K1425" s="99">
        <v>23</v>
      </c>
      <c r="L1425" s="94"/>
      <c r="M1425" s="94"/>
    </row>
    <row r="1426" spans="1:18" customFormat="1">
      <c r="B1426" s="67" t="s">
        <v>5115</v>
      </c>
      <c r="C1426" s="70" t="s">
        <v>493</v>
      </c>
      <c r="D1426" s="94">
        <v>250</v>
      </c>
      <c r="E1426" s="94"/>
      <c r="F1426" s="94"/>
      <c r="G1426" s="94"/>
      <c r="H1426" s="70"/>
      <c r="I1426" s="94"/>
      <c r="J1426" s="94"/>
      <c r="K1426" s="99">
        <v>24</v>
      </c>
      <c r="L1426" s="94"/>
      <c r="M1426" s="94"/>
    </row>
    <row r="1427" spans="1:18" customFormat="1">
      <c r="B1427" s="67" t="s">
        <v>5396</v>
      </c>
      <c r="C1427" s="70" t="s">
        <v>494</v>
      </c>
      <c r="D1427" s="94"/>
      <c r="E1427" s="94"/>
      <c r="F1427" s="94"/>
      <c r="G1427" s="94"/>
      <c r="H1427" s="70"/>
      <c r="I1427" s="94"/>
      <c r="J1427" s="94"/>
      <c r="K1427" s="99">
        <v>25</v>
      </c>
      <c r="L1427" s="94">
        <v>7</v>
      </c>
      <c r="M1427" s="94"/>
    </row>
    <row r="1428" spans="1:18" customFormat="1">
      <c r="B1428" s="67" t="s">
        <v>5397</v>
      </c>
      <c r="C1428" s="70" t="s">
        <v>494</v>
      </c>
      <c r="D1428" s="94"/>
      <c r="E1428" s="94"/>
      <c r="F1428" s="94"/>
      <c r="G1428" s="94"/>
      <c r="H1428" s="70"/>
      <c r="I1428" s="94"/>
      <c r="J1428" s="94"/>
      <c r="K1428" s="99">
        <v>26</v>
      </c>
      <c r="L1428" s="94">
        <v>3</v>
      </c>
      <c r="M1428" s="94"/>
    </row>
    <row r="1429" spans="1:18" customFormat="1">
      <c r="B1429" s="67" t="s">
        <v>5416</v>
      </c>
      <c r="C1429" s="70" t="s">
        <v>494</v>
      </c>
      <c r="D1429" s="94"/>
      <c r="E1429" s="94"/>
      <c r="F1429" s="94"/>
      <c r="G1429" s="94"/>
      <c r="H1429" s="70"/>
      <c r="I1429" s="94"/>
      <c r="J1429" s="94"/>
      <c r="K1429" s="99">
        <v>27</v>
      </c>
      <c r="L1429" s="94">
        <v>3</v>
      </c>
      <c r="M1429" s="94">
        <v>1</v>
      </c>
      <c r="N1429" s="62" t="s">
        <v>5417</v>
      </c>
      <c r="O1429" s="66" t="s">
        <v>5418</v>
      </c>
      <c r="P1429" s="66" t="s">
        <v>5419</v>
      </c>
    </row>
    <row r="1430" spans="1:18" customFormat="1">
      <c r="B1430" s="67" t="s">
        <v>5420</v>
      </c>
      <c r="C1430" s="70" t="s">
        <v>494</v>
      </c>
      <c r="D1430" s="94"/>
      <c r="E1430" s="94"/>
      <c r="F1430" s="94"/>
      <c r="G1430" s="94"/>
      <c r="H1430" s="70"/>
      <c r="I1430" s="94"/>
      <c r="J1430" s="94"/>
      <c r="K1430" s="99">
        <v>28</v>
      </c>
      <c r="L1430" s="94">
        <v>3</v>
      </c>
      <c r="M1430" s="94"/>
      <c r="N1430" s="62" t="s">
        <v>4576</v>
      </c>
      <c r="O1430" s="66" t="s">
        <v>4578</v>
      </c>
      <c r="P1430" s="66" t="s">
        <v>4579</v>
      </c>
      <c r="R1430">
        <v>2250</v>
      </c>
    </row>
    <row r="1431" spans="1:18" customFormat="1">
      <c r="B1431" s="66"/>
      <c r="C1431" s="62"/>
      <c r="K1431" s="55"/>
    </row>
    <row r="1432" spans="1:18" customFormat="1">
      <c r="A1432" s="78" t="s">
        <v>3262</v>
      </c>
      <c r="B1432" s="70" t="s">
        <v>5404</v>
      </c>
      <c r="C1432" s="70" t="s">
        <v>494</v>
      </c>
      <c r="E1432" s="62" t="s">
        <v>476</v>
      </c>
      <c r="F1432">
        <v>22</v>
      </c>
      <c r="G1432">
        <v>2204</v>
      </c>
      <c r="H1432" s="62" t="s">
        <v>2034</v>
      </c>
      <c r="I1432" s="62"/>
      <c r="J1432">
        <v>2201</v>
      </c>
      <c r="K1432" s="55">
        <v>1</v>
      </c>
      <c r="L1432" s="32">
        <v>52</v>
      </c>
      <c r="N1432" s="62">
        <v>2216</v>
      </c>
      <c r="O1432" s="62" t="s">
        <v>3778</v>
      </c>
    </row>
    <row r="1433" spans="1:18" customFormat="1">
      <c r="B1433" s="70" t="s">
        <v>3266</v>
      </c>
      <c r="C1433" s="70" t="s">
        <v>494</v>
      </c>
      <c r="E1433" s="62" t="s">
        <v>476</v>
      </c>
      <c r="K1433" s="55">
        <v>2</v>
      </c>
      <c r="L1433" s="68">
        <v>9</v>
      </c>
      <c r="M1433" s="1"/>
      <c r="N1433" s="62" t="s">
        <v>1038</v>
      </c>
      <c r="O1433" s="23" t="s">
        <v>1040</v>
      </c>
      <c r="P1433" s="23" t="s">
        <v>1041</v>
      </c>
      <c r="Q1433" s="23" t="s">
        <v>1040</v>
      </c>
      <c r="R1433" s="14">
        <v>140</v>
      </c>
    </row>
    <row r="1434" spans="1:18" customFormat="1">
      <c r="B1434" s="70" t="s">
        <v>3268</v>
      </c>
      <c r="C1434" s="70" t="s">
        <v>494</v>
      </c>
      <c r="K1434" s="55">
        <v>3</v>
      </c>
      <c r="L1434" s="32">
        <v>6</v>
      </c>
    </row>
    <row r="1435" spans="1:18" customFormat="1">
      <c r="B1435" s="70" t="s">
        <v>3264</v>
      </c>
      <c r="C1435" s="70" t="s">
        <v>494</v>
      </c>
      <c r="E1435" s="62"/>
      <c r="H1435" s="62"/>
      <c r="I1435" s="62"/>
      <c r="K1435" s="55">
        <v>4</v>
      </c>
      <c r="L1435" s="9">
        <v>3</v>
      </c>
      <c r="M1435" s="1">
        <v>2</v>
      </c>
      <c r="N1435" s="10" t="s">
        <v>506</v>
      </c>
      <c r="O1435" s="10" t="s">
        <v>514</v>
      </c>
      <c r="P1435" s="1" t="s">
        <v>515</v>
      </c>
    </row>
    <row r="1436" spans="1:18" customFormat="1">
      <c r="B1436" s="70" t="s">
        <v>3265</v>
      </c>
      <c r="C1436" s="70" t="s">
        <v>494</v>
      </c>
      <c r="E1436" s="62"/>
      <c r="K1436" s="55">
        <v>5</v>
      </c>
      <c r="L1436">
        <v>8</v>
      </c>
      <c r="M1436">
        <v>2</v>
      </c>
    </row>
    <row r="1437" spans="1:18" customFormat="1">
      <c r="B1437" s="70" t="s">
        <v>3267</v>
      </c>
      <c r="C1437" s="70" t="s">
        <v>494</v>
      </c>
      <c r="E1437" s="62"/>
      <c r="G1437" s="62" t="s">
        <v>1813</v>
      </c>
      <c r="K1437" s="55">
        <v>6</v>
      </c>
      <c r="M1437">
        <v>1</v>
      </c>
    </row>
    <row r="1438" spans="1:18" customFormat="1">
      <c r="B1438" s="70" t="s">
        <v>3286</v>
      </c>
      <c r="C1438" s="70" t="s">
        <v>494</v>
      </c>
      <c r="E1438" s="62"/>
      <c r="G1438" s="62" t="s">
        <v>3998</v>
      </c>
      <c r="H1438" s="62"/>
      <c r="K1438" s="55">
        <v>7</v>
      </c>
      <c r="L1438" s="9">
        <v>3</v>
      </c>
      <c r="M1438" s="1">
        <v>2</v>
      </c>
      <c r="N1438" s="64" t="s">
        <v>1814</v>
      </c>
      <c r="O1438" s="66" t="s">
        <v>1815</v>
      </c>
      <c r="P1438" s="66" t="s">
        <v>1816</v>
      </c>
    </row>
    <row r="1439" spans="1:18" customFormat="1">
      <c r="B1439" s="70" t="s">
        <v>3269</v>
      </c>
      <c r="C1439" s="70" t="s">
        <v>494</v>
      </c>
      <c r="K1439" s="55">
        <v>8</v>
      </c>
      <c r="L1439" s="9">
        <v>3</v>
      </c>
      <c r="M1439" s="62">
        <v>1</v>
      </c>
      <c r="N1439" s="62" t="s">
        <v>1002</v>
      </c>
      <c r="O1439" s="23" t="s">
        <v>1004</v>
      </c>
      <c r="P1439" s="23" t="s">
        <v>1023</v>
      </c>
      <c r="Q1439" s="62"/>
    </row>
    <row r="1440" spans="1:18" customFormat="1">
      <c r="B1440" s="70" t="s">
        <v>3342</v>
      </c>
      <c r="C1440" s="70" t="s">
        <v>494</v>
      </c>
      <c r="G1440" s="62" t="s">
        <v>3343</v>
      </c>
      <c r="K1440" s="55">
        <v>9</v>
      </c>
      <c r="L1440" s="32">
        <v>3</v>
      </c>
      <c r="M1440">
        <v>1</v>
      </c>
      <c r="N1440" s="62" t="s">
        <v>4694</v>
      </c>
      <c r="O1440" s="62" t="s">
        <v>4695</v>
      </c>
      <c r="P1440" t="s">
        <v>4696</v>
      </c>
    </row>
    <row r="1441" spans="1:18" customFormat="1">
      <c r="A1441" s="64"/>
      <c r="B1441" s="70" t="s">
        <v>3270</v>
      </c>
      <c r="C1441" s="70" t="s">
        <v>494</v>
      </c>
      <c r="K1441" s="55">
        <v>10</v>
      </c>
      <c r="L1441" s="32">
        <v>3</v>
      </c>
      <c r="M1441">
        <v>31</v>
      </c>
      <c r="N1441" s="91" t="s">
        <v>3311</v>
      </c>
      <c r="O1441" s="62" t="s">
        <v>3316</v>
      </c>
      <c r="P1441" s="62" t="s">
        <v>3315</v>
      </c>
      <c r="Q1441" t="s">
        <v>3313</v>
      </c>
      <c r="R1441">
        <v>2</v>
      </c>
    </row>
    <row r="1442" spans="1:18" customFormat="1">
      <c r="B1442" s="62"/>
      <c r="C1442" s="62"/>
      <c r="G1442" s="62"/>
      <c r="K1442" s="55"/>
      <c r="L1442" s="32"/>
      <c r="N1442" s="62"/>
    </row>
    <row r="1443" spans="1:18" customFormat="1">
      <c r="B1443" s="66"/>
      <c r="C1443" s="62"/>
      <c r="K1443" s="62"/>
    </row>
    <row r="1444" spans="1:18" customFormat="1">
      <c r="B1444" s="66"/>
      <c r="C1444" s="62"/>
      <c r="K1444" s="55"/>
    </row>
    <row r="1445" spans="1:18">
      <c r="B1445" s="49"/>
      <c r="C1445" s="44"/>
      <c r="F1445" s="14"/>
      <c r="G1445" s="14"/>
      <c r="H1445" s="14"/>
      <c r="I1445" s="11"/>
      <c r="J1445" s="14"/>
      <c r="K1445" s="16"/>
      <c r="L1445" s="15"/>
      <c r="M1445" s="14"/>
      <c r="N1445" s="44"/>
      <c r="O1445" s="49"/>
      <c r="P1445" s="14"/>
      <c r="Q1445" s="14"/>
      <c r="R1445" s="14"/>
    </row>
    <row r="1446" spans="1:18" customFormat="1">
      <c r="B1446" s="62"/>
      <c r="C1446" s="62"/>
      <c r="K1446" s="76"/>
    </row>
    <row r="1447" spans="1:18" customFormat="1"/>
    <row r="1448" spans="1:18" customFormat="1">
      <c r="A1448" s="70" t="s">
        <v>4097</v>
      </c>
      <c r="B1448" s="70" t="s">
        <v>5334</v>
      </c>
      <c r="C1448" s="70" t="s">
        <v>494</v>
      </c>
      <c r="E1448" s="62"/>
      <c r="F1448">
        <v>24</v>
      </c>
      <c r="G1448">
        <v>2417</v>
      </c>
      <c r="H1448" s="62" t="s">
        <v>5332</v>
      </c>
      <c r="I1448" s="62" t="s">
        <v>5333</v>
      </c>
      <c r="J1448">
        <v>11</v>
      </c>
      <c r="K1448">
        <v>1</v>
      </c>
      <c r="L1448">
        <v>3</v>
      </c>
      <c r="M1448">
        <v>3</v>
      </c>
      <c r="N1448" s="10" t="s">
        <v>506</v>
      </c>
      <c r="O1448" s="10" t="s">
        <v>514</v>
      </c>
      <c r="P1448" s="1" t="s">
        <v>515</v>
      </c>
    </row>
    <row r="1449" spans="1:18" customFormat="1">
      <c r="A1449" s="94"/>
      <c r="B1449" s="70" t="s">
        <v>5335</v>
      </c>
      <c r="C1449" s="70" t="s">
        <v>494</v>
      </c>
      <c r="E1449" s="62"/>
      <c r="K1449">
        <v>2</v>
      </c>
      <c r="L1449">
        <v>3</v>
      </c>
      <c r="N1449" s="62" t="s">
        <v>3664</v>
      </c>
      <c r="O1449" s="62" t="s">
        <v>3666</v>
      </c>
      <c r="P1449" s="62" t="s">
        <v>3667</v>
      </c>
      <c r="Q1449" s="62"/>
    </row>
    <row r="1450" spans="1:18" customFormat="1">
      <c r="A1450" s="94"/>
      <c r="B1450" s="70" t="s">
        <v>5336</v>
      </c>
      <c r="C1450" s="70" t="s">
        <v>494</v>
      </c>
      <c r="E1450" s="62"/>
      <c r="K1450">
        <v>3</v>
      </c>
      <c r="L1450">
        <v>3</v>
      </c>
      <c r="M1450">
        <v>31</v>
      </c>
      <c r="N1450" s="62" t="s">
        <v>3655</v>
      </c>
      <c r="O1450" s="62" t="s">
        <v>3648</v>
      </c>
      <c r="P1450" s="62" t="s">
        <v>3657</v>
      </c>
      <c r="Q1450" s="47" t="s">
        <v>3658</v>
      </c>
      <c r="R1450">
        <v>2</v>
      </c>
    </row>
    <row r="1451" spans="1:18" customFormat="1">
      <c r="A1451" s="94"/>
      <c r="B1451" s="70" t="s">
        <v>5337</v>
      </c>
      <c r="C1451" s="70" t="s">
        <v>494</v>
      </c>
      <c r="E1451" s="62"/>
      <c r="H1451" s="10"/>
      <c r="K1451">
        <v>4</v>
      </c>
      <c r="L1451">
        <v>3</v>
      </c>
      <c r="M1451" s="14"/>
      <c r="N1451" s="62" t="s">
        <v>693</v>
      </c>
      <c r="O1451" s="1" t="s">
        <v>695</v>
      </c>
      <c r="P1451" s="1" t="s">
        <v>696</v>
      </c>
      <c r="Q1451" s="62"/>
    </row>
    <row r="1452" spans="1:18" customFormat="1">
      <c r="A1452" s="94"/>
      <c r="B1452" s="70" t="s">
        <v>5338</v>
      </c>
      <c r="C1452" s="70" t="s">
        <v>494</v>
      </c>
      <c r="H1452" s="64"/>
      <c r="K1452">
        <v>5</v>
      </c>
      <c r="L1452">
        <v>3</v>
      </c>
      <c r="M1452" s="14">
        <v>31</v>
      </c>
      <c r="N1452" s="62" t="s">
        <v>379</v>
      </c>
      <c r="O1452" s="62" t="s">
        <v>698</v>
      </c>
      <c r="P1452" s="62" t="s">
        <v>699</v>
      </c>
      <c r="Q1452" s="62" t="s">
        <v>383</v>
      </c>
      <c r="R1452">
        <v>4</v>
      </c>
    </row>
    <row r="1453" spans="1:18" customFormat="1">
      <c r="H1453" s="10"/>
    </row>
    <row r="1454" spans="1:18" customFormat="1">
      <c r="A1454" s="62"/>
      <c r="B1454" s="62"/>
      <c r="C1454" s="62"/>
    </row>
    <row r="1455" spans="1:18" customFormat="1">
      <c r="A1455" s="62"/>
      <c r="B1455" s="62"/>
      <c r="C1455" s="62"/>
    </row>
    <row r="1456" spans="1:18" customFormat="1">
      <c r="A1456" s="62" t="s">
        <v>5283</v>
      </c>
      <c r="B1456" s="62" t="s">
        <v>4970</v>
      </c>
      <c r="C1456" s="62" t="s">
        <v>494</v>
      </c>
      <c r="E1456" s="62" t="s">
        <v>476</v>
      </c>
      <c r="F1456">
        <v>24</v>
      </c>
      <c r="G1456">
        <v>2407</v>
      </c>
      <c r="H1456" s="62" t="s">
        <v>5282</v>
      </c>
      <c r="I1456" s="62" t="s">
        <v>5003</v>
      </c>
      <c r="J1456">
        <v>2202</v>
      </c>
      <c r="K1456">
        <v>1</v>
      </c>
      <c r="L1456">
        <v>6</v>
      </c>
    </row>
    <row r="1457" spans="1:18" customFormat="1">
      <c r="A1457" s="62"/>
      <c r="B1457" s="62" t="s">
        <v>5284</v>
      </c>
      <c r="C1457" s="62" t="s">
        <v>494</v>
      </c>
      <c r="E1457" s="62" t="s">
        <v>476</v>
      </c>
      <c r="K1457">
        <v>2</v>
      </c>
    </row>
    <row r="1458" spans="1:18" customFormat="1">
      <c r="A1458" s="62"/>
      <c r="B1458" s="62" t="s">
        <v>4975</v>
      </c>
      <c r="C1458" s="62" t="s">
        <v>494</v>
      </c>
      <c r="K1458">
        <v>3</v>
      </c>
      <c r="L1458">
        <v>6</v>
      </c>
    </row>
    <row r="1459" spans="1:18" customFormat="1">
      <c r="A1459" s="62"/>
      <c r="B1459" s="62" t="s">
        <v>4983</v>
      </c>
      <c r="C1459" s="62" t="s">
        <v>494</v>
      </c>
      <c r="K1459">
        <v>4</v>
      </c>
      <c r="L1459">
        <v>3</v>
      </c>
      <c r="M1459">
        <v>1</v>
      </c>
      <c r="N1459" s="62" t="s">
        <v>5278</v>
      </c>
      <c r="O1459" s="62" t="s">
        <v>5279</v>
      </c>
      <c r="P1459" s="62" t="s">
        <v>5280</v>
      </c>
    </row>
    <row r="1460" spans="1:18" customFormat="1">
      <c r="A1460" s="62"/>
      <c r="B1460" s="62" t="s">
        <v>4972</v>
      </c>
      <c r="C1460" s="62" t="s">
        <v>494</v>
      </c>
      <c r="K1460">
        <v>5</v>
      </c>
      <c r="L1460">
        <v>8</v>
      </c>
      <c r="N1460" s="62"/>
    </row>
    <row r="1461" spans="1:18" customFormat="1">
      <c r="A1461" s="62"/>
      <c r="B1461" s="62" t="s">
        <v>4971</v>
      </c>
      <c r="C1461" s="62" t="s">
        <v>494</v>
      </c>
      <c r="K1461">
        <v>6</v>
      </c>
      <c r="L1461">
        <v>3</v>
      </c>
      <c r="M1461">
        <v>31</v>
      </c>
      <c r="N1461" s="10" t="s">
        <v>506</v>
      </c>
      <c r="O1461" s="10" t="s">
        <v>514</v>
      </c>
      <c r="P1461" s="1" t="s">
        <v>515</v>
      </c>
      <c r="R1461">
        <v>5</v>
      </c>
    </row>
    <row r="1462" spans="1:18" customFormat="1">
      <c r="A1462" s="62"/>
      <c r="B1462" s="62" t="s">
        <v>4973</v>
      </c>
      <c r="C1462" s="62" t="s">
        <v>494</v>
      </c>
      <c r="K1462">
        <v>7</v>
      </c>
      <c r="L1462">
        <v>3</v>
      </c>
      <c r="M1462">
        <v>31</v>
      </c>
      <c r="N1462" s="1" t="s">
        <v>1038</v>
      </c>
      <c r="O1462" s="23" t="s">
        <v>1040</v>
      </c>
      <c r="P1462" s="23" t="s">
        <v>1041</v>
      </c>
      <c r="Q1462" s="23" t="s">
        <v>1040</v>
      </c>
      <c r="R1462">
        <v>6</v>
      </c>
    </row>
    <row r="1463" spans="1:18" customFormat="1">
      <c r="A1463" s="62"/>
      <c r="B1463" s="62" t="s">
        <v>4974</v>
      </c>
      <c r="C1463" s="62" t="s">
        <v>494</v>
      </c>
      <c r="K1463">
        <v>8</v>
      </c>
      <c r="L1463">
        <v>3</v>
      </c>
      <c r="M1463">
        <v>31</v>
      </c>
      <c r="N1463" s="62" t="s">
        <v>961</v>
      </c>
      <c r="O1463" s="23" t="s">
        <v>942</v>
      </c>
      <c r="P1463" s="23" t="s">
        <v>945</v>
      </c>
      <c r="Q1463" s="62" t="s">
        <v>942</v>
      </c>
      <c r="R1463">
        <v>7</v>
      </c>
    </row>
    <row r="1464" spans="1:18" customFormat="1">
      <c r="A1464" s="62"/>
      <c r="B1464" s="62" t="s">
        <v>5285</v>
      </c>
      <c r="C1464" s="62" t="s">
        <v>494</v>
      </c>
      <c r="K1464">
        <v>9</v>
      </c>
      <c r="M1464">
        <v>1</v>
      </c>
    </row>
    <row r="1465" spans="1:18" customFormat="1">
      <c r="A1465" s="62"/>
      <c r="B1465" s="62" t="s">
        <v>5286</v>
      </c>
      <c r="C1465" s="62" t="s">
        <v>494</v>
      </c>
      <c r="K1465">
        <v>10</v>
      </c>
      <c r="M1465">
        <v>1</v>
      </c>
    </row>
    <row r="1466" spans="1:18" customFormat="1">
      <c r="A1466" s="62"/>
      <c r="B1466" s="62" t="s">
        <v>5287</v>
      </c>
      <c r="C1466" s="62" t="s">
        <v>494</v>
      </c>
      <c r="K1466">
        <v>11</v>
      </c>
      <c r="M1466">
        <v>1</v>
      </c>
    </row>
    <row r="1467" spans="1:18" customFormat="1">
      <c r="A1467" s="62"/>
      <c r="B1467" s="62" t="s">
        <v>5288</v>
      </c>
      <c r="C1467" s="62" t="s">
        <v>494</v>
      </c>
      <c r="K1467">
        <v>12</v>
      </c>
      <c r="M1467">
        <v>1</v>
      </c>
    </row>
    <row r="1468" spans="1:18" customFormat="1">
      <c r="A1468" s="62"/>
      <c r="B1468" s="62" t="s">
        <v>4977</v>
      </c>
      <c r="C1468" s="62" t="s">
        <v>494</v>
      </c>
      <c r="K1468">
        <v>13</v>
      </c>
      <c r="L1468">
        <v>8</v>
      </c>
      <c r="M1468">
        <v>1</v>
      </c>
    </row>
    <row r="1469" spans="1:18" customFormat="1">
      <c r="A1469" s="62"/>
      <c r="B1469" s="62" t="s">
        <v>5289</v>
      </c>
      <c r="C1469" s="62" t="s">
        <v>494</v>
      </c>
      <c r="K1469">
        <v>14</v>
      </c>
      <c r="L1469">
        <v>3</v>
      </c>
      <c r="M1469">
        <v>1</v>
      </c>
      <c r="N1469" s="62" t="s">
        <v>5294</v>
      </c>
      <c r="O1469" s="62" t="s">
        <v>5275</v>
      </c>
      <c r="P1469" s="62" t="s">
        <v>5276</v>
      </c>
    </row>
    <row r="1470" spans="1:18" customFormat="1">
      <c r="A1470" s="62"/>
      <c r="B1470" s="62" t="s">
        <v>5290</v>
      </c>
      <c r="C1470" s="62" t="s">
        <v>494</v>
      </c>
      <c r="K1470">
        <v>15</v>
      </c>
      <c r="L1470">
        <v>7</v>
      </c>
      <c r="M1470">
        <v>1</v>
      </c>
      <c r="N1470" s="62"/>
      <c r="O1470" s="62"/>
    </row>
    <row r="1471" spans="1:18" customFormat="1">
      <c r="A1471" s="62"/>
      <c r="B1471" s="62" t="s">
        <v>5291</v>
      </c>
      <c r="C1471" s="62" t="s">
        <v>494</v>
      </c>
      <c r="K1471">
        <v>16</v>
      </c>
      <c r="M1471">
        <v>1</v>
      </c>
    </row>
    <row r="1472" spans="1:18" customFormat="1">
      <c r="A1472" s="62"/>
      <c r="B1472" s="62" t="s">
        <v>5292</v>
      </c>
      <c r="C1472" s="62" t="s">
        <v>494</v>
      </c>
      <c r="K1472">
        <v>17</v>
      </c>
      <c r="M1472">
        <v>1</v>
      </c>
    </row>
    <row r="1473" spans="1:18" customFormat="1">
      <c r="A1473" s="62"/>
      <c r="B1473" s="62" t="s">
        <v>5293</v>
      </c>
      <c r="C1473" s="62" t="s">
        <v>493</v>
      </c>
      <c r="D1473">
        <v>250</v>
      </c>
      <c r="K1473">
        <v>18</v>
      </c>
    </row>
    <row r="1474" spans="1:18" customFormat="1">
      <c r="A1474" s="62"/>
      <c r="B1474" s="62" t="s">
        <v>5296</v>
      </c>
      <c r="C1474" s="62" t="s">
        <v>494</v>
      </c>
      <c r="K1474">
        <v>19</v>
      </c>
      <c r="L1474">
        <v>7</v>
      </c>
      <c r="M1474">
        <v>3</v>
      </c>
    </row>
    <row r="1475" spans="1:18" customFormat="1">
      <c r="A1475" s="62"/>
      <c r="B1475" s="62" t="s">
        <v>5297</v>
      </c>
      <c r="C1475" s="62" t="s">
        <v>494</v>
      </c>
      <c r="K1475">
        <v>20</v>
      </c>
      <c r="L1475">
        <v>3</v>
      </c>
      <c r="M1475">
        <v>3</v>
      </c>
      <c r="N1475" s="62" t="s">
        <v>5255</v>
      </c>
      <c r="O1475" s="62" t="s">
        <v>5257</v>
      </c>
      <c r="P1475" s="62" t="s">
        <v>5259</v>
      </c>
      <c r="R1475">
        <v>2411</v>
      </c>
    </row>
    <row r="1476" spans="1:18" customFormat="1">
      <c r="A1476" s="62"/>
      <c r="B1476" s="62" t="s">
        <v>5298</v>
      </c>
      <c r="C1476" s="62" t="s">
        <v>520</v>
      </c>
      <c r="K1476">
        <v>21</v>
      </c>
      <c r="N1476" s="62"/>
      <c r="O1476" s="62"/>
      <c r="P1476" s="62"/>
    </row>
    <row r="1477" spans="1:18" customFormat="1">
      <c r="A1477" s="62"/>
      <c r="B1477" s="62" t="s">
        <v>5299</v>
      </c>
      <c r="C1477" s="62" t="s">
        <v>494</v>
      </c>
      <c r="K1477">
        <v>22</v>
      </c>
      <c r="L1477">
        <v>91</v>
      </c>
      <c r="N1477" s="62"/>
      <c r="O1477" s="62"/>
      <c r="P1477" s="62"/>
    </row>
    <row r="1478" spans="1:18" customFormat="1">
      <c r="A1478" s="62"/>
      <c r="B1478" s="62" t="s">
        <v>5300</v>
      </c>
      <c r="C1478" s="62" t="s">
        <v>494</v>
      </c>
      <c r="K1478">
        <v>23</v>
      </c>
      <c r="L1478">
        <v>92</v>
      </c>
      <c r="N1478" s="62"/>
      <c r="O1478" s="62"/>
      <c r="P1478" s="62"/>
    </row>
    <row r="1479" spans="1:18" customFormat="1">
      <c r="A1479" s="62"/>
      <c r="B1479" s="62" t="s">
        <v>5301</v>
      </c>
      <c r="C1479" s="62" t="s">
        <v>520</v>
      </c>
      <c r="K1479">
        <v>24</v>
      </c>
      <c r="N1479" s="62"/>
      <c r="O1479" s="62"/>
      <c r="P1479" s="62"/>
    </row>
    <row r="1480" spans="1:18" customFormat="1">
      <c r="A1480" s="62"/>
      <c r="B1480" s="62"/>
      <c r="C1480" s="62"/>
    </row>
    <row r="1481" spans="1:18" customFormat="1">
      <c r="A1481" s="62"/>
      <c r="B1481" s="62"/>
      <c r="C1481" s="62"/>
    </row>
    <row r="1482" spans="1:18" customFormat="1"/>
    <row r="1483" spans="1:18" s="62" customFormat="1">
      <c r="B1483" s="66"/>
      <c r="I1483" s="22"/>
      <c r="K1483"/>
      <c r="L1483" s="68"/>
    </row>
    <row r="1484" spans="1:18" customFormat="1">
      <c r="B1484" s="62"/>
      <c r="C1484" s="62"/>
      <c r="K1484" s="57"/>
      <c r="L1484" s="55"/>
    </row>
    <row r="1485" spans="1:18" customFormat="1"/>
    <row r="1486" spans="1:18" customFormat="1">
      <c r="A1486" s="62" t="s">
        <v>3210</v>
      </c>
      <c r="B1486" s="62" t="s">
        <v>3211</v>
      </c>
      <c r="C1486" s="62" t="s">
        <v>494</v>
      </c>
      <c r="E1486" s="62" t="s">
        <v>476</v>
      </c>
      <c r="F1486">
        <v>22</v>
      </c>
      <c r="G1486">
        <v>2202</v>
      </c>
      <c r="H1486" s="62" t="s">
        <v>3234</v>
      </c>
      <c r="I1486" s="62" t="s">
        <v>3235</v>
      </c>
      <c r="J1486">
        <v>2201</v>
      </c>
      <c r="K1486" s="55">
        <v>1</v>
      </c>
      <c r="L1486">
        <v>8</v>
      </c>
    </row>
    <row r="1487" spans="1:18" customFormat="1">
      <c r="B1487" s="62" t="s">
        <v>3212</v>
      </c>
      <c r="C1487" s="62" t="s">
        <v>494</v>
      </c>
      <c r="E1487" s="62" t="s">
        <v>476</v>
      </c>
      <c r="K1487" s="55">
        <v>2</v>
      </c>
      <c r="L1487">
        <v>3</v>
      </c>
      <c r="M1487" s="14">
        <v>31</v>
      </c>
      <c r="N1487" s="62" t="s">
        <v>3655</v>
      </c>
      <c r="O1487" s="62" t="s">
        <v>3648</v>
      </c>
      <c r="P1487" s="62" t="s">
        <v>3657</v>
      </c>
      <c r="Q1487" s="47" t="s">
        <v>3658</v>
      </c>
      <c r="R1487" s="14">
        <v>4</v>
      </c>
    </row>
    <row r="1488" spans="1:18" customFormat="1">
      <c r="B1488" s="62" t="s">
        <v>3213</v>
      </c>
      <c r="C1488" s="62" t="s">
        <v>494</v>
      </c>
      <c r="H1488" s="62"/>
      <c r="K1488" s="55">
        <v>3</v>
      </c>
      <c r="L1488">
        <v>6</v>
      </c>
    </row>
    <row r="1489" spans="2:18" customFormat="1">
      <c r="B1489" s="62" t="s">
        <v>3230</v>
      </c>
      <c r="C1489" s="62" t="s">
        <v>494</v>
      </c>
      <c r="K1489" s="55">
        <v>4</v>
      </c>
      <c r="L1489">
        <v>3</v>
      </c>
      <c r="M1489">
        <v>3</v>
      </c>
      <c r="N1489" s="62" t="s">
        <v>3664</v>
      </c>
      <c r="O1489" s="62" t="s">
        <v>3666</v>
      </c>
      <c r="P1489" s="62" t="s">
        <v>3667</v>
      </c>
    </row>
    <row r="1490" spans="2:18">
      <c r="B1490" s="66" t="s">
        <v>3231</v>
      </c>
      <c r="C1490" s="64" t="s">
        <v>494</v>
      </c>
      <c r="F1490" s="14"/>
      <c r="G1490" s="14"/>
      <c r="H1490" s="14"/>
      <c r="I1490" s="11"/>
      <c r="J1490" s="14"/>
      <c r="K1490" s="55">
        <v>5</v>
      </c>
      <c r="L1490" s="15">
        <v>3</v>
      </c>
      <c r="M1490" s="14"/>
      <c r="N1490" s="62" t="s">
        <v>693</v>
      </c>
      <c r="O1490" s="1" t="s">
        <v>695</v>
      </c>
      <c r="P1490" s="1" t="s">
        <v>696</v>
      </c>
      <c r="Q1490" s="62"/>
      <c r="R1490" s="14"/>
    </row>
    <row r="1491" spans="2:18">
      <c r="B1491" s="66" t="s">
        <v>3232</v>
      </c>
      <c r="C1491" s="64" t="s">
        <v>494</v>
      </c>
      <c r="F1491" s="14"/>
      <c r="G1491" s="14"/>
      <c r="H1491" s="14"/>
      <c r="I1491" s="11"/>
      <c r="J1491" s="14"/>
      <c r="K1491" s="55">
        <v>6</v>
      </c>
      <c r="L1491" s="15">
        <v>3</v>
      </c>
      <c r="M1491" s="14">
        <v>31</v>
      </c>
      <c r="N1491" s="62" t="s">
        <v>379</v>
      </c>
      <c r="O1491" s="62" t="s">
        <v>698</v>
      </c>
      <c r="P1491" s="62" t="s">
        <v>699</v>
      </c>
      <c r="Q1491" s="62" t="s">
        <v>383</v>
      </c>
      <c r="R1491" s="14">
        <v>5</v>
      </c>
    </row>
    <row r="1492" spans="2:18" customFormat="1">
      <c r="B1492" s="62" t="s">
        <v>3214</v>
      </c>
      <c r="C1492" s="64" t="s">
        <v>494</v>
      </c>
      <c r="K1492" s="55">
        <v>7</v>
      </c>
      <c r="L1492">
        <v>7</v>
      </c>
    </row>
    <row r="1493" spans="2:18" customFormat="1">
      <c r="B1493" s="62" t="s">
        <v>3221</v>
      </c>
      <c r="C1493" s="64" t="s">
        <v>494</v>
      </c>
      <c r="H1493" s="62" t="s">
        <v>3222</v>
      </c>
      <c r="K1493" s="55">
        <v>8</v>
      </c>
      <c r="L1493" s="9">
        <v>3</v>
      </c>
      <c r="M1493" s="1"/>
      <c r="N1493" s="10" t="s">
        <v>506</v>
      </c>
      <c r="O1493" s="10" t="s">
        <v>514</v>
      </c>
      <c r="P1493" s="1" t="s">
        <v>515</v>
      </c>
    </row>
    <row r="1494" spans="2:18" customFormat="1">
      <c r="B1494" s="62" t="s">
        <v>3355</v>
      </c>
      <c r="C1494" s="64" t="s">
        <v>494</v>
      </c>
      <c r="H1494" s="62"/>
      <c r="K1494" s="55">
        <v>9</v>
      </c>
      <c r="L1494" s="32">
        <v>7</v>
      </c>
      <c r="M1494" s="1">
        <v>1</v>
      </c>
      <c r="N1494" s="10"/>
      <c r="O1494" s="10"/>
      <c r="P1494" s="1"/>
    </row>
    <row r="1495" spans="2:18" customFormat="1">
      <c r="B1495" s="62" t="s">
        <v>3215</v>
      </c>
      <c r="C1495" s="64" t="s">
        <v>494</v>
      </c>
      <c r="K1495" s="55">
        <v>10</v>
      </c>
      <c r="L1495" s="32">
        <v>3</v>
      </c>
      <c r="M1495">
        <v>31</v>
      </c>
      <c r="N1495" s="62" t="s">
        <v>3649</v>
      </c>
      <c r="O1495" s="64" t="s">
        <v>3652</v>
      </c>
      <c r="P1495" s="66" t="s">
        <v>3651</v>
      </c>
      <c r="Q1495" s="66" t="s">
        <v>3650</v>
      </c>
      <c r="R1495">
        <v>2</v>
      </c>
    </row>
    <row r="1496" spans="2:18" customFormat="1">
      <c r="B1496" s="62" t="s">
        <v>3225</v>
      </c>
      <c r="C1496" s="64" t="s">
        <v>494</v>
      </c>
      <c r="K1496" s="55">
        <v>11</v>
      </c>
    </row>
    <row r="1497" spans="2:18" customFormat="1">
      <c r="B1497" s="62" t="s">
        <v>3224</v>
      </c>
      <c r="C1497" s="64" t="s">
        <v>494</v>
      </c>
      <c r="K1497" s="55">
        <v>12</v>
      </c>
    </row>
    <row r="1498" spans="2:18">
      <c r="B1498" s="67" t="s">
        <v>4534</v>
      </c>
      <c r="C1498" s="70" t="s">
        <v>494</v>
      </c>
      <c r="K1498" s="55">
        <v>13</v>
      </c>
      <c r="L1498" s="32"/>
    </row>
    <row r="1499" spans="2:18">
      <c r="B1499" s="67" t="s">
        <v>4535</v>
      </c>
      <c r="C1499" s="70" t="s">
        <v>494</v>
      </c>
      <c r="K1499" s="55">
        <v>14</v>
      </c>
      <c r="L1499" s="32"/>
    </row>
    <row r="1500" spans="2:18">
      <c r="B1500" s="67" t="s">
        <v>4536</v>
      </c>
      <c r="C1500" s="70" t="s">
        <v>494</v>
      </c>
      <c r="K1500" s="55">
        <v>15</v>
      </c>
      <c r="L1500" s="32"/>
    </row>
    <row r="1501" spans="2:18">
      <c r="B1501" s="67" t="s">
        <v>4537</v>
      </c>
      <c r="C1501" s="70" t="s">
        <v>494</v>
      </c>
      <c r="K1501" s="55">
        <v>16</v>
      </c>
      <c r="L1501" s="32"/>
    </row>
    <row r="1502" spans="2:18" customFormat="1">
      <c r="B1502" s="62" t="s">
        <v>3223</v>
      </c>
      <c r="C1502" s="64" t="s">
        <v>494</v>
      </c>
      <c r="K1502" s="55">
        <v>17</v>
      </c>
    </row>
    <row r="1503" spans="2:18" customFormat="1">
      <c r="B1503" s="62" t="s">
        <v>3217</v>
      </c>
      <c r="C1503" s="64" t="s">
        <v>494</v>
      </c>
      <c r="K1503" s="55">
        <v>18</v>
      </c>
      <c r="L1503">
        <v>3</v>
      </c>
      <c r="N1503" s="62" t="s">
        <v>3218</v>
      </c>
      <c r="O1503" s="62" t="s">
        <v>3219</v>
      </c>
      <c r="P1503" s="62" t="s">
        <v>3220</v>
      </c>
      <c r="Q1503" s="66"/>
    </row>
    <row r="1504" spans="2:18" customFormat="1">
      <c r="B1504" s="62" t="s">
        <v>3226</v>
      </c>
      <c r="C1504" s="64" t="s">
        <v>494</v>
      </c>
      <c r="K1504" s="55">
        <v>19</v>
      </c>
      <c r="M1504">
        <v>1</v>
      </c>
    </row>
    <row r="1505" spans="2:16" customFormat="1">
      <c r="B1505" s="62" t="s">
        <v>3227</v>
      </c>
      <c r="C1505" s="64" t="s">
        <v>494</v>
      </c>
      <c r="K1505" s="55">
        <v>20</v>
      </c>
      <c r="M1505">
        <v>1</v>
      </c>
    </row>
    <row r="1506" spans="2:16">
      <c r="B1506" s="67" t="s">
        <v>4538</v>
      </c>
      <c r="C1506" s="70" t="s">
        <v>494</v>
      </c>
      <c r="K1506" s="55">
        <v>21</v>
      </c>
      <c r="L1506" s="32"/>
      <c r="M1506" s="1">
        <v>1</v>
      </c>
    </row>
    <row r="1507" spans="2:16">
      <c r="B1507" s="67" t="s">
        <v>4539</v>
      </c>
      <c r="C1507" s="70" t="s">
        <v>494</v>
      </c>
      <c r="K1507" s="55">
        <v>22</v>
      </c>
      <c r="L1507" s="32"/>
      <c r="M1507" s="1">
        <v>1</v>
      </c>
    </row>
    <row r="1508" spans="2:16">
      <c r="B1508" s="67" t="s">
        <v>4540</v>
      </c>
      <c r="C1508" s="70" t="s">
        <v>494</v>
      </c>
      <c r="K1508" s="55">
        <v>23</v>
      </c>
      <c r="L1508" s="32"/>
      <c r="M1508" s="1">
        <v>1</v>
      </c>
    </row>
    <row r="1509" spans="2:16">
      <c r="B1509" s="67" t="s">
        <v>4541</v>
      </c>
      <c r="C1509" s="70" t="s">
        <v>494</v>
      </c>
      <c r="K1509" s="55">
        <v>24</v>
      </c>
      <c r="L1509" s="32"/>
      <c r="M1509" s="1">
        <v>1</v>
      </c>
    </row>
    <row r="1510" spans="2:16" customFormat="1">
      <c r="B1510" s="62" t="s">
        <v>3228</v>
      </c>
      <c r="C1510" s="64" t="s">
        <v>494</v>
      </c>
      <c r="K1510" s="55">
        <v>25</v>
      </c>
      <c r="M1510">
        <v>1</v>
      </c>
    </row>
    <row r="1511" spans="2:16" customFormat="1">
      <c r="B1511" s="62" t="s">
        <v>3216</v>
      </c>
      <c r="C1511" s="64" t="s">
        <v>494</v>
      </c>
      <c r="K1511" s="55">
        <v>26</v>
      </c>
      <c r="L1511">
        <v>7</v>
      </c>
      <c r="M1511">
        <v>1</v>
      </c>
    </row>
    <row r="1512" spans="2:16" customFormat="1">
      <c r="B1512" s="62" t="s">
        <v>3229</v>
      </c>
      <c r="C1512" s="64" t="s">
        <v>494</v>
      </c>
      <c r="K1512" s="55">
        <v>27</v>
      </c>
      <c r="M1512">
        <v>1</v>
      </c>
    </row>
    <row r="1513" spans="2:16" customFormat="1">
      <c r="B1513" s="70" t="s">
        <v>4321</v>
      </c>
      <c r="C1513" s="70" t="s">
        <v>702</v>
      </c>
      <c r="K1513" s="55">
        <v>28</v>
      </c>
      <c r="M1513">
        <v>1</v>
      </c>
    </row>
    <row r="1514" spans="2:16" customFormat="1">
      <c r="B1514" s="70" t="s">
        <v>4393</v>
      </c>
      <c r="C1514" s="70" t="s">
        <v>494</v>
      </c>
      <c r="K1514" s="55">
        <v>29</v>
      </c>
      <c r="L1514">
        <v>8</v>
      </c>
    </row>
    <row r="1515" spans="2:16" customFormat="1">
      <c r="B1515" s="70" t="s">
        <v>4394</v>
      </c>
      <c r="C1515" s="70" t="s">
        <v>494</v>
      </c>
      <c r="K1515" s="55">
        <v>30</v>
      </c>
      <c r="L1515">
        <v>7</v>
      </c>
      <c r="M1515">
        <v>1</v>
      </c>
    </row>
    <row r="1516" spans="2:16" customFormat="1">
      <c r="B1516" s="70" t="s">
        <v>4327</v>
      </c>
      <c r="C1516" s="70" t="s">
        <v>494</v>
      </c>
      <c r="H1516" s="62" t="s">
        <v>4357</v>
      </c>
      <c r="K1516" s="55">
        <v>31</v>
      </c>
      <c r="L1516">
        <v>3</v>
      </c>
      <c r="M1516">
        <v>1</v>
      </c>
      <c r="N1516" s="62" t="s">
        <v>4452</v>
      </c>
      <c r="O1516" s="62" t="s">
        <v>4453</v>
      </c>
      <c r="P1516" s="62" t="s">
        <v>4454</v>
      </c>
    </row>
    <row r="1517" spans="2:16" customFormat="1">
      <c r="B1517" s="70" t="s">
        <v>4322</v>
      </c>
      <c r="C1517" s="70" t="s">
        <v>494</v>
      </c>
      <c r="K1517" s="55">
        <v>32</v>
      </c>
      <c r="L1517">
        <v>3</v>
      </c>
      <c r="M1517">
        <v>1</v>
      </c>
      <c r="N1517" t="s">
        <v>4466</v>
      </c>
      <c r="O1517" s="62" t="s">
        <v>4467</v>
      </c>
      <c r="P1517" t="s">
        <v>4468</v>
      </c>
    </row>
    <row r="1518" spans="2:16" customFormat="1">
      <c r="B1518" s="64" t="s">
        <v>5177</v>
      </c>
      <c r="C1518" s="64" t="s">
        <v>494</v>
      </c>
      <c r="K1518" s="55">
        <v>33</v>
      </c>
      <c r="M1518">
        <v>2</v>
      </c>
      <c r="O1518" s="62"/>
    </row>
    <row r="1519" spans="2:16" customFormat="1">
      <c r="B1519" s="64" t="s">
        <v>5178</v>
      </c>
      <c r="C1519" s="64" t="s">
        <v>494</v>
      </c>
      <c r="K1519" s="55">
        <v>34</v>
      </c>
      <c r="M1519">
        <v>2</v>
      </c>
      <c r="O1519" s="62"/>
    </row>
    <row r="1520" spans="2:16" customFormat="1">
      <c r="B1520" s="64" t="s">
        <v>5179</v>
      </c>
      <c r="C1520" s="64" t="s">
        <v>494</v>
      </c>
      <c r="K1520" s="55">
        <v>35</v>
      </c>
      <c r="M1520">
        <v>2</v>
      </c>
      <c r="O1520" s="62"/>
    </row>
    <row r="1521" spans="2:15" customFormat="1">
      <c r="B1521" s="64" t="s">
        <v>5180</v>
      </c>
      <c r="C1521" s="64" t="s">
        <v>494</v>
      </c>
      <c r="K1521" s="55">
        <v>36</v>
      </c>
      <c r="M1521">
        <v>2</v>
      </c>
      <c r="O1521" s="62"/>
    </row>
    <row r="1522" spans="2:15" customFormat="1">
      <c r="B1522" s="64" t="s">
        <v>5181</v>
      </c>
      <c r="C1522" s="64" t="s">
        <v>494</v>
      </c>
      <c r="K1522" s="55">
        <v>37</v>
      </c>
      <c r="M1522">
        <v>2</v>
      </c>
      <c r="O1522" s="62"/>
    </row>
    <row r="1523" spans="2:15" customFormat="1">
      <c r="B1523" s="64" t="s">
        <v>5182</v>
      </c>
      <c r="C1523" s="64" t="s">
        <v>494</v>
      </c>
      <c r="K1523" s="55">
        <v>38</v>
      </c>
      <c r="M1523">
        <v>2</v>
      </c>
      <c r="O1523" s="62"/>
    </row>
    <row r="1524" spans="2:15" customFormat="1">
      <c r="B1524" s="64" t="s">
        <v>5183</v>
      </c>
      <c r="C1524" s="64" t="s">
        <v>494</v>
      </c>
      <c r="K1524" s="55">
        <v>39</v>
      </c>
      <c r="M1524">
        <v>2</v>
      </c>
      <c r="O1524" s="62"/>
    </row>
    <row r="1525" spans="2:15" customFormat="1">
      <c r="B1525" s="64" t="s">
        <v>5184</v>
      </c>
      <c r="C1525" s="64" t="s">
        <v>494</v>
      </c>
      <c r="K1525" s="55">
        <v>40</v>
      </c>
      <c r="M1525">
        <v>2</v>
      </c>
      <c r="O1525" s="62"/>
    </row>
    <row r="1526" spans="2:15" customFormat="1">
      <c r="B1526" s="64" t="s">
        <v>5185</v>
      </c>
      <c r="C1526" s="64" t="s">
        <v>494</v>
      </c>
      <c r="K1526" s="55">
        <v>41</v>
      </c>
      <c r="M1526">
        <v>2</v>
      </c>
      <c r="O1526" s="62"/>
    </row>
    <row r="1527" spans="2:15" customFormat="1">
      <c r="B1527" s="64" t="s">
        <v>5186</v>
      </c>
      <c r="C1527" s="64" t="s">
        <v>494</v>
      </c>
      <c r="K1527" s="55">
        <v>42</v>
      </c>
      <c r="M1527">
        <v>2</v>
      </c>
      <c r="O1527" s="62"/>
    </row>
    <row r="1528" spans="2:15" customFormat="1">
      <c r="B1528" s="64" t="s">
        <v>5187</v>
      </c>
      <c r="C1528" s="64" t="s">
        <v>494</v>
      </c>
      <c r="K1528" s="55">
        <v>43</v>
      </c>
      <c r="M1528">
        <v>2</v>
      </c>
      <c r="O1528" s="62"/>
    </row>
    <row r="1529" spans="2:15" customFormat="1">
      <c r="B1529" s="64" t="s">
        <v>5188</v>
      </c>
      <c r="C1529" s="64" t="s">
        <v>494</v>
      </c>
      <c r="K1529" s="55">
        <v>44</v>
      </c>
      <c r="M1529">
        <v>2</v>
      </c>
      <c r="O1529" s="62"/>
    </row>
    <row r="1530" spans="2:15" customFormat="1">
      <c r="B1530" s="64" t="s">
        <v>5189</v>
      </c>
      <c r="C1530" s="64" t="s">
        <v>494</v>
      </c>
      <c r="K1530" s="55">
        <v>45</v>
      </c>
      <c r="M1530">
        <v>2</v>
      </c>
      <c r="O1530" s="62"/>
    </row>
    <row r="1531" spans="2:15" customFormat="1">
      <c r="B1531" s="64" t="s">
        <v>5190</v>
      </c>
      <c r="C1531" s="64" t="s">
        <v>494</v>
      </c>
      <c r="K1531" s="55">
        <v>46</v>
      </c>
      <c r="M1531">
        <v>2</v>
      </c>
      <c r="O1531" s="62"/>
    </row>
    <row r="1532" spans="2:15" customFormat="1">
      <c r="B1532" s="64" t="s">
        <v>5191</v>
      </c>
      <c r="C1532" s="64" t="s">
        <v>494</v>
      </c>
      <c r="K1532" s="55">
        <v>47</v>
      </c>
      <c r="M1532">
        <v>2</v>
      </c>
      <c r="O1532" s="62"/>
    </row>
    <row r="1533" spans="2:15" customFormat="1">
      <c r="B1533" s="64" t="s">
        <v>5192</v>
      </c>
      <c r="C1533" s="64" t="s">
        <v>494</v>
      </c>
      <c r="K1533" s="55">
        <v>48</v>
      </c>
      <c r="M1533">
        <v>2</v>
      </c>
      <c r="O1533" s="62"/>
    </row>
    <row r="1534" spans="2:15" customFormat="1">
      <c r="B1534" s="64" t="s">
        <v>5193</v>
      </c>
      <c r="C1534" s="64" t="s">
        <v>494</v>
      </c>
      <c r="K1534" s="55">
        <v>49</v>
      </c>
      <c r="M1534">
        <v>2</v>
      </c>
      <c r="O1534" s="62"/>
    </row>
    <row r="1535" spans="2:15" customFormat="1">
      <c r="B1535" s="64" t="s">
        <v>5194</v>
      </c>
      <c r="C1535" s="64" t="s">
        <v>494</v>
      </c>
      <c r="K1535" s="55">
        <v>50</v>
      </c>
      <c r="M1535">
        <v>2</v>
      </c>
      <c r="O1535" s="62"/>
    </row>
    <row r="1536" spans="2:15" customFormat="1">
      <c r="B1536" s="64" t="s">
        <v>5195</v>
      </c>
      <c r="C1536" s="64" t="s">
        <v>494</v>
      </c>
      <c r="K1536" s="55">
        <v>51</v>
      </c>
      <c r="M1536">
        <v>2</v>
      </c>
      <c r="O1536" s="62"/>
    </row>
    <row r="1537" spans="2:15" customFormat="1">
      <c r="B1537" s="64" t="s">
        <v>5196</v>
      </c>
      <c r="C1537" s="64" t="s">
        <v>494</v>
      </c>
      <c r="K1537" s="55">
        <v>52</v>
      </c>
      <c r="M1537">
        <v>2</v>
      </c>
      <c r="O1537" s="62"/>
    </row>
    <row r="1538" spans="2:15" customFormat="1">
      <c r="B1538" s="64" t="s">
        <v>5197</v>
      </c>
      <c r="C1538" s="64" t="s">
        <v>494</v>
      </c>
      <c r="K1538" s="55">
        <v>53</v>
      </c>
      <c r="M1538">
        <v>2</v>
      </c>
      <c r="O1538" s="62"/>
    </row>
    <row r="1539" spans="2:15" customFormat="1">
      <c r="B1539" s="64" t="s">
        <v>5198</v>
      </c>
      <c r="C1539" s="64" t="s">
        <v>494</v>
      </c>
      <c r="K1539" s="55">
        <v>54</v>
      </c>
      <c r="M1539">
        <v>2</v>
      </c>
      <c r="O1539" s="62"/>
    </row>
    <row r="1540" spans="2:15" customFormat="1">
      <c r="B1540" s="64" t="s">
        <v>5199</v>
      </c>
      <c r="C1540" s="64" t="s">
        <v>494</v>
      </c>
      <c r="K1540" s="55">
        <v>55</v>
      </c>
      <c r="M1540">
        <v>2</v>
      </c>
      <c r="O1540" s="62"/>
    </row>
    <row r="1541" spans="2:15" customFormat="1">
      <c r="B1541" s="64" t="s">
        <v>5200</v>
      </c>
      <c r="C1541" s="64" t="s">
        <v>494</v>
      </c>
      <c r="K1541" s="55">
        <v>56</v>
      </c>
      <c r="M1541">
        <v>2</v>
      </c>
      <c r="O1541" s="62"/>
    </row>
    <row r="1542" spans="2:15" customFormat="1">
      <c r="B1542" s="64" t="s">
        <v>5201</v>
      </c>
      <c r="C1542" s="64" t="s">
        <v>494</v>
      </c>
      <c r="K1542" s="55">
        <v>57</v>
      </c>
      <c r="M1542">
        <v>2</v>
      </c>
      <c r="O1542" s="62"/>
    </row>
    <row r="1543" spans="2:15" customFormat="1">
      <c r="B1543" s="64" t="s">
        <v>5202</v>
      </c>
      <c r="C1543" s="64" t="s">
        <v>494</v>
      </c>
      <c r="K1543" s="55">
        <v>58</v>
      </c>
      <c r="M1543">
        <v>2</v>
      </c>
      <c r="O1543" s="62"/>
    </row>
    <row r="1544" spans="2:15" customFormat="1">
      <c r="B1544" s="64" t="s">
        <v>5203</v>
      </c>
      <c r="C1544" s="64" t="s">
        <v>494</v>
      </c>
      <c r="K1544" s="55">
        <v>59</v>
      </c>
      <c r="M1544">
        <v>2</v>
      </c>
      <c r="O1544" s="62"/>
    </row>
    <row r="1545" spans="2:15" customFormat="1">
      <c r="B1545" s="64" t="s">
        <v>5204</v>
      </c>
      <c r="C1545" s="64" t="s">
        <v>494</v>
      </c>
      <c r="K1545" s="55">
        <v>60</v>
      </c>
      <c r="M1545">
        <v>2</v>
      </c>
      <c r="O1545" s="62"/>
    </row>
    <row r="1546" spans="2:15" customFormat="1">
      <c r="B1546" s="64" t="s">
        <v>5205</v>
      </c>
      <c r="C1546" s="64" t="s">
        <v>494</v>
      </c>
      <c r="K1546" s="55">
        <v>61</v>
      </c>
      <c r="M1546">
        <v>2</v>
      </c>
      <c r="O1546" s="62"/>
    </row>
    <row r="1547" spans="2:15" customFormat="1">
      <c r="B1547" s="64" t="s">
        <v>5206</v>
      </c>
      <c r="C1547" s="64" t="s">
        <v>494</v>
      </c>
      <c r="K1547" s="55">
        <v>62</v>
      </c>
      <c r="M1547">
        <v>2</v>
      </c>
      <c r="O1547" s="62"/>
    </row>
    <row r="1548" spans="2:15" customFormat="1">
      <c r="B1548" s="64" t="s">
        <v>5207</v>
      </c>
      <c r="C1548" s="64" t="s">
        <v>494</v>
      </c>
      <c r="K1548" s="55">
        <v>63</v>
      </c>
      <c r="M1548">
        <v>2</v>
      </c>
      <c r="O1548" s="62"/>
    </row>
    <row r="1549" spans="2:15" customFormat="1">
      <c r="B1549" s="64" t="s">
        <v>5208</v>
      </c>
      <c r="C1549" s="64" t="s">
        <v>494</v>
      </c>
      <c r="K1549" s="55">
        <v>64</v>
      </c>
      <c r="M1549">
        <v>2</v>
      </c>
      <c r="O1549" s="62"/>
    </row>
    <row r="1550" spans="2:15" customFormat="1">
      <c r="B1550" s="64" t="s">
        <v>5209</v>
      </c>
      <c r="C1550" s="64" t="s">
        <v>494</v>
      </c>
      <c r="K1550" s="55">
        <v>65</v>
      </c>
      <c r="M1550">
        <v>2</v>
      </c>
      <c r="O1550" s="62"/>
    </row>
    <row r="1551" spans="2:15" customFormat="1">
      <c r="B1551" s="64" t="s">
        <v>5210</v>
      </c>
      <c r="C1551" s="64" t="s">
        <v>494</v>
      </c>
      <c r="K1551" s="55">
        <v>66</v>
      </c>
      <c r="M1551">
        <v>2</v>
      </c>
      <c r="O1551" s="62"/>
    </row>
    <row r="1552" spans="2:15" customFormat="1">
      <c r="B1552" s="64" t="s">
        <v>5211</v>
      </c>
      <c r="C1552" s="64" t="s">
        <v>494</v>
      </c>
      <c r="K1552" s="55">
        <v>67</v>
      </c>
      <c r="M1552">
        <v>2</v>
      </c>
      <c r="O1552" s="62"/>
    </row>
    <row r="1553" spans="2:15" customFormat="1">
      <c r="B1553" s="64" t="s">
        <v>5212</v>
      </c>
      <c r="C1553" s="64" t="s">
        <v>494</v>
      </c>
      <c r="K1553" s="55">
        <v>68</v>
      </c>
      <c r="M1553">
        <v>2</v>
      </c>
      <c r="O1553" s="62"/>
    </row>
    <row r="1554" spans="2:15" customFormat="1">
      <c r="B1554" s="64" t="s">
        <v>5213</v>
      </c>
      <c r="C1554" s="64" t="s">
        <v>494</v>
      </c>
      <c r="K1554" s="55">
        <v>69</v>
      </c>
      <c r="M1554">
        <v>2</v>
      </c>
      <c r="O1554" s="62"/>
    </row>
    <row r="1555" spans="2:15" customFormat="1">
      <c r="B1555" s="64" t="s">
        <v>5214</v>
      </c>
      <c r="C1555" s="64" t="s">
        <v>494</v>
      </c>
      <c r="K1555" s="55">
        <v>70</v>
      </c>
      <c r="M1555">
        <v>2</v>
      </c>
      <c r="O1555" s="62"/>
    </row>
    <row r="1556" spans="2:15" customFormat="1">
      <c r="B1556" s="64" t="s">
        <v>5215</v>
      </c>
      <c r="C1556" s="64" t="s">
        <v>494</v>
      </c>
      <c r="K1556" s="55">
        <v>71</v>
      </c>
      <c r="M1556">
        <v>2</v>
      </c>
      <c r="O1556" s="62"/>
    </row>
    <row r="1557" spans="2:15" customFormat="1">
      <c r="B1557" s="64" t="s">
        <v>5216</v>
      </c>
      <c r="C1557" s="64" t="s">
        <v>494</v>
      </c>
      <c r="K1557" s="55">
        <v>72</v>
      </c>
      <c r="M1557">
        <v>2</v>
      </c>
      <c r="O1557" s="62"/>
    </row>
    <row r="1558" spans="2:15" customFormat="1">
      <c r="B1558" s="64" t="s">
        <v>5217</v>
      </c>
      <c r="C1558" s="64" t="s">
        <v>494</v>
      </c>
      <c r="K1558" s="55">
        <v>73</v>
      </c>
      <c r="M1558">
        <v>2</v>
      </c>
      <c r="O1558" s="62"/>
    </row>
    <row r="1559" spans="2:15" customFormat="1">
      <c r="B1559" s="64" t="s">
        <v>5218</v>
      </c>
      <c r="C1559" s="64" t="s">
        <v>494</v>
      </c>
      <c r="K1559" s="55">
        <v>74</v>
      </c>
      <c r="M1559">
        <v>2</v>
      </c>
      <c r="O1559" s="62"/>
    </row>
    <row r="1560" spans="2:15" customFormat="1">
      <c r="B1560" s="64" t="s">
        <v>5219</v>
      </c>
      <c r="C1560" s="64" t="s">
        <v>494</v>
      </c>
      <c r="K1560" s="55">
        <v>75</v>
      </c>
      <c r="M1560">
        <v>2</v>
      </c>
      <c r="O1560" s="62"/>
    </row>
    <row r="1561" spans="2:15" customFormat="1">
      <c r="B1561" s="64" t="s">
        <v>5220</v>
      </c>
      <c r="C1561" s="64" t="s">
        <v>494</v>
      </c>
      <c r="K1561" s="55">
        <v>76</v>
      </c>
      <c r="M1561">
        <v>2</v>
      </c>
      <c r="O1561" s="62"/>
    </row>
    <row r="1562" spans="2:15" customFormat="1">
      <c r="B1562" s="64" t="s">
        <v>5221</v>
      </c>
      <c r="C1562" s="64" t="s">
        <v>494</v>
      </c>
      <c r="K1562" s="55">
        <v>77</v>
      </c>
      <c r="M1562">
        <v>2</v>
      </c>
      <c r="O1562" s="62"/>
    </row>
    <row r="1563" spans="2:15" customFormat="1">
      <c r="B1563" s="64" t="s">
        <v>5222</v>
      </c>
      <c r="C1563" s="64" t="s">
        <v>494</v>
      </c>
      <c r="K1563" s="55">
        <v>78</v>
      </c>
      <c r="M1563">
        <v>2</v>
      </c>
      <c r="O1563" s="62"/>
    </row>
    <row r="1564" spans="2:15" customFormat="1">
      <c r="B1564" s="64" t="s">
        <v>5223</v>
      </c>
      <c r="C1564" s="64" t="s">
        <v>494</v>
      </c>
      <c r="K1564" s="55">
        <v>79</v>
      </c>
      <c r="M1564">
        <v>2</v>
      </c>
      <c r="O1564" s="62"/>
    </row>
    <row r="1565" spans="2:15" customFormat="1">
      <c r="B1565" s="64" t="s">
        <v>5224</v>
      </c>
      <c r="C1565" s="64" t="s">
        <v>494</v>
      </c>
      <c r="K1565" s="55">
        <v>80</v>
      </c>
      <c r="M1565">
        <v>2</v>
      </c>
      <c r="O1565" s="62"/>
    </row>
    <row r="1566" spans="2:15" customFormat="1">
      <c r="B1566" s="64" t="s">
        <v>5225</v>
      </c>
      <c r="C1566" s="64" t="s">
        <v>494</v>
      </c>
      <c r="K1566" s="55">
        <v>81</v>
      </c>
      <c r="M1566">
        <v>2</v>
      </c>
      <c r="O1566" s="62"/>
    </row>
    <row r="1567" spans="2:15" customFormat="1">
      <c r="B1567" s="64" t="s">
        <v>5226</v>
      </c>
      <c r="C1567" s="64" t="s">
        <v>494</v>
      </c>
      <c r="K1567" s="55">
        <v>82</v>
      </c>
      <c r="M1567">
        <v>2</v>
      </c>
      <c r="O1567" s="62"/>
    </row>
    <row r="1568" spans="2:15" customFormat="1">
      <c r="B1568" s="64" t="s">
        <v>5227</v>
      </c>
      <c r="C1568" s="64" t="s">
        <v>494</v>
      </c>
      <c r="K1568" s="55">
        <v>83</v>
      </c>
      <c r="M1568">
        <v>2</v>
      </c>
      <c r="O1568" s="62"/>
    </row>
    <row r="1569" spans="1:18" customFormat="1">
      <c r="B1569" s="64" t="s">
        <v>5228</v>
      </c>
      <c r="C1569" s="64" t="s">
        <v>494</v>
      </c>
      <c r="K1569" s="55">
        <v>84</v>
      </c>
      <c r="M1569">
        <v>2</v>
      </c>
      <c r="O1569" s="62"/>
    </row>
    <row r="1570" spans="1:18" customFormat="1">
      <c r="B1570" s="64" t="s">
        <v>5229</v>
      </c>
      <c r="C1570" s="64" t="s">
        <v>494</v>
      </c>
      <c r="K1570" s="55">
        <v>85</v>
      </c>
      <c r="M1570">
        <v>2</v>
      </c>
      <c r="O1570" s="62"/>
    </row>
    <row r="1571" spans="1:18" customFormat="1">
      <c r="B1571" s="64" t="s">
        <v>5230</v>
      </c>
      <c r="C1571" s="64" t="s">
        <v>494</v>
      </c>
      <c r="K1571" s="55">
        <v>86</v>
      </c>
      <c r="M1571">
        <v>2</v>
      </c>
      <c r="O1571" s="62"/>
    </row>
    <row r="1572" spans="1:18" customFormat="1">
      <c r="B1572" s="64" t="s">
        <v>5231</v>
      </c>
      <c r="C1572" s="64" t="s">
        <v>494</v>
      </c>
      <c r="K1572" s="55">
        <v>87</v>
      </c>
      <c r="M1572">
        <v>2</v>
      </c>
      <c r="O1572" s="62"/>
    </row>
    <row r="1573" spans="1:18" customFormat="1">
      <c r="B1573" s="64" t="s">
        <v>5232</v>
      </c>
      <c r="C1573" s="64" t="s">
        <v>494</v>
      </c>
      <c r="K1573" s="55">
        <v>88</v>
      </c>
      <c r="M1573">
        <v>2</v>
      </c>
      <c r="O1573" s="62"/>
    </row>
    <row r="1574" spans="1:18" customFormat="1">
      <c r="B1574" s="64" t="s">
        <v>5233</v>
      </c>
      <c r="C1574" s="64" t="s">
        <v>494</v>
      </c>
      <c r="K1574" s="55">
        <v>89</v>
      </c>
      <c r="M1574">
        <v>2</v>
      </c>
      <c r="O1574" s="62"/>
    </row>
    <row r="1575" spans="1:18" customFormat="1">
      <c r="B1575" s="64" t="s">
        <v>5234</v>
      </c>
      <c r="C1575" s="64" t="s">
        <v>494</v>
      </c>
      <c r="K1575" s="55">
        <v>90</v>
      </c>
      <c r="M1575">
        <v>2</v>
      </c>
      <c r="O1575" s="62"/>
    </row>
    <row r="1576" spans="1:18" customFormat="1">
      <c r="B1576" s="64" t="s">
        <v>5235</v>
      </c>
      <c r="C1576" s="64" t="s">
        <v>494</v>
      </c>
      <c r="K1576" s="55">
        <v>91</v>
      </c>
      <c r="M1576">
        <v>2</v>
      </c>
      <c r="O1576" s="62"/>
    </row>
    <row r="1577" spans="1:18" customFormat="1">
      <c r="B1577" s="64" t="s">
        <v>5236</v>
      </c>
      <c r="C1577" s="64" t="s">
        <v>494</v>
      </c>
      <c r="K1577" s="55">
        <v>92</v>
      </c>
      <c r="M1577">
        <v>2</v>
      </c>
      <c r="O1577" s="62"/>
    </row>
    <row r="1578" spans="1:18" customFormat="1">
      <c r="B1578" s="64" t="s">
        <v>5237</v>
      </c>
      <c r="C1578" s="64" t="s">
        <v>494</v>
      </c>
      <c r="H1578" t="s">
        <v>5238</v>
      </c>
      <c r="K1578" s="55">
        <v>93</v>
      </c>
      <c r="L1578">
        <v>3</v>
      </c>
      <c r="M1578">
        <v>1</v>
      </c>
      <c r="O1578" s="62"/>
    </row>
    <row r="1579" spans="1:18" customFormat="1">
      <c r="B1579" s="64"/>
      <c r="C1579" s="64"/>
      <c r="K1579" s="55"/>
      <c r="O1579" s="62"/>
    </row>
    <row r="1580" spans="1:18" customFormat="1"/>
    <row r="1581" spans="1:18">
      <c r="B1581" s="64"/>
      <c r="C1581" s="64"/>
      <c r="F1581" s="14"/>
      <c r="G1581" s="14"/>
      <c r="H1581" s="14"/>
      <c r="I1581" s="11"/>
      <c r="J1581" s="14"/>
      <c r="K1581" s="16"/>
      <c r="L1581" s="15"/>
      <c r="M1581" s="14"/>
      <c r="N1581" s="14"/>
      <c r="O1581" s="14"/>
      <c r="P1581" s="14"/>
      <c r="Q1581" s="14"/>
      <c r="R1581" s="14"/>
    </row>
    <row r="1582" spans="1:18" s="62" customFormat="1">
      <c r="I1582" s="22"/>
      <c r="K1582" s="57"/>
      <c r="L1582" s="76"/>
      <c r="O1582" s="60"/>
      <c r="P1582" s="60"/>
    </row>
    <row r="1583" spans="1:18" s="62" customFormat="1">
      <c r="I1583" s="22"/>
      <c r="K1583" s="57"/>
      <c r="L1583" s="76"/>
      <c r="O1583" s="60"/>
      <c r="P1583" s="60"/>
    </row>
    <row r="1584" spans="1:18" customFormat="1" ht="14.25" customHeight="1">
      <c r="A1584" s="62" t="s">
        <v>3649</v>
      </c>
      <c r="B1584" s="66" t="s">
        <v>3650</v>
      </c>
      <c r="C1584" s="62" t="s">
        <v>494</v>
      </c>
      <c r="E1584" s="62" t="s">
        <v>476</v>
      </c>
      <c r="F1584">
        <v>22</v>
      </c>
      <c r="G1584">
        <v>2210</v>
      </c>
      <c r="H1584" s="62" t="s">
        <v>3663</v>
      </c>
      <c r="I1584" s="62" t="s">
        <v>3690</v>
      </c>
      <c r="J1584">
        <v>1</v>
      </c>
      <c r="K1584">
        <v>1</v>
      </c>
      <c r="L1584">
        <v>9</v>
      </c>
      <c r="N1584" s="62" t="s">
        <v>3655</v>
      </c>
      <c r="O1584" s="66" t="s">
        <v>3656</v>
      </c>
      <c r="P1584" s="66" t="s">
        <v>3657</v>
      </c>
      <c r="Q1584" s="66" t="s">
        <v>3648</v>
      </c>
      <c r="R1584">
        <v>2209</v>
      </c>
    </row>
    <row r="1585" spans="2:18" customFormat="1">
      <c r="B1585" s="66" t="s">
        <v>3651</v>
      </c>
      <c r="C1585" s="62" t="s">
        <v>494</v>
      </c>
      <c r="E1585" s="62" t="s">
        <v>476</v>
      </c>
      <c r="K1585">
        <v>2</v>
      </c>
      <c r="L1585">
        <v>6</v>
      </c>
    </row>
    <row r="1586" spans="2:18" customFormat="1">
      <c r="B1586" s="66" t="s">
        <v>3652</v>
      </c>
      <c r="C1586" s="62" t="s">
        <v>494</v>
      </c>
      <c r="K1586">
        <v>3</v>
      </c>
      <c r="L1586">
        <v>6</v>
      </c>
      <c r="N1586" s="62" t="s">
        <v>3655</v>
      </c>
      <c r="O1586" s="66" t="s">
        <v>3648</v>
      </c>
      <c r="P1586" s="66" t="s">
        <v>3657</v>
      </c>
    </row>
    <row r="1587" spans="2:18" customFormat="1">
      <c r="B1587" s="66" t="s">
        <v>3694</v>
      </c>
      <c r="C1587" s="62" t="s">
        <v>493</v>
      </c>
      <c r="D1587">
        <v>1</v>
      </c>
      <c r="K1587">
        <v>4</v>
      </c>
      <c r="L1587">
        <v>30</v>
      </c>
      <c r="N1587" s="62"/>
      <c r="O1587" s="66"/>
      <c r="P1587" s="66"/>
    </row>
    <row r="1588" spans="2:18" customFormat="1">
      <c r="B1588" s="66" t="s">
        <v>3653</v>
      </c>
      <c r="C1588" s="62" t="s">
        <v>494</v>
      </c>
      <c r="K1588">
        <v>5</v>
      </c>
      <c r="L1588">
        <v>7</v>
      </c>
    </row>
    <row r="1589" spans="2:18" customFormat="1">
      <c r="B1589" s="66" t="s">
        <v>3654</v>
      </c>
      <c r="C1589" s="62" t="s">
        <v>494</v>
      </c>
      <c r="K1589">
        <v>6</v>
      </c>
      <c r="L1589" s="80">
        <v>3</v>
      </c>
      <c r="M1589" s="10"/>
      <c r="N1589" s="62" t="s">
        <v>3620</v>
      </c>
      <c r="O1589" s="62" t="s">
        <v>3622</v>
      </c>
      <c r="P1589" s="62" t="s">
        <v>3623</v>
      </c>
      <c r="R1589">
        <v>2311</v>
      </c>
    </row>
    <row r="1590" spans="2:18" customFormat="1">
      <c r="B1590" s="66" t="s">
        <v>3691</v>
      </c>
      <c r="C1590" s="62" t="s">
        <v>493</v>
      </c>
      <c r="D1590">
        <v>20</v>
      </c>
      <c r="K1590">
        <v>7</v>
      </c>
      <c r="L1590" s="80"/>
      <c r="M1590" s="10"/>
      <c r="N1590" s="62"/>
      <c r="O1590" s="62"/>
      <c r="P1590" s="62"/>
    </row>
    <row r="1591" spans="2:18" customFormat="1">
      <c r="B1591" s="66" t="s">
        <v>3684</v>
      </c>
      <c r="C1591" s="62" t="s">
        <v>494</v>
      </c>
      <c r="K1591">
        <v>8</v>
      </c>
      <c r="L1591" s="80"/>
      <c r="M1591" s="10"/>
      <c r="N1591" s="62"/>
      <c r="O1591" s="62"/>
      <c r="P1591" s="62"/>
    </row>
    <row r="1592" spans="2:18" customFormat="1">
      <c r="B1592" s="66" t="s">
        <v>3685</v>
      </c>
      <c r="C1592" s="62" t="s">
        <v>494</v>
      </c>
      <c r="K1592">
        <v>9</v>
      </c>
      <c r="L1592" s="80"/>
      <c r="M1592" s="10"/>
      <c r="N1592" s="62"/>
      <c r="O1592" s="62"/>
      <c r="P1592" s="62"/>
    </row>
    <row r="1593" spans="2:18" customFormat="1">
      <c r="B1593" s="66" t="s">
        <v>3686</v>
      </c>
      <c r="C1593" s="62" t="s">
        <v>494</v>
      </c>
      <c r="K1593">
        <v>10</v>
      </c>
      <c r="L1593" s="80"/>
      <c r="M1593" s="10"/>
      <c r="N1593" s="62"/>
      <c r="O1593" s="62"/>
      <c r="P1593" s="62"/>
    </row>
    <row r="1594" spans="2:18">
      <c r="B1594" s="67" t="s">
        <v>3703</v>
      </c>
      <c r="C1594" s="70" t="s">
        <v>494</v>
      </c>
      <c r="K1594">
        <v>11</v>
      </c>
      <c r="L1594" s="32">
        <v>8</v>
      </c>
    </row>
    <row r="1595" spans="2:18">
      <c r="B1595" s="67" t="s">
        <v>3704</v>
      </c>
      <c r="C1595" s="70" t="s">
        <v>494</v>
      </c>
      <c r="K1595">
        <v>12</v>
      </c>
      <c r="L1595" s="32">
        <v>8</v>
      </c>
    </row>
    <row r="1596" spans="2:18">
      <c r="B1596" s="67" t="s">
        <v>3705</v>
      </c>
      <c r="C1596" s="70" t="s">
        <v>494</v>
      </c>
      <c r="K1596">
        <v>13</v>
      </c>
      <c r="L1596" s="32">
        <v>7</v>
      </c>
    </row>
    <row r="1597" spans="2:18">
      <c r="B1597" s="67" t="s">
        <v>3706</v>
      </c>
      <c r="C1597" s="70" t="s">
        <v>494</v>
      </c>
      <c r="K1597">
        <v>14</v>
      </c>
      <c r="L1597" s="32">
        <v>7</v>
      </c>
    </row>
    <row r="1598" spans="2:18">
      <c r="B1598" s="67" t="s">
        <v>4395</v>
      </c>
      <c r="C1598" s="70" t="s">
        <v>494</v>
      </c>
      <c r="K1598">
        <v>15</v>
      </c>
      <c r="L1598" s="32"/>
    </row>
    <row r="1599" spans="2:18">
      <c r="B1599" s="67" t="s">
        <v>4396</v>
      </c>
      <c r="C1599" s="70" t="s">
        <v>494</v>
      </c>
      <c r="K1599">
        <v>16</v>
      </c>
      <c r="L1599" s="32"/>
    </row>
    <row r="1600" spans="2:18">
      <c r="B1600" s="67" t="s">
        <v>4397</v>
      </c>
      <c r="C1600" s="70" t="s">
        <v>494</v>
      </c>
      <c r="K1600">
        <v>17</v>
      </c>
      <c r="L1600" s="32"/>
    </row>
    <row r="1601" spans="1:18">
      <c r="B1601" s="67" t="s">
        <v>4398</v>
      </c>
      <c r="C1601" s="70" t="s">
        <v>494</v>
      </c>
      <c r="K1601">
        <v>18</v>
      </c>
      <c r="L1601" s="32"/>
    </row>
    <row r="1602" spans="1:18" customFormat="1">
      <c r="B1602" s="66"/>
      <c r="C1602" s="62"/>
      <c r="L1602" s="80"/>
      <c r="M1602" s="10"/>
      <c r="N1602" s="62"/>
      <c r="O1602" s="62"/>
      <c r="P1602" s="62"/>
    </row>
    <row r="1603" spans="1:18" customFormat="1">
      <c r="A1603" s="62" t="s">
        <v>3671</v>
      </c>
      <c r="B1603" s="66" t="s">
        <v>3672</v>
      </c>
      <c r="C1603" s="62" t="s">
        <v>494</v>
      </c>
      <c r="E1603" s="62" t="s">
        <v>476</v>
      </c>
      <c r="F1603">
        <v>22</v>
      </c>
      <c r="G1603">
        <v>2211</v>
      </c>
      <c r="H1603" s="62" t="s">
        <v>3260</v>
      </c>
      <c r="J1603">
        <v>1</v>
      </c>
      <c r="K1603">
        <v>1</v>
      </c>
      <c r="L1603">
        <v>52</v>
      </c>
      <c r="N1603" s="62">
        <v>2210</v>
      </c>
      <c r="O1603" s="66" t="s">
        <v>3652</v>
      </c>
    </row>
    <row r="1604" spans="1:18" customFormat="1">
      <c r="B1604" s="66" t="s">
        <v>3673</v>
      </c>
      <c r="C1604" s="62" t="s">
        <v>494</v>
      </c>
      <c r="E1604" s="62" t="s">
        <v>476</v>
      </c>
      <c r="K1604">
        <v>2</v>
      </c>
      <c r="L1604">
        <v>9</v>
      </c>
      <c r="N1604" s="62" t="s">
        <v>1038</v>
      </c>
      <c r="O1604" s="60" t="s">
        <v>1040</v>
      </c>
      <c r="P1604" s="60" t="s">
        <v>1041</v>
      </c>
      <c r="Q1604" s="23" t="s">
        <v>1040</v>
      </c>
      <c r="R1604" s="14">
        <v>140</v>
      </c>
    </row>
    <row r="1605" spans="1:18" customFormat="1">
      <c r="B1605" s="66" t="s">
        <v>3674</v>
      </c>
      <c r="C1605" s="62" t="s">
        <v>494</v>
      </c>
      <c r="K1605">
        <v>3</v>
      </c>
      <c r="L1605">
        <v>6</v>
      </c>
    </row>
    <row r="1606" spans="1:18" customFormat="1">
      <c r="B1606" s="66" t="s">
        <v>4314</v>
      </c>
      <c r="C1606" s="62" t="s">
        <v>494</v>
      </c>
      <c r="K1606">
        <v>4</v>
      </c>
      <c r="L1606">
        <v>3</v>
      </c>
      <c r="N1606" s="62" t="s">
        <v>4306</v>
      </c>
      <c r="O1606" s="66" t="s">
        <v>4309</v>
      </c>
      <c r="P1606" s="66" t="s">
        <v>4311</v>
      </c>
    </row>
    <row r="1607" spans="1:18" customFormat="1">
      <c r="B1607" s="66" t="s">
        <v>3675</v>
      </c>
      <c r="C1607" s="62" t="s">
        <v>494</v>
      </c>
      <c r="K1607">
        <v>5</v>
      </c>
      <c r="M1607">
        <v>2</v>
      </c>
    </row>
    <row r="1608" spans="1:18" customFormat="1">
      <c r="B1608" s="66" t="s">
        <v>3676</v>
      </c>
      <c r="C1608" s="62" t="s">
        <v>494</v>
      </c>
      <c r="K1608">
        <v>6</v>
      </c>
      <c r="L1608">
        <v>3</v>
      </c>
      <c r="N1608" s="62" t="s">
        <v>3677</v>
      </c>
      <c r="O1608" s="62" t="s">
        <v>3678</v>
      </c>
      <c r="P1608" s="62" t="s">
        <v>3679</v>
      </c>
    </row>
    <row r="1609" spans="1:18" customFormat="1">
      <c r="B1609" s="66" t="s">
        <v>3688</v>
      </c>
      <c r="C1609" s="62" t="s">
        <v>494</v>
      </c>
      <c r="K1609">
        <v>7</v>
      </c>
      <c r="L1609">
        <v>3</v>
      </c>
      <c r="N1609" s="62"/>
      <c r="O1609" s="62"/>
      <c r="P1609" s="62"/>
    </row>
    <row r="1610" spans="1:18" customFormat="1">
      <c r="B1610" s="66" t="s">
        <v>3681</v>
      </c>
      <c r="C1610" s="62" t="s">
        <v>494</v>
      </c>
      <c r="K1610">
        <v>8</v>
      </c>
      <c r="M1610">
        <v>1</v>
      </c>
      <c r="N1610" s="62"/>
      <c r="O1610" s="62"/>
      <c r="P1610" s="62"/>
    </row>
    <row r="1611" spans="1:18" customFormat="1">
      <c r="B1611" s="66" t="s">
        <v>3687</v>
      </c>
      <c r="C1611" s="62" t="s">
        <v>494</v>
      </c>
      <c r="K1611">
        <v>9</v>
      </c>
    </row>
    <row r="1612" spans="1:18" customFormat="1">
      <c r="B1612" s="66" t="s">
        <v>3682</v>
      </c>
      <c r="C1612" s="62" t="s">
        <v>494</v>
      </c>
      <c r="K1612">
        <v>10</v>
      </c>
      <c r="L1612">
        <v>3</v>
      </c>
      <c r="N1612" s="1" t="s">
        <v>1038</v>
      </c>
      <c r="O1612" s="23" t="s">
        <v>1040</v>
      </c>
      <c r="P1612" s="23" t="s">
        <v>1041</v>
      </c>
      <c r="Q1612" s="23" t="s">
        <v>1040</v>
      </c>
      <c r="R1612" s="14">
        <v>140</v>
      </c>
    </row>
    <row r="1613" spans="1:18" customFormat="1">
      <c r="B1613" s="66" t="s">
        <v>4315</v>
      </c>
      <c r="C1613" s="62" t="s">
        <v>494</v>
      </c>
      <c r="K1613">
        <v>11</v>
      </c>
      <c r="L1613">
        <v>3</v>
      </c>
      <c r="N1613" s="1" t="s">
        <v>1038</v>
      </c>
      <c r="O1613" s="23" t="s">
        <v>1040</v>
      </c>
      <c r="P1613" s="23" t="s">
        <v>1041</v>
      </c>
      <c r="Q1613" s="23" t="s">
        <v>1040</v>
      </c>
      <c r="R1613" s="14">
        <v>140</v>
      </c>
    </row>
    <row r="1614" spans="1:18" customFormat="1">
      <c r="B1614" s="66" t="s">
        <v>3683</v>
      </c>
      <c r="C1614" s="62" t="s">
        <v>494</v>
      </c>
      <c r="K1614">
        <v>12</v>
      </c>
      <c r="L1614">
        <v>7</v>
      </c>
    </row>
    <row r="1615" spans="1:18" customFormat="1">
      <c r="B1615" s="66" t="s">
        <v>3695</v>
      </c>
      <c r="C1615" s="64" t="s">
        <v>494</v>
      </c>
      <c r="K1615">
        <v>13</v>
      </c>
      <c r="L1615">
        <v>3</v>
      </c>
      <c r="N1615" s="62" t="s">
        <v>3696</v>
      </c>
      <c r="O1615" s="62" t="s">
        <v>3698</v>
      </c>
      <c r="P1615" s="62" t="s">
        <v>3699</v>
      </c>
      <c r="R1615">
        <v>2214</v>
      </c>
    </row>
    <row r="1616" spans="1:18">
      <c r="B1616" s="66" t="s">
        <v>3728</v>
      </c>
      <c r="C1616" s="64" t="s">
        <v>494</v>
      </c>
      <c r="K1616">
        <v>14</v>
      </c>
      <c r="L1616">
        <v>3</v>
      </c>
      <c r="M1616">
        <v>31</v>
      </c>
      <c r="N1616" s="62" t="s">
        <v>3719</v>
      </c>
      <c r="O1616" s="62" t="s">
        <v>3722</v>
      </c>
      <c r="P1616" s="62" t="s">
        <v>3724</v>
      </c>
      <c r="Q1616" s="62" t="s">
        <v>3720</v>
      </c>
      <c r="R1616" s="1">
        <v>13</v>
      </c>
    </row>
    <row r="1617" spans="1:18">
      <c r="B1617" s="66" t="s">
        <v>3702</v>
      </c>
      <c r="C1617" s="64" t="s">
        <v>493</v>
      </c>
      <c r="D1617" s="1">
        <v>1</v>
      </c>
      <c r="K1617">
        <v>15</v>
      </c>
      <c r="L1617" s="9">
        <v>3</v>
      </c>
    </row>
    <row r="1618" spans="1:18">
      <c r="B1618" s="66" t="s">
        <v>4316</v>
      </c>
      <c r="C1618" s="64" t="s">
        <v>493</v>
      </c>
      <c r="D1618" s="1">
        <v>1</v>
      </c>
      <c r="K1618">
        <v>16</v>
      </c>
      <c r="L1618" s="32">
        <v>3</v>
      </c>
    </row>
    <row r="1619" spans="1:18">
      <c r="B1619" s="66" t="s">
        <v>4317</v>
      </c>
      <c r="C1619" s="64" t="s">
        <v>493</v>
      </c>
      <c r="D1619" s="1">
        <v>1</v>
      </c>
      <c r="K1619">
        <v>17</v>
      </c>
      <c r="L1619" s="32">
        <v>3</v>
      </c>
    </row>
    <row r="1620" spans="1:18">
      <c r="B1620" s="66" t="s">
        <v>4318</v>
      </c>
      <c r="C1620" s="64" t="s">
        <v>493</v>
      </c>
      <c r="D1620" s="1">
        <v>1</v>
      </c>
      <c r="K1620">
        <v>18</v>
      </c>
      <c r="L1620" s="32">
        <v>3</v>
      </c>
    </row>
    <row r="1621" spans="1:18" customFormat="1">
      <c r="B1621" s="66" t="s">
        <v>4319</v>
      </c>
      <c r="C1621" s="64" t="s">
        <v>702</v>
      </c>
      <c r="K1621">
        <v>19</v>
      </c>
    </row>
    <row r="1622" spans="1:18" customFormat="1">
      <c r="A1622" s="7"/>
      <c r="B1622" s="66" t="s">
        <v>4371</v>
      </c>
      <c r="C1622" s="64" t="s">
        <v>494</v>
      </c>
      <c r="D1622" s="7"/>
      <c r="K1622">
        <v>20</v>
      </c>
      <c r="L1622">
        <v>91</v>
      </c>
    </row>
    <row r="1623" spans="1:18" customFormat="1">
      <c r="A1623" s="7"/>
      <c r="B1623" s="66" t="s">
        <v>4372</v>
      </c>
      <c r="C1623" s="64" t="s">
        <v>494</v>
      </c>
      <c r="D1623" s="7"/>
      <c r="K1623">
        <v>21</v>
      </c>
      <c r="L1623">
        <v>92</v>
      </c>
    </row>
    <row r="1624" spans="1:18" customFormat="1">
      <c r="A1624" s="102"/>
      <c r="B1624" s="101" t="s">
        <v>4937</v>
      </c>
      <c r="C1624" s="100" t="s">
        <v>494</v>
      </c>
      <c r="D1624" s="102"/>
      <c r="K1624">
        <v>22</v>
      </c>
      <c r="L1624">
        <v>3</v>
      </c>
      <c r="M1624">
        <v>31</v>
      </c>
      <c r="N1624" s="62" t="s">
        <v>4924</v>
      </c>
      <c r="O1624" s="62" t="s">
        <v>4928</v>
      </c>
      <c r="P1624" s="62" t="s">
        <v>4927</v>
      </c>
      <c r="Q1624" s="62" t="s">
        <v>4926</v>
      </c>
      <c r="R1624">
        <v>2</v>
      </c>
    </row>
    <row r="1625" spans="1:18" customFormat="1">
      <c r="B1625" s="66" t="s">
        <v>5158</v>
      </c>
      <c r="C1625" s="62" t="s">
        <v>494</v>
      </c>
      <c r="K1625">
        <v>23</v>
      </c>
      <c r="L1625">
        <v>3</v>
      </c>
      <c r="N1625" s="1" t="s">
        <v>1038</v>
      </c>
      <c r="O1625" s="23" t="s">
        <v>1040</v>
      </c>
      <c r="P1625" s="23" t="s">
        <v>1041</v>
      </c>
      <c r="Q1625" s="23" t="s">
        <v>1040</v>
      </c>
      <c r="R1625" s="14">
        <v>140</v>
      </c>
    </row>
    <row r="1626" spans="1:18" customFormat="1">
      <c r="B1626" s="66" t="s">
        <v>5159</v>
      </c>
      <c r="C1626" s="62" t="s">
        <v>494</v>
      </c>
      <c r="K1626">
        <v>24</v>
      </c>
      <c r="L1626">
        <v>3</v>
      </c>
      <c r="N1626" s="1" t="s">
        <v>1038</v>
      </c>
      <c r="O1626" s="23" t="s">
        <v>1040</v>
      </c>
      <c r="P1626" s="23" t="s">
        <v>1041</v>
      </c>
      <c r="Q1626" s="23" t="s">
        <v>1040</v>
      </c>
      <c r="R1626" s="14">
        <v>140</v>
      </c>
    </row>
    <row r="1627" spans="1:18" customFormat="1">
      <c r="B1627" s="66"/>
      <c r="C1627" s="62"/>
      <c r="N1627" s="1"/>
      <c r="O1627" s="23"/>
      <c r="P1627" s="23"/>
      <c r="Q1627" s="23"/>
      <c r="R1627" s="14"/>
    </row>
    <row r="1628" spans="1:18" s="3" customFormat="1">
      <c r="A1628" s="62"/>
      <c r="B1628" s="62"/>
      <c r="C1628" s="62"/>
      <c r="D1628" s="62"/>
      <c r="E1628" s="62"/>
      <c r="F1628" s="62"/>
      <c r="G1628" s="62"/>
      <c r="H1628" s="62"/>
      <c r="I1628" s="62"/>
      <c r="J1628" s="62"/>
      <c r="K1628" s="76"/>
      <c r="L1628" s="75"/>
      <c r="M1628" s="62"/>
      <c r="N1628" s="62"/>
      <c r="O1628" s="62"/>
      <c r="P1628" s="62"/>
      <c r="Q1628" s="12"/>
      <c r="R1628" s="12"/>
    </row>
    <row r="1629" spans="1:18" customFormat="1"/>
    <row r="1630" spans="1:18" customFormat="1"/>
    <row r="1631" spans="1:18" customFormat="1"/>
    <row r="1632" spans="1:18" customFormat="1">
      <c r="B1632" s="64"/>
      <c r="C1632" s="64"/>
      <c r="K1632" s="55"/>
      <c r="N1632" s="62"/>
      <c r="O1632" s="66"/>
      <c r="P1632" s="66"/>
    </row>
    <row r="1633" spans="1:18">
      <c r="B1633" s="66"/>
      <c r="C1633" s="64"/>
      <c r="F1633" s="14"/>
      <c r="G1633" s="14"/>
      <c r="H1633" s="14"/>
      <c r="I1633" s="11"/>
      <c r="J1633" s="14"/>
      <c r="K1633" s="55"/>
      <c r="L1633" s="15"/>
      <c r="M1633" s="14"/>
      <c r="N1633" s="62"/>
      <c r="O1633" s="62"/>
      <c r="P1633" s="62"/>
      <c r="Q1633" s="62"/>
      <c r="R1633" s="14"/>
    </row>
    <row r="1634" spans="1:18" customFormat="1"/>
    <row r="1635" spans="1:18" customFormat="1">
      <c r="A1635" s="64" t="s">
        <v>3828</v>
      </c>
      <c r="B1635" s="62" t="s">
        <v>3829</v>
      </c>
      <c r="C1635" s="62" t="s">
        <v>494</v>
      </c>
      <c r="E1635" s="62" t="s">
        <v>476</v>
      </c>
      <c r="F1635">
        <v>22</v>
      </c>
      <c r="G1635">
        <v>2216</v>
      </c>
      <c r="H1635" s="62" t="s">
        <v>3833</v>
      </c>
      <c r="I1635" s="62" t="s">
        <v>3834</v>
      </c>
      <c r="J1635">
        <v>2201</v>
      </c>
      <c r="K1635" s="55">
        <v>1</v>
      </c>
      <c r="L1635" s="9">
        <v>3</v>
      </c>
      <c r="M1635" s="1"/>
      <c r="N1635" s="10" t="s">
        <v>506</v>
      </c>
      <c r="O1635" s="10" t="s">
        <v>514</v>
      </c>
      <c r="P1635" s="1" t="s">
        <v>515</v>
      </c>
    </row>
    <row r="1636" spans="1:18" customFormat="1">
      <c r="B1636" s="62" t="s">
        <v>3830</v>
      </c>
      <c r="C1636" s="62" t="s">
        <v>494</v>
      </c>
      <c r="E1636" s="62" t="s">
        <v>476</v>
      </c>
      <c r="K1636" s="55">
        <v>2</v>
      </c>
      <c r="L1636">
        <v>8</v>
      </c>
    </row>
    <row r="1637" spans="1:18" customFormat="1">
      <c r="B1637" s="62" t="s">
        <v>3831</v>
      </c>
      <c r="C1637" s="62" t="s">
        <v>494</v>
      </c>
      <c r="E1637" s="62" t="s">
        <v>476</v>
      </c>
      <c r="K1637" s="55">
        <v>3</v>
      </c>
      <c r="L1637">
        <v>3</v>
      </c>
      <c r="M1637">
        <v>31</v>
      </c>
      <c r="N1637" s="62" t="s">
        <v>3655</v>
      </c>
      <c r="O1637" s="62" t="s">
        <v>3648</v>
      </c>
      <c r="P1637" s="62" t="s">
        <v>3657</v>
      </c>
      <c r="Q1637" s="14" t="s">
        <v>3658</v>
      </c>
      <c r="R1637" s="14">
        <v>7</v>
      </c>
    </row>
    <row r="1638" spans="1:18" customFormat="1">
      <c r="B1638" s="62" t="s">
        <v>3778</v>
      </c>
      <c r="C1638" s="62" t="s">
        <v>494</v>
      </c>
      <c r="E1638" s="62"/>
      <c r="K1638" s="55">
        <v>4</v>
      </c>
      <c r="L1638">
        <v>6</v>
      </c>
    </row>
    <row r="1639" spans="1:18" customFormat="1">
      <c r="B1639" s="62" t="s">
        <v>3832</v>
      </c>
      <c r="C1639" s="62" t="s">
        <v>494</v>
      </c>
      <c r="E1639" s="62"/>
      <c r="K1639" s="55">
        <v>5</v>
      </c>
      <c r="L1639">
        <v>3</v>
      </c>
      <c r="M1639" s="14">
        <v>31</v>
      </c>
      <c r="N1639" s="62" t="s">
        <v>379</v>
      </c>
      <c r="O1639" s="62" t="s">
        <v>698</v>
      </c>
      <c r="P1639" s="62" t="s">
        <v>699</v>
      </c>
      <c r="Q1639" s="62" t="s">
        <v>383</v>
      </c>
      <c r="R1639">
        <v>8</v>
      </c>
    </row>
    <row r="1640" spans="1:18" customFormat="1">
      <c r="B1640" s="62" t="s">
        <v>3840</v>
      </c>
      <c r="C1640" s="62" t="s">
        <v>493</v>
      </c>
      <c r="D1640">
        <v>250</v>
      </c>
      <c r="E1640" s="62"/>
      <c r="K1640" s="55">
        <v>6</v>
      </c>
    </row>
    <row r="1641" spans="1:18" customFormat="1">
      <c r="B1641" s="62" t="s">
        <v>3835</v>
      </c>
      <c r="C1641" s="62" t="s">
        <v>494</v>
      </c>
      <c r="E1641" s="62"/>
      <c r="K1641" s="55">
        <v>7</v>
      </c>
      <c r="L1641">
        <v>3</v>
      </c>
      <c r="N1641" s="62" t="s">
        <v>3664</v>
      </c>
      <c r="O1641" s="62" t="s">
        <v>3666</v>
      </c>
      <c r="P1641" s="62" t="s">
        <v>3667</v>
      </c>
    </row>
    <row r="1642" spans="1:18" customFormat="1">
      <c r="B1642" s="62" t="s">
        <v>3836</v>
      </c>
      <c r="C1642" s="62" t="s">
        <v>494</v>
      </c>
      <c r="E1642" s="62"/>
      <c r="K1642" s="55">
        <v>8</v>
      </c>
      <c r="L1642">
        <v>3</v>
      </c>
      <c r="N1642" s="62" t="s">
        <v>693</v>
      </c>
      <c r="O1642" s="1" t="s">
        <v>695</v>
      </c>
      <c r="P1642" s="1" t="s">
        <v>696</v>
      </c>
    </row>
    <row r="1643" spans="1:18" customFormat="1">
      <c r="B1643" s="62" t="s">
        <v>3837</v>
      </c>
      <c r="C1643" s="62" t="s">
        <v>494</v>
      </c>
      <c r="E1643" s="62"/>
      <c r="K1643" s="55">
        <v>9</v>
      </c>
      <c r="L1643">
        <v>7</v>
      </c>
    </row>
    <row r="1644" spans="1:18" customFormat="1">
      <c r="B1644" s="62" t="s">
        <v>3838</v>
      </c>
      <c r="C1644" s="62" t="s">
        <v>494</v>
      </c>
      <c r="E1644" s="62"/>
      <c r="K1644" s="55">
        <v>10</v>
      </c>
    </row>
    <row r="1645" spans="1:18" customFormat="1">
      <c r="B1645" s="62" t="s">
        <v>3839</v>
      </c>
      <c r="C1645" s="62" t="s">
        <v>494</v>
      </c>
      <c r="E1645" s="62"/>
      <c r="K1645" s="55">
        <v>11</v>
      </c>
      <c r="M1645">
        <v>1</v>
      </c>
    </row>
    <row r="1646" spans="1:18" customFormat="1">
      <c r="B1646" s="66" t="s">
        <v>3841</v>
      </c>
      <c r="C1646" s="62" t="s">
        <v>494</v>
      </c>
      <c r="K1646" s="55">
        <v>12</v>
      </c>
      <c r="M1646">
        <v>1</v>
      </c>
    </row>
    <row r="1647" spans="1:18" customFormat="1">
      <c r="B1647" s="66" t="s">
        <v>3842</v>
      </c>
      <c r="C1647" s="62" t="s">
        <v>494</v>
      </c>
      <c r="K1647" s="55">
        <v>13</v>
      </c>
      <c r="M1647">
        <v>1</v>
      </c>
    </row>
    <row r="1648" spans="1:18" customFormat="1">
      <c r="B1648" s="66" t="s">
        <v>3843</v>
      </c>
      <c r="C1648" s="62" t="s">
        <v>702</v>
      </c>
      <c r="K1648" s="55">
        <v>14</v>
      </c>
      <c r="M1648">
        <v>1</v>
      </c>
    </row>
    <row r="1649" spans="1:18" customFormat="1">
      <c r="B1649" s="66" t="s">
        <v>3844</v>
      </c>
      <c r="C1649" s="62" t="s">
        <v>494</v>
      </c>
      <c r="K1649" s="55">
        <v>15</v>
      </c>
      <c r="M1649">
        <v>1</v>
      </c>
    </row>
    <row r="1650" spans="1:18" customFormat="1">
      <c r="B1650" s="66" t="s">
        <v>3845</v>
      </c>
      <c r="C1650" s="62" t="s">
        <v>494</v>
      </c>
      <c r="K1650" s="55">
        <v>16</v>
      </c>
      <c r="L1650">
        <v>3</v>
      </c>
    </row>
    <row r="1651" spans="1:18" customFormat="1">
      <c r="B1651" s="66" t="s">
        <v>3877</v>
      </c>
      <c r="C1651" s="62" t="s">
        <v>494</v>
      </c>
      <c r="K1651" s="55">
        <v>17</v>
      </c>
      <c r="M1651">
        <v>1</v>
      </c>
    </row>
    <row r="1652" spans="1:18" customFormat="1">
      <c r="B1652" s="66" t="s">
        <v>3878</v>
      </c>
      <c r="C1652" s="62" t="s">
        <v>494</v>
      </c>
      <c r="K1652" s="55">
        <v>18</v>
      </c>
      <c r="M1652">
        <v>1</v>
      </c>
    </row>
    <row r="1653" spans="1:18" customFormat="1">
      <c r="B1653" s="66" t="s">
        <v>3967</v>
      </c>
      <c r="C1653" s="62" t="s">
        <v>494</v>
      </c>
      <c r="H1653" s="62" t="s">
        <v>3968</v>
      </c>
      <c r="K1653" s="55">
        <v>19</v>
      </c>
      <c r="L1653">
        <v>8</v>
      </c>
      <c r="M1653">
        <v>2</v>
      </c>
    </row>
    <row r="1654" spans="1:18" customFormat="1">
      <c r="B1654" s="66" t="s">
        <v>4002</v>
      </c>
      <c r="C1654" s="62" t="s">
        <v>494</v>
      </c>
      <c r="H1654" s="62"/>
      <c r="K1654" s="55">
        <v>20</v>
      </c>
      <c r="M1654">
        <v>1</v>
      </c>
    </row>
    <row r="1655" spans="1:18" customFormat="1">
      <c r="B1655" s="67" t="s">
        <v>4027</v>
      </c>
      <c r="C1655" s="70" t="s">
        <v>494</v>
      </c>
      <c r="D1655" s="94"/>
      <c r="E1655" s="94"/>
      <c r="F1655" s="94"/>
      <c r="G1655" s="94"/>
      <c r="H1655" s="70"/>
      <c r="I1655" s="94"/>
      <c r="J1655" s="94"/>
      <c r="K1655" s="99">
        <v>21</v>
      </c>
      <c r="L1655" s="94"/>
      <c r="M1655" s="94">
        <v>1</v>
      </c>
    </row>
    <row r="1656" spans="1:18" customFormat="1">
      <c r="B1656" s="67" t="s">
        <v>4058</v>
      </c>
      <c r="C1656" s="70" t="s">
        <v>494</v>
      </c>
      <c r="D1656" s="94"/>
      <c r="E1656" s="94"/>
      <c r="F1656" s="94"/>
      <c r="G1656" s="94"/>
      <c r="H1656" s="70"/>
      <c r="I1656" s="94"/>
      <c r="J1656" s="94"/>
      <c r="K1656" s="99">
        <v>22</v>
      </c>
      <c r="L1656" s="94"/>
      <c r="M1656" s="94">
        <v>1</v>
      </c>
    </row>
    <row r="1657" spans="1:18" customFormat="1">
      <c r="B1657" s="67" t="s">
        <v>5114</v>
      </c>
      <c r="C1657" s="70" t="s">
        <v>493</v>
      </c>
      <c r="D1657" s="94">
        <v>250</v>
      </c>
      <c r="E1657" s="94"/>
      <c r="F1657" s="94"/>
      <c r="G1657" s="94"/>
      <c r="H1657" s="70"/>
      <c r="I1657" s="94"/>
      <c r="J1657" s="94"/>
      <c r="K1657" s="99">
        <v>23</v>
      </c>
      <c r="L1657" s="94"/>
      <c r="M1657" s="94"/>
    </row>
    <row r="1658" spans="1:18" customFormat="1">
      <c r="B1658" s="67" t="s">
        <v>5115</v>
      </c>
      <c r="C1658" s="70" t="s">
        <v>493</v>
      </c>
      <c r="D1658" s="94">
        <v>250</v>
      </c>
      <c r="E1658" s="94"/>
      <c r="F1658" s="94"/>
      <c r="G1658" s="94"/>
      <c r="H1658" s="70"/>
      <c r="I1658" s="94"/>
      <c r="J1658" s="94"/>
      <c r="K1658" s="99">
        <v>24</v>
      </c>
      <c r="L1658" s="94"/>
      <c r="M1658" s="94"/>
    </row>
    <row r="1659" spans="1:18" customFormat="1">
      <c r="B1659" s="66"/>
      <c r="C1659" s="62"/>
      <c r="K1659" s="55"/>
    </row>
    <row r="1660" spans="1:18" customFormat="1">
      <c r="B1660" s="62"/>
      <c r="C1660" s="62"/>
    </row>
    <row r="1661" spans="1:18" customFormat="1"/>
    <row r="1662" spans="1:18">
      <c r="A1662" s="62" t="s">
        <v>1038</v>
      </c>
      <c r="B1662" s="60" t="s">
        <v>1039</v>
      </c>
      <c r="C1662" s="1" t="s">
        <v>494</v>
      </c>
      <c r="E1662" s="1" t="s">
        <v>476</v>
      </c>
      <c r="F1662" s="14">
        <v>22</v>
      </c>
      <c r="G1662" s="14">
        <v>140</v>
      </c>
      <c r="H1662" s="14" t="s">
        <v>1042</v>
      </c>
      <c r="I1662" s="11" t="s">
        <v>1043</v>
      </c>
      <c r="J1662" s="14">
        <v>1</v>
      </c>
      <c r="K1662" s="16">
        <v>1</v>
      </c>
      <c r="L1662" s="15"/>
      <c r="M1662" s="14"/>
      <c r="P1662" s="14"/>
      <c r="Q1662" s="14"/>
      <c r="R1662" s="14"/>
    </row>
    <row r="1663" spans="1:18">
      <c r="B1663" s="60" t="s">
        <v>1040</v>
      </c>
      <c r="C1663" s="1" t="s">
        <v>494</v>
      </c>
      <c r="F1663" s="14"/>
      <c r="G1663" s="14"/>
      <c r="H1663" s="14"/>
      <c r="I1663" s="11"/>
      <c r="J1663" s="14"/>
      <c r="K1663" s="16">
        <v>2</v>
      </c>
      <c r="L1663" s="15">
        <v>6</v>
      </c>
      <c r="M1663" s="14"/>
      <c r="N1663" s="23"/>
      <c r="O1663" s="14"/>
      <c r="P1663" s="14"/>
      <c r="Q1663" s="14"/>
      <c r="R1663" s="14"/>
    </row>
    <row r="1664" spans="1:18">
      <c r="B1664" s="60" t="s">
        <v>1041</v>
      </c>
      <c r="C1664" s="1" t="s">
        <v>493</v>
      </c>
      <c r="D1664" s="1">
        <v>255</v>
      </c>
      <c r="F1664" s="14"/>
      <c r="G1664" s="14"/>
      <c r="H1664" s="14"/>
      <c r="I1664" s="11"/>
      <c r="J1664" s="14"/>
      <c r="K1664" s="16">
        <v>3</v>
      </c>
      <c r="L1664" s="15"/>
      <c r="M1664" s="14"/>
      <c r="N1664" s="23"/>
      <c r="O1664" s="14"/>
      <c r="P1664" s="14"/>
      <c r="Q1664" s="14"/>
      <c r="R1664" s="14"/>
    </row>
    <row r="1665" spans="1:18">
      <c r="B1665" s="23" t="s">
        <v>1044</v>
      </c>
      <c r="C1665" s="1" t="s">
        <v>494</v>
      </c>
      <c r="F1665" s="14"/>
      <c r="G1665" s="14"/>
      <c r="H1665" s="14"/>
      <c r="I1665" s="11"/>
      <c r="J1665" s="14"/>
      <c r="K1665" s="16">
        <v>4</v>
      </c>
      <c r="L1665" s="15">
        <v>3</v>
      </c>
      <c r="M1665" s="14"/>
      <c r="N1665" s="1" t="s">
        <v>956</v>
      </c>
      <c r="O1665" s="23" t="s">
        <v>957</v>
      </c>
      <c r="P1665" s="23" t="s">
        <v>958</v>
      </c>
      <c r="Q1665" s="14"/>
      <c r="R1665" s="14"/>
    </row>
    <row r="1666" spans="1:18">
      <c r="B1666" s="23" t="s">
        <v>1045</v>
      </c>
      <c r="C1666" s="1" t="s">
        <v>494</v>
      </c>
      <c r="F1666" s="14"/>
      <c r="G1666" s="14"/>
      <c r="H1666" s="14"/>
      <c r="I1666" s="11"/>
      <c r="J1666" s="14"/>
      <c r="K1666" s="16">
        <v>5</v>
      </c>
      <c r="L1666" s="15"/>
      <c r="M1666" s="14"/>
      <c r="N1666" s="23"/>
      <c r="O1666" s="14"/>
      <c r="P1666" s="14"/>
      <c r="Q1666" s="14"/>
      <c r="R1666" s="14"/>
    </row>
    <row r="1667" spans="1:18">
      <c r="B1667" s="23" t="s">
        <v>1046</v>
      </c>
      <c r="C1667" s="1" t="s">
        <v>494</v>
      </c>
      <c r="F1667" s="14"/>
      <c r="G1667" s="14"/>
      <c r="H1667" s="14"/>
      <c r="I1667" s="11"/>
      <c r="J1667" s="14"/>
      <c r="K1667" s="16">
        <v>6</v>
      </c>
      <c r="L1667" s="15"/>
      <c r="M1667" s="14"/>
      <c r="N1667" s="23"/>
      <c r="P1667" s="14"/>
      <c r="Q1667" s="14"/>
      <c r="R1667" s="14"/>
    </row>
    <row r="1668" spans="1:18">
      <c r="B1668" s="65" t="s">
        <v>1047</v>
      </c>
      <c r="C1668" s="1" t="s">
        <v>494</v>
      </c>
      <c r="F1668" s="14"/>
      <c r="G1668" s="14"/>
      <c r="H1668" s="14"/>
      <c r="I1668" s="11"/>
      <c r="J1668" s="14"/>
      <c r="K1668" s="16">
        <v>7</v>
      </c>
      <c r="L1668" s="15">
        <v>3</v>
      </c>
      <c r="M1668" s="14"/>
      <c r="N1668" s="1" t="s">
        <v>1002</v>
      </c>
      <c r="O1668" s="23" t="s">
        <v>1004</v>
      </c>
      <c r="P1668" s="23" t="s">
        <v>1023</v>
      </c>
      <c r="Q1668" s="14"/>
      <c r="R1668" s="14"/>
    </row>
    <row r="1669" spans="1:18">
      <c r="B1669" s="60" t="s">
        <v>1048</v>
      </c>
      <c r="C1669" s="1" t="s">
        <v>494</v>
      </c>
      <c r="F1669" s="14"/>
      <c r="G1669" s="14"/>
      <c r="H1669" s="14"/>
      <c r="I1669" s="11"/>
      <c r="J1669" s="14"/>
      <c r="K1669" s="16">
        <v>8</v>
      </c>
      <c r="L1669" s="15">
        <v>3</v>
      </c>
      <c r="M1669" s="14"/>
      <c r="N1669" s="44" t="s">
        <v>1049</v>
      </c>
      <c r="O1669" s="23" t="s">
        <v>1050</v>
      </c>
      <c r="P1669" s="23" t="s">
        <v>1051</v>
      </c>
      <c r="Q1669" s="14"/>
      <c r="R1669" s="14"/>
    </row>
    <row r="1670" spans="1:18">
      <c r="B1670" s="60" t="s">
        <v>1055</v>
      </c>
      <c r="C1670" s="1" t="s">
        <v>494</v>
      </c>
      <c r="F1670" s="14"/>
      <c r="G1670" s="14"/>
      <c r="H1670" s="14"/>
      <c r="I1670" s="11"/>
      <c r="J1670" s="14"/>
      <c r="K1670" s="16">
        <v>9</v>
      </c>
      <c r="L1670" s="15">
        <v>3</v>
      </c>
      <c r="M1670" s="14"/>
      <c r="N1670" s="1" t="s">
        <v>1056</v>
      </c>
      <c r="O1670" s="23" t="s">
        <v>1058</v>
      </c>
      <c r="P1670" s="23" t="s">
        <v>1059</v>
      </c>
      <c r="Q1670" s="14"/>
      <c r="R1670" s="14"/>
    </row>
    <row r="1671" spans="1:18">
      <c r="B1671" s="23" t="s">
        <v>1062</v>
      </c>
      <c r="C1671" s="1" t="s">
        <v>494</v>
      </c>
      <c r="F1671" s="14"/>
      <c r="G1671" s="14"/>
      <c r="H1671" s="14"/>
      <c r="I1671" s="11"/>
      <c r="J1671" s="14"/>
      <c r="K1671" s="16">
        <v>10</v>
      </c>
      <c r="L1671" s="15">
        <v>3</v>
      </c>
      <c r="M1671" s="14"/>
      <c r="N1671" s="62" t="s">
        <v>1063</v>
      </c>
      <c r="O1671" s="23" t="s">
        <v>1065</v>
      </c>
      <c r="P1671" s="29" t="s">
        <v>1066</v>
      </c>
      <c r="Q1671" s="14"/>
      <c r="R1671" s="14"/>
    </row>
    <row r="1672" spans="1:18">
      <c r="B1672" s="60" t="s">
        <v>1069</v>
      </c>
      <c r="C1672" s="1" t="s">
        <v>494</v>
      </c>
      <c r="F1672" s="14"/>
      <c r="G1672" s="14"/>
      <c r="H1672" s="14"/>
      <c r="I1672" s="11"/>
      <c r="J1672" s="14"/>
      <c r="K1672" s="16">
        <v>11</v>
      </c>
      <c r="L1672" s="15"/>
      <c r="M1672" s="14"/>
      <c r="O1672" s="23"/>
      <c r="P1672" s="29"/>
      <c r="Q1672" s="14"/>
      <c r="R1672" s="14"/>
    </row>
    <row r="1673" spans="1:18">
      <c r="B1673" s="60" t="s">
        <v>1111</v>
      </c>
      <c r="C1673" s="1" t="s">
        <v>494</v>
      </c>
      <c r="F1673" s="14"/>
      <c r="G1673" s="77"/>
      <c r="H1673" s="14"/>
      <c r="I1673" s="11"/>
      <c r="J1673" s="14"/>
      <c r="K1673" s="16">
        <v>12</v>
      </c>
      <c r="L1673" s="15">
        <v>3</v>
      </c>
      <c r="M1673" s="14">
        <v>31</v>
      </c>
      <c r="N1673" s="10" t="s">
        <v>24</v>
      </c>
      <c r="O1673" s="10" t="s">
        <v>26</v>
      </c>
      <c r="P1673" s="10" t="s">
        <v>27</v>
      </c>
      <c r="Q1673" s="1" t="s">
        <v>1114</v>
      </c>
      <c r="R1673" s="1">
        <v>9</v>
      </c>
    </row>
    <row r="1674" spans="1:18">
      <c r="B1674" s="60" t="s">
        <v>716</v>
      </c>
      <c r="C1674" s="1" t="s">
        <v>494</v>
      </c>
      <c r="F1674" s="14"/>
      <c r="G1674" s="14"/>
      <c r="H1674" s="14"/>
      <c r="I1674" s="11"/>
      <c r="J1674" s="14"/>
      <c r="K1674" s="16">
        <v>13</v>
      </c>
      <c r="L1674" s="15"/>
      <c r="M1674" s="14"/>
      <c r="N1674" s="10"/>
      <c r="O1674" s="10"/>
      <c r="P1674" s="10"/>
    </row>
    <row r="1675" spans="1:18">
      <c r="A1675" s="10"/>
      <c r="B1675" s="66" t="s">
        <v>52</v>
      </c>
      <c r="C1675" s="1" t="s">
        <v>494</v>
      </c>
      <c r="D1675" s="10"/>
      <c r="E1675" s="10"/>
      <c r="F1675" s="10"/>
      <c r="G1675" s="10"/>
      <c r="H1675" s="10"/>
      <c r="I1675" s="10"/>
      <c r="J1675" s="10"/>
      <c r="K1675" s="16">
        <v>14</v>
      </c>
      <c r="L1675" s="15">
        <v>3</v>
      </c>
      <c r="M1675" s="10"/>
      <c r="N1675" s="1" t="s">
        <v>3664</v>
      </c>
      <c r="O1675" s="23" t="s">
        <v>3666</v>
      </c>
      <c r="P1675" s="23" t="s">
        <v>3667</v>
      </c>
      <c r="Q1675" s="10"/>
      <c r="R1675" s="10"/>
    </row>
    <row r="1676" spans="1:18">
      <c r="A1676" s="10"/>
      <c r="B1676" s="66" t="s">
        <v>53</v>
      </c>
      <c r="C1676" s="1" t="s">
        <v>494</v>
      </c>
      <c r="D1676" s="10"/>
      <c r="E1676" s="10"/>
      <c r="F1676" s="10"/>
      <c r="G1676" s="10"/>
      <c r="H1676" s="10"/>
      <c r="I1676" s="10"/>
      <c r="J1676" s="10"/>
      <c r="K1676" s="16">
        <v>15</v>
      </c>
      <c r="L1676" s="15">
        <v>3</v>
      </c>
      <c r="M1676" s="10"/>
      <c r="N1676" s="64" t="s">
        <v>3655</v>
      </c>
      <c r="O1676" s="66" t="s">
        <v>3648</v>
      </c>
      <c r="P1676" s="66" t="s">
        <v>3657</v>
      </c>
      <c r="Q1676" s="10"/>
      <c r="R1676" s="10"/>
    </row>
    <row r="1677" spans="1:18">
      <c r="A1677" s="10"/>
      <c r="B1677" s="29" t="s">
        <v>69</v>
      </c>
      <c r="C1677" s="1" t="s">
        <v>494</v>
      </c>
      <c r="D1677" s="10"/>
      <c r="E1677" s="10"/>
      <c r="F1677" s="10"/>
      <c r="G1677" s="10"/>
      <c r="H1677" s="10"/>
      <c r="I1677" s="10"/>
      <c r="J1677" s="10"/>
      <c r="K1677" s="16">
        <v>16</v>
      </c>
      <c r="L1677" s="15"/>
      <c r="M1677" s="10"/>
      <c r="N1677" s="10"/>
      <c r="O1677" s="29"/>
      <c r="P1677" s="29"/>
      <c r="Q1677" s="10"/>
      <c r="R1677" s="10"/>
    </row>
    <row r="1678" spans="1:18">
      <c r="B1678" s="60" t="s">
        <v>1821</v>
      </c>
      <c r="C1678" s="1" t="s">
        <v>494</v>
      </c>
      <c r="F1678" s="14"/>
      <c r="G1678" s="14"/>
      <c r="H1678" s="14"/>
      <c r="I1678" s="11"/>
      <c r="J1678" s="14"/>
      <c r="K1678" s="16">
        <v>17</v>
      </c>
      <c r="L1678" s="15">
        <v>3</v>
      </c>
      <c r="M1678" s="14">
        <v>31</v>
      </c>
      <c r="N1678" s="64" t="s">
        <v>24</v>
      </c>
      <c r="O1678" s="64" t="s">
        <v>26</v>
      </c>
      <c r="P1678" s="10" t="s">
        <v>27</v>
      </c>
      <c r="Q1678" s="1" t="s">
        <v>1114</v>
      </c>
      <c r="R1678" s="1">
        <v>9</v>
      </c>
    </row>
    <row r="1679" spans="1:18">
      <c r="B1679" s="66" t="s">
        <v>2004</v>
      </c>
      <c r="C1679" s="62" t="s">
        <v>493</v>
      </c>
      <c r="D1679" s="1">
        <v>1</v>
      </c>
      <c r="F1679" s="77"/>
      <c r="G1679" s="14"/>
      <c r="H1679" s="14"/>
      <c r="I1679" s="11"/>
      <c r="J1679" s="14"/>
      <c r="K1679" s="16">
        <v>18</v>
      </c>
      <c r="L1679" s="15">
        <v>3</v>
      </c>
      <c r="M1679" s="14"/>
      <c r="N1679" s="10"/>
      <c r="O1679" s="10"/>
      <c r="P1679" s="10"/>
    </row>
    <row r="1680" spans="1:18">
      <c r="B1680" s="66" t="s">
        <v>2011</v>
      </c>
      <c r="C1680" s="62" t="s">
        <v>493</v>
      </c>
      <c r="D1680" s="1">
        <v>20</v>
      </c>
      <c r="F1680" s="77"/>
      <c r="G1680" s="14"/>
      <c r="H1680" s="14"/>
      <c r="I1680" s="11"/>
      <c r="J1680" s="14"/>
      <c r="K1680" s="16">
        <v>19</v>
      </c>
      <c r="L1680" s="15"/>
      <c r="M1680" s="14"/>
      <c r="N1680" s="10"/>
      <c r="O1680" s="10"/>
      <c r="P1680" s="10"/>
    </row>
    <row r="1681" spans="1:18">
      <c r="B1681" s="66" t="s">
        <v>2752</v>
      </c>
      <c r="C1681" s="62" t="s">
        <v>493</v>
      </c>
      <c r="D1681" s="1">
        <v>1</v>
      </c>
      <c r="F1681" s="77"/>
      <c r="G1681" s="14"/>
      <c r="H1681" s="14"/>
      <c r="I1681" s="11"/>
      <c r="J1681" s="14"/>
      <c r="K1681" s="16">
        <v>20</v>
      </c>
      <c r="L1681" s="15">
        <v>3</v>
      </c>
      <c r="M1681" s="14"/>
      <c r="N1681" s="10"/>
      <c r="O1681" s="10"/>
      <c r="P1681" s="10"/>
    </row>
    <row r="1682" spans="1:18">
      <c r="B1682" s="67" t="s">
        <v>2994</v>
      </c>
      <c r="C1682" s="62" t="s">
        <v>494</v>
      </c>
      <c r="F1682" s="77"/>
      <c r="G1682" s="14"/>
      <c r="H1682" s="14"/>
      <c r="I1682" s="11"/>
      <c r="J1682" s="14"/>
      <c r="K1682" s="16">
        <v>21</v>
      </c>
      <c r="L1682" s="15">
        <v>3</v>
      </c>
      <c r="M1682" s="14"/>
      <c r="N1682" s="62" t="s">
        <v>2991</v>
      </c>
      <c r="O1682" s="60" t="s">
        <v>2992</v>
      </c>
      <c r="P1682" s="60" t="s">
        <v>2993</v>
      </c>
    </row>
    <row r="1683" spans="1:18">
      <c r="B1683" s="67" t="s">
        <v>3707</v>
      </c>
      <c r="C1683" s="62" t="s">
        <v>494</v>
      </c>
      <c r="F1683" s="77"/>
      <c r="G1683" s="14"/>
      <c r="H1683" s="14"/>
      <c r="I1683" s="11"/>
      <c r="J1683" s="14"/>
      <c r="K1683" s="16">
        <v>22</v>
      </c>
      <c r="L1683" s="15"/>
      <c r="M1683" s="14">
        <v>1</v>
      </c>
      <c r="N1683" s="62"/>
      <c r="O1683" s="60"/>
      <c r="P1683" s="60"/>
    </row>
    <row r="1684" spans="1:18" customFormat="1">
      <c r="B1684" s="67" t="s">
        <v>3715</v>
      </c>
      <c r="C1684" s="70" t="s">
        <v>494</v>
      </c>
      <c r="K1684" s="16">
        <v>23</v>
      </c>
      <c r="L1684">
        <v>3</v>
      </c>
      <c r="N1684" s="62" t="s">
        <v>3696</v>
      </c>
      <c r="O1684" s="62" t="s">
        <v>3698</v>
      </c>
      <c r="P1684" s="62" t="s">
        <v>3699</v>
      </c>
      <c r="R1684">
        <v>2214</v>
      </c>
    </row>
    <row r="1685" spans="1:18" customFormat="1">
      <c r="B1685" s="67" t="s">
        <v>3716</v>
      </c>
      <c r="C1685" s="70" t="s">
        <v>494</v>
      </c>
      <c r="K1685" s="16">
        <v>24</v>
      </c>
      <c r="L1685" s="55">
        <v>3</v>
      </c>
      <c r="M1685">
        <v>31</v>
      </c>
      <c r="N1685" s="62" t="s">
        <v>3719</v>
      </c>
      <c r="O1685" s="62" t="s">
        <v>3722</v>
      </c>
      <c r="P1685" s="62" t="s">
        <v>3724</v>
      </c>
      <c r="Q1685" s="62" t="s">
        <v>3720</v>
      </c>
      <c r="R1685">
        <v>23</v>
      </c>
    </row>
    <row r="1686" spans="1:18">
      <c r="A1686" s="10"/>
      <c r="B1686" s="29" t="s">
        <v>5084</v>
      </c>
      <c r="C1686" s="64" t="s">
        <v>494</v>
      </c>
      <c r="D1686" s="10"/>
      <c r="E1686" s="10"/>
      <c r="F1686" s="10"/>
      <c r="G1686" s="10"/>
      <c r="H1686" s="10"/>
      <c r="I1686" s="10"/>
      <c r="J1686" s="10"/>
      <c r="K1686" s="16">
        <v>25</v>
      </c>
      <c r="L1686" s="55">
        <v>3</v>
      </c>
      <c r="M1686" s="10"/>
      <c r="N1686" t="s">
        <v>5078</v>
      </c>
      <c r="O1686" s="66" t="s">
        <v>1004</v>
      </c>
      <c r="P1686" s="64" t="s">
        <v>1023</v>
      </c>
      <c r="Q1686" s="10"/>
      <c r="R1686" s="10">
        <v>2239</v>
      </c>
    </row>
    <row r="1687" spans="1:18">
      <c r="B1687" s="66" t="s">
        <v>5085</v>
      </c>
      <c r="C1687" s="64" t="s">
        <v>493</v>
      </c>
      <c r="D1687" s="1">
        <v>1</v>
      </c>
      <c r="K1687" s="16">
        <v>26</v>
      </c>
      <c r="L1687" s="9">
        <v>3</v>
      </c>
    </row>
    <row r="1688" spans="1:18">
      <c r="B1688" s="66" t="s">
        <v>5086</v>
      </c>
      <c r="C1688" s="64" t="s">
        <v>493</v>
      </c>
      <c r="D1688" s="1">
        <v>1</v>
      </c>
      <c r="K1688" s="16">
        <v>27</v>
      </c>
      <c r="L1688" s="32">
        <v>3</v>
      </c>
    </row>
    <row r="1689" spans="1:18">
      <c r="B1689" s="66" t="s">
        <v>5087</v>
      </c>
      <c r="C1689" s="64" t="s">
        <v>493</v>
      </c>
      <c r="D1689" s="1">
        <v>1</v>
      </c>
      <c r="K1689" s="16">
        <v>28</v>
      </c>
      <c r="L1689" s="32">
        <v>3</v>
      </c>
    </row>
    <row r="1690" spans="1:18">
      <c r="B1690" s="66" t="s">
        <v>5088</v>
      </c>
      <c r="C1690" s="64" t="s">
        <v>493</v>
      </c>
      <c r="D1690" s="1">
        <v>1</v>
      </c>
      <c r="K1690" s="16">
        <v>29</v>
      </c>
      <c r="L1690" s="32">
        <v>3</v>
      </c>
    </row>
    <row r="1691" spans="1:18">
      <c r="B1691" s="66" t="s">
        <v>5090</v>
      </c>
      <c r="C1691" s="64" t="s">
        <v>494</v>
      </c>
      <c r="K1691" s="16">
        <v>30</v>
      </c>
      <c r="L1691" s="32">
        <v>3</v>
      </c>
      <c r="N1691" t="s">
        <v>5091</v>
      </c>
      <c r="O1691" t="s">
        <v>5092</v>
      </c>
      <c r="P1691" t="s">
        <v>5093</v>
      </c>
    </row>
    <row r="1692" spans="1:18">
      <c r="A1692" s="10"/>
      <c r="B1692" s="24"/>
      <c r="C1692" s="45"/>
      <c r="D1692" s="10"/>
      <c r="E1692" s="10"/>
      <c r="F1692" s="10"/>
      <c r="G1692" s="10"/>
      <c r="H1692" s="10"/>
      <c r="I1692" s="10"/>
      <c r="J1692" s="10"/>
      <c r="K1692" s="16"/>
      <c r="L1692" s="55"/>
      <c r="M1692" s="10"/>
      <c r="N1692"/>
      <c r="O1692" s="66"/>
      <c r="P1692" s="10"/>
      <c r="Q1692" s="10"/>
      <c r="R1692" s="10"/>
    </row>
    <row r="1693" spans="1:18">
      <c r="A1693" s="64" t="s">
        <v>62</v>
      </c>
      <c r="B1693" s="66" t="s">
        <v>63</v>
      </c>
      <c r="C1693" s="1" t="s">
        <v>494</v>
      </c>
      <c r="E1693" s="10" t="s">
        <v>476</v>
      </c>
      <c r="F1693" s="10">
        <v>17</v>
      </c>
      <c r="G1693" s="10">
        <v>148</v>
      </c>
      <c r="H1693" s="10" t="s">
        <v>68</v>
      </c>
      <c r="I1693" s="10"/>
      <c r="J1693" s="10">
        <v>1</v>
      </c>
      <c r="K1693" s="16">
        <v>1</v>
      </c>
      <c r="L1693" s="15">
        <v>52</v>
      </c>
      <c r="M1693" s="10"/>
      <c r="N1693" s="10">
        <v>140</v>
      </c>
      <c r="O1693" s="23" t="s">
        <v>1040</v>
      </c>
      <c r="P1693" s="29"/>
      <c r="Q1693" s="10"/>
      <c r="R1693" s="10"/>
    </row>
    <row r="1694" spans="1:18">
      <c r="A1694" s="10"/>
      <c r="B1694" s="66" t="s">
        <v>205</v>
      </c>
      <c r="C1694" s="1" t="s">
        <v>494</v>
      </c>
      <c r="E1694" s="10" t="s">
        <v>476</v>
      </c>
      <c r="F1694" s="10"/>
      <c r="G1694" s="10"/>
      <c r="H1694" s="36" t="s">
        <v>208</v>
      </c>
      <c r="I1694" s="10"/>
      <c r="J1694" s="10"/>
      <c r="K1694" s="16">
        <v>2</v>
      </c>
      <c r="L1694" s="15">
        <v>3</v>
      </c>
      <c r="M1694" s="10"/>
      <c r="N1694" s="10" t="s">
        <v>506</v>
      </c>
      <c r="O1694" s="10" t="s">
        <v>514</v>
      </c>
      <c r="P1694" s="1" t="s">
        <v>515</v>
      </c>
      <c r="Q1694" s="10"/>
      <c r="R1694" s="10"/>
    </row>
    <row r="1695" spans="1:18">
      <c r="A1695" s="10"/>
      <c r="B1695" s="66" t="s">
        <v>64</v>
      </c>
      <c r="C1695" s="1" t="s">
        <v>494</v>
      </c>
      <c r="E1695" s="10" t="s">
        <v>476</v>
      </c>
      <c r="F1695" s="10"/>
      <c r="G1695" s="29"/>
      <c r="H1695" s="10"/>
      <c r="I1695" s="10"/>
      <c r="J1695" s="10"/>
      <c r="K1695" s="16">
        <v>3</v>
      </c>
      <c r="L1695" s="15">
        <v>6</v>
      </c>
      <c r="M1695" s="10"/>
      <c r="N1695" s="10"/>
      <c r="P1695" s="29"/>
      <c r="Q1695" s="10"/>
      <c r="R1695" s="10"/>
    </row>
    <row r="1696" spans="1:18">
      <c r="A1696" s="10"/>
      <c r="B1696" s="66" t="s">
        <v>65</v>
      </c>
      <c r="C1696" s="1" t="s">
        <v>494</v>
      </c>
      <c r="D1696" s="10"/>
      <c r="E1696" s="10"/>
      <c r="F1696" s="10"/>
      <c r="G1696" s="10"/>
      <c r="H1696" s="10"/>
      <c r="I1696" s="10"/>
      <c r="J1696" s="10"/>
      <c r="K1696" s="16">
        <v>4</v>
      </c>
      <c r="L1696" s="15">
        <v>6</v>
      </c>
      <c r="M1696" s="10"/>
      <c r="N1696" s="10"/>
      <c r="O1696" s="29"/>
      <c r="P1696" s="29"/>
      <c r="Q1696" s="10"/>
      <c r="R1696" s="10"/>
    </row>
    <row r="1697" spans="1:18">
      <c r="A1697" s="10"/>
      <c r="B1697" s="66" t="s">
        <v>66</v>
      </c>
      <c r="C1697" s="1" t="s">
        <v>493</v>
      </c>
      <c r="D1697" s="10">
        <v>1</v>
      </c>
      <c r="E1697" s="10"/>
      <c r="F1697" s="10"/>
      <c r="G1697" s="10"/>
      <c r="H1697" s="10"/>
      <c r="I1697" s="10"/>
      <c r="J1697" s="10"/>
      <c r="K1697" s="16">
        <v>5</v>
      </c>
      <c r="L1697" s="15"/>
      <c r="M1697" s="10"/>
      <c r="N1697" s="10"/>
      <c r="O1697" s="29"/>
      <c r="P1697" s="29"/>
      <c r="Q1697" s="10"/>
      <c r="R1697" s="10"/>
    </row>
    <row r="1698" spans="1:18">
      <c r="A1698" s="10"/>
      <c r="B1698" s="66" t="s">
        <v>67</v>
      </c>
      <c r="C1698" s="1" t="s">
        <v>494</v>
      </c>
      <c r="D1698" s="10"/>
      <c r="E1698" s="10"/>
      <c r="F1698" s="10"/>
      <c r="G1698" s="10"/>
      <c r="H1698" s="10"/>
      <c r="I1698" s="10"/>
      <c r="J1698" s="10"/>
      <c r="K1698" s="16">
        <v>6</v>
      </c>
      <c r="L1698" s="15"/>
      <c r="M1698" s="10"/>
      <c r="N1698" s="10"/>
      <c r="O1698" s="29"/>
      <c r="P1698" s="29"/>
      <c r="Q1698" s="10"/>
      <c r="R1698" s="10"/>
    </row>
    <row r="1699" spans="1:18">
      <c r="A1699" s="10"/>
      <c r="B1699" s="29" t="s">
        <v>210</v>
      </c>
      <c r="C1699" s="1" t="s">
        <v>494</v>
      </c>
      <c r="D1699" s="10"/>
      <c r="E1699" s="10"/>
      <c r="F1699" s="10"/>
      <c r="G1699" s="10"/>
      <c r="H1699" s="10"/>
      <c r="I1699" s="10"/>
      <c r="J1699" s="10"/>
      <c r="K1699" s="16">
        <v>7</v>
      </c>
      <c r="L1699" s="15"/>
      <c r="M1699" s="10"/>
      <c r="N1699" s="10"/>
      <c r="O1699" s="29"/>
      <c r="P1699" s="29"/>
      <c r="Q1699" s="10"/>
      <c r="R1699" s="10"/>
    </row>
    <row r="1700" spans="1:18">
      <c r="A1700" s="10"/>
      <c r="B1700" s="29" t="s">
        <v>211</v>
      </c>
      <c r="C1700" s="1" t="s">
        <v>494</v>
      </c>
      <c r="D1700" s="10"/>
      <c r="E1700" s="10"/>
      <c r="F1700" s="10"/>
      <c r="G1700" s="10"/>
      <c r="H1700" s="10"/>
      <c r="I1700" s="10"/>
      <c r="J1700" s="10"/>
      <c r="K1700" s="16">
        <v>8</v>
      </c>
      <c r="L1700" s="15">
        <v>3</v>
      </c>
      <c r="M1700" s="14"/>
      <c r="N1700" s="1" t="s">
        <v>1002</v>
      </c>
      <c r="O1700" s="23" t="s">
        <v>1004</v>
      </c>
      <c r="P1700" s="23" t="s">
        <v>1023</v>
      </c>
      <c r="Q1700" s="10"/>
      <c r="R1700" s="10"/>
    </row>
    <row r="1701" spans="1:18">
      <c r="A1701" s="10"/>
      <c r="B1701" s="66" t="s">
        <v>1792</v>
      </c>
      <c r="C1701" s="62" t="s">
        <v>494</v>
      </c>
      <c r="D1701" s="10"/>
      <c r="E1701" s="10"/>
      <c r="F1701" s="10"/>
      <c r="G1701" s="10"/>
      <c r="H1701" s="10"/>
      <c r="I1701" s="10"/>
      <c r="J1701" s="10"/>
      <c r="K1701" s="16">
        <v>9</v>
      </c>
      <c r="L1701" s="15"/>
      <c r="M1701" s="14"/>
      <c r="O1701" s="23"/>
      <c r="P1701" s="23"/>
      <c r="Q1701" s="10"/>
      <c r="R1701" s="10"/>
    </row>
    <row r="1702" spans="1:18">
      <c r="A1702" s="10"/>
      <c r="B1702" s="66"/>
      <c r="C1702" s="62"/>
      <c r="D1702" s="10"/>
      <c r="E1702" s="10"/>
      <c r="F1702" s="10"/>
      <c r="G1702" s="10"/>
      <c r="H1702" s="10"/>
      <c r="I1702" s="10"/>
      <c r="J1702" s="10"/>
      <c r="K1702" s="16"/>
      <c r="L1702" s="15"/>
      <c r="M1702" s="14"/>
      <c r="O1702" s="23"/>
      <c r="P1702" s="23"/>
      <c r="Q1702" s="10"/>
      <c r="R1702" s="10"/>
    </row>
    <row r="1703" spans="1:18">
      <c r="A1703" s="62" t="s">
        <v>2922</v>
      </c>
      <c r="B1703" s="60" t="s">
        <v>2923</v>
      </c>
      <c r="C1703" s="62" t="s">
        <v>494</v>
      </c>
      <c r="E1703" s="62" t="s">
        <v>476</v>
      </c>
      <c r="F1703" s="14">
        <v>17</v>
      </c>
      <c r="G1703" s="14">
        <v>1743</v>
      </c>
      <c r="H1703" s="47" t="s">
        <v>2876</v>
      </c>
      <c r="I1703" s="11"/>
      <c r="J1703" s="14">
        <v>1</v>
      </c>
      <c r="K1703" s="16">
        <v>1</v>
      </c>
      <c r="L1703" s="15">
        <v>52</v>
      </c>
      <c r="M1703" s="10"/>
      <c r="N1703" s="10">
        <v>140</v>
      </c>
      <c r="O1703" s="23" t="s">
        <v>1040</v>
      </c>
      <c r="P1703" s="23"/>
      <c r="Q1703" s="14"/>
      <c r="R1703" s="14"/>
    </row>
    <row r="1704" spans="1:18">
      <c r="B1704" s="60" t="s">
        <v>2924</v>
      </c>
      <c r="C1704" s="62" t="s">
        <v>494</v>
      </c>
      <c r="E1704" s="62" t="s">
        <v>476</v>
      </c>
      <c r="F1704" s="14"/>
      <c r="G1704" s="14"/>
      <c r="H1704" s="14"/>
      <c r="I1704" s="11"/>
      <c r="J1704" s="14"/>
      <c r="K1704" s="16">
        <v>2</v>
      </c>
      <c r="L1704" s="15">
        <v>6</v>
      </c>
      <c r="M1704" s="14"/>
      <c r="P1704" s="23"/>
      <c r="Q1704" s="14"/>
      <c r="R1704" s="14"/>
    </row>
    <row r="1705" spans="1:18">
      <c r="B1705" s="60" t="s">
        <v>2925</v>
      </c>
      <c r="C1705" s="62" t="s">
        <v>494</v>
      </c>
      <c r="F1705" s="14"/>
      <c r="G1705" s="14"/>
      <c r="H1705" s="14"/>
      <c r="I1705" s="11"/>
      <c r="J1705" s="14"/>
      <c r="K1705" s="16">
        <v>3</v>
      </c>
      <c r="L1705" s="15">
        <v>6</v>
      </c>
      <c r="M1705" s="14"/>
      <c r="P1705" s="23"/>
      <c r="Q1705" s="14"/>
      <c r="R1705" s="14"/>
    </row>
    <row r="1706" spans="1:18">
      <c r="B1706" s="60" t="s">
        <v>2926</v>
      </c>
      <c r="C1706" s="62" t="s">
        <v>493</v>
      </c>
      <c r="D1706" s="1">
        <v>1</v>
      </c>
      <c r="F1706" s="14"/>
      <c r="G1706" s="14"/>
      <c r="H1706" s="14"/>
      <c r="I1706" s="11"/>
      <c r="J1706" s="14"/>
      <c r="K1706" s="16">
        <v>4</v>
      </c>
      <c r="L1706" s="15">
        <v>3</v>
      </c>
      <c r="M1706" s="14"/>
      <c r="P1706" s="23"/>
      <c r="Q1706" s="14"/>
      <c r="R1706" s="14"/>
    </row>
    <row r="1707" spans="1:18">
      <c r="B1707" s="60" t="s">
        <v>2927</v>
      </c>
      <c r="C1707" s="62" t="s">
        <v>494</v>
      </c>
      <c r="F1707" s="14"/>
      <c r="G1707" s="14"/>
      <c r="H1707" s="14"/>
      <c r="I1707" s="11"/>
      <c r="J1707" s="14"/>
      <c r="K1707" s="16">
        <v>5</v>
      </c>
      <c r="L1707" s="15"/>
      <c r="M1707" s="14"/>
      <c r="P1707" s="23"/>
      <c r="Q1707" s="14"/>
      <c r="R1707" s="14"/>
    </row>
    <row r="1708" spans="1:18">
      <c r="B1708" s="60" t="s">
        <v>2928</v>
      </c>
      <c r="C1708" s="62" t="s">
        <v>520</v>
      </c>
      <c r="F1708" s="14"/>
      <c r="G1708" s="14"/>
      <c r="H1708" s="14"/>
      <c r="I1708" s="11"/>
      <c r="J1708" s="14"/>
      <c r="K1708" s="16">
        <v>6</v>
      </c>
      <c r="L1708" s="15"/>
      <c r="M1708" s="14"/>
      <c r="P1708" s="23"/>
      <c r="Q1708" s="14"/>
      <c r="R1708" s="14"/>
    </row>
    <row r="1709" spans="1:18">
      <c r="B1709" s="60"/>
      <c r="C1709" s="62"/>
      <c r="F1709" s="14"/>
      <c r="G1709" s="14"/>
      <c r="H1709" s="14"/>
      <c r="I1709" s="11"/>
      <c r="J1709" s="14"/>
      <c r="K1709" s="16"/>
      <c r="L1709" s="15"/>
      <c r="M1709" s="14"/>
      <c r="P1709" s="23"/>
      <c r="Q1709" s="14"/>
      <c r="R1709" s="14"/>
    </row>
    <row r="1710" spans="1:18">
      <c r="A1710" s="62" t="s">
        <v>2929</v>
      </c>
      <c r="B1710" s="60" t="s">
        <v>2930</v>
      </c>
      <c r="C1710" s="62" t="s">
        <v>494</v>
      </c>
      <c r="E1710" s="62" t="s">
        <v>476</v>
      </c>
      <c r="F1710" s="14">
        <v>17</v>
      </c>
      <c r="G1710" s="14">
        <v>1744</v>
      </c>
      <c r="H1710" s="47" t="s">
        <v>111</v>
      </c>
      <c r="I1710" s="11"/>
      <c r="J1710" s="14">
        <v>1</v>
      </c>
      <c r="K1710" s="16">
        <v>1</v>
      </c>
      <c r="L1710" s="15">
        <v>52</v>
      </c>
      <c r="M1710" s="10"/>
      <c r="N1710" s="10">
        <v>140</v>
      </c>
      <c r="O1710" s="23" t="s">
        <v>1040</v>
      </c>
      <c r="P1710" s="23"/>
      <c r="Q1710" s="14"/>
      <c r="R1710" s="14"/>
    </row>
    <row r="1711" spans="1:18">
      <c r="B1711" s="60" t="s">
        <v>2931</v>
      </c>
      <c r="C1711" s="62" t="s">
        <v>494</v>
      </c>
      <c r="E1711" s="62" t="s">
        <v>476</v>
      </c>
      <c r="F1711" s="14"/>
      <c r="G1711" s="14"/>
      <c r="H1711" s="14"/>
      <c r="I1711" s="11"/>
      <c r="J1711" s="14"/>
      <c r="K1711" s="16">
        <v>2</v>
      </c>
      <c r="L1711" s="15">
        <v>6</v>
      </c>
      <c r="M1711" s="14"/>
      <c r="P1711" s="23"/>
      <c r="Q1711" s="14"/>
      <c r="R1711" s="14"/>
    </row>
    <row r="1712" spans="1:18">
      <c r="B1712" s="60" t="s">
        <v>2932</v>
      </c>
      <c r="C1712" s="62" t="s">
        <v>494</v>
      </c>
      <c r="F1712" s="14"/>
      <c r="G1712" s="14"/>
      <c r="H1712" s="14"/>
      <c r="I1712" s="11"/>
      <c r="J1712" s="14"/>
      <c r="K1712" s="16">
        <v>3</v>
      </c>
      <c r="L1712" s="15">
        <v>6</v>
      </c>
      <c r="M1712" s="14"/>
      <c r="P1712" s="23"/>
      <c r="Q1712" s="14"/>
      <c r="R1712" s="14"/>
    </row>
    <row r="1713" spans="1:18">
      <c r="B1713" s="60" t="s">
        <v>2933</v>
      </c>
      <c r="C1713" s="62" t="s">
        <v>493</v>
      </c>
      <c r="D1713" s="1">
        <v>1</v>
      </c>
      <c r="F1713" s="14"/>
      <c r="G1713" s="14"/>
      <c r="H1713" s="14"/>
      <c r="I1713" s="11"/>
      <c r="J1713" s="14"/>
      <c r="K1713" s="16">
        <v>4</v>
      </c>
      <c r="L1713" s="15">
        <v>3</v>
      </c>
      <c r="M1713" s="14"/>
      <c r="P1713" s="23"/>
      <c r="Q1713" s="14"/>
      <c r="R1713" s="14"/>
    </row>
    <row r="1714" spans="1:18">
      <c r="B1714" s="60" t="s">
        <v>2936</v>
      </c>
      <c r="C1714" s="62" t="s">
        <v>493</v>
      </c>
      <c r="D1714" s="1">
        <v>200</v>
      </c>
      <c r="F1714" s="14"/>
      <c r="G1714" s="14"/>
      <c r="H1714" s="14"/>
      <c r="I1714" s="11"/>
      <c r="J1714" s="14"/>
      <c r="K1714" s="16">
        <v>5</v>
      </c>
      <c r="L1714" s="15"/>
      <c r="M1714" s="14"/>
      <c r="P1714" s="23"/>
      <c r="Q1714" s="14"/>
      <c r="R1714" s="14"/>
    </row>
    <row r="1715" spans="1:18">
      <c r="B1715" s="60" t="s">
        <v>2934</v>
      </c>
      <c r="C1715" s="62" t="s">
        <v>494</v>
      </c>
      <c r="F1715" s="14"/>
      <c r="G1715" s="14"/>
      <c r="H1715" s="14"/>
      <c r="I1715" s="11"/>
      <c r="J1715" s="14"/>
      <c r="K1715" s="16">
        <v>6</v>
      </c>
      <c r="L1715" s="15">
        <v>91</v>
      </c>
      <c r="M1715" s="14"/>
      <c r="P1715" s="23"/>
      <c r="Q1715" s="14"/>
      <c r="R1715" s="14"/>
    </row>
    <row r="1716" spans="1:18">
      <c r="B1716" s="60" t="s">
        <v>2935</v>
      </c>
      <c r="C1716" s="62" t="s">
        <v>494</v>
      </c>
      <c r="F1716" s="14"/>
      <c r="G1716" s="14"/>
      <c r="H1716" s="14"/>
      <c r="I1716" s="11"/>
      <c r="J1716" s="14"/>
      <c r="K1716" s="16">
        <v>7</v>
      </c>
      <c r="L1716" s="15">
        <v>92</v>
      </c>
      <c r="M1716" s="14"/>
      <c r="P1716" s="23"/>
      <c r="Q1716" s="14"/>
      <c r="R1716" s="14"/>
    </row>
    <row r="1717" spans="1:18">
      <c r="B1717" s="60"/>
      <c r="C1717" s="62"/>
      <c r="F1717" s="14"/>
      <c r="G1717" s="14"/>
      <c r="H1717" s="14"/>
      <c r="I1717" s="11"/>
      <c r="J1717" s="14"/>
      <c r="K1717" s="16"/>
      <c r="L1717" s="15"/>
      <c r="M1717" s="14"/>
      <c r="P1717" s="23"/>
      <c r="Q1717" s="14"/>
      <c r="R1717" s="14"/>
    </row>
    <row r="1718" spans="1:18" customFormat="1">
      <c r="A1718" t="s">
        <v>5091</v>
      </c>
      <c r="B1718" t="s">
        <v>5092</v>
      </c>
      <c r="C1718" t="s">
        <v>494</v>
      </c>
      <c r="E1718" t="s">
        <v>476</v>
      </c>
    </row>
    <row r="1719" spans="1:18" customFormat="1">
      <c r="B1719" t="s">
        <v>5093</v>
      </c>
      <c r="C1719" t="s">
        <v>493</v>
      </c>
      <c r="D1719">
        <v>100</v>
      </c>
    </row>
    <row r="1720" spans="1:18" customFormat="1">
      <c r="B1720" s="66"/>
      <c r="C1720" s="62"/>
      <c r="K1720" s="55"/>
      <c r="N1720" s="1"/>
      <c r="O1720" s="1"/>
      <c r="P1720" s="1"/>
    </row>
    <row r="1721" spans="1:18">
      <c r="B1721" s="66"/>
      <c r="C1721" s="64"/>
      <c r="D1721" s="16"/>
      <c r="F1721" s="14"/>
      <c r="G1721" s="14"/>
      <c r="H1721" s="47"/>
      <c r="I1721" s="11"/>
      <c r="J1721" s="14"/>
      <c r="K1721" s="16"/>
      <c r="L1721" s="15"/>
      <c r="M1721" s="14"/>
      <c r="N1721" s="62"/>
      <c r="O1721" s="62"/>
      <c r="P1721" s="23"/>
      <c r="Q1721" s="14"/>
      <c r="R1721" s="14"/>
    </row>
    <row r="1722" spans="1:18" s="62" customFormat="1">
      <c r="I1722" s="22"/>
      <c r="K1722" s="76"/>
      <c r="L1722" s="32"/>
    </row>
    <row r="1723" spans="1:18" s="62" customFormat="1">
      <c r="I1723" s="22"/>
      <c r="K1723" s="76"/>
      <c r="L1723" s="32"/>
    </row>
    <row r="1724" spans="1:18" customFormat="1">
      <c r="A1724" s="70" t="s">
        <v>3210</v>
      </c>
      <c r="B1724" s="70" t="s">
        <v>3211</v>
      </c>
      <c r="C1724" s="70" t="s">
        <v>494</v>
      </c>
      <c r="E1724" s="62" t="s">
        <v>476</v>
      </c>
      <c r="F1724">
        <v>27</v>
      </c>
      <c r="G1724">
        <v>2702</v>
      </c>
      <c r="H1724" s="62" t="s">
        <v>5062</v>
      </c>
      <c r="I1724" s="62" t="s">
        <v>5063</v>
      </c>
      <c r="J1724">
        <v>2201</v>
      </c>
      <c r="K1724" s="55">
        <v>1</v>
      </c>
      <c r="L1724">
        <v>8</v>
      </c>
    </row>
    <row r="1725" spans="1:18" customFormat="1">
      <c r="A1725" s="94"/>
      <c r="B1725" s="70" t="s">
        <v>3212</v>
      </c>
      <c r="C1725" s="70" t="s">
        <v>494</v>
      </c>
      <c r="E1725" s="62" t="s">
        <v>476</v>
      </c>
      <c r="K1725" s="55">
        <v>2</v>
      </c>
      <c r="L1725">
        <v>3</v>
      </c>
      <c r="M1725" s="14">
        <v>31</v>
      </c>
      <c r="N1725" s="62" t="s">
        <v>3655</v>
      </c>
      <c r="O1725" s="62" t="s">
        <v>3648</v>
      </c>
      <c r="P1725" s="62" t="s">
        <v>3657</v>
      </c>
      <c r="Q1725" s="47" t="s">
        <v>3658</v>
      </c>
      <c r="R1725" s="14">
        <v>4</v>
      </c>
    </row>
    <row r="1726" spans="1:18" customFormat="1">
      <c r="A1726" s="94"/>
      <c r="B1726" s="70" t="s">
        <v>3213</v>
      </c>
      <c r="C1726" s="70" t="s">
        <v>494</v>
      </c>
      <c r="H1726" s="62"/>
      <c r="K1726" s="55">
        <v>3</v>
      </c>
      <c r="L1726">
        <v>6</v>
      </c>
    </row>
    <row r="1727" spans="1:18" customFormat="1">
      <c r="A1727" s="94"/>
      <c r="B1727" s="70" t="s">
        <v>3230</v>
      </c>
      <c r="C1727" s="70" t="s">
        <v>494</v>
      </c>
      <c r="K1727" s="55">
        <v>4</v>
      </c>
      <c r="L1727">
        <v>3</v>
      </c>
      <c r="M1727">
        <v>3</v>
      </c>
      <c r="N1727" s="62" t="s">
        <v>3664</v>
      </c>
      <c r="O1727" s="62" t="s">
        <v>3666</v>
      </c>
      <c r="P1727" s="62" t="s">
        <v>3667</v>
      </c>
    </row>
    <row r="1728" spans="1:18">
      <c r="A1728" s="39"/>
      <c r="B1728" s="67" t="s">
        <v>3231</v>
      </c>
      <c r="C1728" s="70" t="s">
        <v>494</v>
      </c>
      <c r="F1728" s="14"/>
      <c r="G1728" s="14"/>
      <c r="H1728" s="14"/>
      <c r="I1728" s="11"/>
      <c r="J1728" s="14"/>
      <c r="K1728" s="55">
        <v>5</v>
      </c>
      <c r="L1728" s="15">
        <v>3</v>
      </c>
      <c r="M1728" s="14"/>
      <c r="N1728" s="62" t="s">
        <v>693</v>
      </c>
      <c r="O1728" s="1" t="s">
        <v>695</v>
      </c>
      <c r="P1728" s="1" t="s">
        <v>696</v>
      </c>
      <c r="Q1728" s="62"/>
      <c r="R1728" s="14"/>
    </row>
    <row r="1729" spans="1:18">
      <c r="A1729" s="39"/>
      <c r="B1729" s="67" t="s">
        <v>3232</v>
      </c>
      <c r="C1729" s="70" t="s">
        <v>494</v>
      </c>
      <c r="F1729" s="14"/>
      <c r="G1729" s="14"/>
      <c r="H1729" s="14"/>
      <c r="I1729" s="11"/>
      <c r="J1729" s="14"/>
      <c r="K1729" s="55">
        <v>6</v>
      </c>
      <c r="L1729" s="15">
        <v>3</v>
      </c>
      <c r="M1729" s="14">
        <v>31</v>
      </c>
      <c r="N1729" s="62" t="s">
        <v>379</v>
      </c>
      <c r="O1729" s="62" t="s">
        <v>698</v>
      </c>
      <c r="P1729" s="62" t="s">
        <v>699</v>
      </c>
      <c r="Q1729" s="62" t="s">
        <v>383</v>
      </c>
      <c r="R1729" s="14">
        <v>5</v>
      </c>
    </row>
    <row r="1730" spans="1:18" customFormat="1">
      <c r="B1730" s="62" t="s">
        <v>3215</v>
      </c>
      <c r="C1730" s="64" t="s">
        <v>494</v>
      </c>
      <c r="K1730" s="55">
        <v>7</v>
      </c>
      <c r="L1730" s="32">
        <v>3</v>
      </c>
      <c r="M1730">
        <v>31</v>
      </c>
      <c r="N1730" s="62" t="s">
        <v>3649</v>
      </c>
      <c r="O1730" s="64" t="s">
        <v>3652</v>
      </c>
      <c r="P1730" s="66" t="s">
        <v>3651</v>
      </c>
      <c r="Q1730" s="66" t="s">
        <v>3650</v>
      </c>
      <c r="R1730">
        <v>2</v>
      </c>
    </row>
    <row r="1731" spans="1:18" customFormat="1">
      <c r="B1731" s="70" t="s">
        <v>4327</v>
      </c>
      <c r="C1731" s="70" t="s">
        <v>494</v>
      </c>
      <c r="H1731" s="62"/>
      <c r="K1731" s="55">
        <v>33</v>
      </c>
      <c r="L1731">
        <v>3</v>
      </c>
      <c r="M1731">
        <v>1</v>
      </c>
      <c r="N1731" s="62" t="s">
        <v>4452</v>
      </c>
      <c r="O1731" s="62" t="s">
        <v>4453</v>
      </c>
      <c r="P1731" s="62" t="s">
        <v>4454</v>
      </c>
    </row>
    <row r="1732" spans="1:18" customFormat="1">
      <c r="B1732" s="70" t="s">
        <v>4322</v>
      </c>
      <c r="C1732" s="70" t="s">
        <v>494</v>
      </c>
      <c r="K1732" s="55">
        <v>34</v>
      </c>
      <c r="L1732">
        <v>3</v>
      </c>
      <c r="N1732" t="s">
        <v>4466</v>
      </c>
      <c r="O1732" s="62" t="s">
        <v>4467</v>
      </c>
      <c r="P1732" t="s">
        <v>4468</v>
      </c>
    </row>
    <row r="1733" spans="1:18" customFormat="1">
      <c r="B1733" s="100" t="s">
        <v>4545</v>
      </c>
      <c r="C1733" s="100" t="s">
        <v>494</v>
      </c>
      <c r="K1733" s="55">
        <v>8</v>
      </c>
      <c r="L1733">
        <v>8</v>
      </c>
    </row>
    <row r="1734" spans="1:18" customFormat="1">
      <c r="B1734" s="100" t="s">
        <v>4544</v>
      </c>
      <c r="C1734" s="100" t="s">
        <v>494</v>
      </c>
      <c r="K1734" s="55">
        <v>9</v>
      </c>
      <c r="L1734">
        <v>7</v>
      </c>
    </row>
    <row r="1735" spans="1:18" customFormat="1">
      <c r="B1735" s="100" t="s">
        <v>5066</v>
      </c>
      <c r="C1735" s="100" t="s">
        <v>494</v>
      </c>
      <c r="K1735" s="55">
        <v>10</v>
      </c>
      <c r="L1735">
        <v>3</v>
      </c>
      <c r="M1735">
        <v>2</v>
      </c>
      <c r="N1735" s="62" t="s">
        <v>5022</v>
      </c>
      <c r="O1735" s="66" t="s">
        <v>5026</v>
      </c>
      <c r="P1735" s="66" t="s">
        <v>5065</v>
      </c>
    </row>
    <row r="1736" spans="1:18">
      <c r="B1736" s="66"/>
      <c r="C1736" s="64"/>
      <c r="F1736" s="14"/>
      <c r="G1736" s="14"/>
      <c r="H1736" s="14"/>
      <c r="I1736" s="11"/>
      <c r="J1736" s="14"/>
      <c r="K1736" s="55"/>
      <c r="L1736" s="15"/>
      <c r="M1736" s="14"/>
      <c r="N1736" s="62"/>
      <c r="O1736" s="62"/>
      <c r="P1736" s="62"/>
      <c r="Q1736" s="62"/>
      <c r="R1736" s="14"/>
    </row>
    <row r="1737" spans="1:18" s="62" customFormat="1">
      <c r="A1737" s="62" t="s">
        <v>5041</v>
      </c>
      <c r="B1737" s="62" t="s">
        <v>5042</v>
      </c>
      <c r="C1737" s="62" t="s">
        <v>494</v>
      </c>
      <c r="E1737" s="62" t="s">
        <v>476</v>
      </c>
      <c r="F1737" s="62">
        <v>27</v>
      </c>
      <c r="G1737" s="62">
        <v>2703</v>
      </c>
      <c r="H1737" s="62" t="s">
        <v>5064</v>
      </c>
      <c r="I1737" s="22"/>
      <c r="J1737" s="62">
        <v>2201</v>
      </c>
      <c r="K1737" s="76">
        <v>1</v>
      </c>
      <c r="L1737" s="55">
        <v>52</v>
      </c>
      <c r="N1737" s="62">
        <v>2702</v>
      </c>
      <c r="O1737" s="62" t="s">
        <v>3213</v>
      </c>
    </row>
    <row r="1738" spans="1:18" s="62" customFormat="1">
      <c r="B1738" s="62" t="s">
        <v>5043</v>
      </c>
      <c r="C1738" s="62" t="s">
        <v>494</v>
      </c>
      <c r="E1738" s="62" t="s">
        <v>476</v>
      </c>
      <c r="I1738" s="22"/>
      <c r="K1738" s="76">
        <v>2</v>
      </c>
      <c r="L1738" s="55">
        <v>3</v>
      </c>
      <c r="N1738" s="62" t="s">
        <v>5022</v>
      </c>
      <c r="O1738" s="66" t="s">
        <v>5026</v>
      </c>
      <c r="P1738" s="66" t="s">
        <v>5065</v>
      </c>
    </row>
    <row r="1739" spans="1:18" s="62" customFormat="1">
      <c r="B1739" s="62" t="s">
        <v>5044</v>
      </c>
      <c r="C1739" s="62" t="s">
        <v>494</v>
      </c>
      <c r="I1739" s="22"/>
      <c r="K1739" s="76">
        <v>3</v>
      </c>
      <c r="L1739" s="55">
        <v>6</v>
      </c>
    </row>
    <row r="1740" spans="1:18" s="62" customFormat="1">
      <c r="B1740" s="62" t="s">
        <v>5045</v>
      </c>
      <c r="C1740" s="62" t="s">
        <v>494</v>
      </c>
      <c r="I1740" s="22"/>
      <c r="K1740" s="76">
        <v>4</v>
      </c>
      <c r="L1740" s="55">
        <v>6</v>
      </c>
    </row>
    <row r="1741" spans="1:18" s="62" customFormat="1">
      <c r="B1741" s="62" t="s">
        <v>5046</v>
      </c>
      <c r="C1741" s="62" t="s">
        <v>494</v>
      </c>
      <c r="I1741" s="22"/>
      <c r="K1741" s="76">
        <v>5</v>
      </c>
      <c r="L1741" s="55">
        <v>7</v>
      </c>
    </row>
    <row r="1742" spans="1:18" s="62" customFormat="1">
      <c r="B1742" s="62" t="s">
        <v>5047</v>
      </c>
      <c r="C1742" s="62" t="s">
        <v>494</v>
      </c>
      <c r="I1742" s="22"/>
      <c r="K1742" s="76">
        <v>6</v>
      </c>
      <c r="L1742" s="55">
        <v>3</v>
      </c>
      <c r="N1742" s="62" t="s">
        <v>5050</v>
      </c>
      <c r="O1742" s="62" t="s">
        <v>5052</v>
      </c>
      <c r="P1742" s="62" t="s">
        <v>5054</v>
      </c>
    </row>
    <row r="1743" spans="1:18" s="62" customFormat="1">
      <c r="B1743" s="62" t="s">
        <v>5049</v>
      </c>
      <c r="C1743" s="62" t="s">
        <v>520</v>
      </c>
      <c r="I1743" s="22"/>
      <c r="K1743" s="76">
        <v>7</v>
      </c>
      <c r="L1743" s="32"/>
    </row>
    <row r="1744" spans="1:18" s="62" customFormat="1">
      <c r="B1744" s="62" t="s">
        <v>5048</v>
      </c>
      <c r="C1744" s="62" t="s">
        <v>494</v>
      </c>
      <c r="I1744" s="22"/>
      <c r="K1744" s="76">
        <v>8</v>
      </c>
      <c r="L1744" s="55">
        <v>8</v>
      </c>
      <c r="M1744" s="62">
        <v>1</v>
      </c>
    </row>
    <row r="1745" spans="1:16" customFormat="1"/>
    <row r="1746" spans="1:16" customFormat="1">
      <c r="A1746" s="70" t="s">
        <v>4332</v>
      </c>
      <c r="B1746" s="70" t="s">
        <v>4334</v>
      </c>
      <c r="C1746" s="70" t="s">
        <v>494</v>
      </c>
      <c r="E1746" t="s">
        <v>476</v>
      </c>
      <c r="F1746" s="94">
        <v>22</v>
      </c>
      <c r="G1746" s="94">
        <v>2222</v>
      </c>
      <c r="H1746" t="s">
        <v>4443</v>
      </c>
      <c r="J1746">
        <v>2201</v>
      </c>
      <c r="K1746" s="55">
        <v>1</v>
      </c>
      <c r="L1746">
        <v>52</v>
      </c>
      <c r="N1746">
        <v>2201</v>
      </c>
      <c r="O1746" s="62" t="s">
        <v>3213</v>
      </c>
    </row>
    <row r="1747" spans="1:16" customFormat="1">
      <c r="A1747" s="94"/>
      <c r="B1747" s="70" t="s">
        <v>4333</v>
      </c>
      <c r="C1747" s="70" t="s">
        <v>494</v>
      </c>
      <c r="E1747" t="s">
        <v>476</v>
      </c>
      <c r="K1747" s="55">
        <v>2</v>
      </c>
      <c r="L1747">
        <v>6</v>
      </c>
    </row>
    <row r="1748" spans="1:16" customFormat="1">
      <c r="A1748" s="94"/>
      <c r="B1748" s="70" t="s">
        <v>4335</v>
      </c>
      <c r="C1748" s="70" t="s">
        <v>494</v>
      </c>
      <c r="K1748" s="55">
        <v>3</v>
      </c>
      <c r="L1748">
        <v>6</v>
      </c>
    </row>
    <row r="1749" spans="1:16" customFormat="1">
      <c r="A1749" s="94"/>
      <c r="B1749" s="70" t="s">
        <v>4336</v>
      </c>
      <c r="C1749" s="70" t="s">
        <v>494</v>
      </c>
      <c r="K1749" s="55">
        <v>4</v>
      </c>
      <c r="L1749">
        <v>3</v>
      </c>
      <c r="N1749" s="62" t="s">
        <v>3218</v>
      </c>
      <c r="O1749" s="62" t="s">
        <v>3219</v>
      </c>
      <c r="P1749" s="62" t="s">
        <v>3220</v>
      </c>
    </row>
    <row r="1750" spans="1:16" customFormat="1">
      <c r="A1750" s="94"/>
      <c r="B1750" s="70" t="s">
        <v>4337</v>
      </c>
      <c r="C1750" s="70" t="s">
        <v>494</v>
      </c>
      <c r="K1750" s="55">
        <v>5</v>
      </c>
      <c r="L1750">
        <v>3</v>
      </c>
      <c r="N1750" s="62" t="s">
        <v>3218</v>
      </c>
      <c r="O1750" s="62" t="s">
        <v>3219</v>
      </c>
      <c r="P1750" s="62" t="s">
        <v>3220</v>
      </c>
    </row>
    <row r="1751" spans="1:16" customFormat="1">
      <c r="A1751" s="94"/>
      <c r="B1751" s="70" t="s">
        <v>4338</v>
      </c>
      <c r="C1751" s="70" t="s">
        <v>494</v>
      </c>
      <c r="K1751" s="55">
        <v>6</v>
      </c>
      <c r="L1751">
        <v>7</v>
      </c>
    </row>
    <row r="1752" spans="1:16" customFormat="1">
      <c r="A1752" s="94"/>
      <c r="B1752" s="70" t="s">
        <v>4339</v>
      </c>
      <c r="C1752" s="70" t="s">
        <v>520</v>
      </c>
      <c r="K1752" s="55">
        <v>7</v>
      </c>
    </row>
    <row r="1753" spans="1:16" customFormat="1">
      <c r="B1753" s="62"/>
      <c r="C1753" s="64"/>
      <c r="K1753" s="55"/>
    </row>
    <row r="1754" spans="1:16" customFormat="1">
      <c r="A1754" s="62" t="s">
        <v>5050</v>
      </c>
      <c r="B1754" s="62" t="s">
        <v>5051</v>
      </c>
      <c r="C1754" s="62" t="s">
        <v>494</v>
      </c>
      <c r="E1754" s="62" t="s">
        <v>476</v>
      </c>
      <c r="F1754">
        <v>27</v>
      </c>
      <c r="G1754">
        <v>2704</v>
      </c>
      <c r="H1754" s="62" t="s">
        <v>5056</v>
      </c>
      <c r="I1754" s="62" t="s">
        <v>5057</v>
      </c>
      <c r="J1754">
        <v>2</v>
      </c>
      <c r="K1754">
        <v>1</v>
      </c>
      <c r="L1754">
        <v>6</v>
      </c>
    </row>
    <row r="1755" spans="1:16" customFormat="1">
      <c r="B1755" s="62" t="s">
        <v>5052</v>
      </c>
      <c r="C1755" s="62" t="s">
        <v>494</v>
      </c>
      <c r="K1755">
        <v>2</v>
      </c>
      <c r="L1755">
        <v>6</v>
      </c>
    </row>
    <row r="1756" spans="1:16" customFormat="1">
      <c r="B1756" s="62" t="s">
        <v>5055</v>
      </c>
      <c r="C1756" s="62" t="s">
        <v>493</v>
      </c>
      <c r="D1756">
        <v>1</v>
      </c>
      <c r="K1756">
        <v>3</v>
      </c>
      <c r="L1756">
        <v>3</v>
      </c>
    </row>
    <row r="1757" spans="1:16" customFormat="1">
      <c r="B1757" s="62" t="s">
        <v>5053</v>
      </c>
      <c r="C1757" s="62" t="s">
        <v>494</v>
      </c>
      <c r="K1757">
        <v>4</v>
      </c>
    </row>
    <row r="1758" spans="1:16" customFormat="1">
      <c r="B1758" s="62" t="s">
        <v>5054</v>
      </c>
      <c r="C1758" s="62" t="s">
        <v>493</v>
      </c>
      <c r="D1758">
        <v>100</v>
      </c>
      <c r="K1758">
        <v>5</v>
      </c>
    </row>
    <row r="1759" spans="1:16" customFormat="1"/>
    <row r="1760" spans="1:16" customFormat="1">
      <c r="A1760" s="62" t="s">
        <v>5059</v>
      </c>
      <c r="B1760" s="62" t="s">
        <v>5060</v>
      </c>
      <c r="C1760" s="62" t="s">
        <v>494</v>
      </c>
      <c r="E1760" s="62" t="s">
        <v>476</v>
      </c>
    </row>
    <row r="1761" spans="1:18" customFormat="1">
      <c r="B1761" s="62" t="s">
        <v>5061</v>
      </c>
      <c r="C1761" s="62" t="s">
        <v>493</v>
      </c>
      <c r="D1761">
        <v>100</v>
      </c>
    </row>
    <row r="1762" spans="1:18" customFormat="1"/>
    <row r="1763" spans="1:18" customFormat="1">
      <c r="A1763" s="70" t="s">
        <v>3210</v>
      </c>
      <c r="B1763" s="70" t="s">
        <v>3211</v>
      </c>
      <c r="C1763" s="70" t="s">
        <v>494</v>
      </c>
      <c r="E1763" s="62" t="s">
        <v>476</v>
      </c>
      <c r="F1763">
        <v>27</v>
      </c>
      <c r="G1763">
        <v>2706</v>
      </c>
      <c r="H1763" s="62" t="s">
        <v>5067</v>
      </c>
      <c r="I1763" s="62" t="s">
        <v>5068</v>
      </c>
      <c r="J1763">
        <v>2201</v>
      </c>
      <c r="K1763" s="55">
        <v>1</v>
      </c>
      <c r="L1763">
        <v>8</v>
      </c>
    </row>
    <row r="1764" spans="1:18" customFormat="1">
      <c r="A1764" s="94"/>
      <c r="B1764" s="70" t="s">
        <v>3212</v>
      </c>
      <c r="C1764" s="70" t="s">
        <v>494</v>
      </c>
      <c r="E1764" s="62" t="s">
        <v>476</v>
      </c>
      <c r="K1764" s="55">
        <v>2</v>
      </c>
      <c r="L1764">
        <v>3</v>
      </c>
      <c r="M1764" s="14">
        <v>31</v>
      </c>
      <c r="N1764" s="62" t="s">
        <v>3655</v>
      </c>
      <c r="O1764" s="62" t="s">
        <v>3648</v>
      </c>
      <c r="P1764" s="62" t="s">
        <v>3657</v>
      </c>
      <c r="Q1764" s="47" t="s">
        <v>3658</v>
      </c>
      <c r="R1764" s="14">
        <v>4</v>
      </c>
    </row>
    <row r="1765" spans="1:18" customFormat="1">
      <c r="A1765" s="94"/>
      <c r="B1765" s="70" t="s">
        <v>3213</v>
      </c>
      <c r="C1765" s="70" t="s">
        <v>494</v>
      </c>
      <c r="H1765" s="62"/>
      <c r="K1765" s="55">
        <v>3</v>
      </c>
      <c r="L1765">
        <v>6</v>
      </c>
    </row>
    <row r="1766" spans="1:18" customFormat="1">
      <c r="A1766" s="94"/>
      <c r="B1766" s="70" t="s">
        <v>3230</v>
      </c>
      <c r="C1766" s="70" t="s">
        <v>494</v>
      </c>
      <c r="K1766" s="55">
        <v>4</v>
      </c>
      <c r="L1766">
        <v>3</v>
      </c>
      <c r="M1766">
        <v>3</v>
      </c>
      <c r="N1766" s="62" t="s">
        <v>3664</v>
      </c>
      <c r="O1766" s="62" t="s">
        <v>3666</v>
      </c>
      <c r="P1766" s="62" t="s">
        <v>3667</v>
      </c>
    </row>
    <row r="1767" spans="1:18">
      <c r="A1767" s="39"/>
      <c r="B1767" s="67" t="s">
        <v>3231</v>
      </c>
      <c r="C1767" s="70" t="s">
        <v>494</v>
      </c>
      <c r="F1767" s="14"/>
      <c r="G1767" s="14"/>
      <c r="H1767" s="14"/>
      <c r="I1767" s="11"/>
      <c r="J1767" s="14"/>
      <c r="K1767" s="55">
        <v>5</v>
      </c>
      <c r="L1767" s="15">
        <v>3</v>
      </c>
      <c r="M1767" s="14"/>
      <c r="N1767" s="62" t="s">
        <v>693</v>
      </c>
      <c r="O1767" s="1" t="s">
        <v>695</v>
      </c>
      <c r="P1767" s="1" t="s">
        <v>696</v>
      </c>
      <c r="Q1767" s="62"/>
      <c r="R1767" s="14"/>
    </row>
    <row r="1768" spans="1:18">
      <c r="A1768" s="39"/>
      <c r="B1768" s="67" t="s">
        <v>3232</v>
      </c>
      <c r="C1768" s="70" t="s">
        <v>494</v>
      </c>
      <c r="F1768" s="14"/>
      <c r="G1768" s="14"/>
      <c r="H1768" s="14"/>
      <c r="I1768" s="11"/>
      <c r="J1768" s="14"/>
      <c r="K1768" s="55">
        <v>6</v>
      </c>
      <c r="L1768" s="15">
        <v>3</v>
      </c>
      <c r="M1768" s="14">
        <v>31</v>
      </c>
      <c r="N1768" s="62" t="s">
        <v>379</v>
      </c>
      <c r="O1768" s="62" t="s">
        <v>698</v>
      </c>
      <c r="P1768" s="62" t="s">
        <v>699</v>
      </c>
      <c r="Q1768" s="62" t="s">
        <v>383</v>
      </c>
      <c r="R1768" s="14">
        <v>5</v>
      </c>
    </row>
    <row r="1769" spans="1:18" customFormat="1">
      <c r="B1769" s="70" t="s">
        <v>4322</v>
      </c>
      <c r="C1769" s="70" t="s">
        <v>494</v>
      </c>
      <c r="K1769" s="55">
        <v>7</v>
      </c>
      <c r="L1769">
        <v>3</v>
      </c>
      <c r="N1769" t="s">
        <v>4466</v>
      </c>
      <c r="O1769" s="62" t="s">
        <v>4467</v>
      </c>
      <c r="P1769" t="s">
        <v>4468</v>
      </c>
    </row>
    <row r="1770" spans="1:18" customFormat="1">
      <c r="B1770" s="100" t="s">
        <v>4546</v>
      </c>
      <c r="C1770" s="100" t="s">
        <v>493</v>
      </c>
      <c r="D1770">
        <v>100</v>
      </c>
      <c r="K1770" s="55">
        <v>53</v>
      </c>
    </row>
    <row r="1771" spans="1:18" customFormat="1">
      <c r="B1771" s="100" t="s">
        <v>4545</v>
      </c>
      <c r="C1771" s="100" t="s">
        <v>494</v>
      </c>
      <c r="K1771" s="55">
        <v>54</v>
      </c>
      <c r="L1771">
        <v>8</v>
      </c>
    </row>
    <row r="1772" spans="1:18" customFormat="1">
      <c r="B1772" s="100" t="s">
        <v>4544</v>
      </c>
      <c r="C1772" s="100" t="s">
        <v>494</v>
      </c>
      <c r="K1772" s="55">
        <v>55</v>
      </c>
      <c r="L1772">
        <v>7</v>
      </c>
    </row>
    <row r="1773" spans="1:18" customFormat="1">
      <c r="B1773" s="100" t="s">
        <v>5066</v>
      </c>
      <c r="C1773" s="100" t="s">
        <v>494</v>
      </c>
      <c r="K1773" s="55">
        <v>56</v>
      </c>
      <c r="L1773">
        <v>3</v>
      </c>
      <c r="M1773">
        <v>2</v>
      </c>
      <c r="N1773" s="62" t="s">
        <v>5022</v>
      </c>
      <c r="O1773" s="66" t="s">
        <v>5026</v>
      </c>
      <c r="P1773" s="66" t="s">
        <v>5065</v>
      </c>
    </row>
    <row r="1774" spans="1:18">
      <c r="B1774" s="66"/>
      <c r="C1774" s="64"/>
      <c r="F1774" s="14"/>
      <c r="G1774" s="14"/>
      <c r="H1774" s="14"/>
      <c r="I1774" s="11"/>
      <c r="J1774" s="14"/>
      <c r="K1774" s="55"/>
      <c r="L1774" s="15"/>
      <c r="M1774" s="14"/>
      <c r="N1774" s="62"/>
      <c r="O1774" s="62"/>
      <c r="P1774" s="62"/>
      <c r="Q1774" s="62"/>
      <c r="R1774" s="14"/>
    </row>
    <row r="1775" spans="1:18" customFormat="1"/>
    <row r="1776" spans="1:18" customFormat="1"/>
    <row r="1777" spans="1:18" customFormat="1"/>
    <row r="1778" spans="1:18" customFormat="1">
      <c r="A1778" s="62" t="s">
        <v>4969</v>
      </c>
      <c r="B1778" s="66" t="s">
        <v>4971</v>
      </c>
      <c r="C1778" s="64" t="s">
        <v>494</v>
      </c>
      <c r="E1778" s="62" t="s">
        <v>476</v>
      </c>
      <c r="F1778">
        <v>24</v>
      </c>
      <c r="G1778">
        <v>2407</v>
      </c>
      <c r="H1778" s="62" t="s">
        <v>5002</v>
      </c>
      <c r="I1778" s="62" t="s">
        <v>5003</v>
      </c>
      <c r="J1778">
        <v>2202</v>
      </c>
      <c r="K1778">
        <v>1</v>
      </c>
      <c r="L1778">
        <v>3</v>
      </c>
      <c r="N1778" s="10" t="s">
        <v>506</v>
      </c>
      <c r="O1778" s="10" t="s">
        <v>514</v>
      </c>
      <c r="P1778" s="1" t="s">
        <v>515</v>
      </c>
    </row>
    <row r="1779" spans="1:18" customFormat="1">
      <c r="B1779" s="66" t="s">
        <v>4972</v>
      </c>
      <c r="C1779" s="64" t="s">
        <v>494</v>
      </c>
      <c r="E1779" s="62" t="s">
        <v>476</v>
      </c>
      <c r="K1779">
        <v>2</v>
      </c>
      <c r="L1779">
        <v>8</v>
      </c>
    </row>
    <row r="1780" spans="1:18" customFormat="1">
      <c r="B1780" s="62" t="s">
        <v>4973</v>
      </c>
      <c r="C1780" s="64" t="s">
        <v>494</v>
      </c>
      <c r="E1780" s="62" t="s">
        <v>476</v>
      </c>
      <c r="K1780">
        <v>3</v>
      </c>
      <c r="L1780">
        <v>3</v>
      </c>
      <c r="M1780">
        <v>31</v>
      </c>
      <c r="N1780" s="1" t="s">
        <v>1038</v>
      </c>
      <c r="O1780" s="23" t="s">
        <v>1040</v>
      </c>
      <c r="P1780" s="23" t="s">
        <v>1041</v>
      </c>
      <c r="Q1780" s="23" t="s">
        <v>1040</v>
      </c>
      <c r="R1780">
        <v>2</v>
      </c>
    </row>
    <row r="1781" spans="1:18" customFormat="1">
      <c r="B1781" s="62" t="s">
        <v>4974</v>
      </c>
      <c r="C1781" s="64" t="s">
        <v>494</v>
      </c>
      <c r="E1781" s="62" t="s">
        <v>476</v>
      </c>
      <c r="K1781">
        <v>4</v>
      </c>
      <c r="L1781">
        <v>3</v>
      </c>
      <c r="M1781">
        <v>31</v>
      </c>
      <c r="N1781" s="62" t="s">
        <v>961</v>
      </c>
      <c r="O1781" s="23" t="s">
        <v>942</v>
      </c>
      <c r="P1781" s="23" t="s">
        <v>945</v>
      </c>
      <c r="Q1781" s="62" t="s">
        <v>942</v>
      </c>
      <c r="R1781">
        <v>3</v>
      </c>
    </row>
    <row r="1782" spans="1:18" customFormat="1">
      <c r="B1782" s="62" t="s">
        <v>4970</v>
      </c>
      <c r="C1782" s="64" t="s">
        <v>494</v>
      </c>
      <c r="E1782" s="62" t="s">
        <v>476</v>
      </c>
      <c r="K1782">
        <v>5</v>
      </c>
      <c r="L1782">
        <v>6</v>
      </c>
    </row>
    <row r="1783" spans="1:18" customFormat="1">
      <c r="B1783" s="62" t="s">
        <v>4975</v>
      </c>
      <c r="C1783" s="64" t="s">
        <v>494</v>
      </c>
      <c r="K1783">
        <v>6</v>
      </c>
      <c r="L1783">
        <v>6</v>
      </c>
    </row>
    <row r="1784" spans="1:18" customFormat="1">
      <c r="B1784" s="62" t="s">
        <v>4983</v>
      </c>
      <c r="C1784" s="64" t="s">
        <v>494</v>
      </c>
      <c r="K1784">
        <v>7</v>
      </c>
      <c r="L1784">
        <v>30</v>
      </c>
      <c r="N1784" s="62" t="s">
        <v>5005</v>
      </c>
      <c r="O1784" s="62" t="s">
        <v>5006</v>
      </c>
      <c r="P1784" s="62" t="s">
        <v>5007</v>
      </c>
    </row>
    <row r="1785" spans="1:18" customFormat="1">
      <c r="B1785" s="62" t="s">
        <v>4980</v>
      </c>
      <c r="C1785" s="64" t="s">
        <v>494</v>
      </c>
      <c r="K1785">
        <v>8</v>
      </c>
      <c r="L1785">
        <v>7</v>
      </c>
      <c r="M1785">
        <v>3</v>
      </c>
      <c r="N1785" s="62"/>
    </row>
    <row r="1786" spans="1:18" customFormat="1">
      <c r="B1786" s="62" t="s">
        <v>4981</v>
      </c>
      <c r="C1786" s="64" t="s">
        <v>702</v>
      </c>
      <c r="K1786">
        <v>9</v>
      </c>
    </row>
    <row r="1787" spans="1:18" customFormat="1">
      <c r="B1787" s="62" t="s">
        <v>4982</v>
      </c>
      <c r="C1787" s="64" t="s">
        <v>702</v>
      </c>
      <c r="K1787">
        <v>10</v>
      </c>
    </row>
    <row r="1788" spans="1:18" customFormat="1">
      <c r="B1788" s="62" t="s">
        <v>4976</v>
      </c>
      <c r="C1788" s="62" t="s">
        <v>520</v>
      </c>
      <c r="K1788">
        <v>11</v>
      </c>
    </row>
    <row r="1789" spans="1:18" customFormat="1">
      <c r="B1789" s="62" t="s">
        <v>4977</v>
      </c>
      <c r="C1789" s="62" t="s">
        <v>494</v>
      </c>
      <c r="K1789">
        <v>12</v>
      </c>
      <c r="L1789">
        <v>8</v>
      </c>
      <c r="M1789">
        <v>1</v>
      </c>
    </row>
    <row r="1790" spans="1:18" customFormat="1">
      <c r="B1790" s="62" t="s">
        <v>4978</v>
      </c>
      <c r="C1790" s="62" t="s">
        <v>494</v>
      </c>
      <c r="K1790">
        <v>13</v>
      </c>
      <c r="L1790">
        <v>8</v>
      </c>
      <c r="M1790">
        <v>1</v>
      </c>
    </row>
    <row r="1791" spans="1:18" customFormat="1">
      <c r="B1791" s="62" t="s">
        <v>4979</v>
      </c>
      <c r="C1791" s="62" t="s">
        <v>494</v>
      </c>
      <c r="K1791">
        <v>14</v>
      </c>
      <c r="L1791">
        <v>7</v>
      </c>
      <c r="M1791">
        <v>1</v>
      </c>
    </row>
    <row r="1792" spans="1:18" customFormat="1">
      <c r="B1792" s="62" t="s">
        <v>5004</v>
      </c>
      <c r="C1792" s="62" t="s">
        <v>494</v>
      </c>
      <c r="K1792">
        <v>15</v>
      </c>
      <c r="L1792">
        <v>7</v>
      </c>
      <c r="M1792">
        <v>1</v>
      </c>
    </row>
    <row r="1793" spans="1:18" customFormat="1">
      <c r="B1793" s="62"/>
    </row>
    <row r="1794" spans="1:18" customFormat="1">
      <c r="A1794" s="62" t="s">
        <v>4984</v>
      </c>
      <c r="B1794" s="62" t="s">
        <v>4985</v>
      </c>
      <c r="C1794" s="62" t="s">
        <v>494</v>
      </c>
      <c r="E1794" s="62" t="s">
        <v>476</v>
      </c>
      <c r="F1794">
        <v>24</v>
      </c>
      <c r="G1794" s="62">
        <v>2408</v>
      </c>
      <c r="H1794" s="62" t="s">
        <v>4294</v>
      </c>
      <c r="I1794" s="62" t="s">
        <v>5001</v>
      </c>
      <c r="J1794">
        <v>11</v>
      </c>
      <c r="K1794">
        <v>1</v>
      </c>
      <c r="L1794">
        <v>3</v>
      </c>
      <c r="N1794" s="10" t="s">
        <v>506</v>
      </c>
      <c r="O1794" s="10" t="s">
        <v>514</v>
      </c>
      <c r="P1794" s="1" t="s">
        <v>515</v>
      </c>
    </row>
    <row r="1795" spans="1:18" customFormat="1">
      <c r="B1795" s="62" t="s">
        <v>4986</v>
      </c>
      <c r="C1795" s="62" t="s">
        <v>494</v>
      </c>
      <c r="E1795" s="62" t="s">
        <v>476</v>
      </c>
      <c r="K1795">
        <v>2</v>
      </c>
      <c r="L1795">
        <v>3</v>
      </c>
      <c r="N1795" s="1" t="s">
        <v>1038</v>
      </c>
      <c r="O1795" s="23" t="s">
        <v>1040</v>
      </c>
      <c r="P1795" s="23" t="s">
        <v>1041</v>
      </c>
      <c r="Q1795" s="23" t="s">
        <v>1040</v>
      </c>
    </row>
    <row r="1796" spans="1:18" customFormat="1">
      <c r="B1796" s="62" t="s">
        <v>4987</v>
      </c>
      <c r="C1796" s="62" t="s">
        <v>494</v>
      </c>
      <c r="E1796" s="62" t="s">
        <v>476</v>
      </c>
      <c r="K1796">
        <v>3</v>
      </c>
      <c r="L1796">
        <v>8</v>
      </c>
    </row>
    <row r="1797" spans="1:18" customFormat="1">
      <c r="B1797" s="62" t="s">
        <v>4999</v>
      </c>
      <c r="C1797" s="62" t="s">
        <v>494</v>
      </c>
      <c r="E1797" s="62" t="s">
        <v>476</v>
      </c>
      <c r="K1797">
        <v>4</v>
      </c>
      <c r="L1797">
        <v>3</v>
      </c>
      <c r="M1797" s="14"/>
      <c r="N1797" s="62" t="s">
        <v>693</v>
      </c>
      <c r="O1797" s="1" t="s">
        <v>695</v>
      </c>
      <c r="P1797" s="1" t="s">
        <v>696</v>
      </c>
      <c r="Q1797" s="62"/>
    </row>
    <row r="1798" spans="1:18" customFormat="1">
      <c r="B1798" s="62" t="s">
        <v>5000</v>
      </c>
      <c r="C1798" s="62" t="s">
        <v>494</v>
      </c>
      <c r="E1798" s="62" t="s">
        <v>476</v>
      </c>
      <c r="K1798">
        <v>5</v>
      </c>
      <c r="L1798">
        <v>3</v>
      </c>
      <c r="M1798" s="14">
        <v>31</v>
      </c>
      <c r="N1798" s="62" t="s">
        <v>379</v>
      </c>
      <c r="O1798" s="62" t="s">
        <v>698</v>
      </c>
      <c r="P1798" s="62" t="s">
        <v>699</v>
      </c>
      <c r="Q1798" s="62" t="s">
        <v>383</v>
      </c>
      <c r="R1798">
        <v>4</v>
      </c>
    </row>
    <row r="1799" spans="1:18" customFormat="1">
      <c r="B1799" s="62" t="s">
        <v>5008</v>
      </c>
      <c r="C1799" s="62" t="s">
        <v>494</v>
      </c>
      <c r="E1799" s="62" t="s">
        <v>476</v>
      </c>
      <c r="K1799">
        <v>6</v>
      </c>
      <c r="L1799">
        <v>3</v>
      </c>
      <c r="M1799" s="14"/>
      <c r="N1799" s="62" t="s">
        <v>3664</v>
      </c>
      <c r="O1799" s="62" t="s">
        <v>3666</v>
      </c>
      <c r="P1799" s="62" t="s">
        <v>3667</v>
      </c>
      <c r="Q1799" s="62"/>
    </row>
    <row r="1800" spans="1:18" customFormat="1">
      <c r="B1800" s="62" t="s">
        <v>5009</v>
      </c>
      <c r="C1800" s="62" t="s">
        <v>494</v>
      </c>
      <c r="E1800" s="62" t="s">
        <v>476</v>
      </c>
      <c r="K1800">
        <v>7</v>
      </c>
      <c r="L1800">
        <v>3</v>
      </c>
      <c r="M1800" s="14">
        <v>31</v>
      </c>
      <c r="N1800" s="62" t="s">
        <v>3655</v>
      </c>
      <c r="O1800" s="62" t="s">
        <v>3648</v>
      </c>
      <c r="P1800" s="62" t="s">
        <v>3657</v>
      </c>
      <c r="Q1800" s="47" t="s">
        <v>3658</v>
      </c>
      <c r="R1800">
        <v>6</v>
      </c>
    </row>
    <row r="1801" spans="1:18" customFormat="1">
      <c r="B1801" s="62" t="s">
        <v>4988</v>
      </c>
      <c r="C1801" s="62" t="s">
        <v>494</v>
      </c>
      <c r="K1801">
        <v>8</v>
      </c>
      <c r="L1801">
        <v>6</v>
      </c>
    </row>
    <row r="1802" spans="1:18" customFormat="1">
      <c r="B1802" s="62" t="s">
        <v>5010</v>
      </c>
      <c r="C1802" s="62" t="s">
        <v>494</v>
      </c>
      <c r="K1802">
        <v>9</v>
      </c>
      <c r="M1802">
        <v>1</v>
      </c>
      <c r="N1802" s="62" t="s">
        <v>5011</v>
      </c>
      <c r="O1802" s="62" t="s">
        <v>5012</v>
      </c>
      <c r="P1802" s="62" t="s">
        <v>5013</v>
      </c>
    </row>
    <row r="1803" spans="1:18" customFormat="1">
      <c r="B1803" s="62" t="s">
        <v>4989</v>
      </c>
      <c r="C1803" s="62" t="s">
        <v>494</v>
      </c>
      <c r="K1803">
        <v>10</v>
      </c>
      <c r="N1803" s="62"/>
    </row>
    <row r="1804" spans="1:18" customFormat="1">
      <c r="B1804" s="62" t="s">
        <v>4990</v>
      </c>
      <c r="C1804" s="62" t="s">
        <v>494</v>
      </c>
      <c r="K1804">
        <v>11</v>
      </c>
    </row>
    <row r="1805" spans="1:18" customFormat="1">
      <c r="B1805" s="62" t="s">
        <v>4991</v>
      </c>
      <c r="C1805" s="62" t="s">
        <v>494</v>
      </c>
      <c r="K1805">
        <v>12</v>
      </c>
    </row>
    <row r="1806" spans="1:18" customFormat="1">
      <c r="B1806" s="62" t="s">
        <v>4992</v>
      </c>
      <c r="C1806" s="62" t="s">
        <v>494</v>
      </c>
      <c r="K1806">
        <v>13</v>
      </c>
    </row>
    <row r="1807" spans="1:18" customFormat="1">
      <c r="B1807" s="62" t="s">
        <v>4993</v>
      </c>
      <c r="C1807" s="62" t="s">
        <v>494</v>
      </c>
      <c r="K1807">
        <v>14</v>
      </c>
    </row>
    <row r="1808" spans="1:18" customFormat="1">
      <c r="B1808" s="62" t="s">
        <v>4994</v>
      </c>
      <c r="C1808" s="62" t="s">
        <v>494</v>
      </c>
      <c r="K1808">
        <v>15</v>
      </c>
    </row>
    <row r="1809" spans="1:18" customFormat="1">
      <c r="B1809" s="62" t="s">
        <v>4998</v>
      </c>
      <c r="C1809" s="62" t="s">
        <v>494</v>
      </c>
      <c r="K1809">
        <v>16</v>
      </c>
    </row>
    <row r="1810" spans="1:18" customFormat="1">
      <c r="B1810" s="62" t="s">
        <v>4996</v>
      </c>
      <c r="C1810" s="62" t="s">
        <v>702</v>
      </c>
      <c r="K1810">
        <v>17</v>
      </c>
    </row>
    <row r="1811" spans="1:18" customFormat="1">
      <c r="B1811" s="62" t="s">
        <v>4997</v>
      </c>
      <c r="C1811" s="62" t="s">
        <v>702</v>
      </c>
      <c r="K1811">
        <v>18</v>
      </c>
    </row>
    <row r="1812" spans="1:18" customFormat="1">
      <c r="B1812" s="62" t="s">
        <v>4995</v>
      </c>
      <c r="C1812" s="62" t="s">
        <v>702</v>
      </c>
      <c r="K1812">
        <v>19</v>
      </c>
    </row>
    <row r="1813" spans="1:18" customFormat="1">
      <c r="B1813" s="62" t="s">
        <v>5014</v>
      </c>
      <c r="C1813" s="62" t="s">
        <v>494</v>
      </c>
      <c r="K1813">
        <v>20</v>
      </c>
      <c r="M1813">
        <v>2</v>
      </c>
    </row>
    <row r="1814" spans="1:18" customFormat="1">
      <c r="B1814" s="62" t="s">
        <v>5015</v>
      </c>
      <c r="C1814" s="62" t="s">
        <v>494</v>
      </c>
      <c r="K1814">
        <v>21</v>
      </c>
      <c r="M1814">
        <v>2</v>
      </c>
    </row>
    <row r="1815" spans="1:18" customFormat="1">
      <c r="B1815" s="62"/>
    </row>
    <row r="1816" spans="1:18" s="3" customFormat="1">
      <c r="A1816" s="62"/>
      <c r="B1816" s="62"/>
      <c r="C1816" s="62"/>
      <c r="D1816" s="62"/>
      <c r="E1816" s="62"/>
      <c r="F1816" s="62"/>
      <c r="G1816" s="62"/>
      <c r="H1816" s="62"/>
      <c r="I1816" s="62"/>
      <c r="J1816" s="62"/>
      <c r="K1816" s="76"/>
      <c r="L1816" s="62"/>
      <c r="M1816" s="62"/>
      <c r="N1816" s="62"/>
      <c r="O1816" s="62"/>
      <c r="P1816" s="62"/>
      <c r="Q1816" s="12"/>
      <c r="R1816" s="12"/>
    </row>
    <row r="1817" spans="1:18" s="3" customFormat="1">
      <c r="A1817" s="62"/>
      <c r="B1817" s="62"/>
      <c r="C1817" s="62"/>
      <c r="D1817" s="62"/>
      <c r="E1817" s="62"/>
      <c r="F1817" s="62"/>
      <c r="G1817" s="62"/>
      <c r="H1817" s="62"/>
      <c r="I1817" s="62"/>
      <c r="J1817" s="62"/>
      <c r="K1817" s="76"/>
      <c r="L1817" s="62"/>
      <c r="M1817" s="62"/>
      <c r="N1817" s="62"/>
      <c r="O1817" s="62"/>
      <c r="P1817" s="62"/>
      <c r="Q1817" s="12"/>
      <c r="R1817" s="12"/>
    </row>
    <row r="1818" spans="1:18" s="3" customFormat="1">
      <c r="A1818" s="62"/>
      <c r="B1818" s="62"/>
      <c r="C1818" s="62"/>
      <c r="D1818" s="62"/>
      <c r="E1818" s="62"/>
      <c r="F1818" s="62"/>
      <c r="G1818" s="62"/>
      <c r="H1818" s="62"/>
      <c r="I1818" s="62"/>
      <c r="J1818" s="62"/>
      <c r="K1818" s="76"/>
      <c r="L1818" s="62"/>
      <c r="M1818" s="62"/>
      <c r="N1818" s="62"/>
      <c r="O1818" s="62"/>
      <c r="P1818" s="62"/>
      <c r="Q1818" s="12"/>
      <c r="R1818" s="12"/>
    </row>
    <row r="1819" spans="1:18" customFormat="1"/>
    <row r="1820" spans="1:18" customFormat="1">
      <c r="A1820" s="62" t="s">
        <v>4702</v>
      </c>
      <c r="B1820" s="62" t="s">
        <v>4703</v>
      </c>
      <c r="C1820" s="62" t="s">
        <v>494</v>
      </c>
      <c r="E1820" s="62" t="s">
        <v>476</v>
      </c>
      <c r="F1820">
        <v>26</v>
      </c>
      <c r="G1820">
        <v>2602</v>
      </c>
      <c r="H1820" s="62" t="s">
        <v>4713</v>
      </c>
      <c r="I1820" s="62" t="s">
        <v>4714</v>
      </c>
      <c r="J1820">
        <v>2</v>
      </c>
      <c r="K1820">
        <v>1</v>
      </c>
      <c r="L1820">
        <v>6</v>
      </c>
    </row>
    <row r="1821" spans="1:18" customFormat="1">
      <c r="B1821" s="62" t="s">
        <v>4704</v>
      </c>
      <c r="C1821" s="62" t="s">
        <v>494</v>
      </c>
      <c r="K1821">
        <v>2</v>
      </c>
      <c r="L1821">
        <v>6</v>
      </c>
    </row>
    <row r="1822" spans="1:18" customFormat="1">
      <c r="B1822" s="62" t="s">
        <v>4705</v>
      </c>
      <c r="C1822" s="62" t="s">
        <v>493</v>
      </c>
      <c r="D1822">
        <v>100</v>
      </c>
      <c r="K1822">
        <v>3</v>
      </c>
    </row>
    <row r="1823" spans="1:18" customFormat="1">
      <c r="B1823" s="62" t="s">
        <v>4706</v>
      </c>
      <c r="C1823" s="62" t="s">
        <v>494</v>
      </c>
      <c r="K1823">
        <v>4</v>
      </c>
      <c r="L1823">
        <v>3</v>
      </c>
      <c r="N1823" s="62" t="s">
        <v>4699</v>
      </c>
      <c r="O1823" s="62" t="s">
        <v>4700</v>
      </c>
      <c r="P1823" s="62" t="s">
        <v>4701</v>
      </c>
    </row>
    <row r="1824" spans="1:18" customFormat="1">
      <c r="B1824" s="62" t="s">
        <v>4707</v>
      </c>
      <c r="C1824" s="62" t="s">
        <v>493</v>
      </c>
      <c r="D1824">
        <v>1</v>
      </c>
      <c r="K1824">
        <v>5</v>
      </c>
      <c r="L1824">
        <v>3</v>
      </c>
    </row>
    <row r="1825" spans="1:16" customFormat="1">
      <c r="B1825" s="62" t="s">
        <v>4796</v>
      </c>
      <c r="C1825" s="62" t="s">
        <v>493</v>
      </c>
      <c r="D1825">
        <v>1</v>
      </c>
      <c r="K1825">
        <v>6</v>
      </c>
      <c r="L1825">
        <v>3</v>
      </c>
    </row>
    <row r="1826" spans="1:16" customFormat="1">
      <c r="B1826" s="62" t="s">
        <v>4708</v>
      </c>
      <c r="C1826" s="62" t="s">
        <v>494</v>
      </c>
      <c r="K1826">
        <v>7</v>
      </c>
    </row>
    <row r="1827" spans="1:16" customFormat="1">
      <c r="B1827" s="62" t="s">
        <v>4709</v>
      </c>
      <c r="C1827" s="62" t="s">
        <v>494</v>
      </c>
      <c r="K1827">
        <v>8</v>
      </c>
      <c r="L1827">
        <v>3</v>
      </c>
      <c r="N1827" s="62" t="s">
        <v>4710</v>
      </c>
      <c r="O1827" s="62" t="s">
        <v>4711</v>
      </c>
      <c r="P1827" s="62" t="s">
        <v>4712</v>
      </c>
    </row>
    <row r="1828" spans="1:16" customFormat="1"/>
    <row r="1829" spans="1:16" customFormat="1">
      <c r="A1829" s="62" t="s">
        <v>4710</v>
      </c>
      <c r="B1829" s="62" t="s">
        <v>4711</v>
      </c>
      <c r="C1829" s="62" t="s">
        <v>494</v>
      </c>
      <c r="E1829" s="62" t="s">
        <v>476</v>
      </c>
    </row>
    <row r="1830" spans="1:16" customFormat="1">
      <c r="B1830" s="62" t="s">
        <v>4712</v>
      </c>
      <c r="C1830" s="62" t="s">
        <v>493</v>
      </c>
      <c r="D1830">
        <v>50</v>
      </c>
      <c r="H1830" s="62" t="s">
        <v>4718</v>
      </c>
    </row>
    <row r="1831" spans="1:16" customFormat="1"/>
    <row r="1832" spans="1:16" customFormat="1">
      <c r="A1832" s="62" t="s">
        <v>4720</v>
      </c>
      <c r="B1832" s="62" t="s">
        <v>4721</v>
      </c>
      <c r="C1832" s="62" t="s">
        <v>493</v>
      </c>
      <c r="D1832">
        <v>50</v>
      </c>
      <c r="E1832" s="62" t="s">
        <v>476</v>
      </c>
      <c r="F1832">
        <v>26</v>
      </c>
      <c r="G1832">
        <v>2604</v>
      </c>
      <c r="H1832" s="62" t="s">
        <v>4939</v>
      </c>
      <c r="I1832" s="62" t="s">
        <v>4940</v>
      </c>
      <c r="J1832">
        <v>1</v>
      </c>
      <c r="K1832">
        <v>1</v>
      </c>
    </row>
    <row r="1833" spans="1:16" customFormat="1">
      <c r="B1833" s="62" t="s">
        <v>4722</v>
      </c>
      <c r="C1833" s="62" t="s">
        <v>494</v>
      </c>
      <c r="K1833">
        <v>2</v>
      </c>
      <c r="L1833">
        <v>6</v>
      </c>
    </row>
    <row r="1834" spans="1:16" customFormat="1">
      <c r="B1834" s="62" t="s">
        <v>4724</v>
      </c>
      <c r="C1834" s="62" t="s">
        <v>493</v>
      </c>
      <c r="D1834">
        <v>1</v>
      </c>
      <c r="K1834">
        <v>3</v>
      </c>
      <c r="L1834">
        <v>3</v>
      </c>
    </row>
    <row r="1835" spans="1:16" customFormat="1">
      <c r="B1835" s="62" t="s">
        <v>4941</v>
      </c>
      <c r="C1835" s="62" t="s">
        <v>494</v>
      </c>
      <c r="K1835">
        <v>4</v>
      </c>
    </row>
    <row r="1836" spans="1:16" customFormat="1">
      <c r="B1836" s="62" t="s">
        <v>4723</v>
      </c>
      <c r="C1836" s="62" t="s">
        <v>493</v>
      </c>
      <c r="D1836">
        <v>200</v>
      </c>
      <c r="K1836">
        <v>5</v>
      </c>
    </row>
    <row r="1837" spans="1:16" customFormat="1"/>
    <row r="1838" spans="1:16" customFormat="1">
      <c r="A1838" s="62" t="s">
        <v>4725</v>
      </c>
      <c r="B1838" s="62" t="s">
        <v>4726</v>
      </c>
      <c r="C1838" s="62" t="s">
        <v>494</v>
      </c>
      <c r="E1838" s="62" t="s">
        <v>476</v>
      </c>
      <c r="F1838">
        <v>26</v>
      </c>
      <c r="G1838">
        <v>2605</v>
      </c>
      <c r="H1838" s="62" t="s">
        <v>4942</v>
      </c>
      <c r="J1838">
        <v>1</v>
      </c>
      <c r="K1838">
        <v>1</v>
      </c>
      <c r="L1838">
        <v>52</v>
      </c>
      <c r="N1838">
        <v>2604</v>
      </c>
      <c r="O1838" s="62" t="s">
        <v>4722</v>
      </c>
    </row>
    <row r="1839" spans="1:16" customFormat="1">
      <c r="B1839" s="62" t="s">
        <v>4727</v>
      </c>
      <c r="C1839" s="62" t="s">
        <v>493</v>
      </c>
      <c r="D1839">
        <v>50</v>
      </c>
      <c r="E1839" s="62" t="s">
        <v>476</v>
      </c>
      <c r="K1839">
        <v>2</v>
      </c>
    </row>
    <row r="1840" spans="1:16" customFormat="1">
      <c r="B1840" s="62" t="s">
        <v>4728</v>
      </c>
      <c r="C1840" s="62" t="s">
        <v>494</v>
      </c>
      <c r="K1840">
        <v>3</v>
      </c>
      <c r="L1840">
        <v>6</v>
      </c>
    </row>
    <row r="1841" spans="1:15" customFormat="1">
      <c r="B1841" s="62" t="s">
        <v>4729</v>
      </c>
      <c r="C1841" s="62" t="s">
        <v>493</v>
      </c>
      <c r="D1841">
        <v>1</v>
      </c>
      <c r="K1841">
        <v>4</v>
      </c>
      <c r="L1841">
        <v>3</v>
      </c>
    </row>
    <row r="1842" spans="1:15" customFormat="1">
      <c r="B1842" s="62" t="s">
        <v>4943</v>
      </c>
      <c r="C1842" s="62" t="s">
        <v>494</v>
      </c>
      <c r="K1842">
        <v>5</v>
      </c>
    </row>
    <row r="1843" spans="1:15" customFormat="1">
      <c r="B1843" s="62" t="s">
        <v>4730</v>
      </c>
      <c r="C1843" s="62" t="s">
        <v>493</v>
      </c>
      <c r="D1843">
        <v>200</v>
      </c>
      <c r="K1843">
        <v>6</v>
      </c>
    </row>
    <row r="1844" spans="1:15" customFormat="1"/>
    <row r="1845" spans="1:15" customFormat="1">
      <c r="A1845" s="62" t="s">
        <v>4731</v>
      </c>
      <c r="B1845" s="62" t="s">
        <v>4733</v>
      </c>
      <c r="C1845" s="62" t="s">
        <v>494</v>
      </c>
      <c r="E1845" s="62" t="s">
        <v>476</v>
      </c>
      <c r="F1845">
        <v>26</v>
      </c>
      <c r="G1845">
        <v>2606</v>
      </c>
      <c r="H1845" s="62" t="s">
        <v>4944</v>
      </c>
      <c r="I1845" s="62" t="s">
        <v>4945</v>
      </c>
      <c r="J1845">
        <v>2</v>
      </c>
      <c r="K1845">
        <v>1</v>
      </c>
      <c r="L1845">
        <v>6</v>
      </c>
    </row>
    <row r="1846" spans="1:15" customFormat="1">
      <c r="B1846" s="62" t="s">
        <v>4732</v>
      </c>
      <c r="C1846" s="62" t="s">
        <v>494</v>
      </c>
      <c r="K1846">
        <v>2</v>
      </c>
      <c r="L1846">
        <v>6</v>
      </c>
    </row>
    <row r="1847" spans="1:15" customFormat="1">
      <c r="B1847" s="62" t="s">
        <v>4734</v>
      </c>
      <c r="C1847" s="62" t="s">
        <v>493</v>
      </c>
      <c r="D1847">
        <v>1</v>
      </c>
      <c r="K1847">
        <v>3</v>
      </c>
      <c r="L1847">
        <v>3</v>
      </c>
    </row>
    <row r="1848" spans="1:15" customFormat="1">
      <c r="B1848" s="62" t="s">
        <v>4735</v>
      </c>
      <c r="C1848" s="62" t="s">
        <v>493</v>
      </c>
      <c r="D1848">
        <v>100</v>
      </c>
      <c r="K1848">
        <v>4</v>
      </c>
    </row>
    <row r="1849" spans="1:15" customFormat="1"/>
    <row r="1850" spans="1:15" customFormat="1">
      <c r="A1850" s="62" t="s">
        <v>4736</v>
      </c>
      <c r="B1850" s="62" t="s">
        <v>4737</v>
      </c>
      <c r="C1850" s="62" t="s">
        <v>494</v>
      </c>
      <c r="E1850" s="62" t="s">
        <v>476</v>
      </c>
      <c r="F1850">
        <v>26</v>
      </c>
      <c r="G1850">
        <v>2607</v>
      </c>
      <c r="H1850" s="62" t="s">
        <v>4946</v>
      </c>
      <c r="J1850">
        <v>2</v>
      </c>
      <c r="K1850">
        <v>1</v>
      </c>
      <c r="L1850">
        <v>52</v>
      </c>
      <c r="N1850">
        <v>2606</v>
      </c>
      <c r="O1850" s="62" t="s">
        <v>4732</v>
      </c>
    </row>
    <row r="1851" spans="1:15" customFormat="1">
      <c r="B1851" s="62" t="s">
        <v>4738</v>
      </c>
      <c r="C1851" s="62" t="s">
        <v>494</v>
      </c>
      <c r="E1851" s="62" t="s">
        <v>476</v>
      </c>
      <c r="K1851">
        <v>2</v>
      </c>
      <c r="L1851">
        <v>6</v>
      </c>
    </row>
    <row r="1852" spans="1:15" customFormat="1">
      <c r="B1852" s="62" t="s">
        <v>4739</v>
      </c>
      <c r="C1852" s="62" t="s">
        <v>494</v>
      </c>
      <c r="K1852">
        <v>3</v>
      </c>
      <c r="L1852">
        <v>6</v>
      </c>
    </row>
    <row r="1853" spans="1:15" customFormat="1">
      <c r="B1853" s="62" t="s">
        <v>4740</v>
      </c>
      <c r="C1853" s="62" t="s">
        <v>493</v>
      </c>
      <c r="D1853">
        <v>1</v>
      </c>
      <c r="K1853">
        <v>4</v>
      </c>
      <c r="L1853">
        <v>3</v>
      </c>
    </row>
    <row r="1854" spans="1:15" customFormat="1">
      <c r="B1854" s="62" t="s">
        <v>4741</v>
      </c>
      <c r="C1854" s="62" t="s">
        <v>493</v>
      </c>
      <c r="D1854">
        <v>200</v>
      </c>
      <c r="K1854">
        <v>5</v>
      </c>
    </row>
    <row r="1855" spans="1:15" customFormat="1">
      <c r="B1855" s="62" t="s">
        <v>4742</v>
      </c>
      <c r="C1855" s="62" t="s">
        <v>494</v>
      </c>
      <c r="K1855">
        <v>6</v>
      </c>
      <c r="L1855">
        <v>8</v>
      </c>
    </row>
    <row r="1856" spans="1:15" customFormat="1"/>
    <row r="1857" spans="1:15" customFormat="1">
      <c r="A1857" s="62" t="s">
        <v>4743</v>
      </c>
      <c r="B1857" s="62" t="s">
        <v>4744</v>
      </c>
      <c r="C1857" s="62" t="s">
        <v>494</v>
      </c>
      <c r="E1857" s="62" t="s">
        <v>476</v>
      </c>
      <c r="F1857">
        <v>26</v>
      </c>
      <c r="G1857">
        <v>2608</v>
      </c>
      <c r="H1857" s="62" t="s">
        <v>4947</v>
      </c>
      <c r="J1857">
        <v>2</v>
      </c>
      <c r="K1857">
        <v>1</v>
      </c>
      <c r="L1857">
        <v>52</v>
      </c>
      <c r="N1857">
        <v>2607</v>
      </c>
      <c r="O1857" s="62" t="s">
        <v>4739</v>
      </c>
    </row>
    <row r="1858" spans="1:15" customFormat="1">
      <c r="B1858" s="62" t="s">
        <v>4745</v>
      </c>
      <c r="C1858" s="62" t="s">
        <v>494</v>
      </c>
      <c r="E1858" s="62" t="s">
        <v>476</v>
      </c>
      <c r="K1858">
        <v>2</v>
      </c>
      <c r="L1858">
        <v>6</v>
      </c>
    </row>
    <row r="1859" spans="1:15" customFormat="1">
      <c r="B1859" s="62" t="s">
        <v>4746</v>
      </c>
      <c r="C1859" s="62" t="s">
        <v>494</v>
      </c>
      <c r="K1859">
        <v>3</v>
      </c>
      <c r="L1859">
        <v>6</v>
      </c>
    </row>
    <row r="1860" spans="1:15" customFormat="1">
      <c r="B1860" s="62" t="s">
        <v>4747</v>
      </c>
      <c r="C1860" s="62" t="s">
        <v>493</v>
      </c>
      <c r="D1860">
        <v>1</v>
      </c>
      <c r="K1860">
        <v>4</v>
      </c>
      <c r="L1860">
        <v>3</v>
      </c>
    </row>
    <row r="1861" spans="1:15" customFormat="1">
      <c r="B1861" s="62" t="s">
        <v>4748</v>
      </c>
      <c r="C1861" s="62" t="s">
        <v>493</v>
      </c>
      <c r="D1861">
        <v>200</v>
      </c>
      <c r="K1861">
        <v>5</v>
      </c>
    </row>
    <row r="1862" spans="1:15" customFormat="1">
      <c r="B1862" s="62" t="s">
        <v>4749</v>
      </c>
      <c r="C1862" s="62" t="s">
        <v>494</v>
      </c>
      <c r="K1862">
        <v>6</v>
      </c>
      <c r="L1862">
        <v>8</v>
      </c>
    </row>
    <row r="1863" spans="1:15" customFormat="1">
      <c r="B1863" s="62" t="s">
        <v>4750</v>
      </c>
      <c r="C1863" s="62" t="s">
        <v>494</v>
      </c>
      <c r="K1863">
        <v>7</v>
      </c>
      <c r="M1863">
        <v>2</v>
      </c>
    </row>
    <row r="1864" spans="1:15" customFormat="1"/>
    <row r="1865" spans="1:15" customFormat="1">
      <c r="A1865" s="62" t="s">
        <v>4751</v>
      </c>
      <c r="B1865" s="62" t="s">
        <v>4752</v>
      </c>
      <c r="C1865" s="62" t="s">
        <v>494</v>
      </c>
      <c r="E1865" s="62" t="s">
        <v>476</v>
      </c>
      <c r="F1865">
        <v>26</v>
      </c>
      <c r="G1865">
        <v>2609</v>
      </c>
      <c r="H1865" s="62" t="s">
        <v>4948</v>
      </c>
      <c r="J1865">
        <v>2</v>
      </c>
      <c r="K1865">
        <v>1</v>
      </c>
      <c r="L1865">
        <v>52</v>
      </c>
      <c r="N1865">
        <v>2608</v>
      </c>
      <c r="O1865" s="62" t="s">
        <v>4746</v>
      </c>
    </row>
    <row r="1866" spans="1:15" customFormat="1">
      <c r="B1866" s="62" t="s">
        <v>4753</v>
      </c>
      <c r="C1866" s="62" t="s">
        <v>494</v>
      </c>
      <c r="E1866" s="62" t="s">
        <v>476</v>
      </c>
      <c r="K1866">
        <v>2</v>
      </c>
      <c r="L1866">
        <v>6</v>
      </c>
    </row>
    <row r="1867" spans="1:15" customFormat="1">
      <c r="B1867" s="62" t="s">
        <v>4754</v>
      </c>
      <c r="C1867" s="62" t="s">
        <v>494</v>
      </c>
      <c r="K1867">
        <v>3</v>
      </c>
      <c r="L1867">
        <v>6</v>
      </c>
    </row>
    <row r="1868" spans="1:15" customFormat="1">
      <c r="B1868" s="62" t="s">
        <v>4755</v>
      </c>
      <c r="C1868" s="62" t="s">
        <v>493</v>
      </c>
      <c r="D1868">
        <v>1</v>
      </c>
      <c r="K1868">
        <v>4</v>
      </c>
      <c r="L1868">
        <v>3</v>
      </c>
    </row>
    <row r="1869" spans="1:15" customFormat="1">
      <c r="B1869" s="62" t="s">
        <v>4756</v>
      </c>
      <c r="C1869" s="62" t="s">
        <v>493</v>
      </c>
      <c r="D1869">
        <v>200</v>
      </c>
      <c r="K1869">
        <v>5</v>
      </c>
    </row>
    <row r="1870" spans="1:15" customFormat="1">
      <c r="B1870" s="62" t="s">
        <v>4757</v>
      </c>
      <c r="C1870" s="62" t="s">
        <v>494</v>
      </c>
      <c r="K1870">
        <v>6</v>
      </c>
      <c r="L1870">
        <v>8</v>
      </c>
    </row>
    <row r="1871" spans="1:15" customFormat="1">
      <c r="B1871" s="62" t="s">
        <v>4758</v>
      </c>
      <c r="C1871" s="62" t="s">
        <v>494</v>
      </c>
      <c r="K1871">
        <v>7</v>
      </c>
      <c r="M1871">
        <v>2</v>
      </c>
    </row>
    <row r="1872" spans="1:15" customFormat="1">
      <c r="B1872" s="62" t="s">
        <v>4759</v>
      </c>
      <c r="C1872" s="62" t="s">
        <v>494</v>
      </c>
      <c r="K1872">
        <v>8</v>
      </c>
      <c r="M1872">
        <v>2</v>
      </c>
    </row>
    <row r="1873" spans="1:18" customFormat="1"/>
    <row r="1874" spans="1:18" customFormat="1">
      <c r="A1874" s="62" t="s">
        <v>4760</v>
      </c>
      <c r="B1874" s="62" t="s">
        <v>4761</v>
      </c>
      <c r="C1874" s="62" t="s">
        <v>494</v>
      </c>
      <c r="E1874" s="62" t="s">
        <v>476</v>
      </c>
      <c r="F1874">
        <v>26</v>
      </c>
      <c r="G1874">
        <v>2610</v>
      </c>
      <c r="H1874" s="62" t="s">
        <v>4949</v>
      </c>
      <c r="I1874" s="62" t="s">
        <v>4950</v>
      </c>
      <c r="J1874">
        <v>1</v>
      </c>
      <c r="K1874">
        <v>1</v>
      </c>
      <c r="L1874">
        <v>3</v>
      </c>
    </row>
    <row r="1875" spans="1:18" customFormat="1">
      <c r="B1875" s="62" t="s">
        <v>4763</v>
      </c>
      <c r="C1875" s="62" t="s">
        <v>494</v>
      </c>
      <c r="E1875" s="62" t="s">
        <v>476</v>
      </c>
      <c r="K1875">
        <v>2</v>
      </c>
      <c r="L1875">
        <v>3</v>
      </c>
      <c r="N1875" s="62" t="s">
        <v>4731</v>
      </c>
      <c r="O1875" s="62" t="s">
        <v>4732</v>
      </c>
      <c r="P1875" s="62" t="s">
        <v>4735</v>
      </c>
    </row>
    <row r="1876" spans="1:18" customFormat="1">
      <c r="B1876" s="62" t="s">
        <v>4762</v>
      </c>
      <c r="C1876" s="62" t="s">
        <v>494</v>
      </c>
      <c r="E1876" s="62" t="s">
        <v>476</v>
      </c>
      <c r="K1876">
        <v>3</v>
      </c>
      <c r="L1876">
        <v>3</v>
      </c>
      <c r="M1876">
        <v>31</v>
      </c>
      <c r="N1876" s="62" t="s">
        <v>4736</v>
      </c>
      <c r="O1876" s="62" t="s">
        <v>4739</v>
      </c>
      <c r="P1876" s="62" t="s">
        <v>4741</v>
      </c>
      <c r="Q1876" s="62" t="s">
        <v>4737</v>
      </c>
      <c r="R1876">
        <v>2</v>
      </c>
    </row>
    <row r="1877" spans="1:18" customFormat="1">
      <c r="B1877" s="62" t="s">
        <v>4764</v>
      </c>
      <c r="C1877" s="62" t="s">
        <v>494</v>
      </c>
      <c r="E1877" s="62" t="s">
        <v>476</v>
      </c>
      <c r="K1877">
        <v>4</v>
      </c>
      <c r="L1877">
        <v>3</v>
      </c>
      <c r="M1877">
        <v>31</v>
      </c>
      <c r="N1877" s="62" t="s">
        <v>4743</v>
      </c>
      <c r="O1877" s="62" t="s">
        <v>4746</v>
      </c>
      <c r="P1877" s="62" t="s">
        <v>4748</v>
      </c>
      <c r="Q1877" s="62" t="s">
        <v>4744</v>
      </c>
      <c r="R1877">
        <v>3</v>
      </c>
    </row>
    <row r="1878" spans="1:18" customFormat="1">
      <c r="B1878" s="62" t="s">
        <v>4765</v>
      </c>
      <c r="C1878" s="62" t="s">
        <v>494</v>
      </c>
      <c r="E1878" s="62" t="s">
        <v>476</v>
      </c>
      <c r="K1878">
        <v>5</v>
      </c>
      <c r="L1878">
        <v>3</v>
      </c>
      <c r="M1878">
        <v>31</v>
      </c>
      <c r="N1878" s="62" t="s">
        <v>4751</v>
      </c>
      <c r="O1878" s="62" t="s">
        <v>4754</v>
      </c>
      <c r="P1878" s="62" t="s">
        <v>4756</v>
      </c>
      <c r="Q1878" s="62" t="s">
        <v>4752</v>
      </c>
      <c r="R1878">
        <v>4</v>
      </c>
    </row>
    <row r="1879" spans="1:18" customFormat="1">
      <c r="B1879" s="62" t="s">
        <v>4766</v>
      </c>
      <c r="C1879" s="62" t="s">
        <v>494</v>
      </c>
      <c r="E1879" s="62" t="s">
        <v>476</v>
      </c>
      <c r="K1879">
        <v>6</v>
      </c>
      <c r="L1879">
        <v>3</v>
      </c>
      <c r="N1879" s="62" t="s">
        <v>4702</v>
      </c>
      <c r="O1879" s="62" t="s">
        <v>4704</v>
      </c>
      <c r="P1879" s="62" t="s">
        <v>4705</v>
      </c>
    </row>
    <row r="1880" spans="1:18" customFormat="1">
      <c r="B1880" s="62" t="s">
        <v>4767</v>
      </c>
      <c r="C1880" s="62" t="s">
        <v>494</v>
      </c>
      <c r="K1880">
        <v>7</v>
      </c>
      <c r="L1880">
        <v>6</v>
      </c>
    </row>
    <row r="1881" spans="1:18" customFormat="1">
      <c r="B1881" s="62" t="s">
        <v>4768</v>
      </c>
      <c r="C1881" s="62" t="s">
        <v>493</v>
      </c>
      <c r="D1881">
        <v>1</v>
      </c>
      <c r="K1881">
        <v>8</v>
      </c>
      <c r="L1881">
        <v>3</v>
      </c>
      <c r="N1881" s="62"/>
    </row>
    <row r="1882" spans="1:18" customFormat="1">
      <c r="B1882" s="62" t="s">
        <v>4769</v>
      </c>
      <c r="C1882" s="62" t="s">
        <v>494</v>
      </c>
      <c r="K1882">
        <v>9</v>
      </c>
      <c r="L1882">
        <v>3</v>
      </c>
      <c r="N1882" s="62" t="s">
        <v>4720</v>
      </c>
      <c r="O1882" s="62" t="s">
        <v>4722</v>
      </c>
      <c r="P1882" s="62" t="s">
        <v>4723</v>
      </c>
    </row>
    <row r="1883" spans="1:18" customFormat="1">
      <c r="B1883" s="62" t="s">
        <v>4770</v>
      </c>
      <c r="C1883" s="62" t="s">
        <v>494</v>
      </c>
      <c r="K1883">
        <v>10</v>
      </c>
      <c r="L1883">
        <v>3</v>
      </c>
      <c r="M1883">
        <v>31</v>
      </c>
      <c r="N1883" s="62" t="s">
        <v>4725</v>
      </c>
      <c r="O1883" s="62" t="s">
        <v>4728</v>
      </c>
      <c r="P1883" s="62" t="s">
        <v>4730</v>
      </c>
      <c r="Q1883" s="62" t="s">
        <v>4726</v>
      </c>
      <c r="R1883">
        <v>9</v>
      </c>
    </row>
    <row r="1884" spans="1:18" customFormat="1">
      <c r="B1884" s="62" t="s">
        <v>4771</v>
      </c>
      <c r="C1884" s="62" t="s">
        <v>494</v>
      </c>
      <c r="K1884">
        <v>11</v>
      </c>
    </row>
    <row r="1885" spans="1:18" customFormat="1">
      <c r="B1885" s="62" t="s">
        <v>4772</v>
      </c>
      <c r="C1885" s="62" t="s">
        <v>494</v>
      </c>
      <c r="K1885">
        <v>12</v>
      </c>
    </row>
    <row r="1886" spans="1:18" customFormat="1">
      <c r="B1886" s="62" t="s">
        <v>4773</v>
      </c>
      <c r="C1886" s="62" t="s">
        <v>494</v>
      </c>
      <c r="K1886">
        <v>13</v>
      </c>
      <c r="L1886">
        <v>3</v>
      </c>
      <c r="N1886" s="62" t="s">
        <v>4774</v>
      </c>
      <c r="O1886" s="62" t="s">
        <v>4776</v>
      </c>
      <c r="P1886" s="62" t="s">
        <v>4778</v>
      </c>
    </row>
    <row r="1887" spans="1:18" customFormat="1"/>
    <row r="1888" spans="1:18" customFormat="1">
      <c r="A1888" s="62" t="s">
        <v>4774</v>
      </c>
      <c r="B1888" s="62" t="s">
        <v>4775</v>
      </c>
      <c r="C1888" s="62" t="s">
        <v>494</v>
      </c>
      <c r="E1888" s="62" t="s">
        <v>476</v>
      </c>
      <c r="F1888">
        <v>26</v>
      </c>
      <c r="G1888">
        <v>2611</v>
      </c>
      <c r="H1888" s="62" t="s">
        <v>4951</v>
      </c>
      <c r="I1888" s="62" t="s">
        <v>4952</v>
      </c>
      <c r="J1888">
        <v>2</v>
      </c>
      <c r="K1888">
        <v>1</v>
      </c>
      <c r="L1888">
        <v>6</v>
      </c>
    </row>
    <row r="1889" spans="1:18" customFormat="1">
      <c r="B1889" s="62" t="s">
        <v>4776</v>
      </c>
      <c r="C1889" s="62" t="s">
        <v>494</v>
      </c>
      <c r="K1889">
        <v>2</v>
      </c>
      <c r="L1889">
        <v>6</v>
      </c>
    </row>
    <row r="1890" spans="1:18" customFormat="1">
      <c r="B1890" s="62" t="s">
        <v>4777</v>
      </c>
      <c r="C1890" s="62" t="s">
        <v>493</v>
      </c>
      <c r="D1890">
        <v>1</v>
      </c>
      <c r="K1890">
        <v>3</v>
      </c>
      <c r="L1890">
        <v>3</v>
      </c>
    </row>
    <row r="1891" spans="1:18" customFormat="1">
      <c r="B1891" s="62" t="s">
        <v>4953</v>
      </c>
      <c r="C1891" s="62" t="s">
        <v>494</v>
      </c>
      <c r="K1891">
        <v>4</v>
      </c>
    </row>
    <row r="1892" spans="1:18" customFormat="1">
      <c r="B1892" s="62" t="s">
        <v>4778</v>
      </c>
      <c r="C1892" s="62" t="s">
        <v>493</v>
      </c>
      <c r="D1892">
        <v>100</v>
      </c>
      <c r="K1892">
        <v>5</v>
      </c>
    </row>
    <row r="1893" spans="1:18" customFormat="1"/>
    <row r="1894" spans="1:18" customFormat="1">
      <c r="A1894" s="62" t="s">
        <v>4779</v>
      </c>
      <c r="B1894" s="62" t="s">
        <v>4780</v>
      </c>
      <c r="C1894" s="62" t="s">
        <v>494</v>
      </c>
      <c r="E1894" s="62" t="s">
        <v>476</v>
      </c>
      <c r="F1894">
        <v>26</v>
      </c>
      <c r="G1894">
        <v>2612</v>
      </c>
      <c r="H1894" s="62" t="s">
        <v>4958</v>
      </c>
      <c r="I1894" s="62" t="s">
        <v>4959</v>
      </c>
      <c r="J1894">
        <v>2</v>
      </c>
      <c r="K1894">
        <v>1</v>
      </c>
      <c r="L1894">
        <v>6</v>
      </c>
    </row>
    <row r="1895" spans="1:18" customFormat="1">
      <c r="B1895" s="62" t="s">
        <v>4781</v>
      </c>
      <c r="C1895" s="62" t="s">
        <v>494</v>
      </c>
      <c r="K1895">
        <v>2</v>
      </c>
      <c r="L1895">
        <v>6</v>
      </c>
    </row>
    <row r="1896" spans="1:18" customFormat="1">
      <c r="B1896" s="62" t="s">
        <v>4782</v>
      </c>
      <c r="C1896" s="62" t="s">
        <v>493</v>
      </c>
      <c r="D1896">
        <v>1</v>
      </c>
      <c r="K1896">
        <v>3</v>
      </c>
      <c r="L1896">
        <v>3</v>
      </c>
    </row>
    <row r="1897" spans="1:18" customFormat="1">
      <c r="B1897" s="62" t="s">
        <v>4788</v>
      </c>
      <c r="C1897" s="62" t="s">
        <v>493</v>
      </c>
      <c r="D1897">
        <v>1</v>
      </c>
      <c r="H1897" s="62" t="s">
        <v>4954</v>
      </c>
      <c r="K1897">
        <v>4</v>
      </c>
      <c r="L1897">
        <v>3</v>
      </c>
    </row>
    <row r="1898" spans="1:18" customFormat="1">
      <c r="B1898" s="62" t="s">
        <v>4783</v>
      </c>
      <c r="C1898" s="62" t="s">
        <v>493</v>
      </c>
      <c r="D1898">
        <v>100</v>
      </c>
      <c r="K1898">
        <v>5</v>
      </c>
    </row>
    <row r="1899" spans="1:18" customFormat="1">
      <c r="B1899" s="62" t="s">
        <v>4785</v>
      </c>
      <c r="C1899" s="62" t="s">
        <v>494</v>
      </c>
      <c r="K1899">
        <v>6</v>
      </c>
      <c r="L1899">
        <v>3</v>
      </c>
      <c r="N1899" s="62" t="s">
        <v>4720</v>
      </c>
      <c r="O1899" s="62" t="s">
        <v>4722</v>
      </c>
      <c r="P1899" s="62" t="s">
        <v>4723</v>
      </c>
    </row>
    <row r="1900" spans="1:18" customFormat="1">
      <c r="B1900" s="62" t="s">
        <v>4784</v>
      </c>
      <c r="C1900" s="62" t="s">
        <v>494</v>
      </c>
      <c r="K1900">
        <v>7</v>
      </c>
      <c r="L1900">
        <v>3</v>
      </c>
      <c r="M1900">
        <v>31</v>
      </c>
      <c r="N1900" s="62" t="s">
        <v>4725</v>
      </c>
      <c r="O1900" s="62" t="s">
        <v>4728</v>
      </c>
      <c r="P1900" s="62" t="s">
        <v>4730</v>
      </c>
      <c r="Q1900" s="62" t="s">
        <v>4726</v>
      </c>
      <c r="R1900">
        <v>6</v>
      </c>
    </row>
    <row r="1901" spans="1:18" customFormat="1">
      <c r="B1901" s="62" t="s">
        <v>4812</v>
      </c>
      <c r="C1901" s="62" t="s">
        <v>494</v>
      </c>
      <c r="H1901" s="62" t="s">
        <v>4813</v>
      </c>
      <c r="K1901">
        <v>8</v>
      </c>
      <c r="L1901">
        <v>3</v>
      </c>
      <c r="N1901" s="62" t="s">
        <v>4955</v>
      </c>
      <c r="O1901" s="62" t="s">
        <v>4956</v>
      </c>
      <c r="P1901" s="62" t="s">
        <v>4957</v>
      </c>
    </row>
    <row r="1902" spans="1:18" customFormat="1">
      <c r="B1902" s="62"/>
      <c r="O1902" s="62"/>
    </row>
    <row r="1903" spans="1:18" customFormat="1">
      <c r="A1903" s="62" t="s">
        <v>4794</v>
      </c>
      <c r="B1903" s="62" t="s">
        <v>4795</v>
      </c>
      <c r="C1903" s="62" t="s">
        <v>494</v>
      </c>
      <c r="E1903" s="62" t="s">
        <v>476</v>
      </c>
      <c r="F1903">
        <v>26</v>
      </c>
      <c r="G1903">
        <v>2613</v>
      </c>
      <c r="H1903" s="62" t="s">
        <v>4960</v>
      </c>
      <c r="J1903">
        <v>2</v>
      </c>
      <c r="K1903">
        <v>1</v>
      </c>
      <c r="L1903">
        <v>52</v>
      </c>
      <c r="N1903">
        <v>2612</v>
      </c>
      <c r="O1903" s="62" t="s">
        <v>4781</v>
      </c>
    </row>
    <row r="1904" spans="1:18" customFormat="1">
      <c r="B1904" s="62" t="s">
        <v>4786</v>
      </c>
      <c r="C1904" s="62" t="s">
        <v>494</v>
      </c>
      <c r="E1904" s="62" t="s">
        <v>476</v>
      </c>
      <c r="K1904">
        <v>2</v>
      </c>
      <c r="L1904">
        <v>6</v>
      </c>
      <c r="N1904" s="62"/>
      <c r="O1904" s="62"/>
      <c r="P1904" s="62"/>
    </row>
    <row r="1905" spans="1:18" customFormat="1">
      <c r="B1905" s="62" t="s">
        <v>4787</v>
      </c>
      <c r="C1905" s="62" t="s">
        <v>494</v>
      </c>
      <c r="K1905">
        <v>3</v>
      </c>
      <c r="L1905">
        <v>6</v>
      </c>
      <c r="O1905" s="62"/>
    </row>
    <row r="1906" spans="1:18" customFormat="1">
      <c r="B1906" s="62" t="s">
        <v>4797</v>
      </c>
      <c r="C1906" s="62" t="s">
        <v>494</v>
      </c>
      <c r="K1906">
        <v>4</v>
      </c>
      <c r="L1906">
        <v>3</v>
      </c>
      <c r="N1906" s="62" t="s">
        <v>4702</v>
      </c>
      <c r="O1906" s="62" t="s">
        <v>4704</v>
      </c>
      <c r="P1906" s="62" t="s">
        <v>4705</v>
      </c>
    </row>
    <row r="1907" spans="1:18" customFormat="1">
      <c r="B1907" s="62" t="s">
        <v>4798</v>
      </c>
      <c r="C1907" s="62" t="s">
        <v>494</v>
      </c>
      <c r="K1907">
        <v>5</v>
      </c>
    </row>
    <row r="1908" spans="1:18" customFormat="1">
      <c r="B1908" s="62" t="s">
        <v>4799</v>
      </c>
      <c r="C1908" s="62" t="s">
        <v>494</v>
      </c>
      <c r="H1908" s="62" t="s">
        <v>4719</v>
      </c>
      <c r="K1908">
        <v>6</v>
      </c>
      <c r="L1908">
        <v>3</v>
      </c>
      <c r="N1908" s="62" t="s">
        <v>4699</v>
      </c>
      <c r="O1908" s="62" t="s">
        <v>4700</v>
      </c>
      <c r="P1908" s="62" t="s">
        <v>4701</v>
      </c>
    </row>
    <row r="1909" spans="1:18" customFormat="1">
      <c r="O1909" s="62"/>
    </row>
    <row r="1910" spans="1:18" customFormat="1">
      <c r="A1910" s="62" t="s">
        <v>4789</v>
      </c>
      <c r="B1910" s="62" t="s">
        <v>4790</v>
      </c>
      <c r="C1910" s="62" t="s">
        <v>494</v>
      </c>
      <c r="E1910" s="62" t="s">
        <v>476</v>
      </c>
      <c r="F1910">
        <v>26</v>
      </c>
      <c r="G1910">
        <v>2614</v>
      </c>
      <c r="H1910" s="62" t="s">
        <v>4961</v>
      </c>
      <c r="I1910" s="62" t="s">
        <v>4962</v>
      </c>
      <c r="J1910">
        <v>2601</v>
      </c>
      <c r="K1910">
        <v>1</v>
      </c>
      <c r="L1910">
        <v>3</v>
      </c>
    </row>
    <row r="1911" spans="1:18" customFormat="1">
      <c r="B1911" s="62" t="s">
        <v>4791</v>
      </c>
      <c r="C1911" s="62" t="s">
        <v>494</v>
      </c>
      <c r="E1911" s="62" t="s">
        <v>476</v>
      </c>
      <c r="K1911">
        <v>2</v>
      </c>
      <c r="L1911">
        <v>6</v>
      </c>
    </row>
    <row r="1912" spans="1:18" customFormat="1">
      <c r="B1912" s="62" t="s">
        <v>4792</v>
      </c>
      <c r="C1912" s="62" t="s">
        <v>494</v>
      </c>
      <c r="K1912">
        <v>3</v>
      </c>
      <c r="L1912">
        <v>6</v>
      </c>
    </row>
    <row r="1913" spans="1:18" customFormat="1">
      <c r="B1913" s="62" t="s">
        <v>4793</v>
      </c>
      <c r="C1913" s="62" t="s">
        <v>494</v>
      </c>
      <c r="K1913">
        <v>4</v>
      </c>
      <c r="L1913">
        <v>8</v>
      </c>
    </row>
    <row r="1914" spans="1:18" customFormat="1">
      <c r="B1914" s="62" t="s">
        <v>4834</v>
      </c>
      <c r="C1914" s="62" t="s">
        <v>493</v>
      </c>
      <c r="D1914">
        <v>1</v>
      </c>
      <c r="K1914">
        <v>5</v>
      </c>
      <c r="L1914">
        <v>3</v>
      </c>
    </row>
    <row r="1915" spans="1:18" customFormat="1">
      <c r="B1915" s="62" t="s">
        <v>4803</v>
      </c>
      <c r="C1915" s="62" t="s">
        <v>494</v>
      </c>
      <c r="K1915">
        <v>6</v>
      </c>
      <c r="L1915">
        <v>3</v>
      </c>
      <c r="N1915" s="62" t="s">
        <v>4731</v>
      </c>
      <c r="O1915" s="62" t="s">
        <v>4732</v>
      </c>
      <c r="P1915" s="62" t="s">
        <v>4735</v>
      </c>
    </row>
    <row r="1916" spans="1:18" customFormat="1">
      <c r="B1916" s="62" t="s">
        <v>4804</v>
      </c>
      <c r="C1916" s="62" t="s">
        <v>494</v>
      </c>
      <c r="K1916">
        <v>7</v>
      </c>
      <c r="L1916">
        <v>3</v>
      </c>
      <c r="M1916">
        <v>31</v>
      </c>
      <c r="N1916" s="62" t="s">
        <v>4736</v>
      </c>
      <c r="O1916" s="62" t="s">
        <v>4739</v>
      </c>
      <c r="P1916" s="62" t="s">
        <v>4741</v>
      </c>
      <c r="Q1916" s="62" t="s">
        <v>4737</v>
      </c>
      <c r="R1916">
        <v>6</v>
      </c>
    </row>
    <row r="1917" spans="1:18" customFormat="1">
      <c r="B1917" s="62" t="s">
        <v>4805</v>
      </c>
      <c r="C1917" s="62" t="s">
        <v>494</v>
      </c>
      <c r="K1917">
        <v>8</v>
      </c>
      <c r="L1917">
        <v>3</v>
      </c>
      <c r="M1917">
        <v>31</v>
      </c>
      <c r="N1917" s="62" t="s">
        <v>4743</v>
      </c>
      <c r="O1917" s="62" t="s">
        <v>4746</v>
      </c>
      <c r="P1917" s="62" t="s">
        <v>4748</v>
      </c>
      <c r="Q1917" s="62" t="s">
        <v>4744</v>
      </c>
      <c r="R1917">
        <v>7</v>
      </c>
    </row>
    <row r="1918" spans="1:18" customFormat="1">
      <c r="B1918" s="62" t="s">
        <v>4806</v>
      </c>
      <c r="C1918" s="62" t="s">
        <v>494</v>
      </c>
      <c r="K1918">
        <v>9</v>
      </c>
      <c r="L1918">
        <v>3</v>
      </c>
      <c r="M1918">
        <v>31</v>
      </c>
      <c r="N1918" s="62" t="s">
        <v>4751</v>
      </c>
      <c r="O1918" s="62" t="s">
        <v>4754</v>
      </c>
      <c r="P1918" s="62" t="s">
        <v>4756</v>
      </c>
      <c r="Q1918" s="62" t="s">
        <v>4752</v>
      </c>
      <c r="R1918">
        <v>8</v>
      </c>
    </row>
    <row r="1919" spans="1:18" customFormat="1">
      <c r="B1919" s="62" t="s">
        <v>4807</v>
      </c>
      <c r="C1919" s="62" t="s">
        <v>494</v>
      </c>
      <c r="K1919">
        <v>10</v>
      </c>
    </row>
    <row r="1920" spans="1:18" customFormat="1">
      <c r="B1920" s="62" t="s">
        <v>4808</v>
      </c>
      <c r="C1920" s="62" t="s">
        <v>494</v>
      </c>
      <c r="K1920">
        <v>11</v>
      </c>
    </row>
    <row r="1921" spans="1:18" customFormat="1">
      <c r="B1921" s="62" t="s">
        <v>4835</v>
      </c>
      <c r="C1921" s="62" t="s">
        <v>494</v>
      </c>
      <c r="K1921">
        <v>12</v>
      </c>
      <c r="L1921">
        <v>7</v>
      </c>
      <c r="M1921">
        <v>1</v>
      </c>
    </row>
    <row r="1922" spans="1:18" customFormat="1">
      <c r="B1922" s="62" t="s">
        <v>4836</v>
      </c>
      <c r="C1922" s="62" t="s">
        <v>494</v>
      </c>
      <c r="K1922">
        <v>13</v>
      </c>
      <c r="L1922">
        <v>7</v>
      </c>
      <c r="M1922">
        <v>1</v>
      </c>
    </row>
    <row r="1923" spans="1:18" customFormat="1">
      <c r="B1923" s="62" t="s">
        <v>4837</v>
      </c>
      <c r="C1923" s="62" t="s">
        <v>494</v>
      </c>
      <c r="K1923">
        <v>14</v>
      </c>
      <c r="M1923">
        <v>1</v>
      </c>
    </row>
    <row r="1924" spans="1:18" customFormat="1"/>
    <row r="1925" spans="1:18" customFormat="1">
      <c r="A1925" s="62" t="s">
        <v>4800</v>
      </c>
      <c r="B1925" s="62" t="s">
        <v>4801</v>
      </c>
      <c r="C1925" s="62" t="s">
        <v>494</v>
      </c>
      <c r="E1925" s="62" t="s">
        <v>476</v>
      </c>
      <c r="F1925">
        <v>26</v>
      </c>
      <c r="G1925">
        <v>2615</v>
      </c>
      <c r="H1925" s="62" t="s">
        <v>3185</v>
      </c>
      <c r="J1925">
        <v>2601</v>
      </c>
      <c r="K1925">
        <v>1</v>
      </c>
      <c r="L1925">
        <v>52</v>
      </c>
      <c r="N1925">
        <v>2614</v>
      </c>
      <c r="O1925" s="62" t="s">
        <v>4792</v>
      </c>
    </row>
    <row r="1926" spans="1:18" customFormat="1">
      <c r="B1926" s="62" t="s">
        <v>4802</v>
      </c>
      <c r="C1926" s="62" t="s">
        <v>494</v>
      </c>
      <c r="E1926" s="62" t="s">
        <v>476</v>
      </c>
      <c r="K1926">
        <v>2</v>
      </c>
      <c r="L1926">
        <v>6</v>
      </c>
    </row>
    <row r="1927" spans="1:18" customFormat="1">
      <c r="B1927" s="62" t="s">
        <v>4809</v>
      </c>
      <c r="C1927" s="62" t="s">
        <v>494</v>
      </c>
      <c r="K1927">
        <v>3</v>
      </c>
      <c r="L1927">
        <v>6</v>
      </c>
    </row>
    <row r="1928" spans="1:18" customFormat="1">
      <c r="B1928" s="62" t="s">
        <v>4810</v>
      </c>
      <c r="C1928" s="62" t="s">
        <v>494</v>
      </c>
      <c r="K1928">
        <v>4</v>
      </c>
      <c r="L1928">
        <v>3</v>
      </c>
      <c r="N1928" s="62" t="s">
        <v>4702</v>
      </c>
      <c r="O1928" s="62" t="s">
        <v>4704</v>
      </c>
      <c r="P1928" s="62" t="s">
        <v>4705</v>
      </c>
    </row>
    <row r="1929" spans="1:18" customFormat="1">
      <c r="B1929" s="62" t="s">
        <v>4811</v>
      </c>
      <c r="C1929" s="62" t="s">
        <v>494</v>
      </c>
      <c r="K1929">
        <v>5</v>
      </c>
      <c r="L1929">
        <v>10</v>
      </c>
      <c r="M1929">
        <v>1</v>
      </c>
    </row>
    <row r="1930" spans="1:18" customFormat="1">
      <c r="B1930" s="62" t="s">
        <v>4830</v>
      </c>
      <c r="C1930" s="62" t="s">
        <v>494</v>
      </c>
      <c r="K1930">
        <v>6</v>
      </c>
      <c r="L1930">
        <v>3</v>
      </c>
      <c r="N1930" s="62" t="s">
        <v>4731</v>
      </c>
      <c r="O1930" s="62" t="s">
        <v>4732</v>
      </c>
      <c r="P1930" s="62" t="s">
        <v>4735</v>
      </c>
    </row>
    <row r="1931" spans="1:18" customFormat="1">
      <c r="B1931" s="62" t="s">
        <v>4831</v>
      </c>
      <c r="C1931" s="62" t="s">
        <v>494</v>
      </c>
      <c r="K1931">
        <v>7</v>
      </c>
      <c r="L1931">
        <v>3</v>
      </c>
      <c r="M1931">
        <v>31</v>
      </c>
      <c r="N1931" s="62" t="s">
        <v>4736</v>
      </c>
      <c r="O1931" s="62" t="s">
        <v>4739</v>
      </c>
      <c r="P1931" s="62" t="s">
        <v>4741</v>
      </c>
      <c r="Q1931" s="62" t="s">
        <v>4737</v>
      </c>
      <c r="R1931">
        <v>6</v>
      </c>
    </row>
    <row r="1932" spans="1:18" customFormat="1">
      <c r="B1932" s="62" t="s">
        <v>4832</v>
      </c>
      <c r="C1932" s="62" t="s">
        <v>494</v>
      </c>
      <c r="K1932">
        <v>8</v>
      </c>
      <c r="L1932">
        <v>3</v>
      </c>
      <c r="M1932">
        <v>31</v>
      </c>
      <c r="N1932" s="62" t="s">
        <v>4743</v>
      </c>
      <c r="O1932" s="62" t="s">
        <v>4746</v>
      </c>
      <c r="P1932" s="62" t="s">
        <v>4748</v>
      </c>
      <c r="Q1932" s="62" t="s">
        <v>4744</v>
      </c>
      <c r="R1932">
        <v>7</v>
      </c>
    </row>
    <row r="1933" spans="1:18" customFormat="1">
      <c r="B1933" s="62" t="s">
        <v>4833</v>
      </c>
      <c r="C1933" s="62" t="s">
        <v>494</v>
      </c>
      <c r="K1933">
        <v>9</v>
      </c>
      <c r="L1933">
        <v>3</v>
      </c>
      <c r="M1933">
        <v>31</v>
      </c>
      <c r="N1933" s="62" t="s">
        <v>4751</v>
      </c>
      <c r="O1933" s="62" t="s">
        <v>4754</v>
      </c>
      <c r="P1933" s="62" t="s">
        <v>4756</v>
      </c>
      <c r="Q1933" s="62" t="s">
        <v>4752</v>
      </c>
      <c r="R1933">
        <v>8</v>
      </c>
    </row>
    <row r="1934" spans="1:18" customFormat="1">
      <c r="B1934" s="62" t="s">
        <v>4841</v>
      </c>
      <c r="C1934" s="62" t="s">
        <v>493</v>
      </c>
      <c r="D1934">
        <v>1</v>
      </c>
      <c r="K1934">
        <v>10</v>
      </c>
      <c r="L1934">
        <v>3</v>
      </c>
    </row>
    <row r="1935" spans="1:18" customFormat="1">
      <c r="B1935" s="62" t="s">
        <v>4839</v>
      </c>
      <c r="C1935" s="62" t="s">
        <v>494</v>
      </c>
      <c r="K1935">
        <v>11</v>
      </c>
    </row>
    <row r="1936" spans="1:18" customFormat="1">
      <c r="B1936" s="62" t="s">
        <v>4840</v>
      </c>
      <c r="C1936" s="62" t="s">
        <v>494</v>
      </c>
      <c r="K1936">
        <v>12</v>
      </c>
    </row>
    <row r="1937" spans="1:18" customFormat="1">
      <c r="B1937" s="62" t="s">
        <v>4865</v>
      </c>
      <c r="C1937" s="62" t="s">
        <v>494</v>
      </c>
      <c r="K1937">
        <v>13</v>
      </c>
    </row>
    <row r="1938" spans="1:18" customFormat="1"/>
    <row r="1939" spans="1:18" customFormat="1">
      <c r="A1939" s="62" t="s">
        <v>4814</v>
      </c>
      <c r="B1939" s="62" t="s">
        <v>4815</v>
      </c>
      <c r="C1939" s="62" t="s">
        <v>494</v>
      </c>
      <c r="E1939" s="62" t="s">
        <v>476</v>
      </c>
      <c r="F1939">
        <v>26</v>
      </c>
      <c r="G1939">
        <v>2616</v>
      </c>
      <c r="H1939" s="62" t="s">
        <v>4963</v>
      </c>
      <c r="I1939" s="62" t="s">
        <v>4964</v>
      </c>
      <c r="J1939">
        <v>2601</v>
      </c>
      <c r="K1939">
        <v>1</v>
      </c>
      <c r="L1939">
        <v>6</v>
      </c>
    </row>
    <row r="1940" spans="1:18" customFormat="1">
      <c r="B1940" s="62" t="s">
        <v>4816</v>
      </c>
      <c r="C1940" s="62" t="s">
        <v>494</v>
      </c>
      <c r="K1940">
        <v>2</v>
      </c>
      <c r="L1940">
        <v>6</v>
      </c>
    </row>
    <row r="1941" spans="1:18" customFormat="1">
      <c r="B1941" s="62" t="s">
        <v>4817</v>
      </c>
      <c r="C1941" s="62" t="s">
        <v>494</v>
      </c>
      <c r="K1941">
        <v>3</v>
      </c>
      <c r="L1941">
        <v>3</v>
      </c>
      <c r="N1941" s="62" t="s">
        <v>4702</v>
      </c>
      <c r="O1941" s="62" t="s">
        <v>4704</v>
      </c>
      <c r="P1941" s="62" t="s">
        <v>4705</v>
      </c>
    </row>
    <row r="1942" spans="1:18" customFormat="1">
      <c r="B1942" s="62" t="s">
        <v>4842</v>
      </c>
      <c r="C1942" s="62" t="s">
        <v>494</v>
      </c>
      <c r="K1942">
        <v>4</v>
      </c>
      <c r="L1942">
        <v>8</v>
      </c>
    </row>
    <row r="1943" spans="1:18" customFormat="1">
      <c r="B1943" s="62" t="s">
        <v>4933</v>
      </c>
      <c r="C1943" s="62" t="s">
        <v>494</v>
      </c>
      <c r="K1943">
        <v>5</v>
      </c>
      <c r="L1943">
        <v>3</v>
      </c>
      <c r="N1943" s="62" t="s">
        <v>4731</v>
      </c>
      <c r="O1943" s="62" t="s">
        <v>4732</v>
      </c>
      <c r="P1943" s="62" t="s">
        <v>4735</v>
      </c>
    </row>
    <row r="1944" spans="1:18" customFormat="1">
      <c r="B1944" s="62" t="s">
        <v>4934</v>
      </c>
      <c r="C1944" s="62" t="s">
        <v>494</v>
      </c>
      <c r="K1944">
        <v>6</v>
      </c>
      <c r="L1944">
        <v>3</v>
      </c>
      <c r="M1944">
        <v>31</v>
      </c>
      <c r="N1944" s="62" t="s">
        <v>4736</v>
      </c>
      <c r="O1944" s="62" t="s">
        <v>4739</v>
      </c>
      <c r="P1944" s="62" t="s">
        <v>4741</v>
      </c>
      <c r="Q1944" s="62" t="s">
        <v>4737</v>
      </c>
      <c r="R1944">
        <v>5</v>
      </c>
    </row>
    <row r="1945" spans="1:18" customFormat="1">
      <c r="B1945" s="62" t="s">
        <v>4935</v>
      </c>
      <c r="C1945" s="62" t="s">
        <v>494</v>
      </c>
      <c r="K1945">
        <v>7</v>
      </c>
      <c r="L1945">
        <v>3</v>
      </c>
      <c r="M1945">
        <v>31</v>
      </c>
      <c r="N1945" s="62" t="s">
        <v>4743</v>
      </c>
      <c r="O1945" s="62" t="s">
        <v>4746</v>
      </c>
      <c r="P1945" s="62" t="s">
        <v>4748</v>
      </c>
      <c r="Q1945" s="62" t="s">
        <v>4744</v>
      </c>
      <c r="R1945">
        <v>6</v>
      </c>
    </row>
    <row r="1946" spans="1:18" customFormat="1">
      <c r="B1946" s="62" t="s">
        <v>4936</v>
      </c>
      <c r="C1946" s="62" t="s">
        <v>494</v>
      </c>
      <c r="K1946">
        <v>8</v>
      </c>
      <c r="L1946">
        <v>3</v>
      </c>
      <c r="M1946">
        <v>31</v>
      </c>
      <c r="N1946" s="62" t="s">
        <v>4751</v>
      </c>
      <c r="O1946" s="62" t="s">
        <v>4754</v>
      </c>
      <c r="P1946" s="62" t="s">
        <v>4756</v>
      </c>
      <c r="Q1946" s="62" t="s">
        <v>4752</v>
      </c>
      <c r="R1946">
        <v>7</v>
      </c>
    </row>
    <row r="1947" spans="1:18" customFormat="1">
      <c r="B1947" s="62" t="s">
        <v>4818</v>
      </c>
      <c r="C1947" s="62" t="s">
        <v>494</v>
      </c>
      <c r="K1947">
        <v>9</v>
      </c>
      <c r="L1947">
        <v>7</v>
      </c>
      <c r="M1947">
        <v>1</v>
      </c>
    </row>
    <row r="1948" spans="1:18" customFormat="1">
      <c r="B1948" s="62" t="s">
        <v>4824</v>
      </c>
      <c r="C1948" s="62" t="s">
        <v>494</v>
      </c>
      <c r="K1948">
        <v>10</v>
      </c>
      <c r="L1948">
        <v>3</v>
      </c>
      <c r="M1948">
        <v>3</v>
      </c>
      <c r="N1948" s="62" t="s">
        <v>4825</v>
      </c>
      <c r="O1948" s="62" t="s">
        <v>4827</v>
      </c>
      <c r="P1948" s="62" t="s">
        <v>4829</v>
      </c>
    </row>
    <row r="1949" spans="1:18" customFormat="1">
      <c r="B1949" s="62" t="s">
        <v>4819</v>
      </c>
      <c r="C1949" s="62" t="s">
        <v>494</v>
      </c>
      <c r="K1949">
        <v>11</v>
      </c>
      <c r="L1949">
        <v>7</v>
      </c>
    </row>
    <row r="1950" spans="1:18" customFormat="1">
      <c r="B1950" s="62" t="s">
        <v>4820</v>
      </c>
      <c r="C1950" s="62" t="s">
        <v>494</v>
      </c>
      <c r="K1950">
        <v>12</v>
      </c>
      <c r="L1950">
        <v>7</v>
      </c>
    </row>
    <row r="1951" spans="1:18" customFormat="1">
      <c r="B1951" s="62" t="s">
        <v>4838</v>
      </c>
      <c r="C1951" s="62" t="s">
        <v>494</v>
      </c>
      <c r="K1951">
        <v>13</v>
      </c>
    </row>
    <row r="1952" spans="1:18" customFormat="1">
      <c r="B1952" s="62" t="s">
        <v>4821</v>
      </c>
      <c r="C1952" s="62" t="s">
        <v>520</v>
      </c>
      <c r="K1952">
        <v>14</v>
      </c>
    </row>
    <row r="1953" spans="1:17" customFormat="1">
      <c r="B1953" s="62" t="s">
        <v>4822</v>
      </c>
      <c r="C1953" s="62" t="s">
        <v>494</v>
      </c>
      <c r="K1953">
        <v>15</v>
      </c>
      <c r="L1953">
        <v>91</v>
      </c>
    </row>
    <row r="1954" spans="1:17" customFormat="1">
      <c r="B1954" s="62" t="s">
        <v>4823</v>
      </c>
      <c r="C1954" s="62" t="s">
        <v>494</v>
      </c>
      <c r="K1954">
        <v>16</v>
      </c>
      <c r="L1954">
        <v>92</v>
      </c>
    </row>
    <row r="1955" spans="1:17" customFormat="1"/>
    <row r="1956" spans="1:17" customFormat="1">
      <c r="A1956" s="62" t="s">
        <v>4825</v>
      </c>
      <c r="B1956" s="62" t="s">
        <v>4826</v>
      </c>
      <c r="C1956" s="62" t="s">
        <v>494</v>
      </c>
      <c r="E1956" s="62" t="s">
        <v>476</v>
      </c>
      <c r="F1956">
        <v>26</v>
      </c>
      <c r="G1956">
        <v>2617</v>
      </c>
      <c r="H1956" s="62" t="s">
        <v>4965</v>
      </c>
      <c r="I1956" s="62" t="s">
        <v>4966</v>
      </c>
      <c r="J1956">
        <v>2</v>
      </c>
      <c r="K1956">
        <v>1</v>
      </c>
      <c r="L1956">
        <v>6</v>
      </c>
    </row>
    <row r="1957" spans="1:17" customFormat="1">
      <c r="B1957" s="62" t="s">
        <v>4827</v>
      </c>
      <c r="C1957" s="62" t="s">
        <v>494</v>
      </c>
      <c r="K1957">
        <v>2</v>
      </c>
      <c r="L1957">
        <v>6</v>
      </c>
    </row>
    <row r="1958" spans="1:17" customFormat="1">
      <c r="B1958" s="62" t="s">
        <v>4828</v>
      </c>
      <c r="C1958" s="62" t="s">
        <v>493</v>
      </c>
      <c r="D1958">
        <v>1</v>
      </c>
      <c r="K1958">
        <v>3</v>
      </c>
      <c r="L1958">
        <v>3</v>
      </c>
    </row>
    <row r="1959" spans="1:17" customFormat="1">
      <c r="B1959" s="62" t="s">
        <v>4829</v>
      </c>
      <c r="C1959" s="62" t="s">
        <v>493</v>
      </c>
      <c r="D1959">
        <v>100</v>
      </c>
      <c r="K1959">
        <v>4</v>
      </c>
    </row>
    <row r="1960" spans="1:17" customFormat="1"/>
    <row r="1961" spans="1:17" customFormat="1"/>
    <row r="1962" spans="1:17" customFormat="1"/>
    <row r="1963" spans="1:17" customFormat="1">
      <c r="A1963" s="7"/>
      <c r="B1963" s="66"/>
      <c r="C1963" s="64"/>
      <c r="D1963" s="7"/>
      <c r="N1963" s="62"/>
      <c r="O1963" s="62"/>
      <c r="P1963" s="62"/>
      <c r="Q1963" s="62"/>
    </row>
    <row r="1964" spans="1:17" customFormat="1">
      <c r="A1964" s="7"/>
      <c r="B1964" s="66"/>
      <c r="C1964" s="64"/>
      <c r="D1964" s="7"/>
    </row>
    <row r="1965" spans="1:17" customFormat="1"/>
    <row r="1966" spans="1:17" customFormat="1"/>
    <row r="1967" spans="1:17" customFormat="1"/>
    <row r="1968" spans="1:17" customFormat="1">
      <c r="A1968" s="62"/>
      <c r="B1968" s="62"/>
      <c r="C1968" s="62"/>
      <c r="H1968" s="64"/>
      <c r="I1968" s="62"/>
      <c r="N1968" s="10"/>
      <c r="O1968" s="10"/>
      <c r="P1968" s="1"/>
    </row>
    <row r="1969" spans="1:18" customFormat="1">
      <c r="H1969" s="10"/>
    </row>
    <row r="1970" spans="1:18" customFormat="1">
      <c r="A1970" s="91" t="s">
        <v>3311</v>
      </c>
      <c r="B1970" s="62" t="s">
        <v>3312</v>
      </c>
      <c r="C1970" s="62" t="s">
        <v>494</v>
      </c>
      <c r="E1970" s="62" t="s">
        <v>476</v>
      </c>
      <c r="F1970">
        <v>22</v>
      </c>
      <c r="G1970">
        <v>2206</v>
      </c>
      <c r="H1970" s="62" t="s">
        <v>2890</v>
      </c>
      <c r="I1970" s="62" t="s">
        <v>3328</v>
      </c>
      <c r="J1970">
        <v>2201</v>
      </c>
      <c r="K1970">
        <v>1</v>
      </c>
      <c r="L1970" s="9">
        <v>3</v>
      </c>
      <c r="M1970" s="1"/>
      <c r="N1970" s="10" t="s">
        <v>506</v>
      </c>
      <c r="O1970" s="10" t="s">
        <v>514</v>
      </c>
      <c r="P1970" s="1" t="s">
        <v>515</v>
      </c>
    </row>
    <row r="1971" spans="1:18" customFormat="1">
      <c r="B1971" s="62" t="s">
        <v>3313</v>
      </c>
      <c r="C1971" s="62" t="s">
        <v>494</v>
      </c>
      <c r="E1971" s="62" t="s">
        <v>476</v>
      </c>
      <c r="K1971">
        <v>2</v>
      </c>
      <c r="L1971" s="68">
        <v>9</v>
      </c>
      <c r="M1971" s="1"/>
      <c r="N1971" s="1" t="s">
        <v>1038</v>
      </c>
      <c r="O1971" s="23" t="s">
        <v>1040</v>
      </c>
      <c r="P1971" s="23" t="s">
        <v>1041</v>
      </c>
      <c r="Q1971" s="23" t="s">
        <v>1040</v>
      </c>
      <c r="R1971" s="14">
        <v>140</v>
      </c>
    </row>
    <row r="1972" spans="1:18" customFormat="1">
      <c r="B1972" s="62" t="s">
        <v>3315</v>
      </c>
      <c r="C1972" s="62" t="s">
        <v>494</v>
      </c>
      <c r="E1972" s="62" t="s">
        <v>476</v>
      </c>
      <c r="K1972">
        <v>3</v>
      </c>
      <c r="L1972">
        <v>6</v>
      </c>
    </row>
    <row r="1973" spans="1:18" customFormat="1">
      <c r="B1973" s="62" t="s">
        <v>3316</v>
      </c>
      <c r="C1973" s="62" t="s">
        <v>494</v>
      </c>
      <c r="K1973">
        <v>4</v>
      </c>
      <c r="L1973" s="32">
        <v>6</v>
      </c>
      <c r="M1973" s="62"/>
      <c r="N1973" s="62"/>
      <c r="O1973" s="64"/>
      <c r="P1973" s="62"/>
      <c r="Q1973" s="14"/>
      <c r="R1973" s="14"/>
    </row>
    <row r="1974" spans="1:18" customFormat="1">
      <c r="B1974" s="62" t="s">
        <v>3314</v>
      </c>
      <c r="C1974" s="62" t="s">
        <v>494</v>
      </c>
      <c r="E1974" s="62"/>
      <c r="K1974">
        <v>5</v>
      </c>
    </row>
    <row r="1975" spans="1:18">
      <c r="B1975" s="66" t="s">
        <v>3317</v>
      </c>
      <c r="C1975" s="64" t="s">
        <v>494</v>
      </c>
      <c r="D1975" s="16"/>
      <c r="F1975" s="14"/>
      <c r="G1975" s="14"/>
      <c r="H1975" s="47" t="s">
        <v>3358</v>
      </c>
      <c r="I1975" s="11"/>
      <c r="J1975" s="14"/>
      <c r="K1975">
        <v>6</v>
      </c>
      <c r="L1975" s="32">
        <v>3</v>
      </c>
      <c r="M1975" s="62"/>
      <c r="N1975" s="62"/>
      <c r="O1975" s="64"/>
      <c r="P1975" s="62"/>
      <c r="Q1975" s="14"/>
      <c r="R1975" s="14"/>
    </row>
    <row r="1976" spans="1:18">
      <c r="B1976" s="66" t="s">
        <v>3318</v>
      </c>
      <c r="C1976" s="64" t="s">
        <v>494</v>
      </c>
      <c r="D1976" s="16"/>
      <c r="F1976" s="14"/>
      <c r="G1976" s="14"/>
      <c r="H1976" s="47"/>
      <c r="I1976" s="11"/>
      <c r="J1976" s="14"/>
      <c r="K1976">
        <v>7</v>
      </c>
      <c r="L1976" s="32"/>
      <c r="M1976" s="62"/>
      <c r="N1976" s="62"/>
      <c r="O1976" s="64"/>
      <c r="P1976" s="62"/>
      <c r="Q1976" s="14"/>
      <c r="R1976" s="14"/>
    </row>
    <row r="1977" spans="1:18">
      <c r="B1977" s="66" t="s">
        <v>3319</v>
      </c>
      <c r="C1977" s="64" t="s">
        <v>494</v>
      </c>
      <c r="D1977" s="16"/>
      <c r="F1977" s="14"/>
      <c r="G1977" s="14">
        <v>300</v>
      </c>
      <c r="H1977" s="47"/>
      <c r="I1977" s="11"/>
      <c r="J1977" s="14"/>
      <c r="K1977">
        <v>8</v>
      </c>
      <c r="L1977"/>
      <c r="M1977"/>
      <c r="N1977"/>
      <c r="O1977"/>
      <c r="P1977"/>
      <c r="Q1977"/>
      <c r="R1977"/>
    </row>
    <row r="1978" spans="1:18">
      <c r="B1978" s="66" t="s">
        <v>3345</v>
      </c>
      <c r="C1978" s="64" t="s">
        <v>494</v>
      </c>
      <c r="D1978" s="16"/>
      <c r="F1978" s="14"/>
      <c r="G1978" s="14">
        <v>5</v>
      </c>
      <c r="H1978" s="47"/>
      <c r="I1978" s="11"/>
      <c r="J1978" s="14"/>
      <c r="K1978">
        <v>9</v>
      </c>
      <c r="L1978"/>
      <c r="M1978"/>
      <c r="N1978"/>
      <c r="O1978"/>
      <c r="P1978"/>
      <c r="Q1978"/>
      <c r="R1978"/>
    </row>
    <row r="1979" spans="1:18" customFormat="1">
      <c r="B1979" s="66" t="s">
        <v>3320</v>
      </c>
      <c r="C1979" s="64" t="s">
        <v>494</v>
      </c>
      <c r="K1979">
        <v>10</v>
      </c>
      <c r="L1979">
        <v>8</v>
      </c>
    </row>
    <row r="1980" spans="1:18" customFormat="1">
      <c r="B1980" s="66" t="s">
        <v>3321</v>
      </c>
      <c r="C1980" s="64" t="s">
        <v>494</v>
      </c>
      <c r="G1980" s="89">
        <f>+G1977/G1978</f>
        <v>60</v>
      </c>
      <c r="K1980">
        <v>11</v>
      </c>
      <c r="L1980">
        <v>8</v>
      </c>
    </row>
    <row r="1981" spans="1:18" customFormat="1">
      <c r="B1981" s="66" t="s">
        <v>3341</v>
      </c>
      <c r="C1981" s="64" t="s">
        <v>494</v>
      </c>
      <c r="K1981">
        <v>12</v>
      </c>
      <c r="L1981">
        <v>8</v>
      </c>
    </row>
    <row r="1982" spans="1:18" customFormat="1">
      <c r="B1982" s="66" t="s">
        <v>3359</v>
      </c>
      <c r="C1982" s="64" t="s">
        <v>494</v>
      </c>
      <c r="K1982">
        <v>13</v>
      </c>
    </row>
    <row r="1983" spans="1:18" customFormat="1">
      <c r="B1983" s="66" t="s">
        <v>3344</v>
      </c>
      <c r="C1983" s="64" t="s">
        <v>493</v>
      </c>
      <c r="D1983">
        <v>20</v>
      </c>
      <c r="K1983">
        <v>14</v>
      </c>
    </row>
    <row r="1984" spans="1:18" customFormat="1">
      <c r="B1984" s="66" t="s">
        <v>3360</v>
      </c>
      <c r="C1984" s="64" t="s">
        <v>494</v>
      </c>
      <c r="G1984" s="62" t="s">
        <v>4012</v>
      </c>
      <c r="K1984">
        <v>15</v>
      </c>
      <c r="O1984" s="64"/>
      <c r="P1984" s="64"/>
    </row>
    <row r="1985" spans="1:18" customFormat="1">
      <c r="B1985" s="62" t="s">
        <v>3971</v>
      </c>
      <c r="C1985" s="62" t="s">
        <v>494</v>
      </c>
      <c r="K1985">
        <v>16</v>
      </c>
      <c r="L1985">
        <v>3</v>
      </c>
      <c r="N1985" s="62" t="s">
        <v>379</v>
      </c>
      <c r="O1985" s="62" t="s">
        <v>698</v>
      </c>
      <c r="P1985" s="62" t="s">
        <v>699</v>
      </c>
    </row>
    <row r="1986" spans="1:18" customFormat="1">
      <c r="B1986" s="62"/>
      <c r="C1986" s="62"/>
      <c r="N1986" s="62"/>
      <c r="O1986" s="62"/>
      <c r="P1986" s="62"/>
    </row>
    <row r="1987" spans="1:18" customFormat="1">
      <c r="A1987" s="78" t="s">
        <v>3262</v>
      </c>
      <c r="B1987" s="70" t="s">
        <v>3270</v>
      </c>
      <c r="C1987" s="70" t="s">
        <v>494</v>
      </c>
      <c r="E1987" t="s">
        <v>476</v>
      </c>
      <c r="F1987">
        <v>22</v>
      </c>
      <c r="G1987">
        <v>2204</v>
      </c>
      <c r="H1987" s="62" t="s">
        <v>2034</v>
      </c>
      <c r="I1987" s="62"/>
      <c r="J1987">
        <v>2201</v>
      </c>
      <c r="K1987" s="55">
        <v>1</v>
      </c>
      <c r="L1987" s="32">
        <v>52</v>
      </c>
      <c r="N1987" s="62">
        <v>2206</v>
      </c>
      <c r="O1987" t="s">
        <v>3316</v>
      </c>
    </row>
    <row r="1988" spans="1:18" customFormat="1">
      <c r="B1988" s="70" t="s">
        <v>3264</v>
      </c>
      <c r="C1988" s="70" t="s">
        <v>494</v>
      </c>
      <c r="E1988" s="62" t="s">
        <v>476</v>
      </c>
      <c r="F1988">
        <v>22</v>
      </c>
      <c r="G1988">
        <v>2204</v>
      </c>
      <c r="H1988" s="62" t="s">
        <v>2034</v>
      </c>
      <c r="I1988" s="62"/>
      <c r="J1988">
        <v>2201</v>
      </c>
      <c r="K1988" s="55">
        <v>2</v>
      </c>
      <c r="L1988" s="9">
        <v>3</v>
      </c>
      <c r="M1988" s="1"/>
      <c r="N1988" s="10" t="s">
        <v>506</v>
      </c>
      <c r="O1988" s="10" t="s">
        <v>514</v>
      </c>
      <c r="P1988" s="1" t="s">
        <v>515</v>
      </c>
    </row>
    <row r="1989" spans="1:18" customFormat="1">
      <c r="B1989" s="70" t="s">
        <v>3265</v>
      </c>
      <c r="C1989" s="70" t="s">
        <v>494</v>
      </c>
      <c r="E1989" s="62" t="s">
        <v>476</v>
      </c>
      <c r="K1989" s="55">
        <v>3</v>
      </c>
      <c r="L1989">
        <v>8</v>
      </c>
    </row>
    <row r="1990" spans="1:18" customFormat="1">
      <c r="B1990" s="70" t="s">
        <v>3266</v>
      </c>
      <c r="C1990" s="70" t="s">
        <v>494</v>
      </c>
      <c r="E1990" s="62" t="s">
        <v>476</v>
      </c>
      <c r="K1990" s="55">
        <v>4</v>
      </c>
      <c r="L1990" s="68">
        <v>9</v>
      </c>
      <c r="M1990" s="1"/>
      <c r="N1990" s="62" t="s">
        <v>1038</v>
      </c>
      <c r="O1990" s="23" t="s">
        <v>1040</v>
      </c>
      <c r="P1990" s="23" t="s">
        <v>1041</v>
      </c>
      <c r="Q1990" s="23" t="s">
        <v>1040</v>
      </c>
      <c r="R1990" s="14">
        <v>140</v>
      </c>
    </row>
    <row r="1991" spans="1:18" customFormat="1">
      <c r="B1991" s="70" t="s">
        <v>3268</v>
      </c>
      <c r="C1991" s="70" t="s">
        <v>494</v>
      </c>
      <c r="K1991" s="55">
        <v>5</v>
      </c>
      <c r="L1991" s="32">
        <v>6</v>
      </c>
    </row>
    <row r="1992" spans="1:18" customFormat="1">
      <c r="B1992" s="70" t="s">
        <v>3267</v>
      </c>
      <c r="C1992" s="70" t="s">
        <v>494</v>
      </c>
      <c r="E1992" s="62"/>
      <c r="G1992" s="62" t="s">
        <v>1813</v>
      </c>
      <c r="K1992" s="55">
        <v>6</v>
      </c>
    </row>
    <row r="1993" spans="1:18" customFormat="1">
      <c r="B1993" s="70" t="s">
        <v>3286</v>
      </c>
      <c r="C1993" s="70" t="s">
        <v>494</v>
      </c>
      <c r="E1993" s="62"/>
      <c r="G1993" s="62" t="s">
        <v>3998</v>
      </c>
      <c r="H1993" s="62"/>
      <c r="K1993" s="55">
        <v>7</v>
      </c>
      <c r="L1993" s="9">
        <v>3</v>
      </c>
      <c r="M1993" s="1"/>
      <c r="N1993" s="64" t="s">
        <v>1814</v>
      </c>
      <c r="O1993" s="66" t="s">
        <v>1815</v>
      </c>
      <c r="P1993" s="66" t="s">
        <v>1816</v>
      </c>
    </row>
    <row r="1994" spans="1:18" customFormat="1">
      <c r="B1994" s="70" t="s">
        <v>3269</v>
      </c>
      <c r="C1994" s="70" t="s">
        <v>494</v>
      </c>
      <c r="K1994" s="55">
        <v>8</v>
      </c>
      <c r="L1994" s="9">
        <v>3</v>
      </c>
      <c r="M1994" s="1"/>
      <c r="N1994" s="62" t="s">
        <v>1002</v>
      </c>
      <c r="O1994" s="23" t="s">
        <v>1004</v>
      </c>
      <c r="P1994" s="23" t="s">
        <v>1023</v>
      </c>
    </row>
    <row r="1995" spans="1:18" customFormat="1">
      <c r="B1995" s="70" t="s">
        <v>3342</v>
      </c>
      <c r="C1995" s="70" t="s">
        <v>494</v>
      </c>
      <c r="G1995" s="62" t="s">
        <v>3343</v>
      </c>
      <c r="K1995" s="55">
        <v>9</v>
      </c>
      <c r="L1995">
        <v>3</v>
      </c>
      <c r="M1995">
        <v>1</v>
      </c>
      <c r="N1995" t="s">
        <v>4694</v>
      </c>
      <c r="O1995" s="64" t="s">
        <v>4695</v>
      </c>
      <c r="P1995" s="64" t="s">
        <v>4696</v>
      </c>
    </row>
    <row r="1996" spans="1:18" customFormat="1">
      <c r="B1996" s="62"/>
      <c r="C1996" s="62"/>
      <c r="G1996" s="62"/>
      <c r="K1996" s="55"/>
      <c r="L1996" s="32"/>
      <c r="N1996" s="62"/>
    </row>
    <row r="1997" spans="1:18" customFormat="1">
      <c r="A1997" t="s">
        <v>4694</v>
      </c>
      <c r="B1997" s="64" t="s">
        <v>4695</v>
      </c>
      <c r="C1997" s="64" t="s">
        <v>494</v>
      </c>
      <c r="E1997" t="s">
        <v>476</v>
      </c>
      <c r="K1997" s="55"/>
    </row>
    <row r="1998" spans="1:18" customFormat="1">
      <c r="B1998" s="64" t="s">
        <v>4696</v>
      </c>
      <c r="C1998" s="64" t="s">
        <v>493</v>
      </c>
      <c r="D1998">
        <v>50</v>
      </c>
      <c r="K1998" s="55"/>
    </row>
    <row r="1999" spans="1:18" customFormat="1">
      <c r="B1999" s="62"/>
      <c r="C1999" s="64"/>
      <c r="K1999" s="55"/>
    </row>
    <row r="2000" spans="1:18" customFormat="1">
      <c r="B2000" s="62"/>
      <c r="C2000" s="64"/>
      <c r="K2000" s="55"/>
      <c r="L2000" s="15"/>
      <c r="M2000" s="14"/>
      <c r="N2000" s="1"/>
      <c r="O2000" s="1"/>
      <c r="P2000" s="1"/>
    </row>
    <row r="2001" spans="1:18" customFormat="1">
      <c r="B2001" s="62"/>
      <c r="C2001" s="64"/>
      <c r="K2001" s="55"/>
      <c r="L2001" s="15"/>
      <c r="M2001" s="14"/>
      <c r="N2001" s="1"/>
      <c r="O2001" s="1"/>
      <c r="P2001" s="1"/>
    </row>
    <row r="2002" spans="1:18">
      <c r="A2002" s="70" t="s">
        <v>975</v>
      </c>
      <c r="B2002" s="67" t="s">
        <v>976</v>
      </c>
      <c r="C2002" s="39" t="s">
        <v>494</v>
      </c>
      <c r="E2002" s="1" t="s">
        <v>476</v>
      </c>
      <c r="F2002" s="14">
        <v>22</v>
      </c>
      <c r="G2002" s="14">
        <v>2240</v>
      </c>
      <c r="H2002" s="47" t="s">
        <v>4686</v>
      </c>
      <c r="I2002" s="48" t="s">
        <v>4687</v>
      </c>
      <c r="J2002" s="14">
        <v>2201</v>
      </c>
      <c r="K2002" s="16">
        <v>1</v>
      </c>
      <c r="L2002" s="15">
        <v>3</v>
      </c>
      <c r="M2002" s="14"/>
      <c r="N2002" s="64" t="s">
        <v>506</v>
      </c>
      <c r="O2002" s="64" t="s">
        <v>514</v>
      </c>
      <c r="P2002" s="62" t="s">
        <v>515</v>
      </c>
      <c r="Q2002" s="14"/>
      <c r="R2002" s="14"/>
    </row>
    <row r="2003" spans="1:18">
      <c r="A2003" s="39"/>
      <c r="B2003" s="67" t="s">
        <v>977</v>
      </c>
      <c r="C2003" s="39" t="s">
        <v>494</v>
      </c>
      <c r="E2003" s="1" t="s">
        <v>476</v>
      </c>
      <c r="F2003" s="14"/>
      <c r="G2003" s="14"/>
      <c r="H2003" s="14"/>
      <c r="I2003" s="11"/>
      <c r="J2003" s="14"/>
      <c r="K2003" s="16">
        <v>2</v>
      </c>
      <c r="L2003" s="15">
        <v>9</v>
      </c>
      <c r="M2003" s="14"/>
      <c r="N2003" s="62" t="s">
        <v>1038</v>
      </c>
      <c r="O2003" s="23" t="s">
        <v>1040</v>
      </c>
      <c r="P2003" s="23" t="s">
        <v>1041</v>
      </c>
      <c r="Q2003" s="23" t="s">
        <v>1040</v>
      </c>
      <c r="R2003" s="14">
        <v>140</v>
      </c>
    </row>
    <row r="2004" spans="1:18">
      <c r="A2004" s="39"/>
      <c r="B2004" s="67" t="s">
        <v>978</v>
      </c>
      <c r="C2004" s="39" t="s">
        <v>494</v>
      </c>
      <c r="E2004" s="1" t="s">
        <v>476</v>
      </c>
      <c r="F2004" s="14"/>
      <c r="G2004" s="14"/>
      <c r="H2004" s="14"/>
      <c r="I2004" s="11"/>
      <c r="J2004" s="14"/>
      <c r="K2004" s="16">
        <v>3</v>
      </c>
      <c r="L2004" s="15">
        <v>3</v>
      </c>
      <c r="M2004" s="14"/>
      <c r="N2004" s="1" t="s">
        <v>379</v>
      </c>
      <c r="O2004" s="62" t="s">
        <v>698</v>
      </c>
      <c r="P2004" s="62" t="s">
        <v>699</v>
      </c>
      <c r="Q2004" s="14"/>
      <c r="R2004" s="14"/>
    </row>
    <row r="2005" spans="1:18">
      <c r="A2005" s="39"/>
      <c r="B2005" s="67" t="s">
        <v>979</v>
      </c>
      <c r="C2005" s="39" t="s">
        <v>494</v>
      </c>
      <c r="F2005" s="14"/>
      <c r="G2005" s="14"/>
      <c r="H2005" s="14"/>
      <c r="I2005" s="11"/>
      <c r="J2005" s="14"/>
      <c r="K2005" s="16">
        <v>4</v>
      </c>
      <c r="L2005" s="15">
        <v>6</v>
      </c>
      <c r="M2005" s="14"/>
      <c r="P2005" s="14"/>
      <c r="Q2005" s="14"/>
      <c r="R2005" s="14"/>
    </row>
    <row r="2006" spans="1:18">
      <c r="B2006" s="66" t="s">
        <v>280</v>
      </c>
      <c r="C2006" s="1" t="s">
        <v>494</v>
      </c>
      <c r="F2006" s="14"/>
      <c r="G2006" s="14"/>
      <c r="H2006" s="14"/>
      <c r="I2006" s="11"/>
      <c r="J2006" s="14"/>
      <c r="K2006" s="16">
        <v>5</v>
      </c>
      <c r="L2006" s="15">
        <v>3</v>
      </c>
      <c r="M2006" s="14">
        <v>1</v>
      </c>
      <c r="N2006" s="62" t="s">
        <v>995</v>
      </c>
      <c r="O2006" s="60" t="s">
        <v>997</v>
      </c>
      <c r="P2006" s="60" t="s">
        <v>996</v>
      </c>
      <c r="Q2006" s="14"/>
      <c r="R2006" s="14"/>
    </row>
    <row r="2007" spans="1:18">
      <c r="A2007" s="39"/>
      <c r="B2007" s="67" t="s">
        <v>980</v>
      </c>
      <c r="C2007" s="39" t="s">
        <v>494</v>
      </c>
      <c r="F2007" s="14"/>
      <c r="G2007" s="14"/>
      <c r="H2007" s="14"/>
      <c r="I2007" s="11"/>
      <c r="J2007" s="14"/>
      <c r="K2007" s="16">
        <v>6</v>
      </c>
      <c r="L2007" s="15">
        <v>3</v>
      </c>
      <c r="M2007" s="14">
        <v>1</v>
      </c>
      <c r="N2007" s="62" t="s">
        <v>974</v>
      </c>
      <c r="O2007" s="60" t="s">
        <v>954</v>
      </c>
      <c r="P2007" s="23" t="s">
        <v>984</v>
      </c>
      <c r="Q2007" s="14"/>
      <c r="R2007" s="14"/>
    </row>
    <row r="2008" spans="1:18">
      <c r="A2008" s="39"/>
      <c r="B2008" s="67" t="s">
        <v>268</v>
      </c>
      <c r="C2008" s="39" t="s">
        <v>494</v>
      </c>
      <c r="F2008" s="14"/>
      <c r="G2008" s="14"/>
      <c r="H2008" s="14"/>
      <c r="I2008" s="11"/>
      <c r="J2008" s="14"/>
      <c r="K2008" s="16">
        <v>7</v>
      </c>
      <c r="L2008" s="15">
        <v>3</v>
      </c>
      <c r="M2008" s="14">
        <v>1</v>
      </c>
      <c r="N2008" s="62" t="s">
        <v>269</v>
      </c>
      <c r="O2008" s="23" t="s">
        <v>270</v>
      </c>
      <c r="P2008" s="23" t="s">
        <v>271</v>
      </c>
      <c r="Q2008" s="14"/>
      <c r="R2008" s="14"/>
    </row>
    <row r="2009" spans="1:18">
      <c r="A2009" s="39"/>
      <c r="B2009" s="67" t="s">
        <v>206</v>
      </c>
      <c r="C2009" s="39" t="s">
        <v>493</v>
      </c>
      <c r="D2009" s="1">
        <v>1</v>
      </c>
      <c r="F2009" s="14"/>
      <c r="G2009" s="14"/>
      <c r="H2009" s="14"/>
      <c r="I2009" s="11"/>
      <c r="J2009" s="14"/>
      <c r="K2009" s="16">
        <v>8</v>
      </c>
      <c r="L2009" s="15">
        <v>3</v>
      </c>
      <c r="M2009" s="14">
        <v>1</v>
      </c>
      <c r="N2009" s="64" t="s">
        <v>2013</v>
      </c>
      <c r="O2009" s="66" t="s">
        <v>2014</v>
      </c>
      <c r="P2009" s="60" t="s">
        <v>2015</v>
      </c>
      <c r="Q2009" s="14"/>
      <c r="R2009" s="14"/>
    </row>
    <row r="2010" spans="1:18">
      <c r="A2010" s="39"/>
      <c r="B2010" s="67" t="s">
        <v>2753</v>
      </c>
      <c r="C2010" s="70" t="s">
        <v>493</v>
      </c>
      <c r="D2010" s="16">
        <v>1</v>
      </c>
      <c r="F2010" s="14"/>
      <c r="G2010" s="14"/>
      <c r="H2010" s="47"/>
      <c r="I2010" s="11"/>
      <c r="J2010" s="14"/>
      <c r="K2010" s="16">
        <v>9</v>
      </c>
      <c r="L2010" s="55">
        <v>3</v>
      </c>
      <c r="M2010" s="14">
        <v>1</v>
      </c>
      <c r="N2010" s="62"/>
      <c r="O2010" s="64"/>
      <c r="P2010" s="62"/>
      <c r="Q2010" s="14"/>
      <c r="R2010" s="14"/>
    </row>
    <row r="2011" spans="1:18">
      <c r="A2011" s="39"/>
      <c r="B2011" s="67" t="s">
        <v>2754</v>
      </c>
      <c r="C2011" s="70" t="s">
        <v>494</v>
      </c>
      <c r="D2011" s="16"/>
      <c r="F2011" s="14"/>
      <c r="G2011" s="14"/>
      <c r="H2011" s="47"/>
      <c r="I2011" s="11"/>
      <c r="J2011" s="14"/>
      <c r="K2011" s="16">
        <v>10</v>
      </c>
      <c r="L2011" s="55"/>
      <c r="M2011" s="14">
        <v>1</v>
      </c>
      <c r="N2011" s="62"/>
      <c r="O2011" s="64"/>
      <c r="P2011" s="62"/>
      <c r="Q2011" s="14"/>
      <c r="R2011" s="14"/>
    </row>
    <row r="2012" spans="1:18">
      <c r="A2012" s="39"/>
      <c r="B2012" s="67" t="s">
        <v>2755</v>
      </c>
      <c r="C2012" s="70" t="s">
        <v>493</v>
      </c>
      <c r="D2012" s="16">
        <v>1</v>
      </c>
      <c r="F2012" s="14"/>
      <c r="G2012" s="14"/>
      <c r="H2012" s="47"/>
      <c r="I2012" s="11"/>
      <c r="J2012" s="14"/>
      <c r="K2012" s="16">
        <v>11</v>
      </c>
      <c r="L2012" s="55">
        <v>3</v>
      </c>
      <c r="M2012" s="14">
        <v>1</v>
      </c>
      <c r="N2012" s="62"/>
      <c r="O2012" s="64"/>
      <c r="P2012" s="62"/>
      <c r="Q2012" s="14"/>
      <c r="R2012" s="14"/>
    </row>
    <row r="2013" spans="1:18">
      <c r="A2013" s="39"/>
      <c r="B2013" s="67" t="s">
        <v>2756</v>
      </c>
      <c r="C2013" s="70" t="s">
        <v>494</v>
      </c>
      <c r="D2013" s="16"/>
      <c r="F2013" s="14"/>
      <c r="G2013" s="14"/>
      <c r="H2013" s="47"/>
      <c r="I2013" s="11"/>
      <c r="J2013" s="14"/>
      <c r="K2013" s="16">
        <v>12</v>
      </c>
      <c r="L2013" s="55"/>
      <c r="M2013" s="14">
        <v>1</v>
      </c>
      <c r="N2013" s="62"/>
      <c r="O2013" s="64"/>
      <c r="P2013" s="62"/>
      <c r="Q2013" s="14"/>
      <c r="R2013" s="14"/>
    </row>
    <row r="2014" spans="1:18">
      <c r="B2014" s="67" t="s">
        <v>3125</v>
      </c>
      <c r="C2014" s="70" t="s">
        <v>494</v>
      </c>
      <c r="D2014" s="16"/>
      <c r="F2014" s="14"/>
      <c r="G2014" s="14"/>
      <c r="H2014" s="47" t="s">
        <v>3132</v>
      </c>
      <c r="I2014" s="11"/>
      <c r="J2014" s="14"/>
      <c r="K2014" s="16">
        <v>13</v>
      </c>
      <c r="L2014" s="32">
        <v>3</v>
      </c>
      <c r="M2014" s="62"/>
      <c r="N2014" s="62"/>
      <c r="O2014" s="64"/>
      <c r="P2014" s="62"/>
      <c r="Q2014" s="14"/>
      <c r="R2014" s="14"/>
    </row>
    <row r="2015" spans="1:18">
      <c r="B2015" s="67" t="s">
        <v>3124</v>
      </c>
      <c r="C2015" s="70" t="s">
        <v>494</v>
      </c>
      <c r="D2015" s="16"/>
      <c r="F2015" s="14"/>
      <c r="G2015" s="14"/>
      <c r="H2015" s="47"/>
      <c r="I2015" s="11"/>
      <c r="J2015" s="14"/>
      <c r="K2015" s="16">
        <v>14</v>
      </c>
      <c r="L2015" s="32"/>
      <c r="M2015" s="62"/>
      <c r="N2015" s="62"/>
      <c r="O2015" s="64"/>
      <c r="P2015" s="62"/>
      <c r="Q2015" s="14"/>
      <c r="R2015" s="14"/>
    </row>
    <row r="2016" spans="1:18">
      <c r="B2016" s="67" t="s">
        <v>3126</v>
      </c>
      <c r="C2016" s="70" t="s">
        <v>494</v>
      </c>
      <c r="D2016" s="16"/>
      <c r="F2016" s="14"/>
      <c r="G2016" s="14"/>
      <c r="H2016" s="47"/>
      <c r="I2016" s="11"/>
      <c r="J2016" s="14"/>
      <c r="K2016" s="16">
        <v>15</v>
      </c>
      <c r="L2016" s="32"/>
      <c r="M2016" s="62"/>
      <c r="N2016" s="62"/>
      <c r="O2016" s="64"/>
      <c r="P2016" s="62"/>
      <c r="Q2016" s="14"/>
      <c r="R2016" s="14"/>
    </row>
    <row r="2017" spans="1:18">
      <c r="B2017" s="67" t="s">
        <v>3071</v>
      </c>
      <c r="C2017" s="70" t="s">
        <v>494</v>
      </c>
      <c r="D2017" s="16"/>
      <c r="F2017" s="14"/>
      <c r="G2017" s="14"/>
      <c r="H2017" s="47"/>
      <c r="I2017" s="11"/>
      <c r="J2017" s="14"/>
      <c r="K2017" s="16">
        <v>16</v>
      </c>
      <c r="L2017" s="9">
        <v>8</v>
      </c>
      <c r="M2017" s="47">
        <v>1</v>
      </c>
      <c r="N2017" s="62"/>
      <c r="O2017" s="64"/>
      <c r="P2017" s="62"/>
      <c r="Q2017" s="14"/>
      <c r="R2017" s="14"/>
    </row>
    <row r="2018" spans="1:18">
      <c r="B2018" s="67" t="s">
        <v>3068</v>
      </c>
      <c r="C2018" s="70" t="s">
        <v>494</v>
      </c>
      <c r="D2018" s="16"/>
      <c r="F2018" s="14"/>
      <c r="G2018" s="14"/>
      <c r="H2018" s="47"/>
      <c r="I2018" s="11"/>
      <c r="J2018" s="14"/>
      <c r="K2018" s="16">
        <v>17</v>
      </c>
      <c r="L2018" s="9">
        <v>8</v>
      </c>
      <c r="M2018" s="47">
        <v>1</v>
      </c>
      <c r="N2018" s="62"/>
      <c r="O2018" s="64"/>
      <c r="P2018" s="62"/>
      <c r="Q2018" s="14"/>
      <c r="R2018" s="14"/>
    </row>
    <row r="2019" spans="1:18">
      <c r="B2019" s="66" t="s">
        <v>4688</v>
      </c>
      <c r="C2019" s="64" t="s">
        <v>494</v>
      </c>
      <c r="D2019" s="16"/>
      <c r="F2019" s="14"/>
      <c r="G2019" s="14"/>
      <c r="H2019" s="47"/>
      <c r="I2019" s="11"/>
      <c r="J2019" s="14"/>
      <c r="K2019" s="16">
        <v>18</v>
      </c>
      <c r="L2019" s="32">
        <v>8</v>
      </c>
      <c r="M2019" s="62"/>
      <c r="N2019" s="62"/>
      <c r="O2019" s="62"/>
      <c r="P2019" s="62"/>
      <c r="Q2019" s="62"/>
      <c r="R2019" s="14"/>
    </row>
    <row r="2020" spans="1:18">
      <c r="B2020" s="60"/>
      <c r="F2020" s="14"/>
      <c r="G2020" s="14"/>
      <c r="H2020" s="14"/>
      <c r="I2020" s="11"/>
      <c r="J2020" s="14"/>
      <c r="K2020" s="16"/>
      <c r="L2020" s="15"/>
      <c r="M2020" s="14"/>
      <c r="P2020" s="14"/>
      <c r="Q2020" s="14"/>
      <c r="R2020" s="14"/>
    </row>
    <row r="2021" spans="1:18" customFormat="1">
      <c r="A2021" s="91" t="s">
        <v>3311</v>
      </c>
      <c r="B2021" s="70" t="s">
        <v>3312</v>
      </c>
      <c r="C2021" s="70" t="s">
        <v>494</v>
      </c>
      <c r="E2021" s="62" t="s">
        <v>476</v>
      </c>
      <c r="F2021">
        <v>22</v>
      </c>
      <c r="G2021">
        <v>2206</v>
      </c>
      <c r="H2021" s="62" t="s">
        <v>2890</v>
      </c>
      <c r="I2021" s="62"/>
      <c r="J2021">
        <v>2201</v>
      </c>
      <c r="K2021">
        <v>1</v>
      </c>
      <c r="L2021" s="9"/>
      <c r="M2021" s="47"/>
      <c r="N2021" s="10"/>
      <c r="O2021" s="10"/>
      <c r="P2021" s="1"/>
    </row>
    <row r="2022" spans="1:18" customFormat="1">
      <c r="B2022" s="70" t="s">
        <v>3313</v>
      </c>
      <c r="C2022" s="70" t="s">
        <v>494</v>
      </c>
      <c r="E2022" s="62" t="s">
        <v>476</v>
      </c>
      <c r="K2022">
        <v>2</v>
      </c>
      <c r="L2022" s="68">
        <v>52</v>
      </c>
      <c r="M2022" s="1"/>
      <c r="N2022" s="1">
        <v>2240</v>
      </c>
      <c r="O2022" s="23" t="s">
        <v>979</v>
      </c>
      <c r="P2022" s="23"/>
      <c r="Q2022" s="23"/>
      <c r="R2022" s="14"/>
    </row>
    <row r="2023" spans="1:18" customFormat="1">
      <c r="B2023" s="70" t="s">
        <v>3315</v>
      </c>
      <c r="C2023" s="70" t="s">
        <v>494</v>
      </c>
      <c r="E2023" s="62" t="s">
        <v>476</v>
      </c>
      <c r="K2023">
        <v>3</v>
      </c>
      <c r="L2023">
        <v>6</v>
      </c>
    </row>
    <row r="2024" spans="1:18" customFormat="1">
      <c r="B2024" s="70" t="s">
        <v>3316</v>
      </c>
      <c r="C2024" s="70" t="s">
        <v>494</v>
      </c>
      <c r="K2024">
        <v>4</v>
      </c>
      <c r="L2024" s="32">
        <v>6</v>
      </c>
      <c r="M2024" s="62"/>
      <c r="N2024" s="62"/>
      <c r="O2024" s="64"/>
      <c r="P2024" s="62"/>
      <c r="Q2024" s="14"/>
      <c r="R2024" s="14"/>
    </row>
    <row r="2025" spans="1:18" customFormat="1">
      <c r="B2025" s="70" t="s">
        <v>3314</v>
      </c>
      <c r="C2025" s="70" t="s">
        <v>494</v>
      </c>
      <c r="E2025" s="62"/>
      <c r="K2025">
        <v>5</v>
      </c>
    </row>
    <row r="2026" spans="1:18">
      <c r="B2026" s="67" t="s">
        <v>3317</v>
      </c>
      <c r="C2026" s="70" t="s">
        <v>494</v>
      </c>
      <c r="D2026" s="16"/>
      <c r="F2026" s="14"/>
      <c r="G2026" s="14"/>
      <c r="H2026" s="47" t="s">
        <v>3358</v>
      </c>
      <c r="I2026" s="11"/>
      <c r="J2026" s="14"/>
      <c r="K2026">
        <v>6</v>
      </c>
      <c r="L2026" s="32">
        <v>3</v>
      </c>
      <c r="M2026" s="62"/>
      <c r="N2026" s="62"/>
      <c r="O2026" s="64"/>
      <c r="P2026" s="62"/>
      <c r="Q2026" s="14"/>
      <c r="R2026" s="14"/>
    </row>
    <row r="2027" spans="1:18">
      <c r="B2027" s="67" t="s">
        <v>3318</v>
      </c>
      <c r="C2027" s="70" t="s">
        <v>494</v>
      </c>
      <c r="D2027" s="16"/>
      <c r="F2027" s="14"/>
      <c r="G2027" s="14"/>
      <c r="H2027" s="47"/>
      <c r="I2027" s="11"/>
      <c r="J2027" s="14"/>
      <c r="K2027">
        <v>7</v>
      </c>
      <c r="L2027" s="32"/>
      <c r="M2027" s="62"/>
      <c r="N2027" s="62"/>
      <c r="O2027" s="64"/>
      <c r="P2027" s="62"/>
      <c r="Q2027" s="14"/>
      <c r="R2027" s="14"/>
    </row>
    <row r="2028" spans="1:18">
      <c r="B2028" s="67" t="s">
        <v>3319</v>
      </c>
      <c r="C2028" s="70" t="s">
        <v>494</v>
      </c>
      <c r="D2028" s="16"/>
      <c r="F2028" s="14"/>
      <c r="G2028" s="14">
        <v>300</v>
      </c>
      <c r="H2028" s="47"/>
      <c r="I2028" s="11"/>
      <c r="J2028" s="14"/>
      <c r="K2028">
        <v>8</v>
      </c>
      <c r="L2028"/>
      <c r="M2028"/>
      <c r="N2028"/>
      <c r="O2028"/>
      <c r="P2028"/>
      <c r="Q2028"/>
      <c r="R2028"/>
    </row>
    <row r="2029" spans="1:18">
      <c r="B2029" s="67" t="s">
        <v>3345</v>
      </c>
      <c r="C2029" s="70" t="s">
        <v>494</v>
      </c>
      <c r="D2029" s="16"/>
      <c r="F2029" s="14"/>
      <c r="G2029" s="14">
        <v>5</v>
      </c>
      <c r="H2029" s="47"/>
      <c r="I2029" s="11"/>
      <c r="J2029" s="14"/>
      <c r="K2029">
        <v>9</v>
      </c>
      <c r="L2029"/>
      <c r="M2029"/>
      <c r="N2029"/>
      <c r="O2029"/>
      <c r="P2029"/>
      <c r="Q2029"/>
      <c r="R2029"/>
    </row>
    <row r="2030" spans="1:18" customFormat="1">
      <c r="B2030" s="67" t="s">
        <v>3320</v>
      </c>
      <c r="C2030" s="70" t="s">
        <v>494</v>
      </c>
      <c r="K2030">
        <v>10</v>
      </c>
      <c r="L2030">
        <v>8</v>
      </c>
    </row>
    <row r="2031" spans="1:18" customFormat="1">
      <c r="B2031" s="67" t="s">
        <v>3321</v>
      </c>
      <c r="C2031" s="70" t="s">
        <v>494</v>
      </c>
      <c r="G2031" s="89">
        <f>+G2028/G2029</f>
        <v>60</v>
      </c>
      <c r="K2031">
        <v>11</v>
      </c>
      <c r="L2031">
        <v>8</v>
      </c>
    </row>
    <row r="2032" spans="1:18" customFormat="1">
      <c r="B2032" s="67" t="s">
        <v>3341</v>
      </c>
      <c r="C2032" s="70" t="s">
        <v>494</v>
      </c>
      <c r="K2032">
        <v>12</v>
      </c>
      <c r="L2032">
        <v>8</v>
      </c>
    </row>
    <row r="2033" spans="1:18" customFormat="1">
      <c r="B2033" s="67" t="s">
        <v>3359</v>
      </c>
      <c r="C2033" s="70" t="s">
        <v>494</v>
      </c>
      <c r="K2033">
        <v>13</v>
      </c>
    </row>
    <row r="2034" spans="1:18" customFormat="1">
      <c r="B2034" s="67" t="s">
        <v>3344</v>
      </c>
      <c r="C2034" s="70" t="s">
        <v>493</v>
      </c>
      <c r="D2034">
        <v>20</v>
      </c>
      <c r="K2034">
        <v>14</v>
      </c>
    </row>
    <row r="2035" spans="1:18" customFormat="1">
      <c r="B2035" s="67" t="s">
        <v>3360</v>
      </c>
      <c r="C2035" s="70" t="s">
        <v>494</v>
      </c>
      <c r="G2035" s="62" t="s">
        <v>4012</v>
      </c>
      <c r="K2035">
        <v>15</v>
      </c>
    </row>
    <row r="2036" spans="1:18" customFormat="1">
      <c r="B2036" s="70" t="s">
        <v>3971</v>
      </c>
      <c r="C2036" s="70" t="s">
        <v>494</v>
      </c>
      <c r="K2036">
        <v>16</v>
      </c>
      <c r="L2036">
        <v>3</v>
      </c>
      <c r="N2036" s="62" t="s">
        <v>379</v>
      </c>
      <c r="O2036" s="62" t="s">
        <v>698</v>
      </c>
      <c r="P2036" s="62" t="s">
        <v>699</v>
      </c>
    </row>
    <row r="2037" spans="1:18" customFormat="1">
      <c r="B2037" s="62"/>
      <c r="C2037" s="62"/>
      <c r="N2037" s="62"/>
      <c r="O2037" s="62"/>
      <c r="P2037" s="62"/>
    </row>
    <row r="2038" spans="1:18">
      <c r="B2038" s="60"/>
      <c r="C2038" s="62"/>
      <c r="F2038" s="14"/>
      <c r="G2038" s="14"/>
      <c r="H2038" s="14"/>
      <c r="I2038" s="11"/>
      <c r="J2038" s="14"/>
      <c r="K2038" s="16"/>
      <c r="L2038" s="15"/>
      <c r="M2038" s="14"/>
      <c r="N2038" s="62"/>
      <c r="O2038" s="60"/>
      <c r="P2038" s="23"/>
      <c r="Q2038" s="14"/>
      <c r="R2038" s="14"/>
    </row>
    <row r="2039" spans="1:18">
      <c r="B2039" s="60"/>
      <c r="F2039" s="14"/>
      <c r="G2039" s="14"/>
      <c r="H2039" s="14"/>
      <c r="I2039" s="11"/>
      <c r="J2039" s="14"/>
      <c r="K2039" s="16"/>
      <c r="L2039" s="15"/>
      <c r="M2039" s="14"/>
      <c r="N2039" s="62"/>
      <c r="O2039" s="60"/>
      <c r="P2039" s="23"/>
      <c r="Q2039" s="14"/>
      <c r="R2039" s="14"/>
    </row>
    <row r="2040" spans="1:18" customFormat="1">
      <c r="A2040" s="62" t="s">
        <v>4681</v>
      </c>
      <c r="B2040" s="62" t="s">
        <v>4682</v>
      </c>
      <c r="C2040" s="62" t="s">
        <v>494</v>
      </c>
      <c r="F2040">
        <v>24</v>
      </c>
      <c r="G2040">
        <v>2404</v>
      </c>
      <c r="H2040" s="64" t="s">
        <v>4683</v>
      </c>
      <c r="I2040" s="62" t="s">
        <v>4684</v>
      </c>
      <c r="J2040">
        <v>7</v>
      </c>
      <c r="K2040">
        <v>1</v>
      </c>
      <c r="L2040">
        <v>3</v>
      </c>
      <c r="N2040" s="10" t="s">
        <v>506</v>
      </c>
      <c r="O2040" s="10" t="s">
        <v>514</v>
      </c>
      <c r="P2040" s="1" t="s">
        <v>515</v>
      </c>
    </row>
    <row r="2041" spans="1:18" customFormat="1">
      <c r="A2041" s="62"/>
      <c r="B2041" s="62"/>
      <c r="C2041" s="62"/>
      <c r="H2041" s="64"/>
      <c r="I2041" s="62"/>
      <c r="N2041" s="10"/>
      <c r="O2041" s="10"/>
      <c r="P2041" s="1"/>
    </row>
    <row r="2042" spans="1:18" customFormat="1">
      <c r="H2042" s="10"/>
    </row>
    <row r="2043" spans="1:18" customFormat="1">
      <c r="A2043" s="91" t="s">
        <v>3263</v>
      </c>
      <c r="B2043" s="70" t="s">
        <v>3287</v>
      </c>
      <c r="C2043" s="62" t="s">
        <v>494</v>
      </c>
      <c r="E2043" s="62" t="s">
        <v>476</v>
      </c>
      <c r="F2043">
        <v>24</v>
      </c>
      <c r="G2043">
        <v>2451</v>
      </c>
      <c r="H2043" s="62" t="s">
        <v>4679</v>
      </c>
      <c r="I2043" t="s">
        <v>4680</v>
      </c>
      <c r="J2043">
        <v>11</v>
      </c>
      <c r="K2043" s="55">
        <v>1</v>
      </c>
      <c r="L2043">
        <v>52</v>
      </c>
      <c r="N2043">
        <v>2204</v>
      </c>
      <c r="O2043" s="62" t="s">
        <v>3268</v>
      </c>
    </row>
    <row r="2044" spans="1:18">
      <c r="B2044" s="67" t="s">
        <v>3289</v>
      </c>
      <c r="C2044" s="1" t="s">
        <v>494</v>
      </c>
      <c r="E2044" s="1" t="s">
        <v>476</v>
      </c>
      <c r="F2044" s="14"/>
      <c r="G2044" s="14"/>
      <c r="H2044" s="14"/>
      <c r="I2044" s="11"/>
      <c r="J2044" s="14"/>
      <c r="K2044" s="16">
        <v>2</v>
      </c>
      <c r="L2044" s="15">
        <v>3</v>
      </c>
      <c r="M2044" s="14"/>
      <c r="N2044" s="1" t="s">
        <v>947</v>
      </c>
      <c r="O2044" s="23" t="s">
        <v>938</v>
      </c>
      <c r="P2044" s="23" t="s">
        <v>940</v>
      </c>
      <c r="Q2044" s="14"/>
      <c r="R2044" s="14"/>
    </row>
    <row r="2045" spans="1:18">
      <c r="B2045" s="67" t="s">
        <v>3290</v>
      </c>
      <c r="C2045" s="1" t="s">
        <v>494</v>
      </c>
      <c r="E2045" s="1" t="s">
        <v>476</v>
      </c>
      <c r="F2045" s="14"/>
      <c r="G2045" s="14"/>
      <c r="H2045" s="14"/>
      <c r="I2045" s="11"/>
      <c r="J2045" s="14"/>
      <c r="K2045" s="16">
        <v>3</v>
      </c>
      <c r="L2045" s="15">
        <v>3</v>
      </c>
      <c r="M2045" s="14"/>
      <c r="N2045" s="1" t="s">
        <v>950</v>
      </c>
      <c r="O2045" s="23" t="s">
        <v>941</v>
      </c>
      <c r="P2045" s="23" t="s">
        <v>952</v>
      </c>
      <c r="Q2045" s="14"/>
      <c r="R2045" s="14"/>
    </row>
    <row r="2046" spans="1:18">
      <c r="B2046" s="67" t="s">
        <v>3288</v>
      </c>
      <c r="C2046" s="1" t="s">
        <v>494</v>
      </c>
      <c r="E2046" s="1" t="s">
        <v>476</v>
      </c>
      <c r="F2046" s="14"/>
      <c r="G2046" s="14"/>
      <c r="H2046" s="14"/>
      <c r="I2046" s="11"/>
      <c r="J2046" s="14"/>
      <c r="K2046" s="55">
        <v>4</v>
      </c>
      <c r="L2046" s="15">
        <v>3</v>
      </c>
      <c r="M2046" s="14"/>
      <c r="N2046" s="62" t="s">
        <v>961</v>
      </c>
      <c r="O2046" s="23" t="s">
        <v>942</v>
      </c>
      <c r="P2046" s="23" t="s">
        <v>945</v>
      </c>
      <c r="Q2046" s="14"/>
      <c r="R2046" s="14"/>
    </row>
    <row r="2047" spans="1:18" customFormat="1">
      <c r="B2047" s="67" t="s">
        <v>3291</v>
      </c>
      <c r="C2047" s="62" t="s">
        <v>494</v>
      </c>
      <c r="K2047" s="55">
        <v>5</v>
      </c>
      <c r="L2047" s="55">
        <v>6</v>
      </c>
    </row>
    <row r="2048" spans="1:18" customFormat="1">
      <c r="B2048" s="70" t="s">
        <v>3292</v>
      </c>
      <c r="C2048" s="62" t="s">
        <v>494</v>
      </c>
      <c r="K2048" s="16">
        <v>6</v>
      </c>
      <c r="L2048" s="55">
        <v>3</v>
      </c>
      <c r="M2048">
        <v>31</v>
      </c>
      <c r="N2048" s="10" t="s">
        <v>506</v>
      </c>
      <c r="O2048" s="10" t="s">
        <v>514</v>
      </c>
      <c r="P2048" s="1" t="s">
        <v>515</v>
      </c>
      <c r="Q2048" s="62" t="s">
        <v>2003</v>
      </c>
      <c r="R2048">
        <v>4</v>
      </c>
    </row>
    <row r="2049" spans="2:18" customFormat="1">
      <c r="B2049" s="70" t="s">
        <v>3293</v>
      </c>
      <c r="C2049" s="62" t="s">
        <v>494</v>
      </c>
      <c r="K2049" s="16">
        <v>7</v>
      </c>
      <c r="L2049" s="55">
        <v>8</v>
      </c>
    </row>
    <row r="2050" spans="2:18" customFormat="1">
      <c r="B2050" s="70" t="s">
        <v>3294</v>
      </c>
      <c r="C2050" s="62" t="s">
        <v>494</v>
      </c>
      <c r="K2050" s="55">
        <v>8</v>
      </c>
      <c r="L2050" s="55">
        <v>3</v>
      </c>
      <c r="M2050">
        <v>31</v>
      </c>
      <c r="N2050" s="62" t="s">
        <v>1038</v>
      </c>
      <c r="O2050" s="23" t="s">
        <v>1040</v>
      </c>
      <c r="P2050" s="23" t="s">
        <v>1041</v>
      </c>
      <c r="Q2050" t="s">
        <v>2003</v>
      </c>
      <c r="R2050">
        <v>6</v>
      </c>
    </row>
    <row r="2051" spans="2:18" customFormat="1">
      <c r="B2051" s="70" t="s">
        <v>3296</v>
      </c>
      <c r="C2051" s="62" t="s">
        <v>494</v>
      </c>
      <c r="E2051" s="62"/>
      <c r="K2051" s="55">
        <v>9</v>
      </c>
      <c r="M2051">
        <v>1</v>
      </c>
    </row>
    <row r="2052" spans="2:18" customFormat="1">
      <c r="B2052" s="70" t="s">
        <v>3295</v>
      </c>
      <c r="C2052" s="62" t="s">
        <v>494</v>
      </c>
      <c r="K2052" s="16">
        <v>10</v>
      </c>
      <c r="M2052">
        <v>1</v>
      </c>
    </row>
    <row r="2053" spans="2:18" customFormat="1">
      <c r="B2053" s="70" t="s">
        <v>3297</v>
      </c>
      <c r="C2053" s="62" t="s">
        <v>494</v>
      </c>
      <c r="K2053" s="16">
        <v>11</v>
      </c>
      <c r="L2053" s="9">
        <v>3</v>
      </c>
      <c r="M2053" s="1">
        <v>1</v>
      </c>
      <c r="N2053" s="62" t="s">
        <v>1002</v>
      </c>
      <c r="O2053" s="23" t="s">
        <v>1004</v>
      </c>
      <c r="P2053" s="23" t="s">
        <v>1023</v>
      </c>
    </row>
    <row r="2054" spans="2:18" customFormat="1">
      <c r="B2054" s="70" t="s">
        <v>3300</v>
      </c>
      <c r="C2054" s="62" t="s">
        <v>494</v>
      </c>
      <c r="K2054" s="55">
        <v>12</v>
      </c>
      <c r="L2054">
        <v>7</v>
      </c>
    </row>
    <row r="2055" spans="2:18" customFormat="1">
      <c r="B2055" s="70" t="s">
        <v>3301</v>
      </c>
      <c r="C2055" s="62" t="s">
        <v>494</v>
      </c>
      <c r="K2055" s="55">
        <v>13</v>
      </c>
      <c r="L2055">
        <v>7</v>
      </c>
    </row>
    <row r="2056" spans="2:18" customFormat="1">
      <c r="B2056" s="70" t="s">
        <v>3302</v>
      </c>
      <c r="C2056" s="62" t="s">
        <v>494</v>
      </c>
      <c r="K2056" s="16">
        <v>14</v>
      </c>
      <c r="L2056">
        <v>7</v>
      </c>
    </row>
    <row r="2057" spans="2:18" customFormat="1">
      <c r="B2057" s="70" t="s">
        <v>3303</v>
      </c>
      <c r="C2057" s="62" t="s">
        <v>494</v>
      </c>
      <c r="K2057" s="16">
        <v>15</v>
      </c>
      <c r="L2057">
        <v>8</v>
      </c>
      <c r="M2057">
        <v>1</v>
      </c>
    </row>
    <row r="2058" spans="2:18" customFormat="1">
      <c r="B2058" s="70" t="s">
        <v>3340</v>
      </c>
      <c r="C2058" s="62" t="s">
        <v>494</v>
      </c>
      <c r="G2058" s="70" t="s">
        <v>3352</v>
      </c>
      <c r="K2058" s="55">
        <v>16</v>
      </c>
      <c r="L2058">
        <v>3</v>
      </c>
      <c r="M2058">
        <v>1</v>
      </c>
    </row>
    <row r="2059" spans="2:18" customFormat="1">
      <c r="B2059" s="70" t="s">
        <v>3304</v>
      </c>
      <c r="C2059" s="62" t="s">
        <v>494</v>
      </c>
      <c r="K2059" s="55">
        <v>17</v>
      </c>
    </row>
    <row r="2060" spans="2:18" customFormat="1">
      <c r="B2060" s="70" t="s">
        <v>3305</v>
      </c>
      <c r="C2060" s="62" t="s">
        <v>494</v>
      </c>
      <c r="K2060" s="16">
        <v>18</v>
      </c>
    </row>
    <row r="2061" spans="2:18" customFormat="1">
      <c r="B2061" s="70" t="s">
        <v>3306</v>
      </c>
      <c r="C2061" s="62" t="s">
        <v>702</v>
      </c>
      <c r="K2061" s="16">
        <v>19</v>
      </c>
    </row>
    <row r="2062" spans="2:18" customFormat="1">
      <c r="B2062" s="62" t="s">
        <v>3307</v>
      </c>
      <c r="C2062" s="62" t="s">
        <v>494</v>
      </c>
      <c r="K2062" s="55">
        <v>20</v>
      </c>
      <c r="L2062">
        <v>7</v>
      </c>
    </row>
    <row r="2063" spans="2:18" customFormat="1">
      <c r="B2063" s="62" t="s">
        <v>3308</v>
      </c>
      <c r="C2063" s="62" t="s">
        <v>494</v>
      </c>
      <c r="K2063" s="55">
        <v>21</v>
      </c>
    </row>
    <row r="2064" spans="2:18" customFormat="1">
      <c r="B2064" s="62" t="s">
        <v>3309</v>
      </c>
      <c r="C2064" s="62" t="s">
        <v>494</v>
      </c>
      <c r="K2064" s="16">
        <v>22</v>
      </c>
    </row>
    <row r="2065" spans="1:18" customFormat="1">
      <c r="B2065" s="62" t="s">
        <v>3310</v>
      </c>
      <c r="C2065" s="62" t="s">
        <v>520</v>
      </c>
      <c r="K2065" s="16">
        <v>23</v>
      </c>
    </row>
    <row r="2066" spans="1:18" customFormat="1">
      <c r="B2066" s="62" t="s">
        <v>4011</v>
      </c>
      <c r="C2066" s="62" t="s">
        <v>494</v>
      </c>
      <c r="G2066" s="62" t="s">
        <v>4033</v>
      </c>
      <c r="K2066" s="16">
        <v>24</v>
      </c>
      <c r="L2066">
        <v>3</v>
      </c>
      <c r="M2066">
        <v>2</v>
      </c>
      <c r="N2066" s="62" t="s">
        <v>4105</v>
      </c>
      <c r="O2066" s="62" t="s">
        <v>4106</v>
      </c>
      <c r="P2066" s="62" t="s">
        <v>4107</v>
      </c>
    </row>
    <row r="2067" spans="1:18" customFormat="1">
      <c r="B2067" s="62" t="s">
        <v>4246</v>
      </c>
      <c r="C2067" s="62" t="s">
        <v>494</v>
      </c>
      <c r="G2067" s="62" t="s">
        <v>4247</v>
      </c>
      <c r="K2067" s="16">
        <v>25</v>
      </c>
      <c r="M2067">
        <v>1</v>
      </c>
      <c r="N2067" s="62"/>
      <c r="O2067" s="62"/>
      <c r="P2067" s="62"/>
    </row>
    <row r="2068" spans="1:18" customFormat="1"/>
    <row r="2069" spans="1:18" customFormat="1"/>
    <row r="2070" spans="1:18" customFormat="1"/>
    <row r="2071" spans="1:18" customFormat="1">
      <c r="B2071" s="60"/>
      <c r="C2071" s="62"/>
      <c r="L2071" s="62"/>
      <c r="M2071" s="62"/>
      <c r="N2071" s="109"/>
      <c r="O2071" s="109"/>
      <c r="P2071" s="109"/>
      <c r="Q2071" s="109"/>
    </row>
    <row r="2072" spans="1:18" customFormat="1"/>
    <row r="2073" spans="1:18" customFormat="1">
      <c r="A2073" s="62" t="s">
        <v>3210</v>
      </c>
      <c r="B2073" s="62" t="s">
        <v>3211</v>
      </c>
      <c r="C2073" s="62" t="s">
        <v>494</v>
      </c>
      <c r="E2073" s="62" t="s">
        <v>476</v>
      </c>
      <c r="F2073">
        <v>22</v>
      </c>
      <c r="G2073">
        <v>2202</v>
      </c>
      <c r="H2073" s="62" t="s">
        <v>3234</v>
      </c>
      <c r="I2073" s="62" t="s">
        <v>3235</v>
      </c>
      <c r="J2073">
        <v>2201</v>
      </c>
      <c r="K2073" s="55">
        <v>1</v>
      </c>
      <c r="L2073">
        <v>8</v>
      </c>
    </row>
    <row r="2074" spans="1:18" customFormat="1">
      <c r="B2074" s="62" t="s">
        <v>3212</v>
      </c>
      <c r="C2074" s="62" t="s">
        <v>494</v>
      </c>
      <c r="E2074" s="62" t="s">
        <v>476</v>
      </c>
      <c r="K2074" s="55">
        <v>2</v>
      </c>
      <c r="L2074">
        <v>3</v>
      </c>
      <c r="M2074" s="14">
        <v>31</v>
      </c>
      <c r="N2074" s="62" t="s">
        <v>3655</v>
      </c>
      <c r="O2074" s="62" t="s">
        <v>3648</v>
      </c>
      <c r="P2074" s="62" t="s">
        <v>3657</v>
      </c>
      <c r="Q2074" s="47" t="s">
        <v>3658</v>
      </c>
      <c r="R2074" s="14">
        <v>4</v>
      </c>
    </row>
    <row r="2075" spans="1:18" customFormat="1">
      <c r="B2075" s="62" t="s">
        <v>3213</v>
      </c>
      <c r="C2075" s="62" t="s">
        <v>494</v>
      </c>
      <c r="H2075" s="62"/>
      <c r="K2075" s="55">
        <v>3</v>
      </c>
      <c r="L2075">
        <v>6</v>
      </c>
    </row>
    <row r="2076" spans="1:18" customFormat="1">
      <c r="B2076" s="62" t="s">
        <v>3230</v>
      </c>
      <c r="C2076" s="62" t="s">
        <v>494</v>
      </c>
      <c r="K2076" s="55">
        <v>4</v>
      </c>
      <c r="L2076">
        <v>3</v>
      </c>
      <c r="M2076">
        <v>3</v>
      </c>
      <c r="N2076" s="62" t="s">
        <v>3664</v>
      </c>
      <c r="O2076" s="62" t="s">
        <v>3666</v>
      </c>
      <c r="P2076" s="62" t="s">
        <v>3667</v>
      </c>
    </row>
    <row r="2077" spans="1:18">
      <c r="B2077" s="66" t="s">
        <v>3231</v>
      </c>
      <c r="C2077" s="64" t="s">
        <v>494</v>
      </c>
      <c r="F2077" s="14"/>
      <c r="G2077" s="14"/>
      <c r="H2077" s="14"/>
      <c r="I2077" s="11"/>
      <c r="J2077" s="14"/>
      <c r="K2077" s="55">
        <v>5</v>
      </c>
      <c r="L2077" s="15">
        <v>3</v>
      </c>
      <c r="M2077" s="14"/>
      <c r="N2077" s="62" t="s">
        <v>693</v>
      </c>
      <c r="O2077" s="1" t="s">
        <v>695</v>
      </c>
      <c r="P2077" s="1" t="s">
        <v>696</v>
      </c>
      <c r="Q2077" s="62"/>
      <c r="R2077" s="14"/>
    </row>
    <row r="2078" spans="1:18">
      <c r="B2078" s="66" t="s">
        <v>3232</v>
      </c>
      <c r="C2078" s="64" t="s">
        <v>494</v>
      </c>
      <c r="F2078" s="14"/>
      <c r="G2078" s="14"/>
      <c r="H2078" s="14"/>
      <c r="I2078" s="11"/>
      <c r="J2078" s="14"/>
      <c r="K2078" s="55">
        <v>6</v>
      </c>
      <c r="L2078" s="15">
        <v>3</v>
      </c>
      <c r="M2078" s="14">
        <v>31</v>
      </c>
      <c r="N2078" s="62" t="s">
        <v>379</v>
      </c>
      <c r="O2078" s="62" t="s">
        <v>698</v>
      </c>
      <c r="P2078" s="62" t="s">
        <v>699</v>
      </c>
      <c r="Q2078" s="62" t="s">
        <v>383</v>
      </c>
      <c r="R2078" s="14">
        <v>5</v>
      </c>
    </row>
    <row r="2079" spans="1:18" customFormat="1">
      <c r="B2079" s="62" t="s">
        <v>3214</v>
      </c>
      <c r="C2079" s="64" t="s">
        <v>494</v>
      </c>
      <c r="K2079" s="55">
        <v>7</v>
      </c>
      <c r="L2079">
        <v>7</v>
      </c>
    </row>
    <row r="2080" spans="1:18" customFormat="1">
      <c r="B2080" s="62" t="s">
        <v>3221</v>
      </c>
      <c r="C2080" s="64" t="s">
        <v>494</v>
      </c>
      <c r="H2080" s="62" t="s">
        <v>3222</v>
      </c>
      <c r="K2080" s="55">
        <v>8</v>
      </c>
      <c r="L2080" s="9">
        <v>3</v>
      </c>
      <c r="M2080" s="1"/>
      <c r="N2080" s="10" t="s">
        <v>506</v>
      </c>
      <c r="O2080" s="10" t="s">
        <v>514</v>
      </c>
      <c r="P2080" s="1" t="s">
        <v>515</v>
      </c>
    </row>
    <row r="2081" spans="2:18" customFormat="1">
      <c r="B2081" s="62" t="s">
        <v>3355</v>
      </c>
      <c r="C2081" s="64" t="s">
        <v>494</v>
      </c>
      <c r="H2081" s="62"/>
      <c r="K2081" s="55">
        <v>9</v>
      </c>
      <c r="L2081" s="32">
        <v>7</v>
      </c>
      <c r="M2081" s="1">
        <v>1</v>
      </c>
      <c r="N2081" s="10"/>
      <c r="O2081" s="10"/>
      <c r="P2081" s="1"/>
    </row>
    <row r="2082" spans="2:18" customFormat="1">
      <c r="B2082" s="62" t="s">
        <v>3215</v>
      </c>
      <c r="C2082" s="64" t="s">
        <v>494</v>
      </c>
      <c r="K2082" s="55">
        <v>10</v>
      </c>
      <c r="L2082" s="32">
        <v>3</v>
      </c>
      <c r="M2082">
        <v>31</v>
      </c>
      <c r="N2082" s="62" t="s">
        <v>3649</v>
      </c>
      <c r="O2082" s="64" t="s">
        <v>3652</v>
      </c>
      <c r="P2082" s="66" t="s">
        <v>3651</v>
      </c>
      <c r="Q2082" s="66" t="s">
        <v>3650</v>
      </c>
      <c r="R2082">
        <v>2</v>
      </c>
    </row>
    <row r="2083" spans="2:18" customFormat="1">
      <c r="B2083" s="62" t="s">
        <v>3225</v>
      </c>
      <c r="C2083" s="64" t="s">
        <v>494</v>
      </c>
      <c r="K2083" s="55">
        <v>11</v>
      </c>
    </row>
    <row r="2084" spans="2:18" customFormat="1">
      <c r="B2084" s="62" t="s">
        <v>3224</v>
      </c>
      <c r="C2084" s="64" t="s">
        <v>494</v>
      </c>
      <c r="K2084" s="55">
        <v>12</v>
      </c>
    </row>
    <row r="2085" spans="2:18">
      <c r="B2085" s="67" t="s">
        <v>4534</v>
      </c>
      <c r="C2085" s="70" t="s">
        <v>494</v>
      </c>
      <c r="K2085" s="55">
        <v>13</v>
      </c>
      <c r="L2085" s="32"/>
    </row>
    <row r="2086" spans="2:18">
      <c r="B2086" s="67" t="s">
        <v>4535</v>
      </c>
      <c r="C2086" s="70" t="s">
        <v>494</v>
      </c>
      <c r="K2086" s="55">
        <v>14</v>
      </c>
      <c r="L2086" s="32"/>
    </row>
    <row r="2087" spans="2:18">
      <c r="B2087" s="67" t="s">
        <v>4536</v>
      </c>
      <c r="C2087" s="70" t="s">
        <v>494</v>
      </c>
      <c r="K2087" s="55">
        <v>15</v>
      </c>
      <c r="L2087" s="32"/>
    </row>
    <row r="2088" spans="2:18">
      <c r="B2088" s="67" t="s">
        <v>4537</v>
      </c>
      <c r="C2088" s="70" t="s">
        <v>494</v>
      </c>
      <c r="K2088" s="55">
        <v>16</v>
      </c>
      <c r="L2088" s="32"/>
    </row>
    <row r="2089" spans="2:18" customFormat="1">
      <c r="B2089" s="62" t="s">
        <v>3223</v>
      </c>
      <c r="C2089" s="64" t="s">
        <v>494</v>
      </c>
      <c r="K2089" s="55">
        <v>17</v>
      </c>
    </row>
    <row r="2090" spans="2:18" customFormat="1">
      <c r="B2090" s="62" t="s">
        <v>3217</v>
      </c>
      <c r="C2090" s="64" t="s">
        <v>494</v>
      </c>
      <c r="K2090" s="55">
        <v>18</v>
      </c>
      <c r="L2090">
        <v>3</v>
      </c>
      <c r="N2090" s="62" t="s">
        <v>3218</v>
      </c>
      <c r="O2090" s="62" t="s">
        <v>3219</v>
      </c>
      <c r="P2090" s="62" t="s">
        <v>3220</v>
      </c>
      <c r="Q2090" s="66"/>
    </row>
    <row r="2091" spans="2:18" customFormat="1">
      <c r="B2091" s="62" t="s">
        <v>3226</v>
      </c>
      <c r="C2091" s="64" t="s">
        <v>494</v>
      </c>
      <c r="K2091" s="55">
        <v>19</v>
      </c>
      <c r="M2091">
        <v>1</v>
      </c>
    </row>
    <row r="2092" spans="2:18" customFormat="1">
      <c r="B2092" s="62" t="s">
        <v>3227</v>
      </c>
      <c r="C2092" s="64" t="s">
        <v>494</v>
      </c>
      <c r="K2092" s="55">
        <v>20</v>
      </c>
      <c r="M2092">
        <v>1</v>
      </c>
    </row>
    <row r="2093" spans="2:18">
      <c r="B2093" s="67" t="s">
        <v>4538</v>
      </c>
      <c r="C2093" s="70" t="s">
        <v>494</v>
      </c>
      <c r="K2093" s="55">
        <v>21</v>
      </c>
      <c r="L2093" s="32"/>
      <c r="M2093" s="1">
        <v>1</v>
      </c>
    </row>
    <row r="2094" spans="2:18">
      <c r="B2094" s="67" t="s">
        <v>4539</v>
      </c>
      <c r="C2094" s="70" t="s">
        <v>494</v>
      </c>
      <c r="K2094" s="55">
        <v>22</v>
      </c>
      <c r="L2094" s="32"/>
      <c r="M2094" s="1">
        <v>1</v>
      </c>
    </row>
    <row r="2095" spans="2:18">
      <c r="B2095" s="67" t="s">
        <v>4540</v>
      </c>
      <c r="C2095" s="70" t="s">
        <v>494</v>
      </c>
      <c r="K2095" s="55">
        <v>23</v>
      </c>
      <c r="L2095" s="32"/>
      <c r="M2095" s="1">
        <v>1</v>
      </c>
    </row>
    <row r="2096" spans="2:18">
      <c r="B2096" s="67" t="s">
        <v>4541</v>
      </c>
      <c r="C2096" s="70" t="s">
        <v>494</v>
      </c>
      <c r="K2096" s="55">
        <v>24</v>
      </c>
      <c r="L2096" s="32"/>
      <c r="M2096" s="1">
        <v>1</v>
      </c>
    </row>
    <row r="2097" spans="1:16" customFormat="1">
      <c r="B2097" s="62" t="s">
        <v>3228</v>
      </c>
      <c r="C2097" s="64" t="s">
        <v>494</v>
      </c>
      <c r="K2097" s="55">
        <v>25</v>
      </c>
      <c r="M2097">
        <v>1</v>
      </c>
    </row>
    <row r="2098" spans="1:16" customFormat="1">
      <c r="B2098" s="62" t="s">
        <v>3216</v>
      </c>
      <c r="C2098" s="64" t="s">
        <v>494</v>
      </c>
      <c r="K2098" s="55">
        <v>26</v>
      </c>
      <c r="L2098">
        <v>7</v>
      </c>
      <c r="M2098">
        <v>1</v>
      </c>
    </row>
    <row r="2099" spans="1:16" customFormat="1">
      <c r="B2099" s="62" t="s">
        <v>3229</v>
      </c>
      <c r="C2099" s="64" t="s">
        <v>494</v>
      </c>
      <c r="K2099" s="55">
        <v>27</v>
      </c>
      <c r="M2099">
        <v>1</v>
      </c>
    </row>
    <row r="2100" spans="1:16" customFormat="1">
      <c r="B2100" s="70" t="s">
        <v>4321</v>
      </c>
      <c r="C2100" s="70" t="s">
        <v>702</v>
      </c>
      <c r="K2100" s="55">
        <v>28</v>
      </c>
      <c r="M2100">
        <v>1</v>
      </c>
    </row>
    <row r="2101" spans="1:16" customFormat="1">
      <c r="B2101" s="70" t="s">
        <v>4393</v>
      </c>
      <c r="C2101" s="70" t="s">
        <v>494</v>
      </c>
      <c r="K2101" s="55">
        <v>29</v>
      </c>
      <c r="L2101">
        <v>8</v>
      </c>
    </row>
    <row r="2102" spans="1:16" customFormat="1">
      <c r="B2102" s="70" t="s">
        <v>4394</v>
      </c>
      <c r="C2102" s="70" t="s">
        <v>494</v>
      </c>
      <c r="K2102" s="55">
        <v>30</v>
      </c>
      <c r="L2102">
        <v>7</v>
      </c>
      <c r="M2102">
        <v>1</v>
      </c>
    </row>
    <row r="2103" spans="1:16" customFormat="1">
      <c r="B2103" s="70" t="s">
        <v>4327</v>
      </c>
      <c r="C2103" s="70" t="s">
        <v>494</v>
      </c>
      <c r="H2103" s="62" t="s">
        <v>4357</v>
      </c>
      <c r="K2103" s="55">
        <v>31</v>
      </c>
      <c r="L2103">
        <v>3</v>
      </c>
      <c r="M2103">
        <v>1</v>
      </c>
      <c r="N2103" s="62" t="s">
        <v>4452</v>
      </c>
      <c r="O2103" s="62" t="s">
        <v>4453</v>
      </c>
      <c r="P2103" s="62" t="s">
        <v>4454</v>
      </c>
    </row>
    <row r="2104" spans="1:16" customFormat="1">
      <c r="B2104" s="70" t="s">
        <v>4322</v>
      </c>
      <c r="C2104" s="70" t="s">
        <v>494</v>
      </c>
      <c r="K2104" s="55">
        <v>32</v>
      </c>
      <c r="L2104">
        <v>3</v>
      </c>
      <c r="M2104">
        <v>1</v>
      </c>
      <c r="N2104" t="s">
        <v>4466</v>
      </c>
      <c r="O2104" s="62" t="s">
        <v>4467</v>
      </c>
      <c r="P2104" t="s">
        <v>4468</v>
      </c>
    </row>
    <row r="2105" spans="1:16" customFormat="1">
      <c r="B2105" s="64"/>
      <c r="C2105" s="64"/>
      <c r="K2105" s="55"/>
    </row>
    <row r="2106" spans="1:16" customFormat="1">
      <c r="A2106" s="91" t="s">
        <v>3233</v>
      </c>
      <c r="B2106" s="62" t="s">
        <v>3347</v>
      </c>
      <c r="C2106" s="62" t="s">
        <v>494</v>
      </c>
      <c r="E2106" s="62" t="s">
        <v>476</v>
      </c>
      <c r="F2106">
        <v>22</v>
      </c>
      <c r="G2106">
        <v>2203</v>
      </c>
      <c r="H2106" s="62" t="s">
        <v>3260</v>
      </c>
      <c r="I2106" s="62"/>
      <c r="J2106">
        <v>2201</v>
      </c>
      <c r="K2106" s="55">
        <v>1</v>
      </c>
      <c r="L2106">
        <v>52</v>
      </c>
      <c r="N2106">
        <v>2202</v>
      </c>
      <c r="O2106" s="62" t="s">
        <v>3213</v>
      </c>
    </row>
    <row r="2107" spans="1:16" customFormat="1">
      <c r="B2107" s="62" t="s">
        <v>3237</v>
      </c>
      <c r="C2107" s="62" t="s">
        <v>494</v>
      </c>
      <c r="E2107" s="62" t="s">
        <v>476</v>
      </c>
      <c r="K2107" s="55">
        <v>2</v>
      </c>
      <c r="L2107">
        <v>9</v>
      </c>
    </row>
    <row r="2108" spans="1:16" customFormat="1">
      <c r="B2108" s="62" t="s">
        <v>3238</v>
      </c>
      <c r="C2108" s="62" t="s">
        <v>494</v>
      </c>
      <c r="D2108" s="62"/>
      <c r="E2108" s="62"/>
      <c r="F2108" s="62"/>
      <c r="G2108" s="62"/>
      <c r="K2108" s="55">
        <v>3</v>
      </c>
      <c r="L2108">
        <v>6</v>
      </c>
    </row>
    <row r="2109" spans="1:16" customFormat="1">
      <c r="B2109" s="62" t="s">
        <v>3236</v>
      </c>
      <c r="C2109" s="62" t="s">
        <v>494</v>
      </c>
      <c r="K2109" s="55">
        <v>4</v>
      </c>
      <c r="L2109">
        <v>8</v>
      </c>
      <c r="M2109">
        <v>2</v>
      </c>
    </row>
    <row r="2110" spans="1:16" customFormat="1">
      <c r="B2110" s="62" t="s">
        <v>3239</v>
      </c>
      <c r="C2110" s="62" t="s">
        <v>494</v>
      </c>
      <c r="G2110" s="89"/>
      <c r="J2110" s="90"/>
      <c r="K2110" s="55">
        <v>5</v>
      </c>
      <c r="L2110">
        <v>3</v>
      </c>
      <c r="M2110">
        <v>2</v>
      </c>
    </row>
    <row r="2111" spans="1:16" customFormat="1">
      <c r="B2111" s="62" t="s">
        <v>3240</v>
      </c>
      <c r="C2111" s="62" t="s">
        <v>494</v>
      </c>
      <c r="G2111" s="62" t="s">
        <v>3241</v>
      </c>
      <c r="K2111" s="55">
        <v>6</v>
      </c>
      <c r="L2111">
        <v>3</v>
      </c>
      <c r="N2111" s="62" t="s">
        <v>3677</v>
      </c>
      <c r="O2111" s="62" t="s">
        <v>3678</v>
      </c>
      <c r="P2111" s="62" t="s">
        <v>3679</v>
      </c>
    </row>
    <row r="2112" spans="1:16" customFormat="1">
      <c r="B2112" s="62" t="s">
        <v>3353</v>
      </c>
      <c r="C2112" s="62" t="s">
        <v>494</v>
      </c>
      <c r="G2112" s="62"/>
      <c r="K2112" s="55">
        <v>7</v>
      </c>
      <c r="L2112">
        <v>3</v>
      </c>
    </row>
    <row r="2113" spans="2:16" customFormat="1">
      <c r="B2113" s="62" t="s">
        <v>3354</v>
      </c>
      <c r="C2113" s="62" t="s">
        <v>494</v>
      </c>
      <c r="G2113" s="62"/>
      <c r="K2113" s="55">
        <v>8</v>
      </c>
    </row>
    <row r="2114" spans="2:16" customFormat="1">
      <c r="B2114" s="62" t="s">
        <v>3348</v>
      </c>
      <c r="C2114" s="62" t="s">
        <v>494</v>
      </c>
      <c r="G2114" s="62"/>
      <c r="K2114" s="55">
        <v>9</v>
      </c>
    </row>
    <row r="2115" spans="2:16" customFormat="1">
      <c r="B2115" s="62" t="s">
        <v>3349</v>
      </c>
      <c r="C2115" s="62" t="s">
        <v>494</v>
      </c>
      <c r="G2115" s="62"/>
      <c r="K2115" s="55">
        <v>10</v>
      </c>
      <c r="L2115" s="9">
        <v>3</v>
      </c>
      <c r="M2115" s="1">
        <v>1</v>
      </c>
      <c r="N2115" s="10" t="s">
        <v>506</v>
      </c>
      <c r="O2115" s="10" t="s">
        <v>514</v>
      </c>
      <c r="P2115" s="1" t="s">
        <v>515</v>
      </c>
    </row>
    <row r="2116" spans="2:16" customFormat="1">
      <c r="B2116" s="62" t="s">
        <v>3247</v>
      </c>
      <c r="C2116" s="62" t="s">
        <v>702</v>
      </c>
      <c r="K2116" s="55">
        <v>11</v>
      </c>
    </row>
    <row r="2117" spans="2:16" customFormat="1">
      <c r="B2117" s="62" t="s">
        <v>3249</v>
      </c>
      <c r="C2117" s="62" t="s">
        <v>494</v>
      </c>
      <c r="K2117" s="55">
        <v>12</v>
      </c>
    </row>
    <row r="2118" spans="2:16" customFormat="1">
      <c r="B2118" s="62" t="s">
        <v>3253</v>
      </c>
      <c r="C2118" s="62" t="s">
        <v>494</v>
      </c>
      <c r="K2118" s="55">
        <v>13</v>
      </c>
      <c r="L2118">
        <v>8</v>
      </c>
    </row>
    <row r="2119" spans="2:16" customFormat="1">
      <c r="B2119" s="62" t="s">
        <v>3248</v>
      </c>
      <c r="C2119" s="62" t="s">
        <v>702</v>
      </c>
      <c r="H2119" s="89"/>
      <c r="K2119" s="55">
        <v>14</v>
      </c>
    </row>
    <row r="2120" spans="2:16" customFormat="1">
      <c r="B2120" s="62" t="s">
        <v>3250</v>
      </c>
      <c r="C2120" s="62" t="s">
        <v>494</v>
      </c>
      <c r="K2120" s="55">
        <v>15</v>
      </c>
    </row>
    <row r="2121" spans="2:16" customFormat="1">
      <c r="B2121" s="62" t="s">
        <v>3254</v>
      </c>
      <c r="C2121" s="62" t="s">
        <v>494</v>
      </c>
      <c r="K2121" s="55">
        <v>16</v>
      </c>
      <c r="L2121">
        <v>8</v>
      </c>
    </row>
    <row r="2122" spans="2:16" customFormat="1">
      <c r="B2122" s="62" t="s">
        <v>3332</v>
      </c>
      <c r="C2122" s="62" t="s">
        <v>702</v>
      </c>
      <c r="K2122" s="55">
        <v>17</v>
      </c>
    </row>
    <row r="2123" spans="2:16" customFormat="1">
      <c r="B2123" s="62" t="s">
        <v>3333</v>
      </c>
      <c r="C2123" s="62" t="s">
        <v>494</v>
      </c>
      <c r="K2123" s="55">
        <v>18</v>
      </c>
    </row>
    <row r="2124" spans="2:16" customFormat="1">
      <c r="B2124" s="62" t="s">
        <v>3334</v>
      </c>
      <c r="C2124" s="62" t="s">
        <v>494</v>
      </c>
      <c r="K2124" s="55">
        <v>19</v>
      </c>
      <c r="L2124">
        <v>8</v>
      </c>
    </row>
    <row r="2125" spans="2:16" customFormat="1">
      <c r="B2125" s="62" t="s">
        <v>3336</v>
      </c>
      <c r="C2125" s="62" t="s">
        <v>520</v>
      </c>
      <c r="K2125" s="55">
        <v>20</v>
      </c>
    </row>
    <row r="2126" spans="2:16" customFormat="1">
      <c r="B2126" s="62" t="s">
        <v>3251</v>
      </c>
      <c r="C2126" s="62" t="s">
        <v>494</v>
      </c>
      <c r="G2126" s="62" t="s">
        <v>3252</v>
      </c>
      <c r="K2126" s="55">
        <v>21</v>
      </c>
    </row>
    <row r="2127" spans="2:16" customFormat="1">
      <c r="B2127" s="62" t="s">
        <v>3255</v>
      </c>
      <c r="C2127" s="62" t="s">
        <v>702</v>
      </c>
      <c r="K2127" s="55">
        <v>22</v>
      </c>
    </row>
    <row r="2128" spans="2:16" customFormat="1">
      <c r="B2128" s="62" t="s">
        <v>3335</v>
      </c>
      <c r="C2128" s="62" t="s">
        <v>494</v>
      </c>
      <c r="G2128" s="62" t="s">
        <v>3350</v>
      </c>
      <c r="K2128" s="55">
        <v>23</v>
      </c>
    </row>
    <row r="2129" spans="1:16" customFormat="1">
      <c r="B2129" s="62" t="s">
        <v>3256</v>
      </c>
      <c r="C2129" s="62" t="s">
        <v>494</v>
      </c>
      <c r="G2129" s="62" t="s">
        <v>3257</v>
      </c>
      <c r="K2129" s="55">
        <v>24</v>
      </c>
      <c r="L2129">
        <v>3</v>
      </c>
      <c r="M2129">
        <v>1</v>
      </c>
    </row>
    <row r="2130" spans="1:16" customFormat="1"/>
    <row r="2131" spans="1:16" customFormat="1">
      <c r="A2131" s="62" t="s">
        <v>4332</v>
      </c>
      <c r="B2131" s="62" t="s">
        <v>4334</v>
      </c>
      <c r="C2131" s="64" t="s">
        <v>494</v>
      </c>
      <c r="E2131" t="s">
        <v>476</v>
      </c>
      <c r="F2131">
        <v>22</v>
      </c>
      <c r="G2131">
        <v>2222</v>
      </c>
      <c r="H2131" t="s">
        <v>4443</v>
      </c>
      <c r="J2131">
        <v>2201</v>
      </c>
      <c r="K2131" s="55">
        <v>1</v>
      </c>
      <c r="L2131">
        <v>52</v>
      </c>
      <c r="N2131">
        <v>2202</v>
      </c>
      <c r="O2131" s="62" t="s">
        <v>3213</v>
      </c>
    </row>
    <row r="2132" spans="1:16" customFormat="1">
      <c r="B2132" s="62" t="s">
        <v>4333</v>
      </c>
      <c r="C2132" s="64" t="s">
        <v>494</v>
      </c>
      <c r="E2132" t="s">
        <v>476</v>
      </c>
      <c r="K2132" s="55">
        <v>2</v>
      </c>
      <c r="L2132">
        <v>6</v>
      </c>
    </row>
    <row r="2133" spans="1:16" customFormat="1">
      <c r="B2133" s="62" t="s">
        <v>4335</v>
      </c>
      <c r="C2133" s="64" t="s">
        <v>494</v>
      </c>
      <c r="K2133" s="55">
        <v>3</v>
      </c>
      <c r="L2133">
        <v>6</v>
      </c>
    </row>
    <row r="2134" spans="1:16" customFormat="1">
      <c r="B2134" s="62" t="s">
        <v>4336</v>
      </c>
      <c r="C2134" s="64" t="s">
        <v>494</v>
      </c>
      <c r="K2134" s="55">
        <v>4</v>
      </c>
      <c r="L2134">
        <v>3</v>
      </c>
      <c r="N2134" s="62" t="s">
        <v>3218</v>
      </c>
      <c r="O2134" s="62" t="s">
        <v>3219</v>
      </c>
      <c r="P2134" s="62" t="s">
        <v>3220</v>
      </c>
    </row>
    <row r="2135" spans="1:16" customFormat="1">
      <c r="B2135" s="62" t="s">
        <v>4337</v>
      </c>
      <c r="C2135" s="64" t="s">
        <v>494</v>
      </c>
      <c r="K2135" s="55">
        <v>5</v>
      </c>
      <c r="L2135">
        <v>3</v>
      </c>
      <c r="N2135" s="62" t="s">
        <v>3218</v>
      </c>
      <c r="O2135" s="62" t="s">
        <v>3219</v>
      </c>
      <c r="P2135" s="62" t="s">
        <v>3220</v>
      </c>
    </row>
    <row r="2136" spans="1:16" customFormat="1">
      <c r="B2136" s="62" t="s">
        <v>4338</v>
      </c>
      <c r="C2136" s="64" t="s">
        <v>494</v>
      </c>
      <c r="K2136" s="55">
        <v>6</v>
      </c>
      <c r="L2136">
        <v>7</v>
      </c>
    </row>
    <row r="2137" spans="1:16" customFormat="1">
      <c r="B2137" s="62" t="s">
        <v>4339</v>
      </c>
      <c r="C2137" s="64" t="s">
        <v>520</v>
      </c>
      <c r="K2137" s="55">
        <v>7</v>
      </c>
    </row>
    <row r="2138" spans="1:16" customFormat="1">
      <c r="B2138" s="62"/>
      <c r="C2138" s="64"/>
      <c r="K2138" s="55"/>
    </row>
    <row r="2139" spans="1:16" customFormat="1">
      <c r="A2139" s="62" t="s">
        <v>4349</v>
      </c>
      <c r="B2139" s="62" t="s">
        <v>4350</v>
      </c>
      <c r="C2139" s="64" t="s">
        <v>494</v>
      </c>
      <c r="E2139" t="s">
        <v>476</v>
      </c>
      <c r="F2139">
        <v>22</v>
      </c>
      <c r="G2139">
        <v>2224</v>
      </c>
      <c r="H2139" t="s">
        <v>4455</v>
      </c>
      <c r="J2139">
        <v>2201</v>
      </c>
      <c r="K2139" s="55">
        <v>1</v>
      </c>
      <c r="L2139">
        <v>52</v>
      </c>
      <c r="N2139">
        <v>2202</v>
      </c>
      <c r="O2139" s="62" t="s">
        <v>3213</v>
      </c>
    </row>
    <row r="2140" spans="1:16" customFormat="1">
      <c r="B2140" s="62" t="s">
        <v>4351</v>
      </c>
      <c r="C2140" s="64" t="s">
        <v>494</v>
      </c>
      <c r="E2140" t="s">
        <v>476</v>
      </c>
      <c r="K2140" s="55">
        <v>2</v>
      </c>
      <c r="L2140">
        <v>6</v>
      </c>
    </row>
    <row r="2141" spans="1:16" customFormat="1">
      <c r="B2141" s="62" t="s">
        <v>4352</v>
      </c>
      <c r="C2141" s="64" t="s">
        <v>494</v>
      </c>
      <c r="K2141" s="55">
        <v>3</v>
      </c>
      <c r="L2141">
        <v>6</v>
      </c>
    </row>
    <row r="2142" spans="1:16" customFormat="1">
      <c r="B2142" s="62" t="s">
        <v>4353</v>
      </c>
      <c r="C2142" s="64" t="s">
        <v>494</v>
      </c>
      <c r="K2142" s="55">
        <v>4</v>
      </c>
      <c r="L2142">
        <v>3</v>
      </c>
      <c r="N2142" t="s">
        <v>4446</v>
      </c>
      <c r="O2142" s="64" t="s">
        <v>4447</v>
      </c>
      <c r="P2142" s="64" t="s">
        <v>4448</v>
      </c>
    </row>
    <row r="2143" spans="1:16" customFormat="1">
      <c r="B2143" s="62" t="s">
        <v>4354</v>
      </c>
      <c r="C2143" s="64" t="s">
        <v>494</v>
      </c>
      <c r="K2143" s="55">
        <v>5</v>
      </c>
      <c r="L2143">
        <v>8</v>
      </c>
    </row>
    <row r="2144" spans="1:16" customFormat="1">
      <c r="B2144" s="62" t="s">
        <v>4355</v>
      </c>
      <c r="C2144" s="64" t="s">
        <v>494</v>
      </c>
      <c r="K2144" s="55">
        <v>6</v>
      </c>
      <c r="L2144">
        <v>8</v>
      </c>
    </row>
    <row r="2145" spans="1:18" customFormat="1">
      <c r="B2145" s="62" t="s">
        <v>4356</v>
      </c>
      <c r="C2145" s="64" t="s">
        <v>494</v>
      </c>
      <c r="K2145" s="55">
        <v>7</v>
      </c>
      <c r="L2145">
        <v>7</v>
      </c>
    </row>
    <row r="2146" spans="1:18" customFormat="1">
      <c r="B2146" s="62"/>
      <c r="C2146" s="62"/>
      <c r="K2146" s="55"/>
    </row>
    <row r="2147" spans="1:18" customFormat="1">
      <c r="B2147" s="62"/>
      <c r="C2147" s="62"/>
      <c r="H2147" s="62"/>
    </row>
    <row r="2148" spans="1:18" customFormat="1"/>
    <row r="2149" spans="1:18" customFormat="1">
      <c r="A2149" s="70" t="s">
        <v>3210</v>
      </c>
      <c r="B2149" s="70" t="s">
        <v>3211</v>
      </c>
      <c r="C2149" s="70" t="s">
        <v>494</v>
      </c>
      <c r="E2149" s="62" t="s">
        <v>476</v>
      </c>
      <c r="F2149">
        <v>1</v>
      </c>
      <c r="G2149">
        <v>2200</v>
      </c>
      <c r="H2149" s="62" t="s">
        <v>4542</v>
      </c>
      <c r="I2149" s="62" t="s">
        <v>4543</v>
      </c>
      <c r="J2149">
        <v>2201</v>
      </c>
      <c r="K2149" s="55">
        <v>1</v>
      </c>
      <c r="L2149">
        <v>8</v>
      </c>
    </row>
    <row r="2150" spans="1:18" customFormat="1">
      <c r="A2150" s="94"/>
      <c r="B2150" s="70" t="s">
        <v>3212</v>
      </c>
      <c r="C2150" s="70" t="s">
        <v>494</v>
      </c>
      <c r="E2150" s="62" t="s">
        <v>476</v>
      </c>
      <c r="K2150" s="55">
        <v>2</v>
      </c>
      <c r="L2150">
        <v>3</v>
      </c>
      <c r="M2150" s="14">
        <v>31</v>
      </c>
      <c r="N2150" s="62" t="s">
        <v>3655</v>
      </c>
      <c r="O2150" s="62" t="s">
        <v>3648</v>
      </c>
      <c r="P2150" s="62" t="s">
        <v>3657</v>
      </c>
      <c r="Q2150" s="47" t="s">
        <v>3658</v>
      </c>
      <c r="R2150" s="14">
        <v>4</v>
      </c>
    </row>
    <row r="2151" spans="1:18" customFormat="1">
      <c r="A2151" s="94"/>
      <c r="B2151" s="70" t="s">
        <v>3213</v>
      </c>
      <c r="C2151" s="70" t="s">
        <v>494</v>
      </c>
      <c r="K2151" s="55">
        <v>3</v>
      </c>
      <c r="L2151">
        <v>6</v>
      </c>
    </row>
    <row r="2152" spans="1:18" customFormat="1">
      <c r="A2152" s="94"/>
      <c r="B2152" s="70" t="s">
        <v>3230</v>
      </c>
      <c r="C2152" s="70" t="s">
        <v>494</v>
      </c>
      <c r="K2152" s="55">
        <v>4</v>
      </c>
      <c r="L2152">
        <v>3</v>
      </c>
      <c r="M2152">
        <v>3</v>
      </c>
      <c r="N2152" s="62" t="s">
        <v>3664</v>
      </c>
      <c r="O2152" s="62" t="s">
        <v>3666</v>
      </c>
      <c r="P2152" s="62" t="s">
        <v>3667</v>
      </c>
    </row>
    <row r="2153" spans="1:18">
      <c r="A2153" s="39"/>
      <c r="B2153" s="67" t="s">
        <v>3231</v>
      </c>
      <c r="C2153" s="70" t="s">
        <v>494</v>
      </c>
      <c r="F2153" s="14"/>
      <c r="G2153" s="14"/>
      <c r="H2153" s="14"/>
      <c r="I2153" s="11"/>
      <c r="J2153" s="14"/>
      <c r="K2153" s="55">
        <v>5</v>
      </c>
      <c r="L2153" s="15">
        <v>3</v>
      </c>
      <c r="M2153" s="14"/>
      <c r="N2153" s="62" t="s">
        <v>693</v>
      </c>
      <c r="O2153" s="1" t="s">
        <v>695</v>
      </c>
      <c r="P2153" s="1" t="s">
        <v>696</v>
      </c>
      <c r="Q2153" s="62"/>
      <c r="R2153" s="14"/>
    </row>
    <row r="2154" spans="1:18">
      <c r="A2154" s="39"/>
      <c r="B2154" s="67" t="s">
        <v>3232</v>
      </c>
      <c r="C2154" s="70" t="s">
        <v>494</v>
      </c>
      <c r="F2154" s="14"/>
      <c r="G2154" s="14"/>
      <c r="H2154" s="14"/>
      <c r="I2154" s="11"/>
      <c r="J2154" s="14"/>
      <c r="K2154" s="55">
        <v>6</v>
      </c>
      <c r="L2154" s="15">
        <v>3</v>
      </c>
      <c r="M2154" s="14">
        <v>31</v>
      </c>
      <c r="N2154" s="62" t="s">
        <v>379</v>
      </c>
      <c r="O2154" s="62" t="s">
        <v>698</v>
      </c>
      <c r="P2154" s="62" t="s">
        <v>699</v>
      </c>
      <c r="Q2154" s="62" t="s">
        <v>383</v>
      </c>
      <c r="R2154" s="14">
        <v>5</v>
      </c>
    </row>
    <row r="2155" spans="1:18" customFormat="1">
      <c r="A2155" s="94"/>
      <c r="B2155" s="70" t="s">
        <v>3214</v>
      </c>
      <c r="C2155" s="70" t="s">
        <v>494</v>
      </c>
      <c r="K2155" s="55">
        <v>7</v>
      </c>
      <c r="L2155">
        <v>7</v>
      </c>
    </row>
    <row r="2156" spans="1:18" customFormat="1">
      <c r="A2156" s="94"/>
      <c r="B2156" s="70" t="s">
        <v>3221</v>
      </c>
      <c r="C2156" s="70" t="s">
        <v>494</v>
      </c>
      <c r="H2156" s="62" t="s">
        <v>3222</v>
      </c>
      <c r="K2156" s="55">
        <v>8</v>
      </c>
      <c r="L2156" s="9">
        <v>3</v>
      </c>
      <c r="M2156" s="1"/>
      <c r="N2156" s="10" t="s">
        <v>506</v>
      </c>
      <c r="O2156" s="10" t="s">
        <v>514</v>
      </c>
      <c r="P2156" s="1" t="s">
        <v>515</v>
      </c>
    </row>
    <row r="2157" spans="1:18" customFormat="1">
      <c r="A2157" s="94"/>
      <c r="B2157" s="70" t="s">
        <v>3355</v>
      </c>
      <c r="C2157" s="70" t="s">
        <v>494</v>
      </c>
      <c r="H2157" s="62"/>
      <c r="K2157" s="55">
        <v>9</v>
      </c>
      <c r="L2157" s="9"/>
      <c r="M2157" s="1"/>
      <c r="N2157" s="10"/>
      <c r="O2157" s="10"/>
      <c r="P2157" s="1"/>
    </row>
    <row r="2158" spans="1:18" customFormat="1">
      <c r="A2158" s="94"/>
      <c r="B2158" s="70" t="s">
        <v>3215</v>
      </c>
      <c r="C2158" s="70" t="s">
        <v>494</v>
      </c>
      <c r="K2158" s="55">
        <v>10</v>
      </c>
      <c r="L2158" s="32">
        <v>3</v>
      </c>
      <c r="M2158">
        <v>31</v>
      </c>
      <c r="N2158" s="62" t="s">
        <v>3649</v>
      </c>
      <c r="O2158" s="64" t="s">
        <v>3652</v>
      </c>
      <c r="P2158" s="66" t="s">
        <v>3651</v>
      </c>
      <c r="Q2158" s="66" t="s">
        <v>3650</v>
      </c>
      <c r="R2158">
        <v>2</v>
      </c>
    </row>
    <row r="2159" spans="1:18" customFormat="1">
      <c r="A2159" s="94"/>
      <c r="B2159" s="70" t="s">
        <v>3225</v>
      </c>
      <c r="C2159" s="70" t="s">
        <v>494</v>
      </c>
      <c r="K2159" s="55">
        <v>11</v>
      </c>
    </row>
    <row r="2160" spans="1:18" customFormat="1">
      <c r="A2160" s="94"/>
      <c r="B2160" s="70" t="s">
        <v>3224</v>
      </c>
      <c r="C2160" s="70" t="s">
        <v>494</v>
      </c>
      <c r="K2160" s="55">
        <v>12</v>
      </c>
    </row>
    <row r="2161" spans="1:17">
      <c r="A2161" s="39"/>
      <c r="B2161" s="67" t="s">
        <v>4534</v>
      </c>
      <c r="C2161" s="70" t="s">
        <v>494</v>
      </c>
      <c r="K2161" s="55">
        <v>13</v>
      </c>
      <c r="L2161" s="32"/>
    </row>
    <row r="2162" spans="1:17">
      <c r="A2162" s="39"/>
      <c r="B2162" s="67" t="s">
        <v>4535</v>
      </c>
      <c r="C2162" s="70" t="s">
        <v>494</v>
      </c>
      <c r="K2162" s="55">
        <v>14</v>
      </c>
      <c r="L2162" s="32"/>
    </row>
    <row r="2163" spans="1:17">
      <c r="A2163" s="39"/>
      <c r="B2163" s="67" t="s">
        <v>4536</v>
      </c>
      <c r="C2163" s="70" t="s">
        <v>494</v>
      </c>
      <c r="K2163" s="55">
        <v>15</v>
      </c>
      <c r="L2163" s="32"/>
    </row>
    <row r="2164" spans="1:17">
      <c r="A2164" s="39"/>
      <c r="B2164" s="67" t="s">
        <v>4537</v>
      </c>
      <c r="C2164" s="70" t="s">
        <v>494</v>
      </c>
      <c r="K2164" s="55">
        <v>16</v>
      </c>
      <c r="L2164" s="32"/>
    </row>
    <row r="2165" spans="1:17" customFormat="1">
      <c r="A2165" s="94"/>
      <c r="B2165" s="70" t="s">
        <v>3223</v>
      </c>
      <c r="C2165" s="70" t="s">
        <v>494</v>
      </c>
      <c r="K2165" s="55">
        <v>17</v>
      </c>
    </row>
    <row r="2166" spans="1:17" customFormat="1">
      <c r="A2166" s="94"/>
      <c r="B2166" s="70" t="s">
        <v>3217</v>
      </c>
      <c r="C2166" s="70" t="s">
        <v>494</v>
      </c>
      <c r="K2166" s="55">
        <v>18</v>
      </c>
      <c r="L2166">
        <v>3</v>
      </c>
      <c r="N2166" s="62" t="s">
        <v>3218</v>
      </c>
      <c r="O2166" s="62" t="s">
        <v>3219</v>
      </c>
      <c r="P2166" s="62" t="s">
        <v>3220</v>
      </c>
      <c r="Q2166" s="66"/>
    </row>
    <row r="2167" spans="1:17" customFormat="1">
      <c r="A2167" s="94"/>
      <c r="B2167" s="70" t="s">
        <v>3226</v>
      </c>
      <c r="C2167" s="70" t="s">
        <v>494</v>
      </c>
      <c r="K2167" s="55">
        <v>19</v>
      </c>
    </row>
    <row r="2168" spans="1:17" customFormat="1">
      <c r="A2168" s="94"/>
      <c r="B2168" s="70" t="s">
        <v>3227</v>
      </c>
      <c r="C2168" s="70" t="s">
        <v>494</v>
      </c>
      <c r="K2168" s="55">
        <v>20</v>
      </c>
    </row>
    <row r="2169" spans="1:17">
      <c r="A2169" s="39"/>
      <c r="B2169" s="67" t="s">
        <v>4538</v>
      </c>
      <c r="C2169" s="70" t="s">
        <v>494</v>
      </c>
      <c r="K2169" s="55">
        <v>21</v>
      </c>
      <c r="L2169" s="32"/>
    </row>
    <row r="2170" spans="1:17">
      <c r="A2170" s="39"/>
      <c r="B2170" s="67" t="s">
        <v>4539</v>
      </c>
      <c r="C2170" s="70" t="s">
        <v>494</v>
      </c>
      <c r="K2170" s="55">
        <v>22</v>
      </c>
      <c r="L2170" s="32"/>
    </row>
    <row r="2171" spans="1:17">
      <c r="A2171" s="39"/>
      <c r="B2171" s="67" t="s">
        <v>4540</v>
      </c>
      <c r="C2171" s="70" t="s">
        <v>494</v>
      </c>
      <c r="K2171" s="55">
        <v>23</v>
      </c>
      <c r="L2171" s="32"/>
    </row>
    <row r="2172" spans="1:17">
      <c r="A2172" s="39"/>
      <c r="B2172" s="67" t="s">
        <v>4541</v>
      </c>
      <c r="C2172" s="70" t="s">
        <v>494</v>
      </c>
      <c r="K2172" s="55">
        <v>24</v>
      </c>
      <c r="L2172" s="32"/>
    </row>
    <row r="2173" spans="1:17" customFormat="1">
      <c r="A2173" s="94"/>
      <c r="B2173" s="70" t="s">
        <v>3228</v>
      </c>
      <c r="C2173" s="70" t="s">
        <v>494</v>
      </c>
      <c r="K2173" s="55">
        <v>25</v>
      </c>
    </row>
    <row r="2174" spans="1:17" customFormat="1">
      <c r="A2174" s="94"/>
      <c r="B2174" s="70" t="s">
        <v>3216</v>
      </c>
      <c r="C2174" s="70" t="s">
        <v>494</v>
      </c>
      <c r="K2174" s="55">
        <v>28</v>
      </c>
      <c r="L2174">
        <v>7</v>
      </c>
    </row>
    <row r="2175" spans="1:17" customFormat="1">
      <c r="A2175" s="94"/>
      <c r="B2175" s="70" t="s">
        <v>3229</v>
      </c>
      <c r="C2175" s="70" t="s">
        <v>494</v>
      </c>
      <c r="K2175" s="55">
        <v>29</v>
      </c>
      <c r="M2175">
        <v>1</v>
      </c>
    </row>
    <row r="2176" spans="1:17" customFormat="1">
      <c r="B2176" s="70" t="s">
        <v>4321</v>
      </c>
      <c r="C2176" s="70" t="s">
        <v>702</v>
      </c>
      <c r="K2176" s="55">
        <v>30</v>
      </c>
      <c r="M2176">
        <v>1</v>
      </c>
    </row>
    <row r="2177" spans="1:16" customFormat="1">
      <c r="B2177" s="70" t="s">
        <v>4393</v>
      </c>
      <c r="C2177" s="70" t="s">
        <v>494</v>
      </c>
      <c r="K2177" s="55">
        <v>31</v>
      </c>
      <c r="L2177">
        <v>8</v>
      </c>
    </row>
    <row r="2178" spans="1:16" customFormat="1">
      <c r="B2178" s="70" t="s">
        <v>4394</v>
      </c>
      <c r="C2178" s="70" t="s">
        <v>494</v>
      </c>
      <c r="K2178" s="55">
        <v>32</v>
      </c>
      <c r="L2178">
        <v>7</v>
      </c>
    </row>
    <row r="2179" spans="1:16" customFormat="1">
      <c r="B2179" s="70" t="s">
        <v>4327</v>
      </c>
      <c r="C2179" s="70" t="s">
        <v>494</v>
      </c>
      <c r="H2179" s="62" t="s">
        <v>4357</v>
      </c>
      <c r="K2179" s="55">
        <v>33</v>
      </c>
      <c r="L2179">
        <v>3</v>
      </c>
      <c r="M2179">
        <v>1</v>
      </c>
      <c r="N2179" t="s">
        <v>4452</v>
      </c>
      <c r="O2179" s="62" t="s">
        <v>4453</v>
      </c>
      <c r="P2179" s="62" t="s">
        <v>4454</v>
      </c>
    </row>
    <row r="2180" spans="1:16" customFormat="1">
      <c r="A2180" s="1"/>
      <c r="B2180" s="66"/>
      <c r="C2180" s="64"/>
      <c r="D2180" s="1"/>
      <c r="E2180" s="1"/>
      <c r="F2180" s="14"/>
      <c r="K2180" s="55"/>
    </row>
    <row r="2181" spans="1:16" customFormat="1">
      <c r="A2181" s="70" t="s">
        <v>3233</v>
      </c>
      <c r="B2181" s="70" t="s">
        <v>3347</v>
      </c>
      <c r="C2181" s="62" t="s">
        <v>494</v>
      </c>
      <c r="E2181" s="62" t="s">
        <v>476</v>
      </c>
      <c r="F2181">
        <v>1</v>
      </c>
      <c r="G2181">
        <v>2203</v>
      </c>
      <c r="H2181" s="62" t="s">
        <v>3260</v>
      </c>
      <c r="I2181" s="62"/>
      <c r="J2181">
        <v>2201</v>
      </c>
      <c r="K2181" s="55">
        <v>1</v>
      </c>
      <c r="L2181">
        <v>52</v>
      </c>
      <c r="N2181">
        <v>2200</v>
      </c>
      <c r="O2181" s="62" t="s">
        <v>3213</v>
      </c>
    </row>
    <row r="2182" spans="1:16" customFormat="1">
      <c r="A2182" s="94"/>
      <c r="B2182" s="70" t="s">
        <v>3237</v>
      </c>
      <c r="C2182" s="62" t="s">
        <v>494</v>
      </c>
      <c r="E2182" s="62" t="s">
        <v>476</v>
      </c>
      <c r="K2182" s="55">
        <v>2</v>
      </c>
      <c r="L2182">
        <v>9</v>
      </c>
    </row>
    <row r="2183" spans="1:16" customFormat="1">
      <c r="A2183" s="94"/>
      <c r="B2183" s="70" t="s">
        <v>3238</v>
      </c>
      <c r="C2183" s="62" t="s">
        <v>494</v>
      </c>
      <c r="D2183" s="62"/>
      <c r="E2183" s="62"/>
      <c r="F2183" s="62"/>
      <c r="G2183" s="62"/>
      <c r="K2183" s="55">
        <v>3</v>
      </c>
      <c r="L2183">
        <v>6</v>
      </c>
    </row>
    <row r="2184" spans="1:16" customFormat="1">
      <c r="A2184" s="94"/>
      <c r="B2184" s="70" t="s">
        <v>3236</v>
      </c>
      <c r="C2184" s="62" t="s">
        <v>494</v>
      </c>
      <c r="K2184" s="55">
        <v>4</v>
      </c>
      <c r="L2184">
        <v>8</v>
      </c>
      <c r="M2184">
        <v>2</v>
      </c>
    </row>
    <row r="2185" spans="1:16" customFormat="1">
      <c r="A2185" s="94"/>
      <c r="B2185" s="70" t="s">
        <v>3239</v>
      </c>
      <c r="C2185" s="62" t="s">
        <v>494</v>
      </c>
      <c r="G2185" s="89"/>
      <c r="J2185" s="90"/>
      <c r="K2185" s="55">
        <v>5</v>
      </c>
      <c r="L2185">
        <v>3</v>
      </c>
      <c r="M2185">
        <v>2</v>
      </c>
    </row>
    <row r="2186" spans="1:16" customFormat="1">
      <c r="A2186" s="94"/>
      <c r="B2186" s="70" t="s">
        <v>3240</v>
      </c>
      <c r="C2186" s="62" t="s">
        <v>494</v>
      </c>
      <c r="G2186" s="62" t="s">
        <v>3241</v>
      </c>
      <c r="K2186" s="55">
        <v>6</v>
      </c>
      <c r="L2186">
        <v>3</v>
      </c>
      <c r="N2186" s="62" t="s">
        <v>3677</v>
      </c>
      <c r="O2186" s="62" t="s">
        <v>3678</v>
      </c>
      <c r="P2186" s="62" t="s">
        <v>3679</v>
      </c>
    </row>
    <row r="2187" spans="1:16" customFormat="1">
      <c r="A2187" s="94"/>
      <c r="B2187" s="70" t="s">
        <v>3353</v>
      </c>
      <c r="C2187" s="62" t="s">
        <v>494</v>
      </c>
      <c r="G2187" s="62"/>
      <c r="K2187" s="55">
        <v>7</v>
      </c>
      <c r="L2187">
        <v>3</v>
      </c>
    </row>
    <row r="2188" spans="1:16" customFormat="1">
      <c r="A2188" s="94"/>
      <c r="B2188" s="70" t="s">
        <v>3354</v>
      </c>
      <c r="C2188" s="62" t="s">
        <v>494</v>
      </c>
      <c r="G2188" s="62"/>
      <c r="K2188" s="55">
        <v>8</v>
      </c>
    </row>
    <row r="2189" spans="1:16" customFormat="1">
      <c r="A2189" s="94"/>
      <c r="B2189" s="70" t="s">
        <v>3348</v>
      </c>
      <c r="C2189" s="62" t="s">
        <v>494</v>
      </c>
      <c r="G2189" s="62"/>
      <c r="K2189" s="55">
        <v>9</v>
      </c>
    </row>
    <row r="2190" spans="1:16" customFormat="1">
      <c r="A2190" s="94"/>
      <c r="B2190" s="70" t="s">
        <v>3349</v>
      </c>
      <c r="C2190" s="62" t="s">
        <v>494</v>
      </c>
      <c r="G2190" s="62"/>
      <c r="K2190" s="55">
        <v>10</v>
      </c>
      <c r="L2190" s="9">
        <v>3</v>
      </c>
      <c r="M2190" s="1">
        <v>1</v>
      </c>
      <c r="N2190" s="10" t="s">
        <v>506</v>
      </c>
      <c r="O2190" s="10" t="s">
        <v>514</v>
      </c>
      <c r="P2190" s="1" t="s">
        <v>515</v>
      </c>
    </row>
    <row r="2191" spans="1:16" customFormat="1">
      <c r="A2191" s="94"/>
      <c r="B2191" s="70" t="s">
        <v>3247</v>
      </c>
      <c r="C2191" s="62" t="s">
        <v>702</v>
      </c>
      <c r="K2191" s="55">
        <v>11</v>
      </c>
    </row>
    <row r="2192" spans="1:16" customFormat="1">
      <c r="A2192" s="94"/>
      <c r="B2192" s="70" t="s">
        <v>3249</v>
      </c>
      <c r="C2192" s="62" t="s">
        <v>494</v>
      </c>
      <c r="K2192" s="55">
        <v>12</v>
      </c>
    </row>
    <row r="2193" spans="1:18" customFormat="1">
      <c r="A2193" s="94"/>
      <c r="B2193" s="70" t="s">
        <v>3253</v>
      </c>
      <c r="C2193" s="62" t="s">
        <v>494</v>
      </c>
      <c r="K2193" s="55">
        <v>13</v>
      </c>
      <c r="L2193">
        <v>8</v>
      </c>
    </row>
    <row r="2194" spans="1:18" customFormat="1">
      <c r="A2194" s="94"/>
      <c r="B2194" s="70" t="s">
        <v>3248</v>
      </c>
      <c r="C2194" s="62" t="s">
        <v>702</v>
      </c>
      <c r="H2194" s="89"/>
      <c r="K2194" s="55">
        <v>14</v>
      </c>
    </row>
    <row r="2195" spans="1:18" customFormat="1">
      <c r="A2195" s="94"/>
      <c r="B2195" s="70" t="s">
        <v>3250</v>
      </c>
      <c r="C2195" s="62" t="s">
        <v>494</v>
      </c>
      <c r="K2195" s="55">
        <v>15</v>
      </c>
    </row>
    <row r="2196" spans="1:18" customFormat="1">
      <c r="A2196" s="94"/>
      <c r="B2196" s="70" t="s">
        <v>3254</v>
      </c>
      <c r="C2196" s="62" t="s">
        <v>494</v>
      </c>
      <c r="K2196" s="55">
        <v>16</v>
      </c>
      <c r="L2196">
        <v>8</v>
      </c>
    </row>
    <row r="2197" spans="1:18" customFormat="1">
      <c r="A2197" s="94"/>
      <c r="B2197" s="70" t="s">
        <v>3332</v>
      </c>
      <c r="C2197" s="62" t="s">
        <v>702</v>
      </c>
      <c r="K2197" s="55">
        <v>17</v>
      </c>
    </row>
    <row r="2198" spans="1:18" customFormat="1">
      <c r="A2198" s="94"/>
      <c r="B2198" s="70" t="s">
        <v>3333</v>
      </c>
      <c r="C2198" s="62" t="s">
        <v>494</v>
      </c>
      <c r="K2198" s="55">
        <v>18</v>
      </c>
    </row>
    <row r="2199" spans="1:18" customFormat="1">
      <c r="A2199" s="94"/>
      <c r="B2199" s="70" t="s">
        <v>3334</v>
      </c>
      <c r="C2199" s="62" t="s">
        <v>494</v>
      </c>
      <c r="K2199" s="55">
        <v>19</v>
      </c>
      <c r="L2199">
        <v>8</v>
      </c>
    </row>
    <row r="2200" spans="1:18" customFormat="1">
      <c r="A2200" s="94"/>
      <c r="B2200" s="70" t="s">
        <v>3336</v>
      </c>
      <c r="C2200" s="62" t="s">
        <v>520</v>
      </c>
      <c r="K2200" s="55">
        <v>20</v>
      </c>
    </row>
    <row r="2201" spans="1:18" customFormat="1">
      <c r="A2201" s="94"/>
      <c r="B2201" s="70" t="s">
        <v>3251</v>
      </c>
      <c r="C2201" s="62" t="s">
        <v>494</v>
      </c>
      <c r="G2201" s="62" t="s">
        <v>3252</v>
      </c>
      <c r="K2201" s="55">
        <v>21</v>
      </c>
    </row>
    <row r="2202" spans="1:18" customFormat="1">
      <c r="A2202" s="94"/>
      <c r="B2202" s="70" t="s">
        <v>3255</v>
      </c>
      <c r="C2202" s="62" t="s">
        <v>702</v>
      </c>
      <c r="K2202" s="55">
        <v>22</v>
      </c>
    </row>
    <row r="2203" spans="1:18" customFormat="1">
      <c r="A2203" s="94"/>
      <c r="B2203" s="70" t="s">
        <v>3335</v>
      </c>
      <c r="C2203" s="62" t="s">
        <v>494</v>
      </c>
      <c r="G2203" s="62" t="s">
        <v>3350</v>
      </c>
      <c r="K2203" s="55">
        <v>23</v>
      </c>
    </row>
    <row r="2204" spans="1:18" customFormat="1">
      <c r="A2204" s="94"/>
      <c r="B2204" s="70" t="s">
        <v>3256</v>
      </c>
      <c r="C2204" s="62" t="s">
        <v>494</v>
      </c>
      <c r="G2204" s="62" t="s">
        <v>3257</v>
      </c>
      <c r="K2204" s="55">
        <v>24</v>
      </c>
      <c r="L2204">
        <v>3</v>
      </c>
      <c r="M2204">
        <v>1</v>
      </c>
    </row>
    <row r="2205" spans="1:18" customFormat="1"/>
    <row r="2206" spans="1:18" customFormat="1"/>
    <row r="2207" spans="1:18">
      <c r="A2207" s="64" t="s">
        <v>446</v>
      </c>
      <c r="B2207" s="64" t="s">
        <v>447</v>
      </c>
      <c r="C2207" s="10" t="s">
        <v>494</v>
      </c>
      <c r="D2207" s="10"/>
      <c r="E2207" s="10" t="s">
        <v>476</v>
      </c>
      <c r="F2207" s="10">
        <v>15</v>
      </c>
      <c r="G2207" s="10">
        <v>1504</v>
      </c>
      <c r="H2207" s="10" t="s">
        <v>504</v>
      </c>
      <c r="I2207" s="10" t="s">
        <v>519</v>
      </c>
      <c r="J2207" s="10">
        <v>1501</v>
      </c>
      <c r="K2207" s="16">
        <v>1</v>
      </c>
      <c r="L2207" s="31">
        <v>6</v>
      </c>
      <c r="M2207" s="10"/>
      <c r="N2207" s="10"/>
      <c r="O2207" s="10"/>
      <c r="P2207" s="10"/>
      <c r="Q2207" s="10"/>
      <c r="R2207" s="10"/>
    </row>
    <row r="2208" spans="1:18">
      <c r="A2208" s="10"/>
      <c r="B2208" s="10" t="s">
        <v>448</v>
      </c>
      <c r="C2208" s="10" t="s">
        <v>494</v>
      </c>
      <c r="D2208" s="10"/>
      <c r="E2208" s="10"/>
      <c r="F2208" s="10"/>
      <c r="G2208" s="10"/>
      <c r="H2208" s="10"/>
      <c r="I2208" s="10"/>
      <c r="J2208" s="10"/>
      <c r="K2208" s="16">
        <v>2</v>
      </c>
      <c r="L2208" s="31">
        <v>6</v>
      </c>
      <c r="M2208" s="10"/>
      <c r="N2208" s="10"/>
      <c r="O2208" s="10"/>
      <c r="P2208" s="10"/>
      <c r="Q2208" s="10"/>
      <c r="R2208" s="10"/>
    </row>
    <row r="2209" spans="1:18">
      <c r="A2209" s="10"/>
      <c r="B2209" s="64" t="s">
        <v>470</v>
      </c>
      <c r="C2209" s="10" t="s">
        <v>494</v>
      </c>
      <c r="D2209" s="10"/>
      <c r="E2209" s="10"/>
      <c r="F2209" s="10"/>
      <c r="G2209" s="10"/>
      <c r="H2209" s="10"/>
      <c r="I2209" s="10"/>
      <c r="J2209" s="10"/>
      <c r="K2209" s="16">
        <v>3</v>
      </c>
      <c r="L2209" s="31">
        <v>3</v>
      </c>
      <c r="M2209" s="10">
        <v>1</v>
      </c>
      <c r="N2209" s="10" t="s">
        <v>440</v>
      </c>
      <c r="O2209" s="10" t="s">
        <v>441</v>
      </c>
      <c r="P2209" s="10" t="s">
        <v>442</v>
      </c>
      <c r="Q2209" s="10"/>
      <c r="R2209" s="10"/>
    </row>
    <row r="2210" spans="1:18">
      <c r="A2210" s="10"/>
      <c r="B2210" s="10" t="s">
        <v>449</v>
      </c>
      <c r="C2210" s="10" t="s">
        <v>494</v>
      </c>
      <c r="D2210" s="10"/>
      <c r="E2210" s="10"/>
      <c r="F2210" s="10"/>
      <c r="G2210" s="10"/>
      <c r="H2210" s="10"/>
      <c r="I2210" s="10"/>
      <c r="J2210" s="10"/>
      <c r="K2210" s="16">
        <v>4</v>
      </c>
      <c r="L2210" s="31">
        <v>3</v>
      </c>
      <c r="M2210" s="10">
        <v>3</v>
      </c>
      <c r="N2210" s="10" t="s">
        <v>435</v>
      </c>
      <c r="O2210" s="10" t="s">
        <v>437</v>
      </c>
      <c r="P2210" s="10" t="s">
        <v>439</v>
      </c>
      <c r="Q2210" s="10"/>
      <c r="R2210" s="10"/>
    </row>
    <row r="2211" spans="1:18">
      <c r="A2211" s="10"/>
      <c r="B2211" s="64" t="s">
        <v>450</v>
      </c>
      <c r="C2211" s="10" t="s">
        <v>494</v>
      </c>
      <c r="D2211" s="10"/>
      <c r="E2211" s="10"/>
      <c r="F2211" s="10"/>
      <c r="G2211" s="10"/>
      <c r="H2211" s="10"/>
      <c r="I2211" s="10"/>
      <c r="J2211" s="10"/>
      <c r="K2211" s="16">
        <v>5</v>
      </c>
      <c r="L2211" s="31">
        <v>8</v>
      </c>
      <c r="M2211" s="10"/>
      <c r="N2211" s="10"/>
      <c r="O2211" s="10"/>
      <c r="P2211" s="10"/>
      <c r="Q2211" s="10"/>
      <c r="R2211" s="10"/>
    </row>
    <row r="2212" spans="1:18">
      <c r="A2212" s="10"/>
      <c r="B2212" s="10" t="s">
        <v>451</v>
      </c>
      <c r="C2212" s="10" t="s">
        <v>493</v>
      </c>
      <c r="D2212" s="10">
        <v>10</v>
      </c>
      <c r="E2212" s="10"/>
      <c r="F2212" s="10"/>
      <c r="G2212" s="10"/>
      <c r="H2212" s="10"/>
      <c r="I2212" s="10"/>
      <c r="J2212" s="10"/>
      <c r="K2212" s="16">
        <v>6</v>
      </c>
      <c r="L2212" s="31">
        <v>7</v>
      </c>
      <c r="M2212" s="10"/>
      <c r="N2212" s="10"/>
      <c r="O2212" s="10"/>
      <c r="P2212" s="10"/>
      <c r="Q2212" s="10"/>
      <c r="R2212" s="10"/>
    </row>
    <row r="2213" spans="1:18">
      <c r="A2213" s="10"/>
      <c r="B2213" s="10" t="s">
        <v>452</v>
      </c>
      <c r="C2213" s="10" t="s">
        <v>494</v>
      </c>
      <c r="D2213" s="10"/>
      <c r="E2213" s="10"/>
      <c r="F2213" s="10"/>
      <c r="G2213" s="10"/>
      <c r="H2213" s="10"/>
      <c r="I2213" s="10"/>
      <c r="J2213" s="10"/>
      <c r="K2213" s="16">
        <v>7</v>
      </c>
      <c r="L2213" s="31"/>
      <c r="M2213" s="10">
        <v>71</v>
      </c>
      <c r="N2213" s="10"/>
      <c r="O2213" s="10"/>
      <c r="P2213" s="10"/>
      <c r="Q2213" s="10"/>
      <c r="R2213" s="10"/>
    </row>
    <row r="2214" spans="1:18">
      <c r="A2214" s="10"/>
      <c r="B2214" s="10" t="s">
        <v>453</v>
      </c>
      <c r="C2214" s="10" t="s">
        <v>494</v>
      </c>
      <c r="D2214" s="10"/>
      <c r="E2214" s="10"/>
      <c r="F2214" s="10"/>
      <c r="G2214" s="10"/>
      <c r="H2214" s="10"/>
      <c r="I2214" s="10"/>
      <c r="J2214" s="10"/>
      <c r="K2214" s="16">
        <v>8</v>
      </c>
      <c r="L2214" s="31"/>
      <c r="M2214" s="10">
        <v>72</v>
      </c>
      <c r="N2214" s="10"/>
      <c r="O2214" s="10"/>
      <c r="P2214" s="10"/>
      <c r="Q2214" s="10"/>
      <c r="R2214" s="10"/>
    </row>
    <row r="2215" spans="1:18">
      <c r="A2215" s="10"/>
      <c r="B2215" s="70" t="s">
        <v>4525</v>
      </c>
      <c r="C2215" s="64" t="s">
        <v>494</v>
      </c>
      <c r="D2215" s="10"/>
      <c r="E2215" s="10"/>
      <c r="F2215" s="10"/>
      <c r="G2215" s="10"/>
      <c r="H2215" s="10"/>
      <c r="I2215" s="10"/>
      <c r="J2215" s="10"/>
      <c r="K2215" s="16">
        <v>9</v>
      </c>
      <c r="L2215" s="80">
        <v>3</v>
      </c>
      <c r="M2215" s="14"/>
      <c r="N2215" s="62" t="s">
        <v>693</v>
      </c>
      <c r="O2215" s="1" t="s">
        <v>695</v>
      </c>
      <c r="P2215" s="1" t="s">
        <v>696</v>
      </c>
      <c r="Q2215" s="62"/>
      <c r="R2215" s="14"/>
    </row>
    <row r="2216" spans="1:18">
      <c r="A2216" s="10"/>
      <c r="B2216" s="10" t="s">
        <v>454</v>
      </c>
      <c r="C2216" s="10" t="s">
        <v>494</v>
      </c>
      <c r="D2216" s="10"/>
      <c r="E2216" s="10"/>
      <c r="F2216" s="10"/>
      <c r="G2216" s="10"/>
      <c r="H2216" s="10"/>
      <c r="I2216" s="10"/>
      <c r="J2216" s="10"/>
      <c r="K2216" s="16">
        <v>10</v>
      </c>
      <c r="L2216" s="31">
        <v>3</v>
      </c>
      <c r="M2216" s="14">
        <v>31</v>
      </c>
      <c r="N2216" s="1" t="s">
        <v>379</v>
      </c>
      <c r="O2216" s="62" t="s">
        <v>698</v>
      </c>
      <c r="P2216" s="62" t="s">
        <v>699</v>
      </c>
      <c r="Q2216" s="62" t="s">
        <v>383</v>
      </c>
      <c r="R2216" s="14">
        <v>9</v>
      </c>
    </row>
    <row r="2217" spans="1:18">
      <c r="A2217" s="10"/>
      <c r="B2217" s="10" t="s">
        <v>455</v>
      </c>
      <c r="C2217" s="10" t="s">
        <v>493</v>
      </c>
      <c r="D2217" s="10">
        <v>20</v>
      </c>
      <c r="E2217" s="10"/>
      <c r="F2217" s="10"/>
      <c r="G2217" s="10"/>
      <c r="H2217" s="10"/>
      <c r="I2217" s="10"/>
      <c r="J2217" s="10"/>
      <c r="K2217" s="16">
        <v>11</v>
      </c>
      <c r="L2217" s="31"/>
      <c r="M2217" s="10"/>
      <c r="N2217" s="10"/>
      <c r="O2217" s="10"/>
      <c r="P2217" s="10"/>
      <c r="Q2217" s="10"/>
      <c r="R2217" s="10"/>
    </row>
    <row r="2218" spans="1:18">
      <c r="A2218" s="10"/>
      <c r="B2218" s="10" t="s">
        <v>471</v>
      </c>
      <c r="C2218" s="10" t="s">
        <v>494</v>
      </c>
      <c r="D2218" s="10"/>
      <c r="E2218" s="10"/>
      <c r="F2218" s="10"/>
      <c r="G2218" s="10"/>
      <c r="H2218" s="10"/>
      <c r="I2218" s="10"/>
      <c r="J2218" s="10"/>
      <c r="K2218" s="16">
        <v>12</v>
      </c>
      <c r="L2218" s="31">
        <v>3</v>
      </c>
      <c r="M2218" s="10"/>
      <c r="N2218" s="10" t="s">
        <v>443</v>
      </c>
      <c r="O2218" s="10" t="s">
        <v>444</v>
      </c>
      <c r="P2218" s="10" t="s">
        <v>445</v>
      </c>
      <c r="Q2218" s="10"/>
      <c r="R2218" s="10"/>
    </row>
    <row r="2219" spans="1:18">
      <c r="A2219" s="10"/>
      <c r="B2219" s="10" t="s">
        <v>456</v>
      </c>
      <c r="C2219" s="10" t="s">
        <v>520</v>
      </c>
      <c r="D2219" s="10"/>
      <c r="E2219" s="10"/>
      <c r="F2219" s="10"/>
      <c r="G2219" s="10"/>
      <c r="H2219" s="10"/>
      <c r="I2219" s="10"/>
      <c r="J2219" s="10"/>
      <c r="K2219" s="16">
        <v>13</v>
      </c>
      <c r="L2219" s="31"/>
      <c r="M2219" s="10"/>
      <c r="N2219" s="10"/>
      <c r="O2219" s="10"/>
      <c r="P2219" s="10"/>
      <c r="Q2219" s="10"/>
      <c r="R2219" s="10"/>
    </row>
    <row r="2220" spans="1:18">
      <c r="A2220" s="10"/>
      <c r="B2220" s="64" t="s">
        <v>457</v>
      </c>
      <c r="C2220" s="10" t="s">
        <v>494</v>
      </c>
      <c r="D2220" s="10"/>
      <c r="E2220" s="10"/>
      <c r="F2220" s="10"/>
      <c r="G2220" s="10"/>
      <c r="H2220" s="10"/>
      <c r="I2220" s="10"/>
      <c r="J2220" s="10"/>
      <c r="K2220" s="16">
        <v>14</v>
      </c>
      <c r="L2220" s="31">
        <v>8</v>
      </c>
      <c r="M2220" s="10"/>
      <c r="N2220" s="10"/>
      <c r="O2220" s="10"/>
      <c r="P2220" s="10"/>
      <c r="Q2220" s="10"/>
      <c r="R2220" s="10"/>
    </row>
    <row r="2221" spans="1:18">
      <c r="A2221" s="10"/>
      <c r="B2221" s="10" t="s">
        <v>458</v>
      </c>
      <c r="C2221" s="10" t="s">
        <v>493</v>
      </c>
      <c r="D2221" s="10">
        <v>10</v>
      </c>
      <c r="E2221" s="10"/>
      <c r="F2221" s="10"/>
      <c r="G2221" s="10"/>
      <c r="H2221" s="10"/>
      <c r="I2221" s="10"/>
      <c r="J2221" s="10"/>
      <c r="K2221" s="16">
        <v>15</v>
      </c>
      <c r="L2221" s="31">
        <v>7</v>
      </c>
      <c r="M2221" s="10"/>
      <c r="N2221" s="10"/>
      <c r="O2221" s="10"/>
      <c r="P2221" s="10"/>
      <c r="Q2221" s="10"/>
      <c r="R2221" s="10"/>
    </row>
    <row r="2222" spans="1:18">
      <c r="A2222" s="10"/>
      <c r="B2222" s="10" t="s">
        <v>459</v>
      </c>
      <c r="C2222" s="10" t="s">
        <v>493</v>
      </c>
      <c r="D2222" s="10">
        <v>10</v>
      </c>
      <c r="E2222" s="10"/>
      <c r="F2222" s="10"/>
      <c r="G2222" s="10"/>
      <c r="H2222" s="10"/>
      <c r="I2222" s="10"/>
      <c r="J2222" s="10"/>
      <c r="K2222" s="16">
        <v>16</v>
      </c>
      <c r="L2222" s="31">
        <v>7</v>
      </c>
      <c r="M2222" s="10"/>
      <c r="N2222" s="10"/>
      <c r="O2222" s="10"/>
      <c r="P2222" s="10"/>
      <c r="Q2222" s="10"/>
      <c r="R2222" s="10"/>
    </row>
    <row r="2223" spans="1:18">
      <c r="A2223" s="10"/>
      <c r="B2223" s="64" t="s">
        <v>2481</v>
      </c>
      <c r="C2223" s="64" t="s">
        <v>494</v>
      </c>
      <c r="D2223" s="10"/>
      <c r="E2223" s="10"/>
      <c r="F2223" s="10"/>
      <c r="G2223" s="10"/>
      <c r="H2223" s="10"/>
      <c r="I2223" s="10"/>
      <c r="J2223" s="10"/>
      <c r="K2223" s="16">
        <v>17</v>
      </c>
      <c r="L2223" s="80">
        <v>3</v>
      </c>
      <c r="M2223" s="10"/>
      <c r="N2223" s="64" t="s">
        <v>2475</v>
      </c>
      <c r="O2223" s="64" t="s">
        <v>2477</v>
      </c>
      <c r="P2223" s="64" t="s">
        <v>2479</v>
      </c>
      <c r="Q2223" s="64"/>
      <c r="R2223" s="10"/>
    </row>
    <row r="2224" spans="1:18">
      <c r="A2224" s="10"/>
      <c r="B2224" s="64" t="s">
        <v>1260</v>
      </c>
      <c r="C2224" s="64" t="s">
        <v>494</v>
      </c>
      <c r="D2224" s="10"/>
      <c r="E2224" s="10"/>
      <c r="F2224" s="10"/>
      <c r="G2224" s="10"/>
      <c r="H2224" s="10"/>
      <c r="I2224" s="10"/>
      <c r="J2224" s="10"/>
      <c r="K2224" s="16">
        <v>18</v>
      </c>
      <c r="L2224" s="80">
        <v>3</v>
      </c>
      <c r="M2224" s="10"/>
      <c r="N2224" s="62" t="s">
        <v>2482</v>
      </c>
      <c r="O2224" s="64" t="s">
        <v>2484</v>
      </c>
      <c r="P2224" s="64" t="s">
        <v>2486</v>
      </c>
      <c r="Q2224" s="10"/>
      <c r="R2224" s="10"/>
    </row>
    <row r="2225" spans="1:18">
      <c r="A2225" s="10"/>
      <c r="B2225" s="64" t="s">
        <v>2490</v>
      </c>
      <c r="C2225" s="64" t="s">
        <v>494</v>
      </c>
      <c r="D2225" s="10"/>
      <c r="E2225" s="10"/>
      <c r="F2225" s="10"/>
      <c r="G2225" s="10"/>
      <c r="H2225" s="10"/>
      <c r="I2225" s="10"/>
      <c r="J2225" s="10"/>
      <c r="K2225" s="16">
        <v>19</v>
      </c>
      <c r="L2225" s="80"/>
      <c r="M2225" s="10"/>
      <c r="N2225" s="62"/>
      <c r="O2225" s="64"/>
      <c r="P2225" s="64"/>
      <c r="Q2225" s="10"/>
      <c r="R2225" s="10"/>
    </row>
    <row r="2226" spans="1:18">
      <c r="A2226" s="10"/>
      <c r="B2226" s="64" t="s">
        <v>2513</v>
      </c>
      <c r="C2226" s="64" t="s">
        <v>494</v>
      </c>
      <c r="D2226" s="10"/>
      <c r="E2226" s="10"/>
      <c r="F2226" s="10"/>
      <c r="G2226" s="10"/>
      <c r="H2226" s="10"/>
      <c r="I2226" s="10"/>
      <c r="J2226" s="10"/>
      <c r="K2226" s="16">
        <v>20</v>
      </c>
      <c r="L2226" s="80">
        <v>8</v>
      </c>
      <c r="M2226" s="10"/>
      <c r="N2226" s="62"/>
      <c r="O2226" s="64"/>
      <c r="P2226" s="64"/>
      <c r="Q2226" s="10"/>
      <c r="R2226" s="10"/>
    </row>
    <row r="2227" spans="1:18">
      <c r="A2227" s="10"/>
      <c r="B2227" s="70" t="s">
        <v>4498</v>
      </c>
      <c r="C2227" s="64" t="s">
        <v>494</v>
      </c>
      <c r="D2227" s="10"/>
      <c r="E2227" s="10"/>
      <c r="F2227" s="10"/>
      <c r="G2227" s="10"/>
      <c r="H2227" s="10"/>
      <c r="I2227" s="10"/>
      <c r="J2227" s="10"/>
      <c r="K2227" s="16">
        <v>21</v>
      </c>
      <c r="L2227" s="80">
        <v>3</v>
      </c>
      <c r="M2227" s="10"/>
      <c r="N2227" s="64" t="s">
        <v>4481</v>
      </c>
      <c r="O2227" s="64" t="s">
        <v>4483</v>
      </c>
      <c r="P2227" s="64" t="s">
        <v>4485</v>
      </c>
      <c r="Q2227" s="10"/>
      <c r="R2227" s="10"/>
    </row>
    <row r="2228" spans="1:18">
      <c r="A2228" s="10"/>
      <c r="B2228" s="70" t="s">
        <v>4526</v>
      </c>
      <c r="C2228" s="64" t="s">
        <v>494</v>
      </c>
      <c r="D2228" s="10"/>
      <c r="E2228" s="10"/>
      <c r="F2228" s="10"/>
      <c r="G2228" s="10"/>
      <c r="H2228" s="10"/>
      <c r="I2228" s="10"/>
      <c r="J2228" s="10"/>
      <c r="K2228" s="16">
        <v>22</v>
      </c>
      <c r="L2228" s="80"/>
      <c r="M2228" s="10">
        <v>2</v>
      </c>
      <c r="N2228" s="64"/>
      <c r="O2228" s="64"/>
      <c r="P2228" s="64"/>
      <c r="Q2228" s="10"/>
      <c r="R2228" s="10"/>
    </row>
    <row r="2229" spans="1:18">
      <c r="A2229" s="10"/>
      <c r="B2229" s="70" t="s">
        <v>4497</v>
      </c>
      <c r="C2229" s="64" t="s">
        <v>494</v>
      </c>
      <c r="D2229" s="10"/>
      <c r="E2229" s="10"/>
      <c r="F2229" s="10"/>
      <c r="G2229" s="10"/>
      <c r="H2229" s="10"/>
      <c r="I2229" s="10"/>
      <c r="J2229" s="10"/>
      <c r="K2229" s="16">
        <v>23</v>
      </c>
      <c r="L2229" s="80">
        <v>8</v>
      </c>
      <c r="M2229" s="10">
        <v>3</v>
      </c>
      <c r="N2229" s="62"/>
      <c r="P2229" s="64"/>
      <c r="Q2229" s="10"/>
      <c r="R2229" s="10"/>
    </row>
    <row r="2230" spans="1:18">
      <c r="A2230" s="10"/>
      <c r="B2230" s="70" t="s">
        <v>4502</v>
      </c>
      <c r="C2230" s="64" t="s">
        <v>520</v>
      </c>
      <c r="D2230" s="10"/>
      <c r="E2230" s="10"/>
      <c r="F2230" s="10"/>
      <c r="G2230" s="10"/>
      <c r="H2230" s="10"/>
      <c r="I2230" s="10"/>
      <c r="J2230" s="10"/>
      <c r="K2230" s="16">
        <v>24</v>
      </c>
      <c r="L2230" s="80"/>
      <c r="M2230" s="10"/>
      <c r="N2230" s="62"/>
      <c r="P2230" s="64"/>
      <c r="Q2230" s="10"/>
      <c r="R2230" s="10"/>
    </row>
    <row r="2231" spans="1:18">
      <c r="A2231" s="10"/>
      <c r="B2231" s="70" t="s">
        <v>4503</v>
      </c>
      <c r="C2231" s="64" t="s">
        <v>493</v>
      </c>
      <c r="D2231" s="10">
        <v>50</v>
      </c>
      <c r="E2231" s="10"/>
      <c r="F2231" s="10"/>
      <c r="G2231" s="10"/>
      <c r="H2231" s="10"/>
      <c r="I2231" s="10"/>
      <c r="J2231" s="10"/>
      <c r="K2231" s="16">
        <v>25</v>
      </c>
      <c r="L2231" s="80"/>
      <c r="M2231" s="10">
        <v>1</v>
      </c>
      <c r="N2231" s="62"/>
      <c r="P2231" s="64"/>
      <c r="Q2231" s="10"/>
      <c r="R2231" s="10"/>
    </row>
    <row r="2232" spans="1:18">
      <c r="A2232" s="10"/>
      <c r="B2232" s="70" t="s">
        <v>4521</v>
      </c>
      <c r="C2232" s="64" t="s">
        <v>494</v>
      </c>
      <c r="D2232" s="10"/>
      <c r="E2232" s="10"/>
      <c r="F2232" s="10"/>
      <c r="G2232" s="10"/>
      <c r="H2232" s="10"/>
      <c r="I2232" s="10"/>
      <c r="J2232" s="10"/>
      <c r="K2232" s="16">
        <v>26</v>
      </c>
      <c r="L2232" s="80">
        <v>7</v>
      </c>
      <c r="M2232" s="10"/>
      <c r="N2232" s="62"/>
      <c r="P2232" s="64"/>
      <c r="Q2232" s="10"/>
      <c r="R2232" s="10"/>
    </row>
    <row r="2233" spans="1:18">
      <c r="A2233" s="10"/>
      <c r="B2233" s="70" t="s">
        <v>4522</v>
      </c>
      <c r="C2233" s="64" t="s">
        <v>494</v>
      </c>
      <c r="D2233" s="10"/>
      <c r="E2233" s="10"/>
      <c r="F2233" s="10"/>
      <c r="G2233" s="10"/>
      <c r="H2233" s="10"/>
      <c r="I2233" s="10"/>
      <c r="J2233" s="10"/>
      <c r="K2233" s="16">
        <v>27</v>
      </c>
      <c r="L2233" s="80"/>
      <c r="M2233" s="10"/>
      <c r="N2233" s="62"/>
      <c r="P2233" s="64"/>
      <c r="Q2233" s="10"/>
      <c r="R2233" s="10"/>
    </row>
    <row r="2234" spans="1:18">
      <c r="A2234" s="10"/>
      <c r="B2234" s="70" t="s">
        <v>4523</v>
      </c>
      <c r="C2234" s="64" t="s">
        <v>494</v>
      </c>
      <c r="D2234" s="10"/>
      <c r="E2234" s="10"/>
      <c r="F2234" s="10"/>
      <c r="G2234" s="10"/>
      <c r="H2234" s="10"/>
      <c r="I2234" s="10"/>
      <c r="J2234" s="10"/>
      <c r="K2234" s="16">
        <v>28</v>
      </c>
      <c r="L2234" s="80"/>
      <c r="M2234" s="10">
        <v>1</v>
      </c>
      <c r="N2234" s="62"/>
      <c r="P2234" s="64"/>
      <c r="Q2234" s="10"/>
      <c r="R2234" s="10"/>
    </row>
    <row r="2235" spans="1:18">
      <c r="A2235" s="10"/>
      <c r="B2235" s="70" t="s">
        <v>4524</v>
      </c>
      <c r="C2235" s="64" t="s">
        <v>494</v>
      </c>
      <c r="D2235" s="10"/>
      <c r="E2235" s="10"/>
      <c r="F2235" s="10"/>
      <c r="G2235" s="10"/>
      <c r="H2235" s="10"/>
      <c r="I2235" s="10"/>
      <c r="J2235" s="10"/>
      <c r="K2235" s="16">
        <v>29</v>
      </c>
      <c r="L2235" s="80"/>
      <c r="M2235" s="10">
        <v>1</v>
      </c>
      <c r="N2235" s="62"/>
      <c r="P2235" s="64"/>
      <c r="Q2235" s="10"/>
      <c r="R2235" s="10"/>
    </row>
    <row r="2236" spans="1:18">
      <c r="A2236" s="10"/>
      <c r="B2236" s="10"/>
      <c r="C2236" s="10"/>
      <c r="D2236" s="10"/>
      <c r="E2236" s="10"/>
      <c r="F2236" s="10"/>
      <c r="G2236" s="10"/>
      <c r="H2236" s="10"/>
      <c r="I2236" s="10"/>
      <c r="J2236" s="10"/>
      <c r="K2236" s="16"/>
      <c r="L2236" s="31"/>
      <c r="M2236" s="10"/>
      <c r="N2236" s="10"/>
      <c r="O2236" s="10"/>
      <c r="P2236" s="10"/>
      <c r="Q2236" s="10"/>
      <c r="R2236" s="10"/>
    </row>
    <row r="2237" spans="1:18">
      <c r="A2237" s="10" t="s">
        <v>460</v>
      </c>
      <c r="B2237" s="10" t="s">
        <v>461</v>
      </c>
      <c r="C2237" s="10" t="s">
        <v>494</v>
      </c>
      <c r="D2237" s="10"/>
      <c r="E2237" s="10" t="s">
        <v>476</v>
      </c>
      <c r="F2237" s="10">
        <v>15</v>
      </c>
      <c r="G2237" s="10">
        <v>1505</v>
      </c>
      <c r="H2237" s="10" t="s">
        <v>521</v>
      </c>
      <c r="I2237" s="10"/>
      <c r="J2237" s="10">
        <v>1501</v>
      </c>
      <c r="K2237" s="16">
        <v>1</v>
      </c>
      <c r="L2237" s="31">
        <v>52</v>
      </c>
      <c r="M2237" s="10"/>
      <c r="N2237" s="10">
        <v>1504</v>
      </c>
      <c r="O2237" s="10" t="s">
        <v>448</v>
      </c>
      <c r="P2237" s="10"/>
      <c r="Q2237" s="10"/>
      <c r="R2237" s="10"/>
    </row>
    <row r="2238" spans="1:18">
      <c r="A2238" s="10"/>
      <c r="B2238" s="10" t="s">
        <v>462</v>
      </c>
      <c r="C2238" s="10" t="s">
        <v>494</v>
      </c>
      <c r="D2238" s="10"/>
      <c r="E2238" s="10" t="s">
        <v>476</v>
      </c>
      <c r="F2238" s="10"/>
      <c r="G2238" s="10"/>
      <c r="H2238" s="10"/>
      <c r="I2238" s="10"/>
      <c r="J2238" s="10"/>
      <c r="K2238" s="16">
        <v>2</v>
      </c>
      <c r="L2238" s="31">
        <v>6</v>
      </c>
      <c r="M2238" s="10"/>
      <c r="N2238" s="10"/>
      <c r="O2238" s="10"/>
      <c r="P2238" s="10"/>
      <c r="Q2238" s="10"/>
      <c r="R2238" s="10"/>
    </row>
    <row r="2239" spans="1:18">
      <c r="A2239" s="10"/>
      <c r="B2239" s="10" t="s">
        <v>463</v>
      </c>
      <c r="C2239" s="10" t="s">
        <v>494</v>
      </c>
      <c r="D2239" s="10"/>
      <c r="E2239" s="10"/>
      <c r="F2239" s="10"/>
      <c r="G2239" s="10"/>
      <c r="H2239" s="10"/>
      <c r="I2239" s="10"/>
      <c r="J2239" s="10"/>
      <c r="K2239" s="16">
        <v>3</v>
      </c>
      <c r="L2239" s="31">
        <v>6</v>
      </c>
      <c r="M2239" s="10"/>
      <c r="N2239" s="10"/>
      <c r="O2239" s="10"/>
      <c r="P2239" s="10"/>
      <c r="Q2239" s="10"/>
      <c r="R2239" s="10"/>
    </row>
    <row r="2240" spans="1:18">
      <c r="A2240" s="10"/>
      <c r="B2240" s="10" t="s">
        <v>464</v>
      </c>
      <c r="C2240" s="10" t="s">
        <v>493</v>
      </c>
      <c r="D2240" s="10">
        <v>10</v>
      </c>
      <c r="E2240" s="10"/>
      <c r="F2240" s="10"/>
      <c r="G2240" s="10"/>
      <c r="H2240" s="10"/>
      <c r="I2240" s="10"/>
      <c r="J2240" s="10"/>
      <c r="K2240" s="16">
        <v>4</v>
      </c>
      <c r="L2240" s="31">
        <v>7</v>
      </c>
      <c r="M2240" s="10"/>
      <c r="N2240" s="10"/>
      <c r="O2240" s="10"/>
      <c r="P2240" s="10"/>
      <c r="Q2240" s="10"/>
      <c r="R2240" s="10"/>
    </row>
    <row r="2241" spans="1:18">
      <c r="A2241" s="10"/>
      <c r="B2241" s="10" t="s">
        <v>465</v>
      </c>
      <c r="C2241" s="10" t="s">
        <v>494</v>
      </c>
      <c r="D2241" s="10"/>
      <c r="E2241" s="10"/>
      <c r="F2241" s="10"/>
      <c r="G2241" s="10"/>
      <c r="H2241" s="10"/>
      <c r="I2241" s="10"/>
      <c r="J2241" s="10"/>
      <c r="K2241" s="16">
        <v>5</v>
      </c>
      <c r="L2241" s="31"/>
      <c r="M2241" s="10">
        <v>71</v>
      </c>
      <c r="N2241" s="10"/>
      <c r="O2241" s="10"/>
      <c r="P2241" s="10"/>
      <c r="Q2241" s="10"/>
      <c r="R2241" s="10"/>
    </row>
    <row r="2242" spans="1:18">
      <c r="A2242" s="10"/>
      <c r="B2242" s="10" t="s">
        <v>466</v>
      </c>
      <c r="C2242" s="10" t="s">
        <v>494</v>
      </c>
      <c r="D2242" s="10"/>
      <c r="E2242" s="10"/>
      <c r="F2242" s="10"/>
      <c r="G2242" s="10"/>
      <c r="H2242" s="10"/>
      <c r="I2242" s="10"/>
      <c r="J2242" s="10"/>
      <c r="K2242" s="16">
        <v>6</v>
      </c>
      <c r="L2242" s="31"/>
      <c r="M2242" s="10">
        <v>72</v>
      </c>
      <c r="N2242" s="10"/>
      <c r="O2242" s="10"/>
      <c r="P2242" s="10"/>
      <c r="Q2242" s="10"/>
      <c r="R2242" s="10"/>
    </row>
    <row r="2243" spans="1:18">
      <c r="A2243" s="10"/>
      <c r="B2243" s="10" t="s">
        <v>467</v>
      </c>
      <c r="C2243" s="10" t="s">
        <v>494</v>
      </c>
      <c r="D2243" s="10"/>
      <c r="E2243" s="10"/>
      <c r="F2243" s="10"/>
      <c r="G2243" s="10"/>
      <c r="H2243" s="10"/>
      <c r="I2243" s="10"/>
      <c r="J2243" s="10"/>
      <c r="K2243" s="16">
        <v>7</v>
      </c>
      <c r="L2243" s="31">
        <v>8</v>
      </c>
      <c r="M2243" s="10"/>
      <c r="N2243" s="10"/>
      <c r="O2243" s="10"/>
      <c r="P2243" s="10"/>
      <c r="Q2243" s="10"/>
      <c r="R2243" s="10"/>
    </row>
    <row r="2244" spans="1:18">
      <c r="A2244" s="10"/>
      <c r="B2244" s="10" t="s">
        <v>468</v>
      </c>
      <c r="C2244" s="10" t="s">
        <v>520</v>
      </c>
      <c r="D2244" s="10"/>
      <c r="E2244" s="10"/>
      <c r="F2244" s="10"/>
      <c r="G2244" s="10"/>
      <c r="H2244" s="10"/>
      <c r="I2244" s="10"/>
      <c r="J2244" s="10"/>
      <c r="K2244" s="16">
        <v>8</v>
      </c>
      <c r="L2244" s="31"/>
      <c r="M2244" s="10"/>
      <c r="N2244" s="10"/>
      <c r="O2244" s="10"/>
      <c r="P2244" s="10"/>
      <c r="Q2244" s="10"/>
      <c r="R2244" s="10"/>
    </row>
    <row r="2245" spans="1:18">
      <c r="A2245" s="10"/>
      <c r="B2245" s="10" t="s">
        <v>469</v>
      </c>
      <c r="C2245" s="10" t="s">
        <v>493</v>
      </c>
      <c r="D2245" s="10">
        <v>1</v>
      </c>
      <c r="E2245" s="10"/>
      <c r="F2245" s="10"/>
      <c r="G2245" s="10"/>
      <c r="H2245" s="10"/>
      <c r="I2245" s="10"/>
      <c r="J2245" s="10"/>
      <c r="K2245" s="16">
        <v>9</v>
      </c>
      <c r="L2245" s="31">
        <v>3</v>
      </c>
      <c r="M2245" s="10"/>
      <c r="N2245" s="10"/>
      <c r="O2245" s="10"/>
      <c r="P2245" s="10"/>
      <c r="Q2245" s="10"/>
      <c r="R2245" s="10"/>
    </row>
    <row r="2246" spans="1:18">
      <c r="A2246" s="10"/>
      <c r="B2246" s="70" t="s">
        <v>4499</v>
      </c>
      <c r="C2246" s="70" t="s">
        <v>493</v>
      </c>
      <c r="D2246" s="10">
        <v>1</v>
      </c>
      <c r="E2246" s="10"/>
      <c r="F2246" s="10"/>
      <c r="G2246" s="10"/>
      <c r="H2246" s="10"/>
      <c r="I2246" s="10"/>
      <c r="J2246" s="10"/>
      <c r="K2246" s="16">
        <v>10</v>
      </c>
      <c r="L2246" s="31">
        <v>3</v>
      </c>
      <c r="M2246" s="10"/>
      <c r="N2246" s="10"/>
      <c r="O2246" s="10"/>
      <c r="P2246" s="10"/>
      <c r="Q2246" s="10"/>
      <c r="R2246" s="10"/>
    </row>
    <row r="2247" spans="1:18">
      <c r="A2247" s="10"/>
      <c r="B2247" s="70" t="s">
        <v>4500</v>
      </c>
      <c r="C2247" s="70" t="s">
        <v>494</v>
      </c>
      <c r="D2247" s="10"/>
      <c r="E2247" s="10"/>
      <c r="F2247" s="10"/>
      <c r="G2247" s="10"/>
      <c r="H2247" s="10"/>
      <c r="I2247" s="10"/>
      <c r="J2247" s="10"/>
      <c r="K2247" s="16">
        <v>11</v>
      </c>
      <c r="L2247" s="80">
        <v>91</v>
      </c>
      <c r="M2247" s="10"/>
      <c r="N2247" s="10"/>
      <c r="O2247" s="10"/>
      <c r="P2247" s="10"/>
      <c r="Q2247" s="10"/>
      <c r="R2247" s="10"/>
    </row>
    <row r="2248" spans="1:18">
      <c r="A2248" s="10"/>
      <c r="B2248" s="70" t="s">
        <v>4501</v>
      </c>
      <c r="C2248" s="70" t="s">
        <v>494</v>
      </c>
      <c r="D2248" s="10"/>
      <c r="E2248" s="10"/>
      <c r="F2248" s="10"/>
      <c r="G2248" s="10"/>
      <c r="H2248" s="10"/>
      <c r="I2248" s="10"/>
      <c r="J2248" s="10"/>
      <c r="K2248" s="16">
        <v>12</v>
      </c>
      <c r="L2248" s="80">
        <v>92</v>
      </c>
      <c r="M2248" s="10"/>
      <c r="N2248" s="10"/>
      <c r="O2248" s="10"/>
      <c r="P2248" s="10"/>
      <c r="Q2248" s="10"/>
      <c r="R2248" s="10"/>
    </row>
    <row r="2249" spans="1:18">
      <c r="A2249" s="10"/>
      <c r="B2249" s="10"/>
      <c r="C2249" s="10"/>
      <c r="D2249" s="10"/>
      <c r="E2249" s="10"/>
      <c r="F2249" s="10"/>
      <c r="G2249" s="10"/>
      <c r="H2249" s="10"/>
      <c r="I2249" s="10"/>
      <c r="J2249" s="10"/>
      <c r="K2249" s="16"/>
      <c r="L2249" s="31"/>
      <c r="M2249" s="10"/>
      <c r="N2249" s="10"/>
      <c r="O2249" s="10"/>
      <c r="P2249" s="10"/>
      <c r="Q2249" s="10"/>
      <c r="R2249" s="10"/>
    </row>
    <row r="2250" spans="1:18">
      <c r="A2250" s="64" t="s">
        <v>4504</v>
      </c>
      <c r="B2250" s="64" t="s">
        <v>4505</v>
      </c>
      <c r="C2250" s="64" t="s">
        <v>494</v>
      </c>
      <c r="D2250" s="10"/>
      <c r="E2250" s="64" t="s">
        <v>476</v>
      </c>
      <c r="F2250" s="10">
        <v>15</v>
      </c>
      <c r="G2250" s="10">
        <v>1529</v>
      </c>
      <c r="H2250" s="64" t="s">
        <v>4443</v>
      </c>
      <c r="I2250" s="10"/>
      <c r="J2250" s="10">
        <v>1501</v>
      </c>
      <c r="K2250" s="16">
        <v>1</v>
      </c>
      <c r="L2250" s="80">
        <v>52</v>
      </c>
      <c r="M2250" s="10"/>
      <c r="N2250" s="10">
        <v>1504</v>
      </c>
      <c r="O2250" s="10" t="s">
        <v>448</v>
      </c>
      <c r="P2250" s="10"/>
      <c r="Q2250" s="10"/>
      <c r="R2250" s="10"/>
    </row>
    <row r="2251" spans="1:18">
      <c r="A2251" s="10"/>
      <c r="B2251" s="64" t="s">
        <v>4506</v>
      </c>
      <c r="C2251" s="64" t="s">
        <v>494</v>
      </c>
      <c r="D2251" s="10"/>
      <c r="E2251" s="64" t="s">
        <v>476</v>
      </c>
      <c r="F2251" s="10"/>
      <c r="G2251" s="10"/>
      <c r="H2251" s="10"/>
      <c r="I2251" s="10"/>
      <c r="J2251" s="10"/>
      <c r="K2251" s="16">
        <v>2</v>
      </c>
      <c r="L2251" s="80">
        <v>6</v>
      </c>
      <c r="M2251" s="10"/>
      <c r="N2251" s="10"/>
      <c r="O2251" s="10"/>
      <c r="P2251" s="10"/>
      <c r="Q2251" s="10"/>
      <c r="R2251" s="10"/>
    </row>
    <row r="2252" spans="1:18">
      <c r="A2252" s="10"/>
      <c r="B2252" s="64" t="s">
        <v>4507</v>
      </c>
      <c r="C2252" s="64" t="s">
        <v>494</v>
      </c>
      <c r="D2252" s="10"/>
      <c r="E2252" s="10"/>
      <c r="F2252" s="10"/>
      <c r="G2252" s="10"/>
      <c r="H2252" s="10"/>
      <c r="I2252" s="10"/>
      <c r="J2252" s="10"/>
      <c r="K2252" s="16">
        <v>3</v>
      </c>
      <c r="L2252" s="80">
        <v>6</v>
      </c>
      <c r="M2252" s="10"/>
      <c r="N2252" s="10"/>
      <c r="O2252" s="10"/>
      <c r="P2252" s="10"/>
      <c r="Q2252" s="10"/>
      <c r="R2252" s="10"/>
    </row>
    <row r="2253" spans="1:18">
      <c r="A2253" s="10"/>
      <c r="B2253" s="64" t="s">
        <v>4508</v>
      </c>
      <c r="C2253" s="64" t="s">
        <v>494</v>
      </c>
      <c r="D2253" s="10"/>
      <c r="E2253" s="10"/>
      <c r="F2253" s="10"/>
      <c r="G2253" s="10"/>
      <c r="H2253" s="10"/>
      <c r="I2253" s="10"/>
      <c r="J2253" s="10"/>
      <c r="K2253" s="16">
        <v>4</v>
      </c>
      <c r="L2253" s="80">
        <v>3</v>
      </c>
      <c r="M2253" s="10"/>
      <c r="N2253" s="10"/>
      <c r="O2253" s="10"/>
      <c r="P2253" s="10"/>
      <c r="Q2253" s="10"/>
      <c r="R2253" s="10"/>
    </row>
    <row r="2254" spans="1:18">
      <c r="A2254" s="10"/>
      <c r="B2254" s="64" t="s">
        <v>4509</v>
      </c>
      <c r="C2254" s="64" t="s">
        <v>494</v>
      </c>
      <c r="D2254" s="10"/>
      <c r="E2254" s="10"/>
      <c r="F2254" s="10"/>
      <c r="G2254" s="10"/>
      <c r="H2254" s="10"/>
      <c r="I2254" s="10"/>
      <c r="J2254" s="10"/>
      <c r="K2254" s="16">
        <v>5</v>
      </c>
      <c r="L2254" s="80">
        <v>3</v>
      </c>
      <c r="M2254" s="10"/>
      <c r="N2254" s="10"/>
      <c r="O2254" s="10"/>
      <c r="P2254" s="10"/>
      <c r="Q2254" s="10"/>
      <c r="R2254" s="10"/>
    </row>
    <row r="2255" spans="1:18">
      <c r="A2255" s="10"/>
      <c r="B2255" s="64" t="s">
        <v>4510</v>
      </c>
      <c r="C2255" s="64" t="s">
        <v>494</v>
      </c>
      <c r="D2255" s="10"/>
      <c r="E2255" s="10"/>
      <c r="F2255" s="10"/>
      <c r="G2255" s="10"/>
      <c r="H2255" s="10"/>
      <c r="I2255" s="10"/>
      <c r="J2255" s="10"/>
      <c r="K2255" s="16">
        <v>6</v>
      </c>
      <c r="L2255" s="80">
        <v>8</v>
      </c>
      <c r="M2255" s="10"/>
      <c r="N2255" s="10"/>
      <c r="O2255" s="10"/>
      <c r="P2255" s="10"/>
      <c r="Q2255" s="10"/>
      <c r="R2255" s="10"/>
    </row>
    <row r="2256" spans="1:18">
      <c r="A2256" s="10"/>
      <c r="B2256" s="64" t="s">
        <v>4511</v>
      </c>
      <c r="C2256" s="64" t="s">
        <v>494</v>
      </c>
      <c r="D2256" s="10"/>
      <c r="E2256" s="10"/>
      <c r="F2256" s="10"/>
      <c r="G2256" s="10"/>
      <c r="H2256" s="10"/>
      <c r="I2256" s="10"/>
      <c r="J2256" s="10"/>
      <c r="K2256" s="16">
        <v>7</v>
      </c>
      <c r="L2256" s="80">
        <v>7</v>
      </c>
      <c r="M2256" s="10"/>
      <c r="N2256" s="10"/>
      <c r="O2256" s="10"/>
      <c r="P2256" s="10"/>
      <c r="Q2256" s="10"/>
      <c r="R2256" s="10"/>
    </row>
    <row r="2257" spans="1:18">
      <c r="A2257" s="10"/>
      <c r="B2257" s="64" t="s">
        <v>4512</v>
      </c>
      <c r="C2257" s="64" t="s">
        <v>494</v>
      </c>
      <c r="D2257" s="10"/>
      <c r="E2257" s="10"/>
      <c r="F2257" s="10"/>
      <c r="G2257" s="10"/>
      <c r="H2257" s="10"/>
      <c r="I2257" s="10"/>
      <c r="J2257" s="10"/>
      <c r="K2257" s="16">
        <v>8</v>
      </c>
      <c r="L2257" s="80">
        <v>7</v>
      </c>
      <c r="M2257" s="10"/>
      <c r="N2257" s="10"/>
      <c r="O2257" s="10"/>
      <c r="P2257" s="10"/>
      <c r="Q2257" s="10"/>
      <c r="R2257" s="10"/>
    </row>
    <row r="2258" spans="1:18">
      <c r="A2258" s="10"/>
      <c r="B2258" s="64"/>
      <c r="C2258" s="64"/>
      <c r="D2258" s="10"/>
      <c r="E2258" s="10"/>
      <c r="F2258" s="10"/>
      <c r="G2258" s="10"/>
      <c r="H2258" s="10"/>
      <c r="I2258" s="10"/>
      <c r="J2258" s="10"/>
      <c r="K2258" s="16"/>
      <c r="L2258" s="80"/>
      <c r="M2258" s="10"/>
      <c r="N2258" s="10"/>
      <c r="O2258" s="10"/>
      <c r="P2258" s="10"/>
      <c r="Q2258" s="10"/>
      <c r="R2258" s="10"/>
    </row>
    <row r="2259" spans="1:18">
      <c r="A2259" s="64" t="s">
        <v>4519</v>
      </c>
      <c r="B2259" s="64" t="s">
        <v>4527</v>
      </c>
      <c r="C2259" s="64" t="s">
        <v>494</v>
      </c>
      <c r="D2259" s="10"/>
      <c r="E2259" s="64" t="s">
        <v>476</v>
      </c>
      <c r="F2259" s="10">
        <v>15</v>
      </c>
      <c r="G2259" s="10">
        <v>1530</v>
      </c>
      <c r="H2259" s="64" t="s">
        <v>4520</v>
      </c>
      <c r="I2259" s="10"/>
      <c r="J2259" s="10">
        <v>1501</v>
      </c>
      <c r="K2259" s="57">
        <v>1</v>
      </c>
      <c r="L2259" s="80">
        <v>52</v>
      </c>
      <c r="M2259" s="10"/>
      <c r="N2259" s="10">
        <v>1504</v>
      </c>
      <c r="O2259" s="10" t="s">
        <v>448</v>
      </c>
      <c r="P2259" s="10"/>
      <c r="Q2259" s="10"/>
      <c r="R2259" s="10"/>
    </row>
    <row r="2260" spans="1:18">
      <c r="A2260" s="10"/>
      <c r="B2260" s="64" t="s">
        <v>4528</v>
      </c>
      <c r="C2260" s="64" t="s">
        <v>494</v>
      </c>
      <c r="D2260" s="10"/>
      <c r="E2260" s="64" t="s">
        <v>476</v>
      </c>
      <c r="F2260" s="10"/>
      <c r="G2260" s="10"/>
      <c r="H2260" s="10"/>
      <c r="I2260" s="10"/>
      <c r="J2260" s="10"/>
      <c r="K2260" s="16">
        <v>2</v>
      </c>
      <c r="L2260" s="80">
        <v>6</v>
      </c>
      <c r="M2260" s="10"/>
      <c r="N2260" s="10"/>
      <c r="O2260" s="10"/>
      <c r="P2260" s="10"/>
      <c r="Q2260" s="10"/>
      <c r="R2260" s="10"/>
    </row>
    <row r="2261" spans="1:18">
      <c r="A2261" s="10"/>
      <c r="B2261" s="64" t="s">
        <v>4529</v>
      </c>
      <c r="C2261" s="64" t="s">
        <v>494</v>
      </c>
      <c r="D2261" s="10"/>
      <c r="E2261" s="10"/>
      <c r="F2261" s="10"/>
      <c r="G2261" s="10"/>
      <c r="H2261" s="10"/>
      <c r="I2261" s="10"/>
      <c r="J2261" s="10"/>
      <c r="K2261" s="57">
        <v>3</v>
      </c>
      <c r="L2261" s="80">
        <v>6</v>
      </c>
      <c r="M2261" s="10"/>
      <c r="N2261" s="10"/>
      <c r="O2261" s="10"/>
      <c r="P2261" s="10"/>
      <c r="Q2261" s="10"/>
      <c r="R2261" s="10"/>
    </row>
    <row r="2262" spans="1:18">
      <c r="A2262" s="10"/>
      <c r="B2262" s="64" t="s">
        <v>4530</v>
      </c>
      <c r="C2262" s="64" t="s">
        <v>494</v>
      </c>
      <c r="D2262" s="10"/>
      <c r="E2262" s="10"/>
      <c r="F2262" s="10"/>
      <c r="G2262" s="10"/>
      <c r="H2262" s="10"/>
      <c r="I2262" s="10"/>
      <c r="J2262" s="10"/>
      <c r="K2262" s="16">
        <v>4</v>
      </c>
      <c r="L2262" s="80">
        <v>8</v>
      </c>
      <c r="M2262" s="10"/>
      <c r="N2262" s="10"/>
      <c r="O2262" s="10"/>
      <c r="P2262" s="10"/>
      <c r="Q2262" s="10"/>
      <c r="R2262" s="10"/>
    </row>
    <row r="2263" spans="1:18">
      <c r="A2263" s="10"/>
      <c r="B2263" s="64" t="s">
        <v>4531</v>
      </c>
      <c r="C2263" s="64" t="s">
        <v>494</v>
      </c>
      <c r="D2263" s="10"/>
      <c r="E2263" s="10"/>
      <c r="F2263" s="10"/>
      <c r="G2263" s="10"/>
      <c r="H2263" s="10"/>
      <c r="I2263" s="10"/>
      <c r="J2263" s="10"/>
      <c r="K2263" s="57">
        <v>5</v>
      </c>
      <c r="L2263" s="80">
        <v>7</v>
      </c>
      <c r="M2263" s="10"/>
      <c r="N2263" s="10"/>
      <c r="O2263" s="10"/>
      <c r="P2263" s="10"/>
      <c r="Q2263" s="10"/>
      <c r="R2263" s="10"/>
    </row>
    <row r="2264" spans="1:18">
      <c r="A2264" s="10"/>
      <c r="B2264" s="64" t="s">
        <v>4532</v>
      </c>
      <c r="C2264" s="64" t="s">
        <v>494</v>
      </c>
      <c r="D2264" s="10"/>
      <c r="E2264" s="10"/>
      <c r="F2264" s="10"/>
      <c r="G2264" s="10"/>
      <c r="H2264" s="10"/>
      <c r="I2264" s="10"/>
      <c r="J2264" s="10"/>
      <c r="K2264" s="16">
        <v>6</v>
      </c>
      <c r="L2264" s="80"/>
      <c r="M2264" s="10">
        <v>1</v>
      </c>
      <c r="N2264" s="10"/>
      <c r="O2264" s="10"/>
      <c r="P2264" s="10"/>
      <c r="Q2264" s="10"/>
      <c r="R2264" s="10"/>
    </row>
    <row r="2265" spans="1:18">
      <c r="A2265" s="10"/>
      <c r="B2265" s="64" t="s">
        <v>4533</v>
      </c>
      <c r="C2265" s="64" t="s">
        <v>520</v>
      </c>
      <c r="D2265" s="10"/>
      <c r="E2265" s="10"/>
      <c r="F2265" s="10"/>
      <c r="G2265" s="10"/>
      <c r="H2265" s="10"/>
      <c r="I2265" s="10"/>
      <c r="J2265" s="10"/>
      <c r="K2265" s="57">
        <v>7</v>
      </c>
      <c r="L2265" s="80"/>
      <c r="M2265" s="10"/>
      <c r="N2265" s="10"/>
      <c r="O2265" s="10"/>
      <c r="P2265" s="10"/>
      <c r="Q2265" s="10"/>
      <c r="R2265" s="10"/>
    </row>
    <row r="2266" spans="1:18">
      <c r="A2266" s="10"/>
      <c r="B2266" s="64"/>
      <c r="C2266" s="64"/>
      <c r="D2266" s="10"/>
      <c r="E2266" s="10"/>
      <c r="F2266" s="10"/>
      <c r="G2266" s="10"/>
      <c r="H2266" s="10"/>
      <c r="I2266" s="10"/>
      <c r="J2266" s="10"/>
      <c r="K2266" s="16"/>
      <c r="L2266" s="80"/>
      <c r="M2266" s="10"/>
      <c r="N2266" s="10"/>
      <c r="O2266" s="10"/>
      <c r="P2266" s="10"/>
      <c r="Q2266" s="10"/>
      <c r="R2266" s="10"/>
    </row>
    <row r="2267" spans="1:18">
      <c r="A2267" s="10"/>
      <c r="B2267" s="10"/>
      <c r="C2267" s="10"/>
      <c r="D2267" s="10"/>
      <c r="E2267" s="10"/>
      <c r="F2267" s="10"/>
      <c r="G2267" s="10"/>
      <c r="H2267" s="10"/>
      <c r="I2267" s="10"/>
      <c r="J2267" s="10"/>
      <c r="K2267" s="16"/>
      <c r="L2267" s="31"/>
      <c r="M2267" s="10"/>
      <c r="N2267" s="10"/>
      <c r="O2267" s="10"/>
      <c r="P2267" s="10"/>
      <c r="Q2267" s="10"/>
      <c r="R2267" s="10"/>
    </row>
    <row r="2268" spans="1:18">
      <c r="A2268" s="64"/>
      <c r="B2268" s="64"/>
      <c r="C2268" s="64"/>
      <c r="D2268" s="10"/>
      <c r="E2268" s="10"/>
      <c r="F2268" s="10"/>
      <c r="G2268" s="10"/>
      <c r="H2268" s="10"/>
      <c r="I2268" s="10"/>
      <c r="J2268" s="10"/>
      <c r="K2268" s="16"/>
      <c r="L2268" s="80"/>
      <c r="M2268" s="10"/>
      <c r="N2268" s="10"/>
      <c r="O2268" s="10"/>
      <c r="P2268" s="10"/>
      <c r="Q2268" s="10"/>
      <c r="R2268" s="10"/>
    </row>
    <row r="2269" spans="1:18">
      <c r="A2269" s="64"/>
      <c r="B2269" s="64"/>
      <c r="C2269" s="64"/>
      <c r="D2269" s="10"/>
      <c r="E2269" s="10"/>
      <c r="F2269" s="10"/>
      <c r="G2269" s="10"/>
      <c r="H2269" s="10"/>
      <c r="I2269" s="10"/>
      <c r="J2269" s="10"/>
      <c r="K2269" s="16"/>
      <c r="L2269" s="31"/>
      <c r="M2269" s="10"/>
      <c r="N2269" s="10"/>
      <c r="O2269" s="10"/>
      <c r="P2269" s="10"/>
      <c r="Q2269" s="10"/>
      <c r="R2269" s="10"/>
    </row>
    <row r="2270" spans="1:18" customFormat="1">
      <c r="B2270" s="66"/>
      <c r="C2270" s="62"/>
      <c r="K2270" s="55"/>
      <c r="N2270" s="1"/>
      <c r="O2270" s="1"/>
      <c r="P2270" s="1"/>
    </row>
    <row r="2271" spans="1:18" customFormat="1">
      <c r="A2271" s="70" t="s">
        <v>3210</v>
      </c>
      <c r="B2271" s="70" t="s">
        <v>3211</v>
      </c>
      <c r="C2271" s="70" t="s">
        <v>494</v>
      </c>
      <c r="E2271" s="62" t="s">
        <v>476</v>
      </c>
      <c r="F2271">
        <v>22</v>
      </c>
      <c r="G2271">
        <v>2230</v>
      </c>
      <c r="H2271" s="62" t="s">
        <v>4444</v>
      </c>
      <c r="I2271" s="62" t="s">
        <v>4445</v>
      </c>
      <c r="J2271">
        <v>2203</v>
      </c>
      <c r="K2271" s="55">
        <v>1</v>
      </c>
      <c r="L2271">
        <v>8</v>
      </c>
    </row>
    <row r="2272" spans="1:18" customFormat="1">
      <c r="A2272" s="94"/>
      <c r="B2272" s="70" t="s">
        <v>3212</v>
      </c>
      <c r="C2272" s="70" t="s">
        <v>494</v>
      </c>
      <c r="E2272" s="62" t="s">
        <v>476</v>
      </c>
      <c r="K2272" s="55">
        <v>2</v>
      </c>
      <c r="L2272">
        <v>3</v>
      </c>
      <c r="M2272" s="14">
        <v>31</v>
      </c>
      <c r="N2272" s="62" t="s">
        <v>3655</v>
      </c>
      <c r="O2272" s="62" t="s">
        <v>3648</v>
      </c>
      <c r="P2272" s="62" t="s">
        <v>3657</v>
      </c>
      <c r="Q2272" s="47" t="s">
        <v>3658</v>
      </c>
      <c r="R2272" s="14">
        <v>4</v>
      </c>
    </row>
    <row r="2273" spans="1:18" customFormat="1">
      <c r="A2273" s="94"/>
      <c r="B2273" s="70" t="s">
        <v>3213</v>
      </c>
      <c r="C2273" s="70" t="s">
        <v>494</v>
      </c>
      <c r="K2273" s="55">
        <v>3</v>
      </c>
      <c r="L2273">
        <v>6</v>
      </c>
    </row>
    <row r="2274" spans="1:18" customFormat="1">
      <c r="A2274" s="94"/>
      <c r="B2274" s="70" t="s">
        <v>3230</v>
      </c>
      <c r="C2274" s="70" t="s">
        <v>494</v>
      </c>
      <c r="K2274" s="55">
        <v>4</v>
      </c>
      <c r="L2274">
        <v>3</v>
      </c>
      <c r="M2274">
        <v>3</v>
      </c>
      <c r="N2274" s="62" t="s">
        <v>995</v>
      </c>
      <c r="O2274" s="62" t="s">
        <v>997</v>
      </c>
      <c r="P2274" s="62" t="s">
        <v>996</v>
      </c>
    </row>
    <row r="2275" spans="1:18">
      <c r="A2275" s="39"/>
      <c r="B2275" s="67" t="s">
        <v>3231</v>
      </c>
      <c r="C2275" s="70" t="s">
        <v>494</v>
      </c>
      <c r="F2275" s="14"/>
      <c r="G2275" s="14"/>
      <c r="H2275" s="14"/>
      <c r="I2275" s="11"/>
      <c r="J2275" s="14"/>
      <c r="K2275" s="55">
        <v>5</v>
      </c>
      <c r="L2275" s="15">
        <v>3</v>
      </c>
      <c r="M2275" s="14"/>
      <c r="N2275" s="62" t="s">
        <v>693</v>
      </c>
      <c r="O2275" s="1" t="s">
        <v>695</v>
      </c>
      <c r="P2275" s="1" t="s">
        <v>696</v>
      </c>
      <c r="Q2275" s="62"/>
      <c r="R2275" s="14"/>
    </row>
    <row r="2276" spans="1:18">
      <c r="A2276" s="39"/>
      <c r="B2276" s="67" t="s">
        <v>3232</v>
      </c>
      <c r="C2276" s="70" t="s">
        <v>494</v>
      </c>
      <c r="F2276" s="14"/>
      <c r="G2276" s="14"/>
      <c r="H2276" s="14"/>
      <c r="I2276" s="11"/>
      <c r="J2276" s="14"/>
      <c r="K2276" s="55">
        <v>6</v>
      </c>
      <c r="L2276" s="15">
        <v>3</v>
      </c>
      <c r="M2276" s="14">
        <v>31</v>
      </c>
      <c r="N2276" s="62" t="s">
        <v>379</v>
      </c>
      <c r="O2276" s="62" t="s">
        <v>698</v>
      </c>
      <c r="P2276" s="62" t="s">
        <v>699</v>
      </c>
      <c r="Q2276" s="62" t="s">
        <v>383</v>
      </c>
      <c r="R2276" s="14">
        <v>5</v>
      </c>
    </row>
    <row r="2277" spans="1:18" customFormat="1">
      <c r="B2277" s="70" t="s">
        <v>4321</v>
      </c>
      <c r="C2277" s="70" t="s">
        <v>702</v>
      </c>
      <c r="K2277" s="55">
        <v>22</v>
      </c>
      <c r="M2277">
        <v>1</v>
      </c>
    </row>
    <row r="2278" spans="1:18" customFormat="1">
      <c r="B2278" s="70" t="s">
        <v>4393</v>
      </c>
      <c r="C2278" s="70" t="s">
        <v>494</v>
      </c>
      <c r="K2278" s="55">
        <v>23</v>
      </c>
      <c r="L2278">
        <v>8</v>
      </c>
    </row>
    <row r="2279" spans="1:18" customFormat="1">
      <c r="B2279" s="70" t="s">
        <v>4394</v>
      </c>
      <c r="C2279" s="70" t="s">
        <v>494</v>
      </c>
      <c r="K2279" s="55">
        <v>24</v>
      </c>
      <c r="L2279">
        <v>7</v>
      </c>
    </row>
    <row r="2280" spans="1:18" customFormat="1">
      <c r="B2280" s="70" t="s">
        <v>4327</v>
      </c>
      <c r="C2280" s="70" t="s">
        <v>494</v>
      </c>
      <c r="H2280" s="62" t="s">
        <v>4357</v>
      </c>
      <c r="K2280" s="55">
        <v>25</v>
      </c>
      <c r="L2280">
        <v>3</v>
      </c>
      <c r="M2280">
        <v>1</v>
      </c>
      <c r="N2280" t="s">
        <v>4452</v>
      </c>
      <c r="O2280" s="62" t="s">
        <v>4453</v>
      </c>
      <c r="P2280" s="62" t="s">
        <v>4454</v>
      </c>
    </row>
    <row r="2281" spans="1:18" customFormat="1">
      <c r="B2281" s="70" t="s">
        <v>4322</v>
      </c>
      <c r="C2281" s="70" t="s">
        <v>494</v>
      </c>
      <c r="K2281" s="55">
        <v>26</v>
      </c>
      <c r="L2281">
        <v>3</v>
      </c>
    </row>
    <row r="2282" spans="1:18" customFormat="1">
      <c r="B2282" s="70" t="s">
        <v>4323</v>
      </c>
      <c r="C2282" s="70" t="s">
        <v>494</v>
      </c>
      <c r="K2282" s="55">
        <v>27</v>
      </c>
      <c r="L2282">
        <v>7</v>
      </c>
    </row>
    <row r="2283" spans="1:18" customFormat="1">
      <c r="B2283" s="70" t="s">
        <v>4325</v>
      </c>
      <c r="C2283" s="70" t="s">
        <v>494</v>
      </c>
      <c r="K2283" s="55">
        <v>28</v>
      </c>
      <c r="L2283">
        <v>91</v>
      </c>
    </row>
    <row r="2284" spans="1:18" customFormat="1">
      <c r="B2284" s="70" t="s">
        <v>4324</v>
      </c>
      <c r="C2284" s="70" t="s">
        <v>494</v>
      </c>
      <c r="K2284" s="55">
        <v>29</v>
      </c>
      <c r="L2284">
        <v>92</v>
      </c>
    </row>
    <row r="2285" spans="1:18" customFormat="1">
      <c r="B2285" s="70" t="s">
        <v>4326</v>
      </c>
      <c r="C2285" s="70" t="s">
        <v>494</v>
      </c>
      <c r="K2285" s="55">
        <v>30</v>
      </c>
      <c r="L2285">
        <v>8</v>
      </c>
    </row>
    <row r="2286" spans="1:18" customFormat="1">
      <c r="B2286" s="64"/>
      <c r="C2286" s="64"/>
      <c r="K2286" s="55"/>
    </row>
    <row r="2287" spans="1:18" customFormat="1">
      <c r="A2287" s="62" t="s">
        <v>4332</v>
      </c>
      <c r="B2287" s="62" t="s">
        <v>4334</v>
      </c>
      <c r="C2287" s="64" t="s">
        <v>494</v>
      </c>
      <c r="E2287" t="s">
        <v>476</v>
      </c>
      <c r="F2287">
        <v>22</v>
      </c>
      <c r="G2287">
        <v>2222</v>
      </c>
      <c r="H2287" t="s">
        <v>4443</v>
      </c>
      <c r="J2287">
        <v>2201</v>
      </c>
      <c r="K2287" s="55">
        <v>1</v>
      </c>
      <c r="L2287">
        <v>52</v>
      </c>
      <c r="N2287">
        <v>2230</v>
      </c>
      <c r="O2287" s="62" t="s">
        <v>3213</v>
      </c>
    </row>
    <row r="2288" spans="1:18" customFormat="1">
      <c r="B2288" s="62" t="s">
        <v>4333</v>
      </c>
      <c r="C2288" s="64" t="s">
        <v>494</v>
      </c>
      <c r="E2288" t="s">
        <v>476</v>
      </c>
      <c r="K2288" s="55">
        <v>2</v>
      </c>
      <c r="L2288">
        <v>6</v>
      </c>
    </row>
    <row r="2289" spans="1:16" customFormat="1">
      <c r="B2289" s="62" t="s">
        <v>4335</v>
      </c>
      <c r="C2289" s="64" t="s">
        <v>494</v>
      </c>
      <c r="K2289" s="55">
        <v>3</v>
      </c>
      <c r="L2289">
        <v>6</v>
      </c>
    </row>
    <row r="2290" spans="1:16" customFormat="1">
      <c r="B2290" s="62" t="s">
        <v>4336</v>
      </c>
      <c r="C2290" s="64" t="s">
        <v>494</v>
      </c>
      <c r="K2290" s="55">
        <v>4</v>
      </c>
      <c r="L2290">
        <v>3</v>
      </c>
      <c r="N2290" s="62" t="s">
        <v>3218</v>
      </c>
      <c r="O2290" s="62" t="s">
        <v>3219</v>
      </c>
      <c r="P2290" s="62" t="s">
        <v>3220</v>
      </c>
    </row>
    <row r="2291" spans="1:16" customFormat="1">
      <c r="B2291" s="62" t="s">
        <v>4337</v>
      </c>
      <c r="C2291" s="64" t="s">
        <v>494</v>
      </c>
      <c r="K2291" s="55">
        <v>5</v>
      </c>
      <c r="L2291">
        <v>3</v>
      </c>
      <c r="N2291" s="62" t="s">
        <v>3218</v>
      </c>
      <c r="O2291" s="62" t="s">
        <v>3219</v>
      </c>
      <c r="P2291" s="62" t="s">
        <v>3220</v>
      </c>
    </row>
    <row r="2292" spans="1:16" customFormat="1">
      <c r="B2292" s="62" t="s">
        <v>4338</v>
      </c>
      <c r="C2292" s="64" t="s">
        <v>494</v>
      </c>
      <c r="K2292" s="55">
        <v>6</v>
      </c>
      <c r="L2292">
        <v>7</v>
      </c>
    </row>
    <row r="2293" spans="1:16" customFormat="1">
      <c r="B2293" s="62" t="s">
        <v>4339</v>
      </c>
      <c r="C2293" s="64" t="s">
        <v>520</v>
      </c>
      <c r="K2293" s="55">
        <v>7</v>
      </c>
    </row>
    <row r="2294" spans="1:16" customFormat="1">
      <c r="B2294" s="62"/>
      <c r="C2294" s="64"/>
      <c r="K2294" s="55"/>
    </row>
    <row r="2295" spans="1:16" customFormat="1">
      <c r="A2295" s="62" t="s">
        <v>4349</v>
      </c>
      <c r="B2295" s="62" t="s">
        <v>4350</v>
      </c>
      <c r="C2295" s="64" t="s">
        <v>494</v>
      </c>
      <c r="E2295" t="s">
        <v>476</v>
      </c>
      <c r="F2295">
        <v>22</v>
      </c>
      <c r="G2295">
        <v>2224</v>
      </c>
      <c r="H2295" t="s">
        <v>4455</v>
      </c>
      <c r="J2295">
        <v>2201</v>
      </c>
      <c r="K2295" s="55">
        <v>1</v>
      </c>
      <c r="L2295">
        <v>52</v>
      </c>
      <c r="N2295">
        <v>2230</v>
      </c>
      <c r="O2295" s="62" t="s">
        <v>3213</v>
      </c>
    </row>
    <row r="2296" spans="1:16" customFormat="1">
      <c r="B2296" s="62" t="s">
        <v>4351</v>
      </c>
      <c r="C2296" s="64" t="s">
        <v>494</v>
      </c>
      <c r="E2296" t="s">
        <v>476</v>
      </c>
      <c r="K2296" s="55">
        <v>2</v>
      </c>
      <c r="L2296">
        <v>6</v>
      </c>
    </row>
    <row r="2297" spans="1:16" customFormat="1">
      <c r="B2297" s="62" t="s">
        <v>4352</v>
      </c>
      <c r="C2297" s="64" t="s">
        <v>494</v>
      </c>
      <c r="K2297" s="55">
        <v>3</v>
      </c>
      <c r="L2297">
        <v>6</v>
      </c>
    </row>
    <row r="2298" spans="1:16" customFormat="1">
      <c r="B2298" s="62" t="s">
        <v>4353</v>
      </c>
      <c r="C2298" s="64" t="s">
        <v>494</v>
      </c>
      <c r="K2298" s="55">
        <v>4</v>
      </c>
      <c r="L2298">
        <v>3</v>
      </c>
      <c r="N2298" t="s">
        <v>4446</v>
      </c>
      <c r="O2298" s="64" t="s">
        <v>4447</v>
      </c>
      <c r="P2298" s="64" t="s">
        <v>4448</v>
      </c>
    </row>
    <row r="2299" spans="1:16" customFormat="1">
      <c r="B2299" s="62" t="s">
        <v>4354</v>
      </c>
      <c r="C2299" s="64" t="s">
        <v>494</v>
      </c>
      <c r="K2299" s="55">
        <v>5</v>
      </c>
      <c r="L2299">
        <v>8</v>
      </c>
    </row>
    <row r="2300" spans="1:16" customFormat="1">
      <c r="B2300" s="62" t="s">
        <v>4355</v>
      </c>
      <c r="C2300" s="64" t="s">
        <v>494</v>
      </c>
      <c r="K2300" s="55">
        <v>6</v>
      </c>
      <c r="L2300">
        <v>8</v>
      </c>
    </row>
    <row r="2301" spans="1:16" customFormat="1">
      <c r="B2301" s="62" t="s">
        <v>4356</v>
      </c>
      <c r="C2301" s="64" t="s">
        <v>494</v>
      </c>
      <c r="K2301" s="55">
        <v>7</v>
      </c>
      <c r="L2301">
        <v>7</v>
      </c>
    </row>
    <row r="2302" spans="1:16" customFormat="1">
      <c r="B2302" s="62"/>
      <c r="C2302" s="62"/>
      <c r="K2302" s="55"/>
    </row>
    <row r="2303" spans="1:16" customFormat="1">
      <c r="B2303" s="62"/>
      <c r="C2303" s="64"/>
      <c r="K2303" s="55"/>
    </row>
    <row r="2304" spans="1:16" customFormat="1">
      <c r="A2304" s="62" t="s">
        <v>3210</v>
      </c>
      <c r="B2304" s="62" t="s">
        <v>3211</v>
      </c>
      <c r="C2304" s="62" t="s">
        <v>494</v>
      </c>
      <c r="E2304" s="62" t="s">
        <v>476</v>
      </c>
      <c r="F2304">
        <v>22</v>
      </c>
      <c r="G2304">
        <v>2202</v>
      </c>
      <c r="H2304" s="62" t="s">
        <v>3234</v>
      </c>
      <c r="I2304" s="62" t="s">
        <v>3235</v>
      </c>
      <c r="J2304">
        <v>2201</v>
      </c>
      <c r="K2304" s="55">
        <v>1</v>
      </c>
      <c r="L2304">
        <v>8</v>
      </c>
    </row>
    <row r="2305" spans="2:18" customFormat="1">
      <c r="B2305" s="62" t="s">
        <v>3212</v>
      </c>
      <c r="C2305" s="62" t="s">
        <v>494</v>
      </c>
      <c r="E2305" s="62" t="s">
        <v>476</v>
      </c>
      <c r="K2305" s="55">
        <v>2</v>
      </c>
      <c r="L2305">
        <v>3</v>
      </c>
      <c r="M2305" s="14">
        <v>31</v>
      </c>
      <c r="N2305" s="62" t="s">
        <v>3655</v>
      </c>
      <c r="O2305" s="62" t="s">
        <v>3648</v>
      </c>
      <c r="P2305" s="62" t="s">
        <v>3657</v>
      </c>
      <c r="Q2305" s="47" t="s">
        <v>3658</v>
      </c>
      <c r="R2305" s="14">
        <v>4</v>
      </c>
    </row>
    <row r="2306" spans="2:18" customFormat="1">
      <c r="B2306" s="62" t="s">
        <v>3213</v>
      </c>
      <c r="C2306" s="62" t="s">
        <v>494</v>
      </c>
      <c r="K2306" s="55">
        <v>3</v>
      </c>
      <c r="L2306">
        <v>6</v>
      </c>
    </row>
    <row r="2307" spans="2:18" customFormat="1">
      <c r="B2307" s="62" t="s">
        <v>3230</v>
      </c>
      <c r="C2307" s="62" t="s">
        <v>494</v>
      </c>
      <c r="K2307" s="55">
        <v>4</v>
      </c>
      <c r="L2307">
        <v>3</v>
      </c>
      <c r="M2307">
        <v>3</v>
      </c>
      <c r="N2307" s="62" t="s">
        <v>995</v>
      </c>
      <c r="O2307" s="62" t="s">
        <v>997</v>
      </c>
      <c r="P2307" s="62" t="s">
        <v>996</v>
      </c>
    </row>
    <row r="2308" spans="2:18">
      <c r="B2308" s="66" t="s">
        <v>3231</v>
      </c>
      <c r="C2308" s="64" t="s">
        <v>494</v>
      </c>
      <c r="F2308" s="14"/>
      <c r="G2308" s="14"/>
      <c r="H2308" s="14"/>
      <c r="I2308" s="11"/>
      <c r="J2308" s="14"/>
      <c r="K2308" s="55">
        <v>5</v>
      </c>
      <c r="L2308" s="15">
        <v>3</v>
      </c>
      <c r="M2308" s="14"/>
      <c r="N2308" s="62" t="s">
        <v>693</v>
      </c>
      <c r="O2308" s="1" t="s">
        <v>695</v>
      </c>
      <c r="P2308" s="1" t="s">
        <v>696</v>
      </c>
      <c r="Q2308" s="62"/>
      <c r="R2308" s="14"/>
    </row>
    <row r="2309" spans="2:18">
      <c r="B2309" s="66" t="s">
        <v>3232</v>
      </c>
      <c r="C2309" s="64" t="s">
        <v>494</v>
      </c>
      <c r="F2309" s="14"/>
      <c r="G2309" s="14"/>
      <c r="H2309" s="14"/>
      <c r="I2309" s="11"/>
      <c r="J2309" s="14"/>
      <c r="K2309" s="55">
        <v>6</v>
      </c>
      <c r="L2309" s="15">
        <v>3</v>
      </c>
      <c r="M2309" s="14">
        <v>31</v>
      </c>
      <c r="N2309" s="62" t="s">
        <v>379</v>
      </c>
      <c r="O2309" s="62" t="s">
        <v>698</v>
      </c>
      <c r="P2309" s="62" t="s">
        <v>699</v>
      </c>
      <c r="Q2309" s="62" t="s">
        <v>383</v>
      </c>
      <c r="R2309" s="14">
        <v>5</v>
      </c>
    </row>
    <row r="2310" spans="2:18" customFormat="1">
      <c r="B2310" s="62" t="s">
        <v>3214</v>
      </c>
      <c r="C2310" s="64" t="s">
        <v>494</v>
      </c>
      <c r="K2310" s="55">
        <v>7</v>
      </c>
      <c r="L2310">
        <v>7</v>
      </c>
    </row>
    <row r="2311" spans="2:18" customFormat="1">
      <c r="B2311" s="62" t="s">
        <v>3221</v>
      </c>
      <c r="C2311" s="64" t="s">
        <v>494</v>
      </c>
      <c r="H2311" s="62" t="s">
        <v>3222</v>
      </c>
      <c r="K2311" s="55">
        <v>8</v>
      </c>
      <c r="L2311" s="9">
        <v>3</v>
      </c>
      <c r="M2311" s="1"/>
      <c r="N2311" s="10" t="s">
        <v>506</v>
      </c>
      <c r="O2311" s="10" t="s">
        <v>514</v>
      </c>
      <c r="P2311" s="1" t="s">
        <v>515</v>
      </c>
    </row>
    <row r="2312" spans="2:18" customFormat="1">
      <c r="B2312" s="62" t="s">
        <v>3355</v>
      </c>
      <c r="C2312" s="64" t="s">
        <v>494</v>
      </c>
      <c r="H2312" s="62"/>
      <c r="K2312" s="55">
        <v>9</v>
      </c>
      <c r="L2312" s="9"/>
      <c r="M2312" s="1"/>
      <c r="N2312" s="10"/>
      <c r="O2312" s="10"/>
      <c r="P2312" s="1"/>
    </row>
    <row r="2313" spans="2:18" customFormat="1">
      <c r="B2313" s="62" t="s">
        <v>3215</v>
      </c>
      <c r="C2313" s="64" t="s">
        <v>494</v>
      </c>
      <c r="K2313" s="55">
        <v>10</v>
      </c>
      <c r="L2313" s="32">
        <v>3</v>
      </c>
      <c r="M2313">
        <v>31</v>
      </c>
      <c r="N2313" s="62" t="s">
        <v>3649</v>
      </c>
      <c r="O2313" s="64" t="s">
        <v>3652</v>
      </c>
      <c r="P2313" s="66" t="s">
        <v>3651</v>
      </c>
      <c r="Q2313" s="66" t="s">
        <v>3650</v>
      </c>
      <c r="R2313">
        <v>2</v>
      </c>
    </row>
    <row r="2314" spans="2:18" customFormat="1">
      <c r="B2314" s="62" t="s">
        <v>3225</v>
      </c>
      <c r="C2314" s="64" t="s">
        <v>494</v>
      </c>
      <c r="K2314" s="55">
        <v>11</v>
      </c>
    </row>
    <row r="2315" spans="2:18" customFormat="1">
      <c r="B2315" s="62" t="s">
        <v>3224</v>
      </c>
      <c r="C2315" s="64" t="s">
        <v>494</v>
      </c>
      <c r="K2315" s="55">
        <v>12</v>
      </c>
    </row>
    <row r="2316" spans="2:18" customFormat="1">
      <c r="B2316" s="62" t="s">
        <v>3223</v>
      </c>
      <c r="C2316" s="64" t="s">
        <v>494</v>
      </c>
      <c r="K2316" s="55">
        <v>13</v>
      </c>
    </row>
    <row r="2317" spans="2:18" customFormat="1">
      <c r="B2317" s="62" t="s">
        <v>3217</v>
      </c>
      <c r="C2317" s="64" t="s">
        <v>494</v>
      </c>
      <c r="K2317" s="55">
        <v>14</v>
      </c>
      <c r="L2317">
        <v>3</v>
      </c>
      <c r="N2317" s="62" t="s">
        <v>3218</v>
      </c>
      <c r="O2317" s="62" t="s">
        <v>3219</v>
      </c>
      <c r="P2317" s="62" t="s">
        <v>3220</v>
      </c>
      <c r="Q2317" s="66"/>
    </row>
    <row r="2318" spans="2:18" customFormat="1">
      <c r="B2318" s="62" t="s">
        <v>3226</v>
      </c>
      <c r="C2318" s="64" t="s">
        <v>494</v>
      </c>
      <c r="K2318" s="55">
        <v>15</v>
      </c>
    </row>
    <row r="2319" spans="2:18" customFormat="1">
      <c r="B2319" s="62" t="s">
        <v>3227</v>
      </c>
      <c r="C2319" s="64" t="s">
        <v>494</v>
      </c>
      <c r="K2319" s="55">
        <v>16</v>
      </c>
    </row>
    <row r="2320" spans="2:18" customFormat="1">
      <c r="B2320" s="62" t="s">
        <v>3228</v>
      </c>
      <c r="C2320" s="64" t="s">
        <v>494</v>
      </c>
      <c r="K2320" s="55">
        <v>17</v>
      </c>
    </row>
    <row r="2321" spans="2:16" customFormat="1">
      <c r="B2321" s="62" t="s">
        <v>3258</v>
      </c>
      <c r="C2321" s="64" t="s">
        <v>702</v>
      </c>
      <c r="K2321" s="55">
        <v>18</v>
      </c>
    </row>
    <row r="2322" spans="2:16" customFormat="1">
      <c r="B2322" s="62" t="s">
        <v>3259</v>
      </c>
      <c r="C2322" s="64" t="s">
        <v>702</v>
      </c>
      <c r="K2322" s="55">
        <v>19</v>
      </c>
    </row>
    <row r="2323" spans="2:16" customFormat="1">
      <c r="B2323" s="62" t="s">
        <v>3216</v>
      </c>
      <c r="C2323" s="64" t="s">
        <v>494</v>
      </c>
      <c r="K2323" s="55">
        <v>20</v>
      </c>
      <c r="L2323">
        <v>7</v>
      </c>
    </row>
    <row r="2324" spans="2:16" customFormat="1">
      <c r="B2324" s="62" t="s">
        <v>3229</v>
      </c>
      <c r="C2324" s="64" t="s">
        <v>494</v>
      </c>
      <c r="K2324" s="55">
        <v>21</v>
      </c>
      <c r="M2324">
        <v>1</v>
      </c>
    </row>
    <row r="2325" spans="2:16" customFormat="1">
      <c r="B2325" s="70" t="s">
        <v>4321</v>
      </c>
      <c r="C2325" s="70" t="s">
        <v>702</v>
      </c>
      <c r="K2325" s="55">
        <v>22</v>
      </c>
      <c r="M2325">
        <v>1</v>
      </c>
    </row>
    <row r="2326" spans="2:16" customFormat="1">
      <c r="B2326" s="70" t="s">
        <v>4393</v>
      </c>
      <c r="C2326" s="70" t="s">
        <v>494</v>
      </c>
      <c r="K2326" s="55">
        <v>23</v>
      </c>
      <c r="L2326">
        <v>8</v>
      </c>
    </row>
    <row r="2327" spans="2:16" customFormat="1">
      <c r="B2327" s="70" t="s">
        <v>4394</v>
      </c>
      <c r="C2327" s="70" t="s">
        <v>494</v>
      </c>
      <c r="K2327" s="55">
        <v>24</v>
      </c>
      <c r="L2327">
        <v>7</v>
      </c>
    </row>
    <row r="2328" spans="2:16" customFormat="1">
      <c r="B2328" s="70" t="s">
        <v>4327</v>
      </c>
      <c r="C2328" s="70" t="s">
        <v>494</v>
      </c>
      <c r="H2328" s="62" t="s">
        <v>4357</v>
      </c>
      <c r="K2328" s="55">
        <v>25</v>
      </c>
      <c r="L2328">
        <v>3</v>
      </c>
      <c r="M2328">
        <v>1</v>
      </c>
      <c r="N2328" t="s">
        <v>4452</v>
      </c>
      <c r="O2328" s="62" t="s">
        <v>4453</v>
      </c>
      <c r="P2328" s="62" t="s">
        <v>4454</v>
      </c>
    </row>
    <row r="2329" spans="2:16" customFormat="1">
      <c r="B2329" s="70" t="s">
        <v>4322</v>
      </c>
      <c r="C2329" s="70" t="s">
        <v>494</v>
      </c>
      <c r="K2329" s="55">
        <v>26</v>
      </c>
      <c r="L2329">
        <v>3</v>
      </c>
    </row>
    <row r="2330" spans="2:16" customFormat="1">
      <c r="B2330" s="70" t="s">
        <v>4323</v>
      </c>
      <c r="C2330" s="70" t="s">
        <v>494</v>
      </c>
      <c r="K2330" s="55">
        <v>27</v>
      </c>
      <c r="L2330">
        <v>7</v>
      </c>
    </row>
    <row r="2331" spans="2:16" customFormat="1">
      <c r="B2331" s="70" t="s">
        <v>4325</v>
      </c>
      <c r="C2331" s="70" t="s">
        <v>494</v>
      </c>
      <c r="K2331" s="55">
        <v>28</v>
      </c>
      <c r="L2331">
        <v>91</v>
      </c>
    </row>
    <row r="2332" spans="2:16" customFormat="1">
      <c r="B2332" s="70" t="s">
        <v>4324</v>
      </c>
      <c r="C2332" s="70" t="s">
        <v>494</v>
      </c>
      <c r="K2332" s="55">
        <v>29</v>
      </c>
      <c r="L2332">
        <v>92</v>
      </c>
    </row>
    <row r="2333" spans="2:16" customFormat="1">
      <c r="B2333" s="70" t="s">
        <v>4326</v>
      </c>
      <c r="C2333" s="70" t="s">
        <v>494</v>
      </c>
      <c r="K2333" s="55">
        <v>30</v>
      </c>
      <c r="L2333">
        <v>8</v>
      </c>
    </row>
    <row r="2334" spans="2:16" customFormat="1">
      <c r="B2334" s="70" t="s">
        <v>4328</v>
      </c>
      <c r="C2334" s="70" t="s">
        <v>494</v>
      </c>
      <c r="K2334" s="55">
        <v>31</v>
      </c>
      <c r="L2334">
        <v>8</v>
      </c>
    </row>
    <row r="2335" spans="2:16" customFormat="1">
      <c r="B2335" s="70" t="s">
        <v>4329</v>
      </c>
      <c r="C2335" s="70" t="s">
        <v>494</v>
      </c>
      <c r="K2335" s="55">
        <v>32</v>
      </c>
      <c r="L2335">
        <v>8</v>
      </c>
    </row>
    <row r="2336" spans="2:16" customFormat="1">
      <c r="B2336" s="70" t="s">
        <v>4330</v>
      </c>
      <c r="C2336" s="70" t="s">
        <v>494</v>
      </c>
      <c r="K2336" s="55">
        <v>33</v>
      </c>
      <c r="L2336">
        <v>8</v>
      </c>
    </row>
    <row r="2337" spans="1:15" customFormat="1">
      <c r="B2337" s="70" t="s">
        <v>4331</v>
      </c>
      <c r="C2337" s="70" t="s">
        <v>494</v>
      </c>
      <c r="K2337" s="55">
        <v>34</v>
      </c>
      <c r="L2337">
        <v>8</v>
      </c>
    </row>
    <row r="2338" spans="1:15" customFormat="1">
      <c r="B2338" s="70" t="s">
        <v>4343</v>
      </c>
      <c r="C2338" s="70" t="s">
        <v>494</v>
      </c>
      <c r="K2338" s="55">
        <v>35</v>
      </c>
      <c r="L2338">
        <v>91</v>
      </c>
    </row>
    <row r="2339" spans="1:15" customFormat="1">
      <c r="B2339" s="70" t="s">
        <v>4344</v>
      </c>
      <c r="C2339" s="70" t="s">
        <v>494</v>
      </c>
      <c r="K2339" s="55">
        <v>36</v>
      </c>
      <c r="L2339">
        <v>92</v>
      </c>
    </row>
    <row r="2340" spans="1:15" customFormat="1">
      <c r="B2340" s="70" t="s">
        <v>4346</v>
      </c>
      <c r="C2340" s="70" t="s">
        <v>702</v>
      </c>
      <c r="K2340" s="55">
        <v>37</v>
      </c>
    </row>
    <row r="2341" spans="1:15" customFormat="1">
      <c r="B2341" s="70" t="s">
        <v>4345</v>
      </c>
      <c r="C2341" s="70" t="s">
        <v>702</v>
      </c>
      <c r="K2341" s="55">
        <v>38</v>
      </c>
    </row>
    <row r="2342" spans="1:15" customFormat="1">
      <c r="B2342" s="70" t="s">
        <v>4348</v>
      </c>
      <c r="C2342" s="70" t="s">
        <v>702</v>
      </c>
      <c r="K2342" s="55">
        <v>39</v>
      </c>
    </row>
    <row r="2343" spans="1:15" customFormat="1">
      <c r="B2343" s="70" t="s">
        <v>4347</v>
      </c>
      <c r="C2343" s="70" t="s">
        <v>702</v>
      </c>
      <c r="K2343" s="55">
        <v>40</v>
      </c>
    </row>
    <row r="2344" spans="1:15" customFormat="1">
      <c r="B2344" s="70" t="s">
        <v>4341</v>
      </c>
      <c r="C2344" s="70" t="s">
        <v>494</v>
      </c>
      <c r="K2344" s="55">
        <v>41</v>
      </c>
      <c r="L2344">
        <v>7</v>
      </c>
    </row>
    <row r="2345" spans="1:15" customFormat="1">
      <c r="B2345" s="70" t="s">
        <v>4342</v>
      </c>
      <c r="C2345" s="70" t="s">
        <v>494</v>
      </c>
      <c r="K2345" s="55">
        <v>42</v>
      </c>
    </row>
    <row r="2346" spans="1:15" customFormat="1">
      <c r="B2346" s="70" t="s">
        <v>4340</v>
      </c>
      <c r="C2346" s="70" t="s">
        <v>494</v>
      </c>
      <c r="K2346" s="55">
        <v>43</v>
      </c>
    </row>
    <row r="2347" spans="1:15" customFormat="1">
      <c r="B2347" s="70" t="s">
        <v>4358</v>
      </c>
      <c r="C2347" s="70" t="s">
        <v>493</v>
      </c>
      <c r="D2347">
        <v>50</v>
      </c>
      <c r="K2347" s="55">
        <v>44</v>
      </c>
      <c r="M2347">
        <v>1</v>
      </c>
    </row>
    <row r="2348" spans="1:15" customFormat="1">
      <c r="B2348" s="62"/>
      <c r="C2348" s="64"/>
      <c r="K2348" s="55"/>
    </row>
    <row r="2349" spans="1:15" customFormat="1">
      <c r="A2349" s="91" t="s">
        <v>3233</v>
      </c>
      <c r="B2349" s="62" t="s">
        <v>3347</v>
      </c>
      <c r="C2349" s="62" t="s">
        <v>494</v>
      </c>
      <c r="E2349" s="62" t="s">
        <v>476</v>
      </c>
      <c r="F2349">
        <v>22</v>
      </c>
      <c r="G2349">
        <v>2203</v>
      </c>
      <c r="H2349" s="62" t="s">
        <v>3260</v>
      </c>
      <c r="I2349" s="62" t="s">
        <v>3261</v>
      </c>
      <c r="J2349">
        <v>2201</v>
      </c>
      <c r="K2349" s="55">
        <v>1</v>
      </c>
      <c r="L2349">
        <v>52</v>
      </c>
      <c r="N2349">
        <v>2201</v>
      </c>
      <c r="O2349" s="62" t="s">
        <v>3213</v>
      </c>
    </row>
    <row r="2350" spans="1:15" customFormat="1">
      <c r="B2350" s="62" t="s">
        <v>3237</v>
      </c>
      <c r="C2350" s="62" t="s">
        <v>494</v>
      </c>
      <c r="E2350" s="62" t="s">
        <v>476</v>
      </c>
      <c r="K2350" s="55">
        <v>2</v>
      </c>
      <c r="L2350">
        <v>9</v>
      </c>
    </row>
    <row r="2351" spans="1:15" customFormat="1">
      <c r="B2351" s="62" t="s">
        <v>3238</v>
      </c>
      <c r="C2351" s="62" t="s">
        <v>494</v>
      </c>
      <c r="D2351" s="62"/>
      <c r="E2351" s="62"/>
      <c r="F2351" s="62"/>
      <c r="G2351" s="62"/>
      <c r="K2351" s="55">
        <v>3</v>
      </c>
      <c r="L2351">
        <v>6</v>
      </c>
    </row>
    <row r="2352" spans="1:15" customFormat="1">
      <c r="B2352" s="62" t="s">
        <v>3236</v>
      </c>
      <c r="C2352" s="62" t="s">
        <v>494</v>
      </c>
      <c r="K2352" s="55">
        <v>4</v>
      </c>
      <c r="L2352">
        <v>8</v>
      </c>
      <c r="M2352">
        <v>2</v>
      </c>
    </row>
    <row r="2353" spans="2:16" customFormat="1">
      <c r="B2353" s="62" t="s">
        <v>3239</v>
      </c>
      <c r="C2353" s="62" t="s">
        <v>494</v>
      </c>
      <c r="G2353" s="89"/>
      <c r="J2353" s="90"/>
      <c r="K2353" s="55">
        <v>5</v>
      </c>
      <c r="L2353">
        <v>3</v>
      </c>
      <c r="M2353">
        <v>2</v>
      </c>
    </row>
    <row r="2354" spans="2:16" customFormat="1">
      <c r="B2354" s="62" t="s">
        <v>3240</v>
      </c>
      <c r="C2354" s="62" t="s">
        <v>494</v>
      </c>
      <c r="G2354" s="62" t="s">
        <v>3241</v>
      </c>
      <c r="K2354" s="55">
        <v>6</v>
      </c>
      <c r="L2354">
        <v>3</v>
      </c>
      <c r="N2354" s="62" t="s">
        <v>3677</v>
      </c>
      <c r="O2354" s="62" t="s">
        <v>3678</v>
      </c>
      <c r="P2354" s="62" t="s">
        <v>3679</v>
      </c>
    </row>
    <row r="2355" spans="2:16" customFormat="1">
      <c r="B2355" s="62" t="s">
        <v>3353</v>
      </c>
      <c r="C2355" s="62" t="s">
        <v>494</v>
      </c>
      <c r="G2355" s="62"/>
      <c r="K2355" s="55">
        <v>7</v>
      </c>
      <c r="L2355">
        <v>3</v>
      </c>
    </row>
    <row r="2356" spans="2:16" customFormat="1">
      <c r="B2356" s="62" t="s">
        <v>3354</v>
      </c>
      <c r="C2356" s="62" t="s">
        <v>494</v>
      </c>
      <c r="G2356" s="62"/>
      <c r="K2356" s="55">
        <v>8</v>
      </c>
    </row>
    <row r="2357" spans="2:16" customFormat="1">
      <c r="B2357" s="62" t="s">
        <v>3348</v>
      </c>
      <c r="C2357" s="62" t="s">
        <v>494</v>
      </c>
      <c r="G2357" s="62"/>
      <c r="K2357" s="55">
        <v>9</v>
      </c>
    </row>
    <row r="2358" spans="2:16" customFormat="1">
      <c r="B2358" s="62" t="s">
        <v>3349</v>
      </c>
      <c r="C2358" s="62" t="s">
        <v>494</v>
      </c>
      <c r="G2358" s="62"/>
      <c r="K2358" s="55">
        <v>10</v>
      </c>
      <c r="L2358" s="9">
        <v>3</v>
      </c>
      <c r="M2358" s="1">
        <v>1</v>
      </c>
      <c r="N2358" s="10" t="s">
        <v>506</v>
      </c>
      <c r="O2358" s="10" t="s">
        <v>514</v>
      </c>
      <c r="P2358" s="1" t="s">
        <v>515</v>
      </c>
    </row>
    <row r="2359" spans="2:16" customFormat="1">
      <c r="B2359" s="62" t="s">
        <v>3247</v>
      </c>
      <c r="C2359" s="62" t="s">
        <v>702</v>
      </c>
      <c r="K2359" s="55">
        <v>11</v>
      </c>
    </row>
    <row r="2360" spans="2:16" customFormat="1">
      <c r="B2360" s="62" t="s">
        <v>3249</v>
      </c>
      <c r="C2360" s="62" t="s">
        <v>494</v>
      </c>
      <c r="K2360" s="55">
        <v>12</v>
      </c>
    </row>
    <row r="2361" spans="2:16" customFormat="1">
      <c r="B2361" s="62" t="s">
        <v>3253</v>
      </c>
      <c r="C2361" s="62" t="s">
        <v>494</v>
      </c>
      <c r="K2361" s="55">
        <v>13</v>
      </c>
      <c r="L2361">
        <v>8</v>
      </c>
    </row>
    <row r="2362" spans="2:16" customFormat="1">
      <c r="B2362" s="62" t="s">
        <v>3248</v>
      </c>
      <c r="C2362" s="62" t="s">
        <v>702</v>
      </c>
      <c r="H2362" s="89"/>
      <c r="K2362" s="55">
        <v>14</v>
      </c>
    </row>
    <row r="2363" spans="2:16" customFormat="1">
      <c r="B2363" s="62" t="s">
        <v>3250</v>
      </c>
      <c r="C2363" s="62" t="s">
        <v>494</v>
      </c>
      <c r="K2363" s="55">
        <v>15</v>
      </c>
    </row>
    <row r="2364" spans="2:16" customFormat="1">
      <c r="B2364" s="62" t="s">
        <v>3254</v>
      </c>
      <c r="C2364" s="62" t="s">
        <v>494</v>
      </c>
      <c r="K2364" s="55">
        <v>16</v>
      </c>
      <c r="L2364">
        <v>8</v>
      </c>
    </row>
    <row r="2365" spans="2:16" customFormat="1">
      <c r="B2365" s="62" t="s">
        <v>3332</v>
      </c>
      <c r="C2365" s="62" t="s">
        <v>702</v>
      </c>
      <c r="K2365" s="55">
        <v>17</v>
      </c>
    </row>
    <row r="2366" spans="2:16" customFormat="1">
      <c r="B2366" s="62" t="s">
        <v>3333</v>
      </c>
      <c r="C2366" s="62" t="s">
        <v>494</v>
      </c>
      <c r="K2366" s="55">
        <v>18</v>
      </c>
    </row>
    <row r="2367" spans="2:16" customFormat="1">
      <c r="B2367" s="62" t="s">
        <v>3334</v>
      </c>
      <c r="C2367" s="62" t="s">
        <v>494</v>
      </c>
      <c r="K2367" s="55">
        <v>19</v>
      </c>
      <c r="L2367">
        <v>8</v>
      </c>
    </row>
    <row r="2368" spans="2:16" customFormat="1">
      <c r="B2368" s="62" t="s">
        <v>3336</v>
      </c>
      <c r="C2368" s="62" t="s">
        <v>520</v>
      </c>
      <c r="K2368" s="55">
        <v>20</v>
      </c>
    </row>
    <row r="2369" spans="1:16" customFormat="1">
      <c r="B2369" s="62" t="s">
        <v>3251</v>
      </c>
      <c r="C2369" s="62" t="s">
        <v>494</v>
      </c>
      <c r="G2369" s="62" t="s">
        <v>3252</v>
      </c>
      <c r="K2369" s="55">
        <v>21</v>
      </c>
    </row>
    <row r="2370" spans="1:16" customFormat="1">
      <c r="B2370" s="62" t="s">
        <v>3255</v>
      </c>
      <c r="C2370" s="62" t="s">
        <v>702</v>
      </c>
      <c r="K2370" s="55">
        <v>22</v>
      </c>
    </row>
    <row r="2371" spans="1:16" customFormat="1">
      <c r="B2371" s="62" t="s">
        <v>3335</v>
      </c>
      <c r="C2371" s="62" t="s">
        <v>494</v>
      </c>
      <c r="G2371" s="62" t="s">
        <v>3350</v>
      </c>
      <c r="K2371" s="55">
        <v>23</v>
      </c>
    </row>
    <row r="2372" spans="1:16" customFormat="1">
      <c r="B2372" s="62" t="s">
        <v>3256</v>
      </c>
      <c r="C2372" s="62" t="s">
        <v>494</v>
      </c>
      <c r="G2372" s="62" t="s">
        <v>3257</v>
      </c>
      <c r="K2372" s="55">
        <v>24</v>
      </c>
      <c r="L2372">
        <v>3</v>
      </c>
      <c r="M2372">
        <v>1</v>
      </c>
    </row>
    <row r="2373" spans="1:16" customFormat="1"/>
    <row r="2374" spans="1:16" customFormat="1">
      <c r="A2374" s="62" t="s">
        <v>4332</v>
      </c>
      <c r="B2374" s="62" t="s">
        <v>4334</v>
      </c>
      <c r="C2374" s="64" t="s">
        <v>494</v>
      </c>
      <c r="E2374" t="s">
        <v>476</v>
      </c>
      <c r="F2374">
        <v>22</v>
      </c>
      <c r="G2374">
        <v>2222</v>
      </c>
      <c r="H2374" t="s">
        <v>4443</v>
      </c>
      <c r="J2374">
        <v>2201</v>
      </c>
      <c r="K2374" s="55">
        <v>1</v>
      </c>
      <c r="L2374">
        <v>52</v>
      </c>
      <c r="N2374">
        <v>2201</v>
      </c>
      <c r="O2374" s="62" t="s">
        <v>3213</v>
      </c>
    </row>
    <row r="2375" spans="1:16" customFormat="1">
      <c r="B2375" s="62" t="s">
        <v>4333</v>
      </c>
      <c r="C2375" s="64" t="s">
        <v>494</v>
      </c>
      <c r="E2375" t="s">
        <v>476</v>
      </c>
      <c r="K2375" s="55">
        <v>2</v>
      </c>
      <c r="L2375">
        <v>6</v>
      </c>
    </row>
    <row r="2376" spans="1:16" customFormat="1">
      <c r="B2376" s="62" t="s">
        <v>4335</v>
      </c>
      <c r="C2376" s="64" t="s">
        <v>494</v>
      </c>
      <c r="K2376" s="55">
        <v>3</v>
      </c>
      <c r="L2376">
        <v>6</v>
      </c>
    </row>
    <row r="2377" spans="1:16" customFormat="1">
      <c r="B2377" s="62" t="s">
        <v>4336</v>
      </c>
      <c r="C2377" s="64" t="s">
        <v>494</v>
      </c>
      <c r="K2377" s="55">
        <v>4</v>
      </c>
      <c r="L2377">
        <v>3</v>
      </c>
      <c r="N2377" s="62" t="s">
        <v>3218</v>
      </c>
      <c r="O2377" s="62" t="s">
        <v>3219</v>
      </c>
      <c r="P2377" s="62" t="s">
        <v>3220</v>
      </c>
    </row>
    <row r="2378" spans="1:16" customFormat="1">
      <c r="B2378" s="62" t="s">
        <v>4337</v>
      </c>
      <c r="C2378" s="64" t="s">
        <v>494</v>
      </c>
      <c r="K2378" s="55">
        <v>5</v>
      </c>
      <c r="L2378">
        <v>3</v>
      </c>
      <c r="N2378" s="62" t="s">
        <v>3218</v>
      </c>
      <c r="O2378" s="62" t="s">
        <v>3219</v>
      </c>
      <c r="P2378" s="62" t="s">
        <v>3220</v>
      </c>
    </row>
    <row r="2379" spans="1:16" customFormat="1">
      <c r="B2379" s="62" t="s">
        <v>4338</v>
      </c>
      <c r="C2379" s="64" t="s">
        <v>494</v>
      </c>
      <c r="K2379" s="55">
        <v>6</v>
      </c>
      <c r="L2379">
        <v>7</v>
      </c>
    </row>
    <row r="2380" spans="1:16" customFormat="1">
      <c r="B2380" s="62" t="s">
        <v>4339</v>
      </c>
      <c r="C2380" s="64" t="s">
        <v>520</v>
      </c>
      <c r="K2380" s="55">
        <v>7</v>
      </c>
    </row>
    <row r="2381" spans="1:16" customFormat="1">
      <c r="B2381" s="62"/>
      <c r="C2381" s="64"/>
      <c r="K2381" s="55"/>
    </row>
    <row r="2382" spans="1:16" customFormat="1">
      <c r="A2382" s="62" t="s">
        <v>4349</v>
      </c>
      <c r="B2382" s="62" t="s">
        <v>4350</v>
      </c>
      <c r="C2382" s="64" t="s">
        <v>494</v>
      </c>
      <c r="E2382" t="s">
        <v>476</v>
      </c>
      <c r="F2382">
        <v>22</v>
      </c>
      <c r="G2382">
        <v>2224</v>
      </c>
      <c r="H2382" t="s">
        <v>4455</v>
      </c>
      <c r="J2382">
        <v>2201</v>
      </c>
      <c r="K2382" s="55">
        <v>1</v>
      </c>
      <c r="L2382">
        <v>52</v>
      </c>
      <c r="N2382">
        <v>2201</v>
      </c>
      <c r="O2382" s="62" t="s">
        <v>3213</v>
      </c>
    </row>
    <row r="2383" spans="1:16" customFormat="1">
      <c r="B2383" s="62" t="s">
        <v>4351</v>
      </c>
      <c r="C2383" s="64" t="s">
        <v>494</v>
      </c>
      <c r="E2383" t="s">
        <v>476</v>
      </c>
      <c r="K2383" s="55">
        <v>2</v>
      </c>
      <c r="L2383">
        <v>6</v>
      </c>
    </row>
    <row r="2384" spans="1:16" customFormat="1">
      <c r="B2384" s="62" t="s">
        <v>4352</v>
      </c>
      <c r="C2384" s="64" t="s">
        <v>494</v>
      </c>
      <c r="K2384" s="55">
        <v>3</v>
      </c>
      <c r="L2384">
        <v>6</v>
      </c>
    </row>
    <row r="2385" spans="1:18" customFormat="1">
      <c r="B2385" s="62" t="s">
        <v>4353</v>
      </c>
      <c r="C2385" s="64" t="s">
        <v>494</v>
      </c>
      <c r="K2385" s="55">
        <v>4</v>
      </c>
      <c r="L2385">
        <v>3</v>
      </c>
      <c r="N2385" t="s">
        <v>4446</v>
      </c>
      <c r="O2385" s="64" t="s">
        <v>4447</v>
      </c>
      <c r="P2385" s="64" t="s">
        <v>4448</v>
      </c>
    </row>
    <row r="2386" spans="1:18" customFormat="1">
      <c r="B2386" s="62" t="s">
        <v>4354</v>
      </c>
      <c r="C2386" s="64" t="s">
        <v>494</v>
      </c>
      <c r="K2386" s="55">
        <v>5</v>
      </c>
      <c r="L2386">
        <v>8</v>
      </c>
    </row>
    <row r="2387" spans="1:18" customFormat="1">
      <c r="B2387" s="62" t="s">
        <v>4355</v>
      </c>
      <c r="C2387" s="64" t="s">
        <v>494</v>
      </c>
      <c r="K2387" s="55">
        <v>6</v>
      </c>
      <c r="L2387">
        <v>8</v>
      </c>
    </row>
    <row r="2388" spans="1:18" customFormat="1">
      <c r="B2388" s="62" t="s">
        <v>4356</v>
      </c>
      <c r="C2388" s="64" t="s">
        <v>494</v>
      </c>
      <c r="K2388" s="55">
        <v>7</v>
      </c>
      <c r="L2388">
        <v>7</v>
      </c>
    </row>
    <row r="2389" spans="1:18" customFormat="1">
      <c r="B2389" s="62"/>
      <c r="C2389" s="62"/>
      <c r="K2389" s="55"/>
    </row>
    <row r="2390" spans="1:18" customFormat="1">
      <c r="A2390" s="62" t="s">
        <v>3210</v>
      </c>
      <c r="B2390" s="62" t="s">
        <v>3211</v>
      </c>
      <c r="C2390" s="62" t="s">
        <v>494</v>
      </c>
      <c r="E2390" s="62" t="s">
        <v>476</v>
      </c>
      <c r="F2390">
        <v>22</v>
      </c>
      <c r="G2390">
        <v>2230</v>
      </c>
      <c r="H2390" s="62" t="s">
        <v>4444</v>
      </c>
      <c r="I2390" s="62" t="s">
        <v>4445</v>
      </c>
      <c r="J2390">
        <v>2203</v>
      </c>
      <c r="K2390" s="55">
        <v>1</v>
      </c>
      <c r="L2390">
        <v>8</v>
      </c>
    </row>
    <row r="2391" spans="1:18" customFormat="1">
      <c r="B2391" s="62" t="s">
        <v>3212</v>
      </c>
      <c r="C2391" s="62" t="s">
        <v>494</v>
      </c>
      <c r="E2391" s="62" t="s">
        <v>476</v>
      </c>
      <c r="K2391" s="55">
        <v>2</v>
      </c>
      <c r="L2391">
        <v>3</v>
      </c>
      <c r="M2391" s="14">
        <v>31</v>
      </c>
      <c r="N2391" s="62" t="s">
        <v>3655</v>
      </c>
      <c r="O2391" s="62" t="s">
        <v>3648</v>
      </c>
      <c r="P2391" s="62" t="s">
        <v>3657</v>
      </c>
      <c r="Q2391" s="47" t="s">
        <v>3658</v>
      </c>
      <c r="R2391" s="14">
        <v>4</v>
      </c>
    </row>
    <row r="2392" spans="1:18" customFormat="1">
      <c r="B2392" s="62" t="s">
        <v>3213</v>
      </c>
      <c r="C2392" s="62" t="s">
        <v>494</v>
      </c>
      <c r="K2392" s="55">
        <v>3</v>
      </c>
      <c r="L2392">
        <v>6</v>
      </c>
    </row>
    <row r="2393" spans="1:18" customFormat="1">
      <c r="B2393" s="62" t="s">
        <v>3230</v>
      </c>
      <c r="C2393" s="62" t="s">
        <v>494</v>
      </c>
      <c r="K2393" s="55">
        <v>4</v>
      </c>
      <c r="L2393">
        <v>3</v>
      </c>
      <c r="M2393">
        <v>3</v>
      </c>
      <c r="N2393" s="62" t="s">
        <v>995</v>
      </c>
      <c r="O2393" s="62" t="s">
        <v>997</v>
      </c>
      <c r="P2393" s="62" t="s">
        <v>996</v>
      </c>
    </row>
    <row r="2394" spans="1:18">
      <c r="B2394" s="66" t="s">
        <v>3231</v>
      </c>
      <c r="C2394" s="64" t="s">
        <v>494</v>
      </c>
      <c r="F2394" s="14"/>
      <c r="G2394" s="14"/>
      <c r="H2394" s="14"/>
      <c r="I2394" s="11"/>
      <c r="J2394" s="14"/>
      <c r="K2394" s="55">
        <v>5</v>
      </c>
      <c r="L2394" s="15">
        <v>3</v>
      </c>
      <c r="M2394" s="14"/>
      <c r="N2394" s="62" t="s">
        <v>693</v>
      </c>
      <c r="O2394" s="1" t="s">
        <v>695</v>
      </c>
      <c r="P2394" s="1" t="s">
        <v>696</v>
      </c>
      <c r="Q2394" s="62"/>
      <c r="R2394" s="14"/>
    </row>
    <row r="2395" spans="1:18">
      <c r="B2395" s="66" t="s">
        <v>3232</v>
      </c>
      <c r="C2395" s="64" t="s">
        <v>494</v>
      </c>
      <c r="F2395" s="14"/>
      <c r="G2395" s="14"/>
      <c r="H2395" s="14"/>
      <c r="I2395" s="11"/>
      <c r="J2395" s="14"/>
      <c r="K2395" s="55">
        <v>6</v>
      </c>
      <c r="L2395" s="15">
        <v>3</v>
      </c>
      <c r="M2395" s="14">
        <v>31</v>
      </c>
      <c r="N2395" s="62" t="s">
        <v>379</v>
      </c>
      <c r="O2395" s="62" t="s">
        <v>698</v>
      </c>
      <c r="P2395" s="62" t="s">
        <v>699</v>
      </c>
      <c r="Q2395" s="62" t="s">
        <v>383</v>
      </c>
      <c r="R2395" s="14">
        <v>5</v>
      </c>
    </row>
    <row r="2396" spans="1:18" customFormat="1">
      <c r="B2396" s="70" t="s">
        <v>4321</v>
      </c>
      <c r="C2396" s="70" t="s">
        <v>702</v>
      </c>
      <c r="K2396" s="55">
        <v>22</v>
      </c>
      <c r="M2396">
        <v>1</v>
      </c>
    </row>
    <row r="2397" spans="1:18" customFormat="1">
      <c r="B2397" s="70" t="s">
        <v>4393</v>
      </c>
      <c r="C2397" s="70" t="s">
        <v>494</v>
      </c>
      <c r="K2397" s="55">
        <v>23</v>
      </c>
      <c r="L2397">
        <v>8</v>
      </c>
    </row>
    <row r="2398" spans="1:18" customFormat="1">
      <c r="B2398" s="70" t="s">
        <v>4394</v>
      </c>
      <c r="C2398" s="70" t="s">
        <v>494</v>
      </c>
      <c r="K2398" s="55">
        <v>24</v>
      </c>
      <c r="L2398">
        <v>7</v>
      </c>
    </row>
    <row r="2399" spans="1:18" customFormat="1">
      <c r="B2399" s="70" t="s">
        <v>4327</v>
      </c>
      <c r="C2399" s="70" t="s">
        <v>494</v>
      </c>
      <c r="H2399" s="62" t="s">
        <v>4357</v>
      </c>
      <c r="K2399" s="55">
        <v>25</v>
      </c>
      <c r="L2399">
        <v>3</v>
      </c>
      <c r="M2399">
        <v>1</v>
      </c>
      <c r="N2399" t="s">
        <v>4452</v>
      </c>
      <c r="O2399" s="62" t="s">
        <v>4453</v>
      </c>
      <c r="P2399" s="62" t="s">
        <v>4454</v>
      </c>
    </row>
    <row r="2400" spans="1:18" customFormat="1">
      <c r="B2400" s="70" t="s">
        <v>4322</v>
      </c>
      <c r="C2400" s="70" t="s">
        <v>494</v>
      </c>
      <c r="K2400" s="55">
        <v>26</v>
      </c>
      <c r="L2400">
        <v>3</v>
      </c>
    </row>
    <row r="2401" spans="2:12" customFormat="1">
      <c r="B2401" s="70" t="s">
        <v>4323</v>
      </c>
      <c r="C2401" s="70" t="s">
        <v>494</v>
      </c>
      <c r="K2401" s="55">
        <v>27</v>
      </c>
      <c r="L2401">
        <v>7</v>
      </c>
    </row>
    <row r="2402" spans="2:12" customFormat="1">
      <c r="B2402" s="70" t="s">
        <v>4325</v>
      </c>
      <c r="C2402" s="70" t="s">
        <v>494</v>
      </c>
      <c r="K2402" s="55">
        <v>28</v>
      </c>
      <c r="L2402">
        <v>91</v>
      </c>
    </row>
    <row r="2403" spans="2:12" customFormat="1">
      <c r="B2403" s="70" t="s">
        <v>4324</v>
      </c>
      <c r="C2403" s="70" t="s">
        <v>494</v>
      </c>
      <c r="K2403" s="55">
        <v>29</v>
      </c>
      <c r="L2403">
        <v>92</v>
      </c>
    </row>
    <row r="2404" spans="2:12" customFormat="1">
      <c r="B2404" s="70" t="s">
        <v>4326</v>
      </c>
      <c r="C2404" s="70" t="s">
        <v>494</v>
      </c>
      <c r="K2404" s="55">
        <v>30</v>
      </c>
      <c r="L2404">
        <v>8</v>
      </c>
    </row>
    <row r="2405" spans="2:12" customFormat="1">
      <c r="B2405" s="70" t="s">
        <v>4328</v>
      </c>
      <c r="C2405" s="70" t="s">
        <v>494</v>
      </c>
      <c r="K2405" s="55">
        <v>31</v>
      </c>
      <c r="L2405">
        <v>8</v>
      </c>
    </row>
    <row r="2406" spans="2:12" customFormat="1">
      <c r="B2406" s="70" t="s">
        <v>4329</v>
      </c>
      <c r="C2406" s="70" t="s">
        <v>494</v>
      </c>
      <c r="K2406" s="55">
        <v>32</v>
      </c>
      <c r="L2406">
        <v>8</v>
      </c>
    </row>
    <row r="2407" spans="2:12" customFormat="1">
      <c r="B2407" s="70" t="s">
        <v>4330</v>
      </c>
      <c r="C2407" s="70" t="s">
        <v>494</v>
      </c>
      <c r="K2407" s="55">
        <v>33</v>
      </c>
      <c r="L2407">
        <v>8</v>
      </c>
    </row>
    <row r="2408" spans="2:12" customFormat="1">
      <c r="B2408" s="70" t="s">
        <v>4331</v>
      </c>
      <c r="C2408" s="70" t="s">
        <v>494</v>
      </c>
      <c r="K2408" s="55">
        <v>34</v>
      </c>
      <c r="L2408">
        <v>8</v>
      </c>
    </row>
    <row r="2409" spans="2:12" customFormat="1">
      <c r="B2409" s="70" t="s">
        <v>4343</v>
      </c>
      <c r="C2409" s="70" t="s">
        <v>494</v>
      </c>
      <c r="K2409" s="55">
        <v>35</v>
      </c>
      <c r="L2409">
        <v>91</v>
      </c>
    </row>
    <row r="2410" spans="2:12" customFormat="1">
      <c r="B2410" s="70" t="s">
        <v>4344</v>
      </c>
      <c r="C2410" s="70" t="s">
        <v>494</v>
      </c>
      <c r="K2410" s="55">
        <v>36</v>
      </c>
      <c r="L2410">
        <v>92</v>
      </c>
    </row>
    <row r="2411" spans="2:12" customFormat="1">
      <c r="B2411" s="70" t="s">
        <v>4346</v>
      </c>
      <c r="C2411" s="70" t="s">
        <v>702</v>
      </c>
      <c r="K2411" s="55">
        <v>37</v>
      </c>
    </row>
    <row r="2412" spans="2:12" customFormat="1">
      <c r="B2412" s="70" t="s">
        <v>4345</v>
      </c>
      <c r="C2412" s="70" t="s">
        <v>702</v>
      </c>
      <c r="K2412" s="55">
        <v>38</v>
      </c>
    </row>
    <row r="2413" spans="2:12" customFormat="1">
      <c r="B2413" s="70" t="s">
        <v>4348</v>
      </c>
      <c r="C2413" s="70" t="s">
        <v>702</v>
      </c>
      <c r="K2413" s="55">
        <v>39</v>
      </c>
    </row>
    <row r="2414" spans="2:12" customFormat="1">
      <c r="B2414" s="70" t="s">
        <v>4347</v>
      </c>
      <c r="C2414" s="70" t="s">
        <v>702</v>
      </c>
      <c r="K2414" s="55">
        <v>40</v>
      </c>
    </row>
    <row r="2415" spans="2:12" customFormat="1">
      <c r="B2415" s="70" t="s">
        <v>4341</v>
      </c>
      <c r="C2415" s="70" t="s">
        <v>494</v>
      </c>
      <c r="K2415" s="55">
        <v>41</v>
      </c>
      <c r="L2415">
        <v>7</v>
      </c>
    </row>
    <row r="2416" spans="2:12" customFormat="1">
      <c r="B2416" s="70" t="s">
        <v>4342</v>
      </c>
      <c r="C2416" s="70" t="s">
        <v>494</v>
      </c>
      <c r="K2416" s="55">
        <v>42</v>
      </c>
    </row>
    <row r="2417" spans="1:18" customFormat="1">
      <c r="B2417" s="70" t="s">
        <v>4340</v>
      </c>
      <c r="C2417" s="70" t="s">
        <v>494</v>
      </c>
      <c r="K2417" s="55">
        <v>43</v>
      </c>
    </row>
    <row r="2418" spans="1:18" customFormat="1">
      <c r="B2418" s="70" t="s">
        <v>4358</v>
      </c>
      <c r="C2418" s="70" t="s">
        <v>493</v>
      </c>
      <c r="D2418">
        <v>50</v>
      </c>
      <c r="K2418" s="55">
        <v>44</v>
      </c>
      <c r="M2418">
        <v>1</v>
      </c>
    </row>
    <row r="2419" spans="1:18" customFormat="1">
      <c r="B2419" s="62"/>
      <c r="C2419" s="64"/>
      <c r="K2419" s="55"/>
    </row>
    <row r="2420" spans="1:18" customFormat="1">
      <c r="A2420" t="s">
        <v>4446</v>
      </c>
      <c r="B2420" s="64" t="s">
        <v>4447</v>
      </c>
      <c r="C2420" s="64" t="s">
        <v>494</v>
      </c>
      <c r="E2420" t="s">
        <v>476</v>
      </c>
      <c r="F2420">
        <v>22</v>
      </c>
      <c r="G2420">
        <v>2231</v>
      </c>
      <c r="H2420" t="s">
        <v>4450</v>
      </c>
      <c r="I2420" t="s">
        <v>4451</v>
      </c>
      <c r="J2420">
        <v>2</v>
      </c>
      <c r="K2420" s="55">
        <v>1</v>
      </c>
      <c r="L2420">
        <v>6</v>
      </c>
    </row>
    <row r="2421" spans="1:18" customFormat="1">
      <c r="B2421" s="64" t="s">
        <v>4448</v>
      </c>
      <c r="C2421" s="64" t="s">
        <v>493</v>
      </c>
      <c r="D2421">
        <v>100</v>
      </c>
      <c r="K2421" s="55">
        <v>2</v>
      </c>
    </row>
    <row r="2422" spans="1:18" customFormat="1">
      <c r="B2422" s="64" t="s">
        <v>4449</v>
      </c>
      <c r="C2422" s="64" t="s">
        <v>494</v>
      </c>
      <c r="K2422" s="55">
        <v>3</v>
      </c>
      <c r="L2422">
        <v>3</v>
      </c>
      <c r="N2422" s="1" t="s">
        <v>551</v>
      </c>
      <c r="O2422" s="1" t="s">
        <v>552</v>
      </c>
      <c r="P2422" s="1" t="s">
        <v>553</v>
      </c>
    </row>
    <row r="2423" spans="1:18" customFormat="1">
      <c r="B2423" s="62"/>
      <c r="C2423" s="64"/>
      <c r="K2423" s="55"/>
    </row>
    <row r="2424" spans="1:18" customFormat="1">
      <c r="A2424" t="s">
        <v>4452</v>
      </c>
      <c r="B2424" s="62" t="s">
        <v>4453</v>
      </c>
      <c r="C2424" s="64" t="s">
        <v>494</v>
      </c>
      <c r="E2424" t="s">
        <v>476</v>
      </c>
      <c r="K2424" s="55"/>
    </row>
    <row r="2425" spans="1:18" customFormat="1">
      <c r="B2425" s="62" t="s">
        <v>4454</v>
      </c>
      <c r="C2425" s="64" t="s">
        <v>493</v>
      </c>
      <c r="D2425">
        <v>100</v>
      </c>
      <c r="K2425" s="55"/>
    </row>
    <row r="2426" spans="1:18" customFormat="1">
      <c r="B2426" s="62"/>
      <c r="C2426" s="64"/>
      <c r="K2426" s="55"/>
    </row>
    <row r="2427" spans="1:18" customFormat="1">
      <c r="A2427" s="70" t="s">
        <v>3210</v>
      </c>
      <c r="B2427" s="70" t="s">
        <v>3211</v>
      </c>
      <c r="C2427" s="70" t="s">
        <v>494</v>
      </c>
      <c r="E2427" s="62" t="s">
        <v>476</v>
      </c>
      <c r="F2427">
        <v>22</v>
      </c>
      <c r="G2427">
        <v>2233</v>
      </c>
      <c r="H2427" t="s">
        <v>4456</v>
      </c>
      <c r="I2427" t="s">
        <v>4461</v>
      </c>
      <c r="J2427">
        <v>2203</v>
      </c>
      <c r="K2427" s="55">
        <v>1</v>
      </c>
      <c r="L2427">
        <v>8</v>
      </c>
    </row>
    <row r="2428" spans="1:18" customFormat="1">
      <c r="A2428" s="94"/>
      <c r="B2428" s="70" t="s">
        <v>3212</v>
      </c>
      <c r="C2428" s="70" t="s">
        <v>494</v>
      </c>
      <c r="E2428" s="62" t="s">
        <v>476</v>
      </c>
      <c r="K2428" s="55">
        <v>2</v>
      </c>
      <c r="L2428">
        <v>3</v>
      </c>
      <c r="M2428" s="14">
        <v>31</v>
      </c>
      <c r="N2428" s="62" t="s">
        <v>3655</v>
      </c>
      <c r="O2428" s="62" t="s">
        <v>3648</v>
      </c>
      <c r="P2428" s="62" t="s">
        <v>3657</v>
      </c>
      <c r="Q2428" s="47" t="s">
        <v>3658</v>
      </c>
      <c r="R2428" s="14">
        <v>4</v>
      </c>
    </row>
    <row r="2429" spans="1:18" customFormat="1">
      <c r="A2429" s="94"/>
      <c r="B2429" s="70" t="s">
        <v>3213</v>
      </c>
      <c r="C2429" s="70" t="s">
        <v>494</v>
      </c>
      <c r="K2429" s="55">
        <v>3</v>
      </c>
      <c r="L2429">
        <v>6</v>
      </c>
    </row>
    <row r="2430" spans="1:18" customFormat="1">
      <c r="A2430" s="94"/>
      <c r="B2430" s="70" t="s">
        <v>3230</v>
      </c>
      <c r="C2430" s="70" t="s">
        <v>494</v>
      </c>
      <c r="K2430" s="55">
        <v>4</v>
      </c>
      <c r="L2430">
        <v>3</v>
      </c>
      <c r="M2430">
        <v>3</v>
      </c>
      <c r="N2430" s="62" t="s">
        <v>995</v>
      </c>
      <c r="O2430" s="62" t="s">
        <v>997</v>
      </c>
      <c r="P2430" s="62" t="s">
        <v>996</v>
      </c>
    </row>
    <row r="2431" spans="1:18" customFormat="1">
      <c r="A2431" s="39"/>
      <c r="B2431" s="67" t="s">
        <v>3231</v>
      </c>
      <c r="C2431" s="70" t="s">
        <v>494</v>
      </c>
      <c r="D2431" s="1"/>
      <c r="E2431" s="1"/>
      <c r="F2431" s="14"/>
      <c r="J2431" s="14"/>
      <c r="K2431" s="55">
        <v>5</v>
      </c>
      <c r="L2431" s="15">
        <v>3</v>
      </c>
      <c r="M2431" s="14"/>
      <c r="N2431" s="62" t="s">
        <v>693</v>
      </c>
      <c r="O2431" s="1" t="s">
        <v>695</v>
      </c>
      <c r="P2431" s="1" t="s">
        <v>696</v>
      </c>
      <c r="Q2431" s="62"/>
      <c r="R2431" s="14"/>
    </row>
    <row r="2432" spans="1:18" customFormat="1">
      <c r="A2432" s="39"/>
      <c r="B2432" s="67" t="s">
        <v>3232</v>
      </c>
      <c r="C2432" s="70" t="s">
        <v>494</v>
      </c>
      <c r="D2432" s="1"/>
      <c r="E2432" s="1"/>
      <c r="F2432" s="14"/>
      <c r="J2432" s="14"/>
      <c r="K2432" s="55">
        <v>6</v>
      </c>
      <c r="L2432" s="15">
        <v>3</v>
      </c>
      <c r="M2432" s="14">
        <v>31</v>
      </c>
      <c r="N2432" s="62" t="s">
        <v>379</v>
      </c>
      <c r="O2432" s="62" t="s">
        <v>698</v>
      </c>
      <c r="P2432" s="62" t="s">
        <v>699</v>
      </c>
      <c r="Q2432" s="62" t="s">
        <v>383</v>
      </c>
      <c r="R2432" s="14">
        <v>5</v>
      </c>
    </row>
    <row r="2433" spans="1:18" customFormat="1">
      <c r="A2433" s="1"/>
      <c r="B2433" s="66"/>
      <c r="C2433" s="64"/>
      <c r="D2433" s="1"/>
      <c r="E2433" s="1"/>
      <c r="F2433" s="14"/>
      <c r="K2433" s="55"/>
    </row>
    <row r="2434" spans="1:18" customFormat="1">
      <c r="A2434" s="70" t="s">
        <v>3210</v>
      </c>
      <c r="B2434" s="70" t="s">
        <v>3211</v>
      </c>
      <c r="C2434" s="70" t="s">
        <v>494</v>
      </c>
      <c r="E2434" s="62" t="s">
        <v>476</v>
      </c>
      <c r="F2434">
        <v>22</v>
      </c>
      <c r="G2434">
        <v>2234</v>
      </c>
      <c r="H2434" t="s">
        <v>4457</v>
      </c>
      <c r="I2434" t="s">
        <v>4462</v>
      </c>
      <c r="J2434">
        <v>2203</v>
      </c>
      <c r="K2434" s="55">
        <v>1</v>
      </c>
      <c r="L2434">
        <v>8</v>
      </c>
    </row>
    <row r="2435" spans="1:18" customFormat="1">
      <c r="A2435" s="94"/>
      <c r="B2435" s="70" t="s">
        <v>3212</v>
      </c>
      <c r="C2435" s="70" t="s">
        <v>494</v>
      </c>
      <c r="E2435" s="62" t="s">
        <v>476</v>
      </c>
      <c r="K2435" s="55">
        <v>2</v>
      </c>
      <c r="L2435">
        <v>3</v>
      </c>
      <c r="M2435" s="14">
        <v>31</v>
      </c>
      <c r="N2435" s="62" t="s">
        <v>3655</v>
      </c>
      <c r="O2435" s="62" t="s">
        <v>3648</v>
      </c>
      <c r="P2435" s="62" t="s">
        <v>3657</v>
      </c>
      <c r="Q2435" s="47" t="s">
        <v>3658</v>
      </c>
      <c r="R2435" s="14">
        <v>4</v>
      </c>
    </row>
    <row r="2436" spans="1:18" customFormat="1">
      <c r="A2436" s="94"/>
      <c r="B2436" s="70" t="s">
        <v>3213</v>
      </c>
      <c r="C2436" s="70" t="s">
        <v>494</v>
      </c>
      <c r="K2436" s="55">
        <v>3</v>
      </c>
      <c r="L2436">
        <v>6</v>
      </c>
    </row>
    <row r="2437" spans="1:18" customFormat="1">
      <c r="A2437" s="94"/>
      <c r="B2437" s="70" t="s">
        <v>3230</v>
      </c>
      <c r="C2437" s="70" t="s">
        <v>494</v>
      </c>
      <c r="K2437" s="55">
        <v>4</v>
      </c>
      <c r="L2437">
        <v>3</v>
      </c>
      <c r="M2437">
        <v>3</v>
      </c>
      <c r="N2437" s="62" t="s">
        <v>995</v>
      </c>
      <c r="O2437" s="62" t="s">
        <v>997</v>
      </c>
      <c r="P2437" s="62" t="s">
        <v>996</v>
      </c>
    </row>
    <row r="2438" spans="1:18" customFormat="1">
      <c r="A2438" s="39"/>
      <c r="B2438" s="67" t="s">
        <v>3231</v>
      </c>
      <c r="C2438" s="70" t="s">
        <v>494</v>
      </c>
      <c r="D2438" s="1"/>
      <c r="E2438" s="1"/>
      <c r="F2438" s="14"/>
      <c r="J2438" s="14"/>
      <c r="K2438" s="55">
        <v>5</v>
      </c>
      <c r="L2438" s="15">
        <v>3</v>
      </c>
      <c r="M2438" s="14"/>
      <c r="N2438" s="62" t="s">
        <v>693</v>
      </c>
      <c r="O2438" s="1" t="s">
        <v>695</v>
      </c>
      <c r="P2438" s="1" t="s">
        <v>696</v>
      </c>
      <c r="Q2438" s="62"/>
      <c r="R2438" s="14"/>
    </row>
    <row r="2439" spans="1:18" customFormat="1">
      <c r="A2439" s="39"/>
      <c r="B2439" s="67" t="s">
        <v>3232</v>
      </c>
      <c r="C2439" s="70" t="s">
        <v>494</v>
      </c>
      <c r="D2439" s="1"/>
      <c r="E2439" s="1"/>
      <c r="F2439" s="14"/>
      <c r="J2439" s="14"/>
      <c r="K2439" s="55">
        <v>6</v>
      </c>
      <c r="L2439" s="15">
        <v>3</v>
      </c>
      <c r="M2439" s="14">
        <v>31</v>
      </c>
      <c r="N2439" s="62" t="s">
        <v>379</v>
      </c>
      <c r="O2439" s="62" t="s">
        <v>698</v>
      </c>
      <c r="P2439" s="62" t="s">
        <v>699</v>
      </c>
      <c r="Q2439" s="62" t="s">
        <v>383</v>
      </c>
      <c r="R2439" s="14">
        <v>5</v>
      </c>
    </row>
    <row r="2440" spans="1:18" customFormat="1">
      <c r="A2440" s="1"/>
      <c r="B2440" s="66"/>
      <c r="C2440" s="64"/>
      <c r="D2440" s="1"/>
      <c r="E2440" s="1"/>
      <c r="F2440" s="14"/>
      <c r="K2440" s="55"/>
    </row>
    <row r="2441" spans="1:18" customFormat="1">
      <c r="A2441" s="70" t="s">
        <v>3210</v>
      </c>
      <c r="B2441" s="70" t="s">
        <v>3211</v>
      </c>
      <c r="C2441" s="70" t="s">
        <v>494</v>
      </c>
      <c r="E2441" s="62" t="s">
        <v>476</v>
      </c>
      <c r="F2441">
        <v>22</v>
      </c>
      <c r="G2441">
        <v>2235</v>
      </c>
      <c r="H2441" t="s">
        <v>4458</v>
      </c>
      <c r="I2441" t="s">
        <v>4463</v>
      </c>
      <c r="J2441">
        <v>2203</v>
      </c>
      <c r="K2441" s="55">
        <v>1</v>
      </c>
      <c r="L2441">
        <v>8</v>
      </c>
    </row>
    <row r="2442" spans="1:18" customFormat="1">
      <c r="A2442" s="94"/>
      <c r="B2442" s="70" t="s">
        <v>3212</v>
      </c>
      <c r="C2442" s="70" t="s">
        <v>494</v>
      </c>
      <c r="E2442" s="62" t="s">
        <v>476</v>
      </c>
      <c r="K2442" s="55">
        <v>2</v>
      </c>
      <c r="L2442">
        <v>3</v>
      </c>
      <c r="M2442" s="14">
        <v>31</v>
      </c>
      <c r="N2442" s="62" t="s">
        <v>3655</v>
      </c>
      <c r="O2442" s="62" t="s">
        <v>3648</v>
      </c>
      <c r="P2442" s="62" t="s">
        <v>3657</v>
      </c>
      <c r="Q2442" s="47" t="s">
        <v>3658</v>
      </c>
      <c r="R2442" s="14">
        <v>4</v>
      </c>
    </row>
    <row r="2443" spans="1:18" customFormat="1">
      <c r="A2443" s="94"/>
      <c r="B2443" s="70" t="s">
        <v>3213</v>
      </c>
      <c r="C2443" s="70" t="s">
        <v>494</v>
      </c>
      <c r="K2443" s="55">
        <v>3</v>
      </c>
      <c r="L2443">
        <v>6</v>
      </c>
    </row>
    <row r="2444" spans="1:18" customFormat="1">
      <c r="A2444" s="94"/>
      <c r="B2444" s="70" t="s">
        <v>3230</v>
      </c>
      <c r="C2444" s="70" t="s">
        <v>494</v>
      </c>
      <c r="K2444" s="55">
        <v>4</v>
      </c>
      <c r="L2444">
        <v>3</v>
      </c>
      <c r="M2444">
        <v>3</v>
      </c>
      <c r="N2444" s="62" t="s">
        <v>995</v>
      </c>
      <c r="O2444" s="62" t="s">
        <v>997</v>
      </c>
      <c r="P2444" s="62" t="s">
        <v>996</v>
      </c>
    </row>
    <row r="2445" spans="1:18" customFormat="1">
      <c r="A2445" s="39"/>
      <c r="B2445" s="67" t="s">
        <v>3231</v>
      </c>
      <c r="C2445" s="70" t="s">
        <v>494</v>
      </c>
      <c r="D2445" s="1"/>
      <c r="E2445" s="1"/>
      <c r="F2445" s="14"/>
      <c r="J2445" s="14"/>
      <c r="K2445" s="55">
        <v>5</v>
      </c>
      <c r="L2445" s="15">
        <v>3</v>
      </c>
      <c r="M2445" s="14"/>
      <c r="N2445" s="62" t="s">
        <v>693</v>
      </c>
      <c r="O2445" s="1" t="s">
        <v>695</v>
      </c>
      <c r="P2445" s="1" t="s">
        <v>696</v>
      </c>
      <c r="Q2445" s="62"/>
      <c r="R2445" s="14"/>
    </row>
    <row r="2446" spans="1:18" customFormat="1">
      <c r="A2446" s="39"/>
      <c r="B2446" s="67" t="s">
        <v>3232</v>
      </c>
      <c r="C2446" s="70" t="s">
        <v>494</v>
      </c>
      <c r="D2446" s="1"/>
      <c r="E2446" s="1"/>
      <c r="F2446" s="14"/>
      <c r="J2446" s="14"/>
      <c r="K2446" s="55">
        <v>6</v>
      </c>
      <c r="L2446" s="15">
        <v>3</v>
      </c>
      <c r="M2446" s="14">
        <v>31</v>
      </c>
      <c r="N2446" s="62" t="s">
        <v>379</v>
      </c>
      <c r="O2446" s="62" t="s">
        <v>698</v>
      </c>
      <c r="P2446" s="62" t="s">
        <v>699</v>
      </c>
      <c r="Q2446" s="62" t="s">
        <v>383</v>
      </c>
      <c r="R2446" s="14">
        <v>5</v>
      </c>
    </row>
    <row r="2447" spans="1:18" customFormat="1">
      <c r="A2447" s="1"/>
      <c r="B2447" s="66"/>
      <c r="C2447" s="64"/>
      <c r="D2447" s="1"/>
      <c r="E2447" s="1"/>
      <c r="F2447" s="14"/>
      <c r="K2447" s="55"/>
    </row>
    <row r="2448" spans="1:18" customFormat="1">
      <c r="A2448" s="70" t="s">
        <v>3210</v>
      </c>
      <c r="B2448" s="70" t="s">
        <v>3211</v>
      </c>
      <c r="C2448" s="70" t="s">
        <v>494</v>
      </c>
      <c r="E2448" s="62" t="s">
        <v>476</v>
      </c>
      <c r="F2448">
        <v>22</v>
      </c>
      <c r="G2448">
        <v>2236</v>
      </c>
      <c r="H2448" t="s">
        <v>4459</v>
      </c>
      <c r="I2448" t="s">
        <v>4464</v>
      </c>
      <c r="J2448">
        <v>2203</v>
      </c>
      <c r="K2448" s="55">
        <v>1</v>
      </c>
      <c r="L2448">
        <v>8</v>
      </c>
    </row>
    <row r="2449" spans="1:18" customFormat="1">
      <c r="A2449" s="94"/>
      <c r="B2449" s="70" t="s">
        <v>3212</v>
      </c>
      <c r="C2449" s="70" t="s">
        <v>494</v>
      </c>
      <c r="E2449" s="62" t="s">
        <v>476</v>
      </c>
      <c r="K2449" s="55">
        <v>2</v>
      </c>
      <c r="L2449">
        <v>3</v>
      </c>
      <c r="M2449" s="14">
        <v>31</v>
      </c>
      <c r="N2449" s="62" t="s">
        <v>3655</v>
      </c>
      <c r="O2449" s="62" t="s">
        <v>3648</v>
      </c>
      <c r="P2449" s="62" t="s">
        <v>3657</v>
      </c>
      <c r="Q2449" s="47" t="s">
        <v>3658</v>
      </c>
      <c r="R2449" s="14">
        <v>4</v>
      </c>
    </row>
    <row r="2450" spans="1:18" customFormat="1">
      <c r="A2450" s="94"/>
      <c r="B2450" s="70" t="s">
        <v>3213</v>
      </c>
      <c r="C2450" s="70" t="s">
        <v>494</v>
      </c>
      <c r="K2450" s="55">
        <v>3</v>
      </c>
      <c r="L2450">
        <v>6</v>
      </c>
    </row>
    <row r="2451" spans="1:18" customFormat="1">
      <c r="A2451" s="94"/>
      <c r="B2451" s="70" t="s">
        <v>3230</v>
      </c>
      <c r="C2451" s="70" t="s">
        <v>494</v>
      </c>
      <c r="K2451" s="55">
        <v>4</v>
      </c>
      <c r="L2451">
        <v>3</v>
      </c>
      <c r="M2451">
        <v>3</v>
      </c>
      <c r="N2451" s="62" t="s">
        <v>995</v>
      </c>
      <c r="O2451" s="62" t="s">
        <v>997</v>
      </c>
      <c r="P2451" s="62" t="s">
        <v>996</v>
      </c>
    </row>
    <row r="2452" spans="1:18" customFormat="1">
      <c r="A2452" s="39"/>
      <c r="B2452" s="67" t="s">
        <v>3231</v>
      </c>
      <c r="C2452" s="70" t="s">
        <v>494</v>
      </c>
      <c r="D2452" s="1"/>
      <c r="E2452" s="1"/>
      <c r="F2452" s="14"/>
      <c r="J2452" s="14"/>
      <c r="K2452" s="55">
        <v>5</v>
      </c>
      <c r="L2452" s="15">
        <v>3</v>
      </c>
      <c r="M2452" s="14"/>
      <c r="N2452" s="62" t="s">
        <v>693</v>
      </c>
      <c r="O2452" s="1" t="s">
        <v>695</v>
      </c>
      <c r="P2452" s="1" t="s">
        <v>696</v>
      </c>
      <c r="Q2452" s="62"/>
      <c r="R2452" s="14"/>
    </row>
    <row r="2453" spans="1:18" customFormat="1">
      <c r="A2453" s="39"/>
      <c r="B2453" s="67" t="s">
        <v>3232</v>
      </c>
      <c r="C2453" s="70" t="s">
        <v>494</v>
      </c>
      <c r="D2453" s="1"/>
      <c r="E2453" s="1"/>
      <c r="F2453" s="14"/>
      <c r="J2453" s="14"/>
      <c r="K2453" s="55">
        <v>6</v>
      </c>
      <c r="L2453" s="15">
        <v>3</v>
      </c>
      <c r="M2453" s="14">
        <v>31</v>
      </c>
      <c r="N2453" s="62" t="s">
        <v>379</v>
      </c>
      <c r="O2453" s="62" t="s">
        <v>698</v>
      </c>
      <c r="P2453" s="62" t="s">
        <v>699</v>
      </c>
      <c r="Q2453" s="62" t="s">
        <v>383</v>
      </c>
      <c r="R2453" s="14">
        <v>5</v>
      </c>
    </row>
    <row r="2454" spans="1:18" customFormat="1">
      <c r="A2454" s="1"/>
      <c r="B2454" s="66"/>
      <c r="C2454" s="64"/>
      <c r="D2454" s="1"/>
      <c r="E2454" s="1"/>
      <c r="F2454" s="14"/>
      <c r="K2454" s="55"/>
    </row>
    <row r="2455" spans="1:18" customFormat="1">
      <c r="A2455" s="70" t="s">
        <v>3210</v>
      </c>
      <c r="B2455" s="70" t="s">
        <v>3211</v>
      </c>
      <c r="C2455" s="70" t="s">
        <v>494</v>
      </c>
      <c r="E2455" s="62" t="s">
        <v>476</v>
      </c>
      <c r="F2455">
        <v>22</v>
      </c>
      <c r="G2455">
        <v>2237</v>
      </c>
      <c r="H2455" t="s">
        <v>4460</v>
      </c>
      <c r="I2455" t="s">
        <v>4465</v>
      </c>
      <c r="J2455">
        <v>2203</v>
      </c>
      <c r="K2455" s="55">
        <v>1</v>
      </c>
      <c r="L2455">
        <v>8</v>
      </c>
    </row>
    <row r="2456" spans="1:18" customFormat="1">
      <c r="A2456" s="94"/>
      <c r="B2456" s="70" t="s">
        <v>3212</v>
      </c>
      <c r="C2456" s="70" t="s">
        <v>494</v>
      </c>
      <c r="E2456" s="62" t="s">
        <v>476</v>
      </c>
      <c r="K2456" s="55">
        <v>2</v>
      </c>
      <c r="L2456">
        <v>3</v>
      </c>
      <c r="M2456" s="14">
        <v>31</v>
      </c>
      <c r="N2456" s="62" t="s">
        <v>3655</v>
      </c>
      <c r="O2456" s="62" t="s">
        <v>3648</v>
      </c>
      <c r="P2456" s="62" t="s">
        <v>3657</v>
      </c>
      <c r="Q2456" s="47" t="s">
        <v>3658</v>
      </c>
      <c r="R2456" s="14">
        <v>4</v>
      </c>
    </row>
    <row r="2457" spans="1:18" customFormat="1">
      <c r="A2457" s="94"/>
      <c r="B2457" s="70" t="s">
        <v>3213</v>
      </c>
      <c r="C2457" s="70" t="s">
        <v>494</v>
      </c>
      <c r="K2457" s="55">
        <v>3</v>
      </c>
      <c r="L2457">
        <v>6</v>
      </c>
    </row>
    <row r="2458" spans="1:18" customFormat="1">
      <c r="A2458" s="94"/>
      <c r="B2458" s="70" t="s">
        <v>3230</v>
      </c>
      <c r="C2458" s="70" t="s">
        <v>494</v>
      </c>
      <c r="K2458" s="55">
        <v>4</v>
      </c>
      <c r="L2458">
        <v>3</v>
      </c>
      <c r="M2458">
        <v>3</v>
      </c>
      <c r="N2458" s="62" t="s">
        <v>995</v>
      </c>
      <c r="O2458" s="62" t="s">
        <v>997</v>
      </c>
      <c r="P2458" s="62" t="s">
        <v>996</v>
      </c>
    </row>
    <row r="2459" spans="1:18" customFormat="1">
      <c r="A2459" s="39"/>
      <c r="B2459" s="67" t="s">
        <v>3231</v>
      </c>
      <c r="C2459" s="70" t="s">
        <v>494</v>
      </c>
      <c r="D2459" s="1"/>
      <c r="E2459" s="1"/>
      <c r="F2459" s="14"/>
      <c r="J2459" s="14"/>
      <c r="K2459" s="55">
        <v>5</v>
      </c>
      <c r="L2459" s="15">
        <v>3</v>
      </c>
      <c r="M2459" s="14"/>
      <c r="N2459" s="62" t="s">
        <v>693</v>
      </c>
      <c r="O2459" s="1" t="s">
        <v>695</v>
      </c>
      <c r="P2459" s="1" t="s">
        <v>696</v>
      </c>
      <c r="Q2459" s="62"/>
      <c r="R2459" s="14"/>
    </row>
    <row r="2460" spans="1:18" customFormat="1">
      <c r="A2460" s="39"/>
      <c r="B2460" s="67" t="s">
        <v>3232</v>
      </c>
      <c r="C2460" s="70" t="s">
        <v>494</v>
      </c>
      <c r="D2460" s="1"/>
      <c r="E2460" s="1"/>
      <c r="F2460" s="14"/>
      <c r="J2460" s="14"/>
      <c r="K2460" s="55">
        <v>6</v>
      </c>
      <c r="L2460" s="15">
        <v>3</v>
      </c>
      <c r="M2460" s="14">
        <v>31</v>
      </c>
      <c r="N2460" s="62" t="s">
        <v>379</v>
      </c>
      <c r="O2460" s="62" t="s">
        <v>698</v>
      </c>
      <c r="P2460" s="62" t="s">
        <v>699</v>
      </c>
      <c r="Q2460" s="62" t="s">
        <v>383</v>
      </c>
      <c r="R2460" s="14">
        <v>5</v>
      </c>
    </row>
    <row r="2461" spans="1:18" customFormat="1">
      <c r="A2461" s="1"/>
      <c r="B2461" s="66"/>
      <c r="C2461" s="64"/>
      <c r="D2461" s="1"/>
      <c r="E2461" s="1"/>
      <c r="F2461" s="14"/>
      <c r="K2461" s="55"/>
    </row>
    <row r="2462" spans="1:18" customFormat="1">
      <c r="B2462" s="66"/>
      <c r="C2462" s="62"/>
      <c r="K2462" s="55"/>
    </row>
    <row r="2463" spans="1:18" customFormat="1">
      <c r="B2463" s="66"/>
      <c r="C2463" s="62"/>
      <c r="K2463" s="55"/>
      <c r="N2463" s="1"/>
      <c r="O2463" s="1"/>
      <c r="P2463" s="1"/>
    </row>
    <row r="2464" spans="1:18" customFormat="1">
      <c r="B2464" s="66"/>
      <c r="C2464" s="62"/>
      <c r="K2464" s="55"/>
    </row>
    <row r="2465" spans="1:18" customFormat="1" ht="14.25" customHeight="1">
      <c r="A2465" s="62" t="s">
        <v>3649</v>
      </c>
      <c r="B2465" s="66" t="s">
        <v>3650</v>
      </c>
      <c r="C2465" s="62" t="s">
        <v>494</v>
      </c>
      <c r="E2465" s="62" t="s">
        <v>476</v>
      </c>
      <c r="F2465">
        <v>22</v>
      </c>
      <c r="G2465">
        <v>2210</v>
      </c>
      <c r="H2465" s="62" t="s">
        <v>3663</v>
      </c>
      <c r="I2465" s="62" t="s">
        <v>3690</v>
      </c>
      <c r="J2465">
        <v>1</v>
      </c>
      <c r="K2465">
        <v>1</v>
      </c>
      <c r="L2465">
        <v>9</v>
      </c>
      <c r="N2465" s="62" t="s">
        <v>3655</v>
      </c>
      <c r="O2465" s="66" t="s">
        <v>3656</v>
      </c>
      <c r="P2465" s="66" t="s">
        <v>3657</v>
      </c>
      <c r="Q2465" s="66" t="s">
        <v>3648</v>
      </c>
      <c r="R2465">
        <v>2209</v>
      </c>
    </row>
    <row r="2466" spans="1:18" customFormat="1">
      <c r="B2466" s="66" t="s">
        <v>3651</v>
      </c>
      <c r="C2466" s="62" t="s">
        <v>494</v>
      </c>
      <c r="E2466" s="62" t="s">
        <v>476</v>
      </c>
      <c r="K2466">
        <v>2</v>
      </c>
      <c r="L2466">
        <v>6</v>
      </c>
    </row>
    <row r="2467" spans="1:18" customFormat="1">
      <c r="B2467" s="66" t="s">
        <v>3652</v>
      </c>
      <c r="C2467" s="62" t="s">
        <v>494</v>
      </c>
      <c r="K2467">
        <v>3</v>
      </c>
      <c r="L2467">
        <v>6</v>
      </c>
      <c r="N2467" s="62" t="s">
        <v>3655</v>
      </c>
      <c r="O2467" s="66" t="s">
        <v>3648</v>
      </c>
      <c r="P2467" s="66" t="s">
        <v>3657</v>
      </c>
    </row>
    <row r="2468" spans="1:18" customFormat="1">
      <c r="B2468" s="66" t="s">
        <v>3694</v>
      </c>
      <c r="C2468" s="62" t="s">
        <v>493</v>
      </c>
      <c r="D2468">
        <v>1</v>
      </c>
      <c r="K2468">
        <v>4</v>
      </c>
      <c r="L2468">
        <v>30</v>
      </c>
      <c r="N2468" s="62"/>
      <c r="O2468" s="66"/>
      <c r="P2468" s="66"/>
    </row>
    <row r="2469" spans="1:18" customFormat="1">
      <c r="B2469" s="66" t="s">
        <v>3653</v>
      </c>
      <c r="C2469" s="62" t="s">
        <v>494</v>
      </c>
      <c r="K2469">
        <v>5</v>
      </c>
      <c r="L2469">
        <v>7</v>
      </c>
    </row>
    <row r="2470" spans="1:18" customFormat="1">
      <c r="B2470" s="66" t="s">
        <v>3654</v>
      </c>
      <c r="C2470" s="62" t="s">
        <v>494</v>
      </c>
      <c r="K2470">
        <v>6</v>
      </c>
      <c r="L2470" s="80">
        <v>3</v>
      </c>
      <c r="M2470" s="10"/>
      <c r="N2470" s="62" t="s">
        <v>3620</v>
      </c>
      <c r="O2470" s="62" t="s">
        <v>3622</v>
      </c>
      <c r="P2470" s="62" t="s">
        <v>3623</v>
      </c>
      <c r="R2470">
        <v>2311</v>
      </c>
    </row>
    <row r="2471" spans="1:18" customFormat="1">
      <c r="B2471" s="66" t="s">
        <v>3691</v>
      </c>
      <c r="C2471" s="62" t="s">
        <v>493</v>
      </c>
      <c r="D2471">
        <v>20</v>
      </c>
      <c r="K2471">
        <v>7</v>
      </c>
      <c r="L2471" s="80"/>
      <c r="M2471" s="10"/>
      <c r="N2471" s="62"/>
      <c r="O2471" s="62"/>
      <c r="P2471" s="62"/>
    </row>
    <row r="2472" spans="1:18" customFormat="1">
      <c r="B2472" s="66" t="s">
        <v>3684</v>
      </c>
      <c r="C2472" s="62" t="s">
        <v>494</v>
      </c>
      <c r="K2472">
        <v>8</v>
      </c>
      <c r="L2472" s="80"/>
      <c r="M2472" s="10"/>
      <c r="N2472" s="62"/>
      <c r="O2472" s="62"/>
      <c r="P2472" s="62"/>
    </row>
    <row r="2473" spans="1:18" customFormat="1">
      <c r="B2473" s="66" t="s">
        <v>3685</v>
      </c>
      <c r="C2473" s="62" t="s">
        <v>494</v>
      </c>
      <c r="K2473">
        <v>9</v>
      </c>
      <c r="L2473" s="80"/>
      <c r="M2473" s="10"/>
      <c r="N2473" s="62"/>
      <c r="O2473" s="62"/>
      <c r="P2473" s="62"/>
    </row>
    <row r="2474" spans="1:18" customFormat="1">
      <c r="B2474" s="66" t="s">
        <v>3686</v>
      </c>
      <c r="C2474" s="62" t="s">
        <v>494</v>
      </c>
      <c r="K2474">
        <v>10</v>
      </c>
      <c r="L2474" s="80"/>
      <c r="M2474" s="10"/>
      <c r="N2474" s="62"/>
      <c r="O2474" s="62"/>
      <c r="P2474" s="62"/>
    </row>
    <row r="2475" spans="1:18">
      <c r="B2475" s="67" t="s">
        <v>3703</v>
      </c>
      <c r="C2475" s="70" t="s">
        <v>494</v>
      </c>
      <c r="K2475">
        <v>11</v>
      </c>
      <c r="L2475" s="32">
        <v>8</v>
      </c>
    </row>
    <row r="2476" spans="1:18">
      <c r="B2476" s="67" t="s">
        <v>3704</v>
      </c>
      <c r="C2476" s="70" t="s">
        <v>494</v>
      </c>
      <c r="K2476">
        <v>12</v>
      </c>
      <c r="L2476" s="32">
        <v>8</v>
      </c>
    </row>
    <row r="2477" spans="1:18">
      <c r="B2477" s="67" t="s">
        <v>3705</v>
      </c>
      <c r="C2477" s="70" t="s">
        <v>494</v>
      </c>
      <c r="K2477">
        <v>13</v>
      </c>
      <c r="L2477" s="32">
        <v>7</v>
      </c>
    </row>
    <row r="2478" spans="1:18">
      <c r="B2478" s="67" t="s">
        <v>3706</v>
      </c>
      <c r="C2478" s="70" t="s">
        <v>494</v>
      </c>
      <c r="K2478">
        <v>14</v>
      </c>
      <c r="L2478" s="32">
        <v>7</v>
      </c>
    </row>
    <row r="2479" spans="1:18">
      <c r="B2479" s="67" t="s">
        <v>4395</v>
      </c>
      <c r="C2479" s="70" t="s">
        <v>494</v>
      </c>
      <c r="K2479">
        <v>15</v>
      </c>
      <c r="L2479" s="32"/>
    </row>
    <row r="2480" spans="1:18">
      <c r="B2480" s="67" t="s">
        <v>4396</v>
      </c>
      <c r="C2480" s="70" t="s">
        <v>494</v>
      </c>
      <c r="K2480">
        <v>16</v>
      </c>
      <c r="L2480" s="32"/>
    </row>
    <row r="2481" spans="1:18">
      <c r="B2481" s="67" t="s">
        <v>4397</v>
      </c>
      <c r="C2481" s="70" t="s">
        <v>494</v>
      </c>
      <c r="K2481">
        <v>17</v>
      </c>
      <c r="L2481" s="32"/>
    </row>
    <row r="2482" spans="1:18">
      <c r="B2482" s="67" t="s">
        <v>4398</v>
      </c>
      <c r="C2482" s="70" t="s">
        <v>494</v>
      </c>
      <c r="K2482">
        <v>18</v>
      </c>
      <c r="L2482" s="32"/>
    </row>
    <row r="2483" spans="1:18" customFormat="1">
      <c r="B2483" s="66"/>
      <c r="C2483" s="62"/>
      <c r="L2483" s="80"/>
      <c r="M2483" s="10"/>
      <c r="N2483" s="62"/>
      <c r="O2483" s="62"/>
      <c r="P2483" s="62"/>
    </row>
    <row r="2484" spans="1:18" customFormat="1">
      <c r="A2484" s="62" t="s">
        <v>3671</v>
      </c>
      <c r="B2484" s="66" t="s">
        <v>3672</v>
      </c>
      <c r="C2484" s="62" t="s">
        <v>494</v>
      </c>
      <c r="E2484" s="62" t="s">
        <v>476</v>
      </c>
      <c r="F2484">
        <v>22</v>
      </c>
      <c r="G2484">
        <v>2211</v>
      </c>
      <c r="H2484" s="62" t="s">
        <v>3260</v>
      </c>
      <c r="J2484">
        <v>1</v>
      </c>
      <c r="K2484">
        <v>1</v>
      </c>
      <c r="L2484">
        <v>52</v>
      </c>
      <c r="N2484" s="62">
        <v>2210</v>
      </c>
      <c r="O2484" s="66" t="s">
        <v>3652</v>
      </c>
    </row>
    <row r="2485" spans="1:18" customFormat="1">
      <c r="B2485" s="66" t="s">
        <v>3673</v>
      </c>
      <c r="C2485" s="62" t="s">
        <v>494</v>
      </c>
      <c r="E2485" s="62" t="s">
        <v>476</v>
      </c>
      <c r="K2485">
        <v>2</v>
      </c>
      <c r="L2485">
        <v>9</v>
      </c>
      <c r="N2485" s="62" t="s">
        <v>1038</v>
      </c>
      <c r="O2485" s="60" t="s">
        <v>1040</v>
      </c>
      <c r="P2485" s="60" t="s">
        <v>1041</v>
      </c>
      <c r="Q2485" s="23" t="s">
        <v>1040</v>
      </c>
      <c r="R2485" s="14">
        <v>140</v>
      </c>
    </row>
    <row r="2486" spans="1:18" customFormat="1">
      <c r="B2486" s="66" t="s">
        <v>3674</v>
      </c>
      <c r="C2486" s="62" t="s">
        <v>494</v>
      </c>
      <c r="K2486">
        <v>3</v>
      </c>
      <c r="L2486">
        <v>6</v>
      </c>
    </row>
    <row r="2487" spans="1:18" customFormat="1">
      <c r="B2487" s="66" t="s">
        <v>4314</v>
      </c>
      <c r="C2487" s="62" t="s">
        <v>494</v>
      </c>
      <c r="K2487">
        <v>4</v>
      </c>
      <c r="L2487">
        <v>3</v>
      </c>
      <c r="N2487" s="62" t="s">
        <v>4306</v>
      </c>
      <c r="O2487" s="66" t="s">
        <v>4309</v>
      </c>
      <c r="P2487" s="66" t="s">
        <v>4311</v>
      </c>
    </row>
    <row r="2488" spans="1:18" customFormat="1">
      <c r="B2488" s="66" t="s">
        <v>3675</v>
      </c>
      <c r="C2488" s="62" t="s">
        <v>494</v>
      </c>
      <c r="K2488">
        <v>5</v>
      </c>
      <c r="M2488">
        <v>2</v>
      </c>
    </row>
    <row r="2489" spans="1:18" customFormat="1">
      <c r="B2489" s="66" t="s">
        <v>3676</v>
      </c>
      <c r="C2489" s="62" t="s">
        <v>494</v>
      </c>
      <c r="K2489">
        <v>6</v>
      </c>
      <c r="L2489">
        <v>3</v>
      </c>
      <c r="N2489" s="62" t="s">
        <v>3677</v>
      </c>
      <c r="O2489" s="62" t="s">
        <v>3678</v>
      </c>
      <c r="P2489" s="62" t="s">
        <v>3679</v>
      </c>
    </row>
    <row r="2490" spans="1:18" customFormat="1">
      <c r="B2490" s="66" t="s">
        <v>3688</v>
      </c>
      <c r="C2490" s="62" t="s">
        <v>494</v>
      </c>
      <c r="K2490">
        <v>7</v>
      </c>
      <c r="L2490">
        <v>3</v>
      </c>
      <c r="N2490" s="62"/>
      <c r="O2490" s="62"/>
      <c r="P2490" s="62"/>
    </row>
    <row r="2491" spans="1:18" customFormat="1">
      <c r="B2491" s="66" t="s">
        <v>3681</v>
      </c>
      <c r="C2491" s="62" t="s">
        <v>494</v>
      </c>
      <c r="K2491">
        <v>8</v>
      </c>
      <c r="M2491">
        <v>1</v>
      </c>
      <c r="N2491" s="62"/>
      <c r="O2491" s="62"/>
      <c r="P2491" s="62"/>
    </row>
    <row r="2492" spans="1:18" customFormat="1">
      <c r="B2492" s="66" t="s">
        <v>3687</v>
      </c>
      <c r="C2492" s="62" t="s">
        <v>494</v>
      </c>
      <c r="K2492">
        <v>9</v>
      </c>
    </row>
    <row r="2493" spans="1:18" customFormat="1">
      <c r="B2493" s="66" t="s">
        <v>3682</v>
      </c>
      <c r="C2493" s="62" t="s">
        <v>494</v>
      </c>
      <c r="K2493">
        <v>10</v>
      </c>
      <c r="M2493">
        <v>3</v>
      </c>
      <c r="N2493" s="1" t="s">
        <v>1038</v>
      </c>
      <c r="O2493" s="23" t="s">
        <v>1040</v>
      </c>
      <c r="P2493" s="23" t="s">
        <v>1041</v>
      </c>
      <c r="Q2493" s="23" t="s">
        <v>1040</v>
      </c>
      <c r="R2493" s="14">
        <v>140</v>
      </c>
    </row>
    <row r="2494" spans="1:18" customFormat="1">
      <c r="B2494" s="66" t="s">
        <v>4315</v>
      </c>
      <c r="C2494" s="62" t="s">
        <v>494</v>
      </c>
      <c r="K2494">
        <v>11</v>
      </c>
      <c r="M2494">
        <v>3</v>
      </c>
      <c r="N2494" s="1" t="s">
        <v>1038</v>
      </c>
      <c r="O2494" s="23" t="s">
        <v>1040</v>
      </c>
      <c r="P2494" s="23" t="s">
        <v>1041</v>
      </c>
      <c r="Q2494" s="23" t="s">
        <v>1040</v>
      </c>
      <c r="R2494" s="14">
        <v>140</v>
      </c>
    </row>
    <row r="2495" spans="1:18" customFormat="1">
      <c r="B2495" s="66" t="s">
        <v>3683</v>
      </c>
      <c r="C2495" s="62" t="s">
        <v>494</v>
      </c>
      <c r="K2495">
        <v>12</v>
      </c>
      <c r="L2495">
        <v>7</v>
      </c>
    </row>
    <row r="2496" spans="1:18" customFormat="1">
      <c r="B2496" s="66" t="s">
        <v>3695</v>
      </c>
      <c r="C2496" s="64" t="s">
        <v>494</v>
      </c>
      <c r="K2496">
        <v>13</v>
      </c>
      <c r="L2496">
        <v>3</v>
      </c>
      <c r="N2496" s="62" t="s">
        <v>3696</v>
      </c>
      <c r="O2496" s="62" t="s">
        <v>3698</v>
      </c>
      <c r="P2496" s="62" t="s">
        <v>3699</v>
      </c>
      <c r="R2496">
        <v>2214</v>
      </c>
    </row>
    <row r="2497" spans="1:18">
      <c r="B2497" s="66" t="s">
        <v>3728</v>
      </c>
      <c r="C2497" s="64" t="s">
        <v>494</v>
      </c>
      <c r="K2497">
        <v>14</v>
      </c>
      <c r="L2497">
        <v>3</v>
      </c>
      <c r="M2497">
        <v>31</v>
      </c>
      <c r="N2497" s="62" t="s">
        <v>3719</v>
      </c>
      <c r="O2497" s="62" t="s">
        <v>3722</v>
      </c>
      <c r="P2497" s="62" t="s">
        <v>3724</v>
      </c>
      <c r="Q2497" s="62" t="s">
        <v>3720</v>
      </c>
      <c r="R2497" s="1">
        <v>13</v>
      </c>
    </row>
    <row r="2498" spans="1:18">
      <c r="B2498" s="66" t="s">
        <v>3702</v>
      </c>
      <c r="C2498" s="64" t="s">
        <v>493</v>
      </c>
      <c r="D2498" s="1">
        <v>1</v>
      </c>
      <c r="K2498">
        <v>15</v>
      </c>
      <c r="L2498" s="9">
        <v>3</v>
      </c>
    </row>
    <row r="2499" spans="1:18">
      <c r="B2499" s="66" t="s">
        <v>4316</v>
      </c>
      <c r="C2499" s="64" t="s">
        <v>493</v>
      </c>
      <c r="D2499" s="1">
        <v>1</v>
      </c>
      <c r="K2499">
        <v>16</v>
      </c>
      <c r="L2499" s="32">
        <v>3</v>
      </c>
    </row>
    <row r="2500" spans="1:18">
      <c r="B2500" s="66" t="s">
        <v>4317</v>
      </c>
      <c r="C2500" s="64" t="s">
        <v>493</v>
      </c>
      <c r="D2500" s="1">
        <v>1</v>
      </c>
      <c r="K2500">
        <v>17</v>
      </c>
      <c r="L2500" s="32">
        <v>3</v>
      </c>
    </row>
    <row r="2501" spans="1:18">
      <c r="B2501" s="66" t="s">
        <v>4318</v>
      </c>
      <c r="C2501" s="64" t="s">
        <v>493</v>
      </c>
      <c r="D2501" s="1">
        <v>1</v>
      </c>
      <c r="K2501">
        <v>18</v>
      </c>
      <c r="L2501" s="32">
        <v>3</v>
      </c>
    </row>
    <row r="2502" spans="1:18" customFormat="1">
      <c r="B2502" s="66" t="s">
        <v>4319</v>
      </c>
      <c r="C2502" s="64" t="s">
        <v>702</v>
      </c>
      <c r="K2502">
        <v>19</v>
      </c>
    </row>
    <row r="2503" spans="1:18" customFormat="1">
      <c r="A2503" s="102"/>
      <c r="B2503" s="101" t="s">
        <v>4371</v>
      </c>
      <c r="C2503" s="100" t="s">
        <v>494</v>
      </c>
      <c r="D2503" s="102"/>
      <c r="K2503">
        <v>20</v>
      </c>
      <c r="L2503">
        <v>91</v>
      </c>
    </row>
    <row r="2504" spans="1:18" customFormat="1">
      <c r="A2504" s="102"/>
      <c r="B2504" s="101" t="s">
        <v>4372</v>
      </c>
      <c r="C2504" s="100" t="s">
        <v>494</v>
      </c>
      <c r="D2504" s="102"/>
      <c r="K2504">
        <v>21</v>
      </c>
      <c r="L2504">
        <v>92</v>
      </c>
    </row>
    <row r="2505" spans="1:18" customFormat="1">
      <c r="A2505" s="7"/>
      <c r="B2505" s="66"/>
      <c r="C2505" s="64"/>
      <c r="D2505" s="7"/>
    </row>
    <row r="2506" spans="1:18" customFormat="1">
      <c r="A2506" s="64" t="s">
        <v>4384</v>
      </c>
      <c r="B2506" s="66" t="s">
        <v>4385</v>
      </c>
      <c r="C2506" s="64" t="s">
        <v>494</v>
      </c>
      <c r="D2506" s="7"/>
      <c r="E2506" s="108" t="s">
        <v>476</v>
      </c>
      <c r="F2506">
        <v>22</v>
      </c>
      <c r="G2506">
        <v>2225</v>
      </c>
      <c r="H2506" s="62" t="s">
        <v>4380</v>
      </c>
      <c r="J2506">
        <v>1</v>
      </c>
      <c r="K2506">
        <v>1</v>
      </c>
      <c r="L2506">
        <v>52</v>
      </c>
      <c r="N2506" s="62">
        <v>2210</v>
      </c>
      <c r="O2506" s="66" t="s">
        <v>3652</v>
      </c>
    </row>
    <row r="2507" spans="1:18" customFormat="1">
      <c r="A2507" s="7"/>
      <c r="B2507" s="66" t="s">
        <v>4386</v>
      </c>
      <c r="C2507" s="64" t="s">
        <v>494</v>
      </c>
      <c r="D2507" s="7"/>
      <c r="E2507" s="108" t="s">
        <v>476</v>
      </c>
      <c r="K2507">
        <v>2</v>
      </c>
      <c r="L2507">
        <v>6</v>
      </c>
    </row>
    <row r="2508" spans="1:18" customFormat="1">
      <c r="A2508" s="7"/>
      <c r="B2508" s="66" t="s">
        <v>4387</v>
      </c>
      <c r="C2508" s="64" t="s">
        <v>494</v>
      </c>
      <c r="D2508" s="7"/>
      <c r="K2508">
        <v>3</v>
      </c>
      <c r="L2508">
        <v>6</v>
      </c>
    </row>
    <row r="2509" spans="1:18" customFormat="1">
      <c r="A2509" s="7"/>
      <c r="B2509" s="66" t="s">
        <v>4388</v>
      </c>
      <c r="C2509" s="64" t="s">
        <v>493</v>
      </c>
      <c r="D2509" s="7">
        <v>1</v>
      </c>
      <c r="K2509">
        <v>4</v>
      </c>
      <c r="L2509">
        <v>3</v>
      </c>
      <c r="N2509" s="64" t="s">
        <v>4383</v>
      </c>
      <c r="O2509" s="66" t="s">
        <v>4381</v>
      </c>
      <c r="P2509" s="66" t="s">
        <v>4382</v>
      </c>
    </row>
    <row r="2510" spans="1:18" customFormat="1">
      <c r="A2510" s="7"/>
      <c r="B2510" s="66" t="s">
        <v>4389</v>
      </c>
      <c r="C2510" s="64" t="s">
        <v>493</v>
      </c>
      <c r="D2510" s="7">
        <v>1</v>
      </c>
      <c r="K2510">
        <v>5</v>
      </c>
      <c r="L2510">
        <v>3</v>
      </c>
      <c r="N2510" s="64" t="s">
        <v>4383</v>
      </c>
      <c r="O2510" s="66" t="s">
        <v>4381</v>
      </c>
      <c r="P2510" s="66" t="s">
        <v>4382</v>
      </c>
    </row>
    <row r="2511" spans="1:18" customFormat="1">
      <c r="A2511" s="7"/>
      <c r="B2511" s="66" t="s">
        <v>4390</v>
      </c>
      <c r="C2511" s="64" t="s">
        <v>494</v>
      </c>
      <c r="D2511" s="7"/>
      <c r="K2511">
        <v>6</v>
      </c>
      <c r="L2511">
        <v>7</v>
      </c>
    </row>
    <row r="2512" spans="1:18" customFormat="1">
      <c r="A2512" s="7"/>
      <c r="B2512" s="66" t="s">
        <v>4391</v>
      </c>
      <c r="C2512" s="64" t="s">
        <v>494</v>
      </c>
      <c r="D2512" s="7"/>
      <c r="K2512">
        <v>7</v>
      </c>
      <c r="L2512">
        <v>8</v>
      </c>
    </row>
    <row r="2513" spans="1:18" customFormat="1">
      <c r="A2513" s="7"/>
      <c r="B2513" s="66" t="s">
        <v>4392</v>
      </c>
      <c r="C2513" s="64" t="s">
        <v>520</v>
      </c>
      <c r="D2513" s="7"/>
      <c r="K2513">
        <v>8</v>
      </c>
    </row>
    <row r="2514" spans="1:18" customFormat="1">
      <c r="A2514" s="7"/>
      <c r="B2514" s="66"/>
      <c r="C2514" s="64"/>
      <c r="D2514" s="7"/>
    </row>
    <row r="2515" spans="1:18" customFormat="1">
      <c r="A2515" s="7"/>
      <c r="B2515" s="66"/>
      <c r="C2515" s="64"/>
      <c r="D2515" s="7"/>
    </row>
    <row r="2516" spans="1:18" customFormat="1">
      <c r="A2516" s="7"/>
      <c r="B2516" s="66"/>
      <c r="C2516" s="64"/>
      <c r="D2516" s="7"/>
    </row>
    <row r="2517" spans="1:18" customFormat="1">
      <c r="B2517" s="66"/>
      <c r="C2517" s="62"/>
      <c r="K2517" s="55"/>
    </row>
    <row r="2518" spans="1:18" s="3" customFormat="1">
      <c r="A2518" s="62"/>
      <c r="B2518" s="62"/>
      <c r="C2518" s="62"/>
      <c r="D2518" s="62"/>
      <c r="E2518" s="62"/>
      <c r="F2518" s="62"/>
      <c r="G2518" s="62"/>
      <c r="H2518" s="62"/>
      <c r="I2518" s="62"/>
      <c r="J2518" s="62"/>
      <c r="K2518" s="76"/>
      <c r="L2518" s="62"/>
      <c r="M2518" s="62"/>
      <c r="N2518" s="62"/>
      <c r="O2518" s="62"/>
      <c r="P2518" s="62"/>
      <c r="Q2518" s="12"/>
      <c r="R2518" s="12"/>
    </row>
    <row r="2519" spans="1:18" s="3" customFormat="1">
      <c r="A2519" s="62"/>
      <c r="B2519" s="62"/>
      <c r="C2519" s="62"/>
      <c r="D2519" s="62"/>
      <c r="E2519" s="62"/>
      <c r="F2519" s="62"/>
      <c r="G2519" s="62"/>
      <c r="H2519" s="62"/>
      <c r="I2519" s="62"/>
      <c r="J2519" s="62"/>
      <c r="K2519" s="76"/>
      <c r="L2519" s="62"/>
      <c r="M2519" s="62"/>
      <c r="N2519" s="62"/>
      <c r="O2519" s="62"/>
      <c r="P2519" s="62"/>
      <c r="Q2519" s="12"/>
      <c r="R2519" s="12"/>
    </row>
    <row r="2520" spans="1:18" customFormat="1">
      <c r="B2520" s="66"/>
      <c r="C2520" s="64"/>
    </row>
    <row r="2521" spans="1:18" customFormat="1"/>
    <row r="2522" spans="1:18" s="3" customFormat="1">
      <c r="A2522" s="62"/>
      <c r="B2522" s="62"/>
      <c r="C2522" s="62"/>
      <c r="D2522" s="62"/>
      <c r="E2522" s="62"/>
      <c r="F2522" s="62"/>
      <c r="G2522" s="62"/>
      <c r="H2522" s="62"/>
      <c r="I2522" s="62"/>
      <c r="J2522" s="62"/>
      <c r="K2522" s="76"/>
      <c r="L2522" s="62"/>
      <c r="M2522" s="62"/>
      <c r="N2522" s="62"/>
      <c r="O2522" s="62"/>
      <c r="P2522" s="62"/>
      <c r="Q2522" s="12"/>
      <c r="R2522" s="12"/>
    </row>
    <row r="2523" spans="1:18">
      <c r="B2523" s="60"/>
      <c r="F2523" s="14"/>
      <c r="G2523" s="14"/>
      <c r="H2523" s="14"/>
      <c r="I2523" s="11"/>
      <c r="J2523" s="14"/>
      <c r="K2523" s="16"/>
      <c r="L2523" s="15"/>
      <c r="M2523" s="14"/>
      <c r="N2523" s="62"/>
      <c r="O2523" s="60"/>
      <c r="P2523" s="23"/>
      <c r="Q2523" s="14"/>
      <c r="R2523" s="14"/>
    </row>
    <row r="2524" spans="1:18" customFormat="1">
      <c r="A2524" s="91" t="s">
        <v>3262</v>
      </c>
      <c r="B2524" s="62" t="s">
        <v>3264</v>
      </c>
      <c r="C2524" s="62" t="s">
        <v>494</v>
      </c>
      <c r="E2524" s="62" t="s">
        <v>476</v>
      </c>
      <c r="F2524">
        <v>24</v>
      </c>
      <c r="G2524">
        <v>2450</v>
      </c>
      <c r="H2524" s="62" t="s">
        <v>4294</v>
      </c>
      <c r="I2524" s="62" t="s">
        <v>4295</v>
      </c>
      <c r="J2524">
        <v>11</v>
      </c>
      <c r="K2524" s="55">
        <v>1</v>
      </c>
      <c r="L2524" s="9">
        <v>3</v>
      </c>
      <c r="M2524" s="1"/>
      <c r="N2524" s="10" t="s">
        <v>506</v>
      </c>
      <c r="O2524" s="10" t="s">
        <v>514</v>
      </c>
      <c r="P2524" s="1" t="s">
        <v>515</v>
      </c>
    </row>
    <row r="2525" spans="1:18" customFormat="1">
      <c r="B2525" s="62" t="s">
        <v>3265</v>
      </c>
      <c r="C2525" s="62" t="s">
        <v>494</v>
      </c>
      <c r="E2525" s="62" t="s">
        <v>476</v>
      </c>
      <c r="K2525" s="55">
        <v>2</v>
      </c>
      <c r="L2525">
        <v>8</v>
      </c>
    </row>
    <row r="2526" spans="1:18" customFormat="1">
      <c r="B2526" s="62" t="s">
        <v>3266</v>
      </c>
      <c r="C2526" s="62" t="s">
        <v>494</v>
      </c>
      <c r="E2526" s="62" t="s">
        <v>476</v>
      </c>
      <c r="K2526" s="55">
        <v>3</v>
      </c>
      <c r="L2526" s="68">
        <v>9</v>
      </c>
      <c r="M2526" s="1"/>
      <c r="N2526" s="62" t="s">
        <v>1038</v>
      </c>
      <c r="O2526" s="23" t="s">
        <v>1040</v>
      </c>
      <c r="P2526" s="23" t="s">
        <v>1041</v>
      </c>
      <c r="Q2526" s="23" t="s">
        <v>1040</v>
      </c>
      <c r="R2526" s="14">
        <v>140</v>
      </c>
    </row>
    <row r="2527" spans="1:18" customFormat="1">
      <c r="B2527" s="62" t="s">
        <v>3268</v>
      </c>
      <c r="C2527" s="62" t="s">
        <v>494</v>
      </c>
      <c r="K2527" s="55">
        <v>4</v>
      </c>
      <c r="L2527" s="32">
        <v>6</v>
      </c>
    </row>
    <row r="2528" spans="1:18" customFormat="1">
      <c r="B2528" s="62" t="s">
        <v>4278</v>
      </c>
      <c r="C2528" s="62" t="s">
        <v>702</v>
      </c>
      <c r="G2528" s="62"/>
      <c r="K2528" s="55">
        <v>37</v>
      </c>
      <c r="M2528">
        <v>2</v>
      </c>
    </row>
    <row r="2529" spans="2:13" customFormat="1">
      <c r="B2529" s="62" t="s">
        <v>4279</v>
      </c>
      <c r="C2529" s="62" t="s">
        <v>494</v>
      </c>
      <c r="G2529" s="62"/>
      <c r="K2529" s="55">
        <v>38</v>
      </c>
      <c r="M2529">
        <v>2</v>
      </c>
    </row>
    <row r="2530" spans="2:13" customFormat="1">
      <c r="B2530" s="62" t="s">
        <v>4280</v>
      </c>
      <c r="C2530" s="62" t="s">
        <v>494</v>
      </c>
      <c r="G2530" s="62"/>
      <c r="K2530" s="55">
        <v>39</v>
      </c>
      <c r="M2530">
        <v>2</v>
      </c>
    </row>
    <row r="2531" spans="2:13" customFormat="1">
      <c r="B2531" s="62" t="s">
        <v>4281</v>
      </c>
      <c r="C2531" s="62" t="s">
        <v>494</v>
      </c>
      <c r="G2531" s="62"/>
      <c r="K2531" s="55">
        <v>40</v>
      </c>
      <c r="M2531">
        <v>2</v>
      </c>
    </row>
    <row r="2532" spans="2:13" customFormat="1">
      <c r="B2532" s="62" t="s">
        <v>4283</v>
      </c>
      <c r="C2532" s="62" t="s">
        <v>494</v>
      </c>
      <c r="G2532" s="62"/>
      <c r="K2532" s="55">
        <v>41</v>
      </c>
      <c r="M2532">
        <v>2</v>
      </c>
    </row>
    <row r="2533" spans="2:13" customFormat="1">
      <c r="B2533" s="62" t="s">
        <v>4282</v>
      </c>
      <c r="C2533" s="62" t="s">
        <v>494</v>
      </c>
      <c r="G2533" s="62"/>
      <c r="K2533" s="55">
        <v>42</v>
      </c>
      <c r="M2533">
        <v>2</v>
      </c>
    </row>
    <row r="2534" spans="2:13" customFormat="1">
      <c r="B2534" s="62" t="s">
        <v>4284</v>
      </c>
      <c r="C2534" s="62" t="s">
        <v>494</v>
      </c>
      <c r="G2534" s="62"/>
      <c r="K2534" s="55">
        <v>43</v>
      </c>
      <c r="M2534">
        <v>2</v>
      </c>
    </row>
    <row r="2535" spans="2:13" customFormat="1">
      <c r="B2535" s="62" t="s">
        <v>4285</v>
      </c>
      <c r="C2535" s="62" t="s">
        <v>494</v>
      </c>
      <c r="G2535" s="62"/>
      <c r="K2535" s="55">
        <v>44</v>
      </c>
      <c r="M2535">
        <v>2</v>
      </c>
    </row>
    <row r="2536" spans="2:13" customFormat="1">
      <c r="B2536" s="62" t="s">
        <v>4286</v>
      </c>
      <c r="C2536" s="62" t="s">
        <v>494</v>
      </c>
      <c r="G2536" s="62"/>
      <c r="K2536" s="55">
        <v>45</v>
      </c>
      <c r="M2536">
        <v>2</v>
      </c>
    </row>
    <row r="2537" spans="2:13" customFormat="1">
      <c r="B2537" s="62" t="s">
        <v>4287</v>
      </c>
      <c r="C2537" s="62" t="s">
        <v>494</v>
      </c>
      <c r="G2537" s="62"/>
      <c r="K2537" s="55">
        <v>46</v>
      </c>
      <c r="M2537">
        <v>2</v>
      </c>
    </row>
    <row r="2538" spans="2:13" customFormat="1">
      <c r="B2538" s="62" t="s">
        <v>4288</v>
      </c>
      <c r="C2538" s="62" t="s">
        <v>494</v>
      </c>
      <c r="G2538" s="62"/>
      <c r="K2538" s="55">
        <v>47</v>
      </c>
      <c r="M2538">
        <v>2</v>
      </c>
    </row>
    <row r="2539" spans="2:13" customFormat="1">
      <c r="B2539" s="62" t="s">
        <v>4289</v>
      </c>
      <c r="C2539" s="62" t="s">
        <v>494</v>
      </c>
      <c r="G2539" s="62"/>
      <c r="K2539" s="55">
        <v>48</v>
      </c>
      <c r="M2539">
        <v>2</v>
      </c>
    </row>
    <row r="2540" spans="2:13" customFormat="1">
      <c r="B2540" s="62" t="s">
        <v>4290</v>
      </c>
      <c r="C2540" s="62" t="s">
        <v>494</v>
      </c>
      <c r="G2540" s="62"/>
      <c r="K2540" s="55">
        <v>49</v>
      </c>
      <c r="M2540">
        <v>2</v>
      </c>
    </row>
    <row r="2541" spans="2:13" customFormat="1">
      <c r="B2541" s="62" t="s">
        <v>4291</v>
      </c>
      <c r="C2541" s="62" t="s">
        <v>494</v>
      </c>
      <c r="G2541" s="62"/>
      <c r="K2541" s="55">
        <v>50</v>
      </c>
      <c r="M2541">
        <v>2</v>
      </c>
    </row>
    <row r="2542" spans="2:13" customFormat="1">
      <c r="B2542" s="62" t="s">
        <v>4292</v>
      </c>
      <c r="C2542" s="62" t="s">
        <v>494</v>
      </c>
      <c r="G2542" s="62"/>
      <c r="K2542" s="55">
        <v>51</v>
      </c>
      <c r="M2542">
        <v>2</v>
      </c>
    </row>
    <row r="2543" spans="2:13" customFormat="1">
      <c r="B2543" s="62" t="s">
        <v>4293</v>
      </c>
      <c r="C2543" s="62" t="s">
        <v>494</v>
      </c>
      <c r="G2543" s="62"/>
      <c r="K2543" s="55">
        <v>52</v>
      </c>
      <c r="M2543">
        <v>2</v>
      </c>
    </row>
    <row r="2544" spans="2:13" customFormat="1">
      <c r="B2544" s="62" t="s">
        <v>4296</v>
      </c>
      <c r="C2544" s="62" t="s">
        <v>494</v>
      </c>
      <c r="G2544" s="62"/>
      <c r="K2544" s="55">
        <v>53</v>
      </c>
      <c r="M2544">
        <v>2</v>
      </c>
    </row>
    <row r="2545" spans="1:18" customFormat="1">
      <c r="B2545" s="62" t="s">
        <v>4297</v>
      </c>
      <c r="C2545" s="62" t="s">
        <v>494</v>
      </c>
      <c r="G2545" s="62"/>
      <c r="K2545" s="55">
        <v>54</v>
      </c>
      <c r="M2545">
        <v>2</v>
      </c>
    </row>
    <row r="2546" spans="1:18" customFormat="1">
      <c r="B2546" s="62"/>
      <c r="C2546" s="62"/>
      <c r="G2546" s="62"/>
      <c r="K2546" s="55"/>
    </row>
    <row r="2547" spans="1:18" customFormat="1"/>
    <row r="2548" spans="1:18">
      <c r="A2548" s="62" t="s">
        <v>2999</v>
      </c>
      <c r="B2548" s="60" t="s">
        <v>3000</v>
      </c>
      <c r="C2548" s="62" t="s">
        <v>494</v>
      </c>
      <c r="E2548" s="62" t="s">
        <v>476</v>
      </c>
      <c r="F2548" s="14">
        <v>1</v>
      </c>
      <c r="G2548" s="14">
        <v>185</v>
      </c>
      <c r="H2548" s="47" t="s">
        <v>3001</v>
      </c>
      <c r="I2548" s="48" t="s">
        <v>3002</v>
      </c>
      <c r="J2548" s="14">
        <v>1</v>
      </c>
      <c r="K2548" s="16">
        <v>1</v>
      </c>
      <c r="L2548" s="15">
        <v>6</v>
      </c>
      <c r="M2548" s="14"/>
      <c r="P2548" s="23"/>
      <c r="Q2548" s="14"/>
      <c r="R2548" s="14"/>
    </row>
    <row r="2549" spans="1:18">
      <c r="A2549" s="62"/>
      <c r="B2549" s="60" t="s">
        <v>2997</v>
      </c>
      <c r="C2549" s="62" t="s">
        <v>494</v>
      </c>
      <c r="E2549" s="62"/>
      <c r="F2549" s="14"/>
      <c r="G2549" s="14"/>
      <c r="H2549" s="14"/>
      <c r="I2549" s="11"/>
      <c r="J2549" s="14"/>
      <c r="K2549" s="16">
        <v>2</v>
      </c>
      <c r="L2549" s="15">
        <v>6</v>
      </c>
      <c r="M2549" s="14"/>
      <c r="P2549" s="23"/>
      <c r="Q2549" s="14"/>
      <c r="R2549" s="14"/>
    </row>
    <row r="2550" spans="1:18">
      <c r="B2550" s="60" t="s">
        <v>2998</v>
      </c>
      <c r="C2550" s="62" t="s">
        <v>493</v>
      </c>
      <c r="D2550" s="1">
        <v>50</v>
      </c>
      <c r="F2550" s="14"/>
      <c r="G2550" s="14"/>
      <c r="H2550" s="14"/>
      <c r="I2550" s="11"/>
      <c r="J2550" s="14"/>
      <c r="K2550" s="16">
        <v>3</v>
      </c>
      <c r="L2550" s="15"/>
      <c r="M2550" s="14"/>
      <c r="P2550" s="23"/>
      <c r="Q2550" s="14"/>
      <c r="R2550" s="14"/>
    </row>
    <row r="2551" spans="1:18">
      <c r="B2551" s="60"/>
      <c r="C2551" s="62"/>
      <c r="F2551" s="14"/>
      <c r="G2551" s="14"/>
      <c r="H2551" s="14"/>
      <c r="I2551" s="11"/>
      <c r="J2551" s="14"/>
      <c r="K2551" s="16"/>
      <c r="L2551" s="15"/>
      <c r="M2551" s="14"/>
      <c r="P2551" s="23"/>
      <c r="Q2551" s="14"/>
      <c r="R2551" s="14"/>
    </row>
    <row r="2552" spans="1:18" s="3" customFormat="1">
      <c r="A2552" s="62"/>
      <c r="B2552" s="62"/>
      <c r="C2552" s="62"/>
      <c r="D2552" s="62"/>
      <c r="E2552" s="62"/>
      <c r="F2552" s="62"/>
      <c r="G2552" s="62"/>
      <c r="H2552" s="62"/>
      <c r="I2552" s="62"/>
      <c r="J2552" s="62"/>
      <c r="K2552" s="76"/>
      <c r="L2552" s="75"/>
      <c r="M2552" s="62"/>
      <c r="N2552" s="62"/>
      <c r="O2552" s="62"/>
      <c r="P2552" s="62"/>
      <c r="Q2552" s="12"/>
      <c r="R2552" s="12"/>
    </row>
    <row r="2553" spans="1:18" s="3" customFormat="1">
      <c r="A2553" s="62"/>
      <c r="B2553" s="62"/>
      <c r="C2553" s="62"/>
      <c r="D2553" s="62"/>
      <c r="E2553" s="62"/>
      <c r="F2553" s="62"/>
      <c r="G2553" s="62"/>
      <c r="H2553" s="62"/>
      <c r="I2553" s="62"/>
      <c r="J2553" s="62"/>
      <c r="K2553" s="76"/>
      <c r="L2553" s="75"/>
      <c r="M2553" s="62"/>
      <c r="N2553" s="62"/>
      <c r="O2553" s="62"/>
      <c r="P2553" s="62"/>
      <c r="Q2553" s="12"/>
      <c r="R2553" s="12"/>
    </row>
    <row r="2554" spans="1:18">
      <c r="A2554" s="62" t="s">
        <v>975</v>
      </c>
      <c r="B2554" s="60" t="s">
        <v>976</v>
      </c>
      <c r="C2554" s="1" t="s">
        <v>494</v>
      </c>
      <c r="E2554" s="1" t="s">
        <v>476</v>
      </c>
      <c r="F2554" s="14">
        <v>21</v>
      </c>
      <c r="G2554" s="14">
        <v>2139</v>
      </c>
      <c r="H2554" s="47" t="s">
        <v>4276</v>
      </c>
      <c r="I2554" s="48" t="s">
        <v>4277</v>
      </c>
      <c r="J2554" s="14">
        <v>2103</v>
      </c>
      <c r="K2554" s="16">
        <v>1</v>
      </c>
      <c r="L2554" s="15">
        <v>3</v>
      </c>
      <c r="M2554" s="14"/>
      <c r="N2554" s="64" t="s">
        <v>506</v>
      </c>
      <c r="O2554" s="64" t="s">
        <v>514</v>
      </c>
      <c r="P2554" s="62" t="s">
        <v>515</v>
      </c>
      <c r="Q2554" s="14"/>
      <c r="R2554" s="14"/>
    </row>
    <row r="2555" spans="1:18">
      <c r="B2555" s="60" t="s">
        <v>977</v>
      </c>
      <c r="C2555" s="1" t="s">
        <v>494</v>
      </c>
      <c r="E2555" s="1" t="s">
        <v>476</v>
      </c>
      <c r="F2555" s="14"/>
      <c r="G2555" s="14"/>
      <c r="H2555" s="14"/>
      <c r="I2555" s="11"/>
      <c r="J2555" s="14"/>
      <c r="K2555" s="16">
        <v>2</v>
      </c>
      <c r="L2555" s="15">
        <v>9</v>
      </c>
      <c r="M2555" s="14"/>
      <c r="N2555" s="62" t="s">
        <v>1038</v>
      </c>
      <c r="O2555" s="23" t="s">
        <v>1040</v>
      </c>
      <c r="P2555" s="23" t="s">
        <v>1041</v>
      </c>
      <c r="Q2555" s="23" t="s">
        <v>1040</v>
      </c>
      <c r="R2555" s="14">
        <v>140</v>
      </c>
    </row>
    <row r="2556" spans="1:18">
      <c r="B2556" s="60" t="s">
        <v>978</v>
      </c>
      <c r="C2556" s="1" t="s">
        <v>494</v>
      </c>
      <c r="E2556" s="1" t="s">
        <v>476</v>
      </c>
      <c r="F2556" s="14"/>
      <c r="G2556" s="14"/>
      <c r="H2556" s="14"/>
      <c r="I2556" s="11"/>
      <c r="J2556" s="14"/>
      <c r="K2556" s="16">
        <v>3</v>
      </c>
      <c r="L2556" s="15">
        <v>3</v>
      </c>
      <c r="M2556" s="14"/>
      <c r="N2556" s="1" t="s">
        <v>379</v>
      </c>
      <c r="O2556" s="62" t="s">
        <v>698</v>
      </c>
      <c r="P2556" s="62" t="s">
        <v>699</v>
      </c>
      <c r="Q2556" s="14"/>
      <c r="R2556" s="14"/>
    </row>
    <row r="2557" spans="1:18">
      <c r="B2557" s="60" t="s">
        <v>979</v>
      </c>
      <c r="C2557" s="1" t="s">
        <v>494</v>
      </c>
      <c r="F2557" s="14"/>
      <c r="G2557" s="14"/>
      <c r="H2557" s="14"/>
      <c r="I2557" s="11"/>
      <c r="J2557" s="14"/>
      <c r="K2557" s="16">
        <v>4</v>
      </c>
      <c r="L2557" s="15">
        <v>6</v>
      </c>
      <c r="M2557" s="14"/>
      <c r="P2557" s="14"/>
      <c r="Q2557" s="14"/>
      <c r="R2557" s="14"/>
    </row>
    <row r="2558" spans="1:18">
      <c r="B2558" s="60" t="s">
        <v>980</v>
      </c>
      <c r="C2558" s="1" t="s">
        <v>494</v>
      </c>
      <c r="F2558" s="14"/>
      <c r="G2558" s="14"/>
      <c r="H2558" s="14"/>
      <c r="I2558" s="11"/>
      <c r="J2558" s="14"/>
      <c r="K2558" s="16">
        <v>5</v>
      </c>
      <c r="L2558" s="15">
        <v>3</v>
      </c>
      <c r="M2558" s="14">
        <v>1</v>
      </c>
      <c r="N2558" s="62" t="s">
        <v>974</v>
      </c>
      <c r="O2558" s="60" t="s">
        <v>954</v>
      </c>
      <c r="P2558" s="23" t="s">
        <v>984</v>
      </c>
      <c r="Q2558" s="14"/>
      <c r="R2558" s="14"/>
    </row>
    <row r="2559" spans="1:18">
      <c r="B2559" s="60" t="s">
        <v>268</v>
      </c>
      <c r="C2559" s="1" t="s">
        <v>494</v>
      </c>
      <c r="F2559" s="14"/>
      <c r="G2559" s="14"/>
      <c r="H2559" s="14"/>
      <c r="I2559" s="11"/>
      <c r="J2559" s="14"/>
      <c r="K2559" s="16">
        <v>6</v>
      </c>
      <c r="L2559" s="15">
        <v>3</v>
      </c>
      <c r="M2559" s="14">
        <v>1</v>
      </c>
      <c r="N2559" s="62" t="s">
        <v>269</v>
      </c>
      <c r="O2559" s="23" t="s">
        <v>270</v>
      </c>
      <c r="P2559" s="23" t="s">
        <v>271</v>
      </c>
      <c r="Q2559" s="14"/>
      <c r="R2559" s="14"/>
    </row>
    <row r="2560" spans="1:18">
      <c r="B2560" s="66" t="s">
        <v>4270</v>
      </c>
      <c r="C2560" s="64" t="s">
        <v>494</v>
      </c>
      <c r="D2560" s="16"/>
      <c r="F2560" s="14"/>
      <c r="G2560" s="14"/>
      <c r="H2560" s="47"/>
      <c r="I2560" s="11"/>
      <c r="J2560" s="14"/>
      <c r="K2560" s="16">
        <v>7</v>
      </c>
      <c r="L2560" s="32">
        <v>3</v>
      </c>
      <c r="M2560" s="62"/>
      <c r="N2560" s="62"/>
      <c r="O2560" s="62"/>
      <c r="P2560" s="62"/>
      <c r="Q2560" s="62"/>
      <c r="R2560" s="14"/>
    </row>
    <row r="2561" spans="1:18">
      <c r="B2561" s="66" t="s">
        <v>4271</v>
      </c>
      <c r="C2561" s="64" t="s">
        <v>494</v>
      </c>
      <c r="D2561" s="16"/>
      <c r="F2561" s="14"/>
      <c r="G2561" s="14"/>
      <c r="H2561" s="47"/>
      <c r="I2561" s="11"/>
      <c r="J2561" s="14"/>
      <c r="K2561" s="16">
        <v>8</v>
      </c>
      <c r="L2561" s="32">
        <v>3</v>
      </c>
      <c r="M2561" s="62"/>
      <c r="N2561" s="62"/>
      <c r="O2561" s="62"/>
      <c r="P2561" s="62"/>
      <c r="Q2561" s="62"/>
      <c r="R2561" s="14"/>
    </row>
    <row r="2562" spans="1:18">
      <c r="B2562" s="66" t="s">
        <v>4272</v>
      </c>
      <c r="C2562" s="64" t="s">
        <v>702</v>
      </c>
      <c r="D2562" s="16"/>
      <c r="F2562" s="14"/>
      <c r="G2562" s="14"/>
      <c r="H2562" s="47"/>
      <c r="I2562" s="11"/>
      <c r="J2562" s="14"/>
      <c r="K2562" s="16">
        <v>9</v>
      </c>
      <c r="L2562" s="32"/>
      <c r="M2562" s="62"/>
      <c r="N2562" s="62"/>
      <c r="O2562" s="62"/>
      <c r="P2562" s="62"/>
      <c r="Q2562" s="62"/>
      <c r="R2562" s="14"/>
    </row>
    <row r="2563" spans="1:18">
      <c r="B2563" s="66" t="s">
        <v>4273</v>
      </c>
      <c r="C2563" s="64" t="s">
        <v>702</v>
      </c>
      <c r="D2563" s="16"/>
      <c r="F2563" s="14"/>
      <c r="G2563" s="14"/>
      <c r="H2563" s="47"/>
      <c r="I2563" s="11"/>
      <c r="J2563" s="14"/>
      <c r="K2563" s="16">
        <v>10</v>
      </c>
      <c r="L2563" s="32"/>
      <c r="M2563" s="62"/>
      <c r="N2563" s="62"/>
      <c r="O2563" s="62"/>
      <c r="P2563" s="62"/>
      <c r="Q2563" s="62"/>
      <c r="R2563" s="14"/>
    </row>
    <row r="2564" spans="1:18">
      <c r="B2564" s="66" t="s">
        <v>4274</v>
      </c>
      <c r="C2564" s="64" t="s">
        <v>702</v>
      </c>
      <c r="D2564" s="16"/>
      <c r="F2564" s="14"/>
      <c r="G2564" s="14"/>
      <c r="H2564" s="47"/>
      <c r="I2564" s="11"/>
      <c r="J2564" s="14"/>
      <c r="K2564" s="16">
        <v>11</v>
      </c>
      <c r="L2564" s="32"/>
      <c r="M2564" s="62"/>
      <c r="N2564" s="62"/>
      <c r="O2564" s="62"/>
      <c r="P2564" s="62"/>
      <c r="Q2564" s="62"/>
      <c r="R2564" s="14"/>
    </row>
    <row r="2565" spans="1:18">
      <c r="B2565" s="66" t="s">
        <v>4275</v>
      </c>
      <c r="C2565" s="64" t="s">
        <v>702</v>
      </c>
      <c r="D2565" s="16"/>
      <c r="F2565" s="14"/>
      <c r="G2565" s="14"/>
      <c r="H2565" s="47"/>
      <c r="I2565" s="11"/>
      <c r="J2565" s="14"/>
      <c r="K2565" s="16">
        <v>12</v>
      </c>
      <c r="L2565" s="32"/>
      <c r="M2565" s="62"/>
      <c r="N2565" s="62"/>
      <c r="O2565" s="62"/>
      <c r="P2565" s="62"/>
      <c r="Q2565" s="62"/>
      <c r="R2565" s="14"/>
    </row>
    <row r="2566" spans="1:18">
      <c r="B2566" s="66"/>
      <c r="C2566" s="64"/>
      <c r="D2566" s="16"/>
      <c r="F2566" s="14"/>
      <c r="G2566" s="14"/>
      <c r="H2566" s="47"/>
      <c r="I2566" s="11"/>
      <c r="J2566" s="14"/>
      <c r="K2566" s="16"/>
      <c r="L2566" s="32"/>
      <c r="M2566" s="62"/>
      <c r="N2566" s="62"/>
      <c r="O2566" s="62"/>
      <c r="P2566" s="62"/>
      <c r="Q2566" s="62"/>
      <c r="R2566" s="14"/>
    </row>
    <row r="2567" spans="1:18" customFormat="1"/>
    <row r="2568" spans="1:18">
      <c r="A2568" s="62" t="s">
        <v>1038</v>
      </c>
      <c r="B2568" s="60" t="s">
        <v>1039</v>
      </c>
      <c r="C2568" s="1" t="s">
        <v>494</v>
      </c>
      <c r="E2568" s="1" t="s">
        <v>476</v>
      </c>
      <c r="F2568" s="14">
        <v>17</v>
      </c>
      <c r="G2568" s="14">
        <v>140</v>
      </c>
      <c r="H2568" s="14" t="s">
        <v>1042</v>
      </c>
      <c r="I2568" s="11" t="s">
        <v>1043</v>
      </c>
      <c r="J2568" s="14">
        <v>1</v>
      </c>
      <c r="K2568" s="16">
        <v>1</v>
      </c>
      <c r="L2568" s="15"/>
      <c r="M2568" s="14"/>
      <c r="P2568" s="14"/>
      <c r="Q2568" s="14"/>
      <c r="R2568" s="14"/>
    </row>
    <row r="2569" spans="1:18">
      <c r="B2569" s="60" t="s">
        <v>1040</v>
      </c>
      <c r="C2569" s="1" t="s">
        <v>494</v>
      </c>
      <c r="F2569" s="14"/>
      <c r="G2569" s="14"/>
      <c r="H2569" s="14"/>
      <c r="I2569" s="11"/>
      <c r="J2569" s="14"/>
      <c r="K2569" s="16">
        <v>2</v>
      </c>
      <c r="L2569" s="15">
        <v>6</v>
      </c>
      <c r="M2569" s="14"/>
      <c r="N2569" s="23"/>
      <c r="O2569" s="14"/>
      <c r="P2569" s="14"/>
      <c r="Q2569" s="14"/>
      <c r="R2569" s="14"/>
    </row>
    <row r="2570" spans="1:18">
      <c r="B2570" s="60" t="s">
        <v>1041</v>
      </c>
      <c r="C2570" s="1" t="s">
        <v>493</v>
      </c>
      <c r="D2570" s="1">
        <v>255</v>
      </c>
      <c r="F2570" s="14"/>
      <c r="G2570" s="14"/>
      <c r="H2570" s="14"/>
      <c r="I2570" s="11"/>
      <c r="J2570" s="14"/>
      <c r="K2570" s="16">
        <v>3</v>
      </c>
      <c r="L2570" s="15"/>
      <c r="M2570" s="14"/>
      <c r="N2570" s="23"/>
      <c r="O2570" s="14"/>
      <c r="P2570" s="14"/>
      <c r="Q2570" s="14"/>
      <c r="R2570" s="14"/>
    </row>
    <row r="2571" spans="1:18">
      <c r="B2571" s="23" t="s">
        <v>1044</v>
      </c>
      <c r="C2571" s="1" t="s">
        <v>494</v>
      </c>
      <c r="F2571" s="14"/>
      <c r="G2571" s="14"/>
      <c r="H2571" s="14"/>
      <c r="I2571" s="11"/>
      <c r="J2571" s="14"/>
      <c r="K2571" s="16">
        <v>4</v>
      </c>
      <c r="L2571" s="15">
        <v>3</v>
      </c>
      <c r="M2571" s="14"/>
      <c r="N2571" s="1" t="s">
        <v>956</v>
      </c>
      <c r="O2571" s="23" t="s">
        <v>957</v>
      </c>
      <c r="P2571" s="23" t="s">
        <v>958</v>
      </c>
      <c r="Q2571" s="14"/>
      <c r="R2571" s="14"/>
    </row>
    <row r="2572" spans="1:18">
      <c r="B2572" s="23" t="s">
        <v>1045</v>
      </c>
      <c r="C2572" s="1" t="s">
        <v>494</v>
      </c>
      <c r="F2572" s="14"/>
      <c r="G2572" s="14"/>
      <c r="H2572" s="14"/>
      <c r="I2572" s="11"/>
      <c r="J2572" s="14"/>
      <c r="K2572" s="16">
        <v>5</v>
      </c>
      <c r="L2572" s="15"/>
      <c r="M2572" s="14"/>
      <c r="N2572" s="23"/>
      <c r="O2572" s="14"/>
      <c r="P2572" s="14"/>
      <c r="Q2572" s="14"/>
      <c r="R2572" s="14"/>
    </row>
    <row r="2573" spans="1:18">
      <c r="B2573" s="23" t="s">
        <v>1046</v>
      </c>
      <c r="C2573" s="1" t="s">
        <v>494</v>
      </c>
      <c r="F2573" s="14"/>
      <c r="G2573" s="14"/>
      <c r="H2573" s="14"/>
      <c r="I2573" s="11"/>
      <c r="J2573" s="14"/>
      <c r="K2573" s="16">
        <v>6</v>
      </c>
      <c r="L2573" s="15"/>
      <c r="M2573" s="14"/>
      <c r="N2573" s="23"/>
      <c r="P2573" s="14"/>
      <c r="Q2573" s="14"/>
      <c r="R2573" s="14"/>
    </row>
    <row r="2574" spans="1:18">
      <c r="B2574" s="65" t="s">
        <v>1047</v>
      </c>
      <c r="C2574" s="1" t="s">
        <v>494</v>
      </c>
      <c r="F2574" s="14"/>
      <c r="G2574" s="14"/>
      <c r="H2574" s="14"/>
      <c r="I2574" s="11"/>
      <c r="J2574" s="14"/>
      <c r="K2574" s="16">
        <v>7</v>
      </c>
      <c r="L2574" s="15">
        <v>3</v>
      </c>
      <c r="M2574" s="14"/>
      <c r="N2574" s="1" t="s">
        <v>1002</v>
      </c>
      <c r="O2574" s="23" t="s">
        <v>1004</v>
      </c>
      <c r="P2574" s="23" t="s">
        <v>1023</v>
      </c>
      <c r="Q2574" s="14"/>
      <c r="R2574" s="14"/>
    </row>
    <row r="2575" spans="1:18">
      <c r="B2575" s="43" t="s">
        <v>1048</v>
      </c>
      <c r="C2575" s="1" t="s">
        <v>494</v>
      </c>
      <c r="F2575" s="14"/>
      <c r="G2575" s="14"/>
      <c r="H2575" s="14"/>
      <c r="I2575" s="11"/>
      <c r="J2575" s="14"/>
      <c r="K2575" s="16">
        <v>8</v>
      </c>
      <c r="L2575" s="15">
        <v>3</v>
      </c>
      <c r="M2575" s="14"/>
      <c r="N2575" s="44" t="s">
        <v>1049</v>
      </c>
      <c r="O2575" s="23" t="s">
        <v>1050</v>
      </c>
      <c r="P2575" s="23" t="s">
        <v>1051</v>
      </c>
      <c r="Q2575" s="14"/>
      <c r="R2575" s="14"/>
    </row>
    <row r="2576" spans="1:18">
      <c r="B2576" s="60" t="s">
        <v>1055</v>
      </c>
      <c r="C2576" s="1" t="s">
        <v>494</v>
      </c>
      <c r="F2576" s="14"/>
      <c r="G2576" s="14"/>
      <c r="H2576" s="14"/>
      <c r="I2576" s="11"/>
      <c r="J2576" s="14"/>
      <c r="K2576" s="16">
        <v>9</v>
      </c>
      <c r="L2576" s="15">
        <v>3</v>
      </c>
      <c r="M2576" s="14"/>
      <c r="N2576" s="1" t="s">
        <v>1056</v>
      </c>
      <c r="O2576" s="23" t="s">
        <v>1058</v>
      </c>
      <c r="P2576" s="23" t="s">
        <v>1059</v>
      </c>
      <c r="Q2576" s="14"/>
      <c r="R2576" s="14"/>
    </row>
    <row r="2577" spans="1:18">
      <c r="B2577" s="23" t="s">
        <v>1062</v>
      </c>
      <c r="C2577" s="1" t="s">
        <v>494</v>
      </c>
      <c r="F2577" s="14"/>
      <c r="G2577" s="14"/>
      <c r="H2577" s="14"/>
      <c r="I2577" s="11"/>
      <c r="J2577" s="14"/>
      <c r="K2577" s="16">
        <v>10</v>
      </c>
      <c r="L2577" s="15">
        <v>3</v>
      </c>
      <c r="M2577" s="14"/>
      <c r="N2577" s="1" t="s">
        <v>1063</v>
      </c>
      <c r="O2577" s="23" t="s">
        <v>1065</v>
      </c>
      <c r="P2577" s="29" t="s">
        <v>1066</v>
      </c>
      <c r="Q2577" s="14"/>
      <c r="R2577" s="14"/>
    </row>
    <row r="2578" spans="1:18">
      <c r="B2578" s="60" t="s">
        <v>1069</v>
      </c>
      <c r="C2578" s="1" t="s">
        <v>494</v>
      </c>
      <c r="F2578" s="14"/>
      <c r="G2578" s="14"/>
      <c r="H2578" s="14"/>
      <c r="I2578" s="11"/>
      <c r="J2578" s="14"/>
      <c r="K2578" s="16">
        <v>11</v>
      </c>
      <c r="L2578" s="15"/>
      <c r="M2578" s="14"/>
      <c r="O2578" s="23"/>
      <c r="P2578" s="29"/>
      <c r="Q2578" s="14"/>
      <c r="R2578" s="14"/>
    </row>
    <row r="2579" spans="1:18">
      <c r="B2579" s="60" t="s">
        <v>1111</v>
      </c>
      <c r="C2579" s="1" t="s">
        <v>494</v>
      </c>
      <c r="F2579" s="14"/>
      <c r="G2579" s="77"/>
      <c r="H2579" s="14"/>
      <c r="I2579" s="11"/>
      <c r="J2579" s="14"/>
      <c r="K2579" s="16">
        <v>12</v>
      </c>
      <c r="L2579" s="15">
        <v>3</v>
      </c>
      <c r="M2579" s="14">
        <v>31</v>
      </c>
      <c r="N2579" s="10" t="s">
        <v>24</v>
      </c>
      <c r="O2579" s="10" t="s">
        <v>26</v>
      </c>
      <c r="P2579" s="10" t="s">
        <v>27</v>
      </c>
      <c r="Q2579" s="1" t="s">
        <v>1114</v>
      </c>
      <c r="R2579" s="1">
        <v>9</v>
      </c>
    </row>
    <row r="2580" spans="1:18">
      <c r="B2580" s="60" t="s">
        <v>716</v>
      </c>
      <c r="C2580" s="1" t="s">
        <v>494</v>
      </c>
      <c r="F2580" s="14"/>
      <c r="G2580" s="14"/>
      <c r="H2580" s="14"/>
      <c r="I2580" s="11"/>
      <c r="J2580" s="14"/>
      <c r="K2580" s="16">
        <v>13</v>
      </c>
      <c r="L2580" s="15"/>
      <c r="M2580" s="14"/>
      <c r="N2580" s="10"/>
      <c r="O2580" s="10"/>
      <c r="P2580" s="10"/>
    </row>
    <row r="2581" spans="1:18">
      <c r="A2581" s="10"/>
      <c r="B2581" s="66" t="s">
        <v>52</v>
      </c>
      <c r="C2581" s="1" t="s">
        <v>494</v>
      </c>
      <c r="D2581" s="10"/>
      <c r="E2581" s="10"/>
      <c r="F2581" s="10"/>
      <c r="G2581" s="10"/>
      <c r="H2581" s="10"/>
      <c r="I2581" s="10"/>
      <c r="J2581" s="10"/>
      <c r="K2581" s="16">
        <v>14</v>
      </c>
      <c r="L2581" s="15">
        <v>3</v>
      </c>
      <c r="M2581" s="10"/>
      <c r="N2581" s="1" t="s">
        <v>995</v>
      </c>
      <c r="O2581" s="23" t="s">
        <v>997</v>
      </c>
      <c r="P2581" s="23" t="s">
        <v>996</v>
      </c>
      <c r="Q2581" s="10"/>
      <c r="R2581" s="10"/>
    </row>
    <row r="2582" spans="1:18">
      <c r="A2582" s="10"/>
      <c r="B2582" s="66" t="s">
        <v>53</v>
      </c>
      <c r="C2582" s="1" t="s">
        <v>494</v>
      </c>
      <c r="D2582" s="10"/>
      <c r="E2582" s="10"/>
      <c r="F2582" s="10"/>
      <c r="G2582" s="10"/>
      <c r="H2582" s="10"/>
      <c r="I2582" s="10"/>
      <c r="J2582" s="10"/>
      <c r="K2582" s="16">
        <v>15</v>
      </c>
      <c r="L2582" s="15">
        <v>3</v>
      </c>
      <c r="M2582" s="10"/>
      <c r="N2582" s="64" t="s">
        <v>3655</v>
      </c>
      <c r="O2582" s="66" t="s">
        <v>3648</v>
      </c>
      <c r="P2582" s="66" t="s">
        <v>3657</v>
      </c>
      <c r="Q2582" s="10"/>
      <c r="R2582" s="10"/>
    </row>
    <row r="2583" spans="1:18">
      <c r="A2583" s="10"/>
      <c r="B2583" s="29" t="s">
        <v>69</v>
      </c>
      <c r="C2583" s="1" t="s">
        <v>494</v>
      </c>
      <c r="D2583" s="10"/>
      <c r="E2583" s="10"/>
      <c r="F2583" s="10"/>
      <c r="G2583" s="10"/>
      <c r="H2583" s="10"/>
      <c r="I2583" s="10"/>
      <c r="J2583" s="10"/>
      <c r="K2583" s="16">
        <v>16</v>
      </c>
      <c r="L2583" s="15"/>
      <c r="M2583" s="10"/>
      <c r="N2583" s="10"/>
      <c r="O2583" s="29"/>
      <c r="P2583" s="29"/>
      <c r="Q2583" s="10"/>
      <c r="R2583" s="10"/>
    </row>
    <row r="2584" spans="1:18">
      <c r="B2584" s="60" t="s">
        <v>1821</v>
      </c>
      <c r="C2584" s="1" t="s">
        <v>494</v>
      </c>
      <c r="F2584" s="14"/>
      <c r="G2584" s="14"/>
      <c r="H2584" s="14"/>
      <c r="I2584" s="11"/>
      <c r="J2584" s="14"/>
      <c r="K2584" s="16">
        <v>17</v>
      </c>
      <c r="L2584" s="15">
        <v>3</v>
      </c>
      <c r="M2584" s="14">
        <v>31</v>
      </c>
      <c r="N2584" s="64" t="s">
        <v>24</v>
      </c>
      <c r="O2584" s="64" t="s">
        <v>26</v>
      </c>
      <c r="P2584" s="10" t="s">
        <v>27</v>
      </c>
      <c r="Q2584" s="1" t="s">
        <v>1114</v>
      </c>
      <c r="R2584" s="1">
        <v>9</v>
      </c>
    </row>
    <row r="2585" spans="1:18">
      <c r="B2585" s="66" t="s">
        <v>2004</v>
      </c>
      <c r="C2585" s="62" t="s">
        <v>493</v>
      </c>
      <c r="D2585" s="1">
        <v>1</v>
      </c>
      <c r="F2585" s="77"/>
      <c r="G2585" s="14"/>
      <c r="H2585" s="14"/>
      <c r="I2585" s="11"/>
      <c r="J2585" s="14"/>
      <c r="K2585" s="16">
        <v>18</v>
      </c>
      <c r="L2585" s="15">
        <v>3</v>
      </c>
      <c r="M2585" s="14"/>
      <c r="N2585" s="10"/>
      <c r="O2585" s="10"/>
      <c r="P2585" s="10"/>
    </row>
    <row r="2586" spans="1:18">
      <c r="B2586" s="66" t="s">
        <v>2011</v>
      </c>
      <c r="C2586" s="62" t="s">
        <v>493</v>
      </c>
      <c r="D2586" s="1">
        <v>20</v>
      </c>
      <c r="F2586" s="77"/>
      <c r="G2586" s="14"/>
      <c r="H2586" s="14"/>
      <c r="I2586" s="11"/>
      <c r="J2586" s="14"/>
      <c r="K2586" s="16">
        <v>19</v>
      </c>
      <c r="L2586" s="15"/>
      <c r="M2586" s="14"/>
      <c r="N2586" s="10"/>
      <c r="O2586" s="10"/>
      <c r="P2586" s="10"/>
    </row>
    <row r="2587" spans="1:18">
      <c r="B2587" s="66" t="s">
        <v>2752</v>
      </c>
      <c r="C2587" s="62" t="s">
        <v>493</v>
      </c>
      <c r="D2587" s="1">
        <v>1</v>
      </c>
      <c r="F2587" s="77"/>
      <c r="G2587" s="14"/>
      <c r="H2587" s="14"/>
      <c r="I2587" s="11"/>
      <c r="J2587" s="14"/>
      <c r="K2587" s="16">
        <v>20</v>
      </c>
      <c r="L2587" s="15">
        <v>3</v>
      </c>
      <c r="M2587" s="14"/>
      <c r="N2587" s="10"/>
      <c r="O2587" s="10"/>
      <c r="P2587" s="10"/>
    </row>
    <row r="2588" spans="1:18">
      <c r="B2588" s="67" t="s">
        <v>2994</v>
      </c>
      <c r="C2588" s="62" t="s">
        <v>494</v>
      </c>
      <c r="F2588" s="77"/>
      <c r="G2588" s="14"/>
      <c r="H2588" s="14"/>
      <c r="I2588" s="11"/>
      <c r="J2588" s="14"/>
      <c r="K2588" s="16">
        <v>21</v>
      </c>
      <c r="L2588" s="15">
        <v>3</v>
      </c>
      <c r="M2588" s="14"/>
      <c r="N2588" s="62" t="s">
        <v>2991</v>
      </c>
      <c r="O2588" s="60" t="s">
        <v>2992</v>
      </c>
      <c r="P2588" s="60" t="s">
        <v>2993</v>
      </c>
    </row>
    <row r="2589" spans="1:18">
      <c r="B2589" s="67" t="s">
        <v>3707</v>
      </c>
      <c r="C2589" s="62" t="s">
        <v>494</v>
      </c>
      <c r="F2589" s="77"/>
      <c r="G2589" s="14"/>
      <c r="H2589" s="14"/>
      <c r="I2589" s="11"/>
      <c r="J2589" s="14"/>
      <c r="K2589" s="16">
        <v>22</v>
      </c>
      <c r="L2589" s="15"/>
      <c r="M2589" s="14">
        <v>1</v>
      </c>
      <c r="N2589" s="62"/>
      <c r="O2589" s="60"/>
      <c r="P2589" s="60"/>
    </row>
    <row r="2590" spans="1:18" customFormat="1">
      <c r="B2590" s="67" t="s">
        <v>3715</v>
      </c>
      <c r="C2590" s="70" t="s">
        <v>494</v>
      </c>
      <c r="K2590">
        <v>23</v>
      </c>
      <c r="L2590">
        <v>3</v>
      </c>
      <c r="N2590" s="62" t="s">
        <v>3696</v>
      </c>
      <c r="O2590" s="62" t="s">
        <v>3698</v>
      </c>
      <c r="P2590" s="62" t="s">
        <v>3699</v>
      </c>
      <c r="R2590">
        <v>2214</v>
      </c>
    </row>
    <row r="2591" spans="1:18" customFormat="1">
      <c r="B2591" s="67" t="s">
        <v>3716</v>
      </c>
      <c r="C2591" s="70" t="s">
        <v>494</v>
      </c>
      <c r="K2591" s="57">
        <v>24</v>
      </c>
      <c r="L2591" s="55">
        <v>3</v>
      </c>
      <c r="M2591">
        <v>31</v>
      </c>
      <c r="N2591" s="62" t="s">
        <v>3719</v>
      </c>
      <c r="O2591" s="62" t="s">
        <v>3722</v>
      </c>
      <c r="P2591" s="62" t="s">
        <v>3724</v>
      </c>
      <c r="Q2591" s="62" t="s">
        <v>3720</v>
      </c>
      <c r="R2591">
        <v>23</v>
      </c>
    </row>
    <row r="2592" spans="1:18" customFormat="1">
      <c r="B2592" s="67" t="s">
        <v>4269</v>
      </c>
      <c r="C2592" s="70" t="s">
        <v>702</v>
      </c>
      <c r="K2592" s="57">
        <v>25</v>
      </c>
      <c r="L2592" s="55"/>
      <c r="N2592" s="62"/>
      <c r="O2592" s="62"/>
      <c r="P2592" s="62"/>
      <c r="Q2592" s="62"/>
    </row>
    <row r="2593" spans="1:18">
      <c r="A2593" s="10"/>
      <c r="B2593" s="24"/>
      <c r="C2593" s="45"/>
      <c r="D2593" s="10"/>
      <c r="E2593" s="10"/>
      <c r="F2593" s="10"/>
      <c r="G2593" s="10"/>
      <c r="H2593" s="10"/>
      <c r="I2593" s="10"/>
      <c r="J2593" s="10"/>
      <c r="K2593" s="16"/>
      <c r="L2593" s="55"/>
      <c r="M2593" s="10"/>
      <c r="O2593" s="60"/>
      <c r="P2593" s="10"/>
      <c r="Q2593" s="10"/>
      <c r="R2593" s="10"/>
    </row>
    <row r="2594" spans="1:18">
      <c r="A2594" s="64" t="s">
        <v>62</v>
      </c>
      <c r="B2594" s="66" t="s">
        <v>63</v>
      </c>
      <c r="C2594" s="1" t="s">
        <v>494</v>
      </c>
      <c r="E2594" s="10" t="s">
        <v>476</v>
      </c>
      <c r="F2594" s="10">
        <v>17</v>
      </c>
      <c r="G2594" s="10">
        <v>148</v>
      </c>
      <c r="H2594" s="10" t="s">
        <v>68</v>
      </c>
      <c r="I2594" s="10"/>
      <c r="J2594" s="10">
        <v>1</v>
      </c>
      <c r="K2594" s="16">
        <v>1</v>
      </c>
      <c r="L2594" s="15">
        <v>52</v>
      </c>
      <c r="M2594" s="10"/>
      <c r="N2594" s="10">
        <v>140</v>
      </c>
      <c r="O2594" s="23" t="s">
        <v>1040</v>
      </c>
      <c r="P2594" s="29"/>
      <c r="Q2594" s="10"/>
      <c r="R2594" s="10"/>
    </row>
    <row r="2595" spans="1:18">
      <c r="A2595" s="10"/>
      <c r="B2595" s="66" t="s">
        <v>205</v>
      </c>
      <c r="C2595" s="1" t="s">
        <v>494</v>
      </c>
      <c r="E2595" s="10" t="s">
        <v>476</v>
      </c>
      <c r="F2595" s="10"/>
      <c r="G2595" s="10"/>
      <c r="H2595" s="36" t="s">
        <v>208</v>
      </c>
      <c r="I2595" s="10"/>
      <c r="J2595" s="10"/>
      <c r="K2595" s="16">
        <v>2</v>
      </c>
      <c r="L2595" s="15">
        <v>3</v>
      </c>
      <c r="M2595" s="10"/>
      <c r="N2595" s="10" t="s">
        <v>506</v>
      </c>
      <c r="O2595" s="10" t="s">
        <v>514</v>
      </c>
      <c r="P2595" s="1" t="s">
        <v>515</v>
      </c>
      <c r="Q2595" s="10"/>
      <c r="R2595" s="10"/>
    </row>
    <row r="2596" spans="1:18">
      <c r="A2596" s="10"/>
      <c r="B2596" s="66" t="s">
        <v>64</v>
      </c>
      <c r="C2596" s="1" t="s">
        <v>494</v>
      </c>
      <c r="E2596" s="10" t="s">
        <v>476</v>
      </c>
      <c r="F2596" s="10"/>
      <c r="G2596" s="29"/>
      <c r="H2596" s="10"/>
      <c r="I2596" s="10"/>
      <c r="J2596" s="10"/>
      <c r="K2596" s="16">
        <v>3</v>
      </c>
      <c r="L2596" s="15">
        <v>6</v>
      </c>
      <c r="M2596" s="10"/>
      <c r="N2596" s="10"/>
      <c r="P2596" s="29"/>
      <c r="Q2596" s="10"/>
      <c r="R2596" s="10"/>
    </row>
    <row r="2597" spans="1:18">
      <c r="A2597" s="10"/>
      <c r="B2597" s="66" t="s">
        <v>65</v>
      </c>
      <c r="C2597" s="1" t="s">
        <v>494</v>
      </c>
      <c r="D2597" s="10"/>
      <c r="E2597" s="10"/>
      <c r="F2597" s="10"/>
      <c r="G2597" s="10"/>
      <c r="H2597" s="10"/>
      <c r="I2597" s="10"/>
      <c r="J2597" s="10"/>
      <c r="K2597" s="16">
        <v>4</v>
      </c>
      <c r="L2597" s="15">
        <v>6</v>
      </c>
      <c r="M2597" s="10"/>
      <c r="N2597" s="10"/>
      <c r="O2597" s="29"/>
      <c r="P2597" s="29"/>
      <c r="Q2597" s="10"/>
      <c r="R2597" s="10"/>
    </row>
    <row r="2598" spans="1:18">
      <c r="A2598" s="10"/>
      <c r="B2598" s="66" t="s">
        <v>66</v>
      </c>
      <c r="C2598" s="1" t="s">
        <v>493</v>
      </c>
      <c r="D2598" s="10">
        <v>1</v>
      </c>
      <c r="E2598" s="10"/>
      <c r="F2598" s="10"/>
      <c r="G2598" s="10"/>
      <c r="H2598" s="10"/>
      <c r="I2598" s="10"/>
      <c r="J2598" s="10"/>
      <c r="K2598" s="16">
        <v>5</v>
      </c>
      <c r="L2598" s="15"/>
      <c r="M2598" s="10"/>
      <c r="N2598" s="10"/>
      <c r="O2598" s="29"/>
      <c r="P2598" s="29"/>
      <c r="Q2598" s="10"/>
      <c r="R2598" s="10"/>
    </row>
    <row r="2599" spans="1:18">
      <c r="A2599" s="10"/>
      <c r="B2599" s="66" t="s">
        <v>67</v>
      </c>
      <c r="C2599" s="1" t="s">
        <v>494</v>
      </c>
      <c r="D2599" s="10"/>
      <c r="E2599" s="10"/>
      <c r="F2599" s="10"/>
      <c r="G2599" s="10"/>
      <c r="H2599" s="10"/>
      <c r="I2599" s="10"/>
      <c r="J2599" s="10"/>
      <c r="K2599" s="16">
        <v>6</v>
      </c>
      <c r="L2599" s="15"/>
      <c r="M2599" s="10"/>
      <c r="N2599" s="10"/>
      <c r="O2599" s="29"/>
      <c r="P2599" s="29"/>
      <c r="Q2599" s="10"/>
      <c r="R2599" s="10"/>
    </row>
    <row r="2600" spans="1:18">
      <c r="A2600" s="10"/>
      <c r="B2600" s="29" t="s">
        <v>210</v>
      </c>
      <c r="C2600" s="1" t="s">
        <v>494</v>
      </c>
      <c r="D2600" s="10"/>
      <c r="E2600" s="10"/>
      <c r="F2600" s="10"/>
      <c r="G2600" s="10"/>
      <c r="H2600" s="10"/>
      <c r="I2600" s="10"/>
      <c r="J2600" s="10"/>
      <c r="K2600" s="16">
        <v>7</v>
      </c>
      <c r="L2600" s="15"/>
      <c r="M2600" s="10"/>
      <c r="N2600" s="10"/>
      <c r="O2600" s="29"/>
      <c r="P2600" s="29"/>
      <c r="Q2600" s="10"/>
      <c r="R2600" s="10"/>
    </row>
    <row r="2601" spans="1:18">
      <c r="A2601" s="10"/>
      <c r="B2601" s="29" t="s">
        <v>211</v>
      </c>
      <c r="C2601" s="1" t="s">
        <v>494</v>
      </c>
      <c r="D2601" s="10"/>
      <c r="E2601" s="10"/>
      <c r="F2601" s="10"/>
      <c r="G2601" s="10"/>
      <c r="H2601" s="10"/>
      <c r="I2601" s="10"/>
      <c r="J2601" s="10"/>
      <c r="K2601" s="16">
        <v>8</v>
      </c>
      <c r="L2601" s="15">
        <v>3</v>
      </c>
      <c r="M2601" s="14"/>
      <c r="N2601" s="1" t="s">
        <v>1002</v>
      </c>
      <c r="O2601" s="23" t="s">
        <v>1004</v>
      </c>
      <c r="P2601" s="23" t="s">
        <v>1023</v>
      </c>
      <c r="Q2601" s="10"/>
      <c r="R2601" s="10"/>
    </row>
    <row r="2602" spans="1:18">
      <c r="A2602" s="10"/>
      <c r="B2602" s="66" t="s">
        <v>1792</v>
      </c>
      <c r="C2602" s="62" t="s">
        <v>494</v>
      </c>
      <c r="D2602" s="10"/>
      <c r="E2602" s="10"/>
      <c r="F2602" s="10"/>
      <c r="G2602" s="10"/>
      <c r="H2602" s="10"/>
      <c r="I2602" s="10"/>
      <c r="J2602" s="10"/>
      <c r="K2602" s="16">
        <v>9</v>
      </c>
      <c r="L2602" s="15"/>
      <c r="M2602" s="14"/>
      <c r="O2602" s="23"/>
      <c r="P2602" s="23"/>
      <c r="Q2602" s="10"/>
      <c r="R2602" s="10"/>
    </row>
    <row r="2603" spans="1:18">
      <c r="A2603" s="10"/>
      <c r="B2603" s="66"/>
      <c r="C2603" s="62"/>
      <c r="D2603" s="10"/>
      <c r="E2603" s="10"/>
      <c r="F2603" s="10"/>
      <c r="G2603" s="10"/>
      <c r="H2603" s="10"/>
      <c r="I2603" s="10"/>
      <c r="J2603" s="10"/>
      <c r="K2603" s="16"/>
      <c r="L2603" s="15"/>
      <c r="M2603" s="14"/>
      <c r="O2603" s="23"/>
      <c r="P2603" s="23"/>
      <c r="Q2603" s="10"/>
      <c r="R2603" s="10"/>
    </row>
    <row r="2604" spans="1:18">
      <c r="A2604" s="62" t="s">
        <v>2922</v>
      </c>
      <c r="B2604" s="60" t="s">
        <v>2923</v>
      </c>
      <c r="C2604" s="62" t="s">
        <v>494</v>
      </c>
      <c r="E2604" s="62" t="s">
        <v>476</v>
      </c>
      <c r="F2604" s="14">
        <v>17</v>
      </c>
      <c r="G2604" s="14">
        <v>1743</v>
      </c>
      <c r="H2604" s="47" t="s">
        <v>2876</v>
      </c>
      <c r="I2604" s="11"/>
      <c r="J2604" s="14">
        <v>1</v>
      </c>
      <c r="K2604" s="16">
        <v>1</v>
      </c>
      <c r="L2604" s="15">
        <v>52</v>
      </c>
      <c r="M2604" s="10"/>
      <c r="N2604" s="10">
        <v>140</v>
      </c>
      <c r="O2604" s="23" t="s">
        <v>1040</v>
      </c>
      <c r="P2604" s="23"/>
      <c r="Q2604" s="14"/>
      <c r="R2604" s="14"/>
    </row>
    <row r="2605" spans="1:18">
      <c r="B2605" s="60" t="s">
        <v>2924</v>
      </c>
      <c r="C2605" s="62" t="s">
        <v>494</v>
      </c>
      <c r="E2605" s="62" t="s">
        <v>476</v>
      </c>
      <c r="F2605" s="14"/>
      <c r="G2605" s="14"/>
      <c r="H2605" s="14"/>
      <c r="I2605" s="11"/>
      <c r="J2605" s="14"/>
      <c r="K2605" s="16">
        <v>2</v>
      </c>
      <c r="L2605" s="15">
        <v>6</v>
      </c>
      <c r="M2605" s="14"/>
      <c r="P2605" s="23"/>
      <c r="Q2605" s="14"/>
      <c r="R2605" s="14"/>
    </row>
    <row r="2606" spans="1:18">
      <c r="B2606" s="60" t="s">
        <v>2925</v>
      </c>
      <c r="C2606" s="62" t="s">
        <v>494</v>
      </c>
      <c r="F2606" s="14"/>
      <c r="G2606" s="14"/>
      <c r="H2606" s="14"/>
      <c r="I2606" s="11"/>
      <c r="J2606" s="14"/>
      <c r="K2606" s="16">
        <v>3</v>
      </c>
      <c r="L2606" s="15">
        <v>6</v>
      </c>
      <c r="M2606" s="14"/>
      <c r="P2606" s="23"/>
      <c r="Q2606" s="14"/>
      <c r="R2606" s="14"/>
    </row>
    <row r="2607" spans="1:18">
      <c r="B2607" s="60" t="s">
        <v>2926</v>
      </c>
      <c r="C2607" s="62" t="s">
        <v>493</v>
      </c>
      <c r="D2607" s="1">
        <v>1</v>
      </c>
      <c r="F2607" s="14"/>
      <c r="G2607" s="14"/>
      <c r="H2607" s="14"/>
      <c r="I2607" s="11"/>
      <c r="J2607" s="14"/>
      <c r="K2607" s="16">
        <v>4</v>
      </c>
      <c r="L2607" s="15">
        <v>3</v>
      </c>
      <c r="M2607" s="14"/>
      <c r="P2607" s="23"/>
      <c r="Q2607" s="14"/>
      <c r="R2607" s="14"/>
    </row>
    <row r="2608" spans="1:18">
      <c r="B2608" s="60" t="s">
        <v>2927</v>
      </c>
      <c r="C2608" s="62" t="s">
        <v>494</v>
      </c>
      <c r="F2608" s="14"/>
      <c r="G2608" s="14"/>
      <c r="H2608" s="14"/>
      <c r="I2608" s="11"/>
      <c r="J2608" s="14"/>
      <c r="K2608" s="16">
        <v>5</v>
      </c>
      <c r="L2608" s="15"/>
      <c r="M2608" s="14"/>
      <c r="P2608" s="23"/>
      <c r="Q2608" s="14"/>
      <c r="R2608" s="14"/>
    </row>
    <row r="2609" spans="1:18">
      <c r="B2609" s="60" t="s">
        <v>2928</v>
      </c>
      <c r="C2609" s="62" t="s">
        <v>520</v>
      </c>
      <c r="F2609" s="14"/>
      <c r="G2609" s="14"/>
      <c r="H2609" s="14"/>
      <c r="I2609" s="11"/>
      <c r="J2609" s="14"/>
      <c r="K2609" s="16">
        <v>6</v>
      </c>
      <c r="L2609" s="15"/>
      <c r="M2609" s="14"/>
      <c r="P2609" s="23"/>
      <c r="Q2609" s="14"/>
      <c r="R2609" s="14"/>
    </row>
    <row r="2610" spans="1:18">
      <c r="B2610" s="60"/>
      <c r="C2610" s="62"/>
      <c r="F2610" s="14"/>
      <c r="G2610" s="14"/>
      <c r="H2610" s="14"/>
      <c r="I2610" s="11"/>
      <c r="J2610" s="14"/>
      <c r="K2610" s="16"/>
      <c r="L2610" s="15"/>
      <c r="M2610" s="14"/>
      <c r="P2610" s="23"/>
      <c r="Q2610" s="14"/>
      <c r="R2610" s="14"/>
    </row>
    <row r="2611" spans="1:18">
      <c r="A2611" s="62" t="s">
        <v>2929</v>
      </c>
      <c r="B2611" s="60" t="s">
        <v>2930</v>
      </c>
      <c r="C2611" s="62" t="s">
        <v>494</v>
      </c>
      <c r="E2611" s="62" t="s">
        <v>476</v>
      </c>
      <c r="F2611" s="14">
        <v>17</v>
      </c>
      <c r="G2611" s="14">
        <v>1744</v>
      </c>
      <c r="H2611" s="47" t="s">
        <v>111</v>
      </c>
      <c r="I2611" s="11"/>
      <c r="J2611" s="14">
        <v>1</v>
      </c>
      <c r="K2611" s="16">
        <v>1</v>
      </c>
      <c r="L2611" s="15">
        <v>52</v>
      </c>
      <c r="M2611" s="10"/>
      <c r="N2611" s="10">
        <v>140</v>
      </c>
      <c r="O2611" s="23" t="s">
        <v>1040</v>
      </c>
      <c r="P2611" s="23"/>
      <c r="Q2611" s="14"/>
      <c r="R2611" s="14"/>
    </row>
    <row r="2612" spans="1:18">
      <c r="B2612" s="60" t="s">
        <v>2931</v>
      </c>
      <c r="C2612" s="62" t="s">
        <v>494</v>
      </c>
      <c r="E2612" s="62" t="s">
        <v>476</v>
      </c>
      <c r="F2612" s="14"/>
      <c r="G2612" s="14"/>
      <c r="H2612" s="14"/>
      <c r="I2612" s="11"/>
      <c r="J2612" s="14"/>
      <c r="K2612" s="16">
        <v>2</v>
      </c>
      <c r="L2612" s="15">
        <v>6</v>
      </c>
      <c r="M2612" s="14"/>
      <c r="P2612" s="23"/>
      <c r="Q2612" s="14"/>
      <c r="R2612" s="14"/>
    </row>
    <row r="2613" spans="1:18">
      <c r="B2613" s="60" t="s">
        <v>2932</v>
      </c>
      <c r="C2613" s="62" t="s">
        <v>494</v>
      </c>
      <c r="F2613" s="14"/>
      <c r="G2613" s="14"/>
      <c r="H2613" s="14"/>
      <c r="I2613" s="11"/>
      <c r="J2613" s="14"/>
      <c r="K2613" s="16">
        <v>3</v>
      </c>
      <c r="L2613" s="15">
        <v>6</v>
      </c>
      <c r="M2613" s="14"/>
      <c r="P2613" s="23"/>
      <c r="Q2613" s="14"/>
      <c r="R2613" s="14"/>
    </row>
    <row r="2614" spans="1:18">
      <c r="B2614" s="60" t="s">
        <v>2933</v>
      </c>
      <c r="C2614" s="62" t="s">
        <v>493</v>
      </c>
      <c r="D2614" s="1">
        <v>1</v>
      </c>
      <c r="F2614" s="14"/>
      <c r="G2614" s="14"/>
      <c r="H2614" s="14"/>
      <c r="I2614" s="11"/>
      <c r="J2614" s="14"/>
      <c r="K2614" s="16">
        <v>4</v>
      </c>
      <c r="L2614" s="15">
        <v>3</v>
      </c>
      <c r="M2614" s="14"/>
      <c r="P2614" s="23"/>
      <c r="Q2614" s="14"/>
      <c r="R2614" s="14"/>
    </row>
    <row r="2615" spans="1:18">
      <c r="B2615" s="60" t="s">
        <v>2936</v>
      </c>
      <c r="C2615" s="62" t="s">
        <v>493</v>
      </c>
      <c r="D2615" s="1">
        <v>200</v>
      </c>
      <c r="F2615" s="14"/>
      <c r="G2615" s="14"/>
      <c r="H2615" s="14"/>
      <c r="I2615" s="11"/>
      <c r="J2615" s="14"/>
      <c r="K2615" s="16">
        <v>5</v>
      </c>
      <c r="L2615" s="15"/>
      <c r="M2615" s="14"/>
      <c r="P2615" s="23"/>
      <c r="Q2615" s="14"/>
      <c r="R2615" s="14"/>
    </row>
    <row r="2616" spans="1:18">
      <c r="B2616" s="60" t="s">
        <v>2934</v>
      </c>
      <c r="C2616" s="62" t="s">
        <v>494</v>
      </c>
      <c r="F2616" s="14"/>
      <c r="G2616" s="14"/>
      <c r="H2616" s="14"/>
      <c r="I2616" s="11"/>
      <c r="J2616" s="14"/>
      <c r="K2616" s="16">
        <v>6</v>
      </c>
      <c r="L2616" s="15">
        <v>91</v>
      </c>
      <c r="M2616" s="14"/>
      <c r="P2616" s="23"/>
      <c r="Q2616" s="14"/>
      <c r="R2616" s="14"/>
    </row>
    <row r="2617" spans="1:18">
      <c r="B2617" s="60" t="s">
        <v>2935</v>
      </c>
      <c r="C2617" s="62" t="s">
        <v>494</v>
      </c>
      <c r="F2617" s="14"/>
      <c r="G2617" s="14"/>
      <c r="H2617" s="14"/>
      <c r="I2617" s="11"/>
      <c r="J2617" s="14"/>
      <c r="K2617" s="16">
        <v>7</v>
      </c>
      <c r="L2617" s="15">
        <v>92</v>
      </c>
      <c r="M2617" s="14"/>
      <c r="P2617" s="23"/>
      <c r="Q2617" s="14"/>
      <c r="R2617" s="14"/>
    </row>
    <row r="2618" spans="1:18">
      <c r="B2618" s="60"/>
      <c r="C2618" s="62"/>
      <c r="F2618" s="14"/>
      <c r="G2618" s="14"/>
      <c r="H2618" s="14"/>
      <c r="I2618" s="11"/>
      <c r="J2618" s="14"/>
      <c r="K2618" s="16"/>
      <c r="L2618" s="15"/>
      <c r="M2618" s="14"/>
      <c r="P2618" s="23"/>
      <c r="Q2618" s="14"/>
      <c r="R2618" s="14"/>
    </row>
    <row r="2619" spans="1:18">
      <c r="B2619" s="60"/>
      <c r="C2619" s="62"/>
      <c r="F2619" s="14"/>
      <c r="G2619" s="14"/>
      <c r="H2619" s="14"/>
      <c r="I2619" s="11"/>
      <c r="J2619" s="14"/>
      <c r="K2619" s="16"/>
      <c r="L2619" s="15"/>
      <c r="M2619" s="14"/>
      <c r="P2619" s="23"/>
      <c r="Q2619" s="14"/>
      <c r="R2619" s="14"/>
    </row>
    <row r="2620" spans="1:18">
      <c r="A2620" s="45" t="s">
        <v>1487</v>
      </c>
      <c r="B2620" s="45" t="s">
        <v>1488</v>
      </c>
      <c r="C2620" s="45" t="s">
        <v>494</v>
      </c>
      <c r="D2620" s="10"/>
      <c r="E2620" s="45" t="s">
        <v>476</v>
      </c>
      <c r="F2620" s="10">
        <v>17</v>
      </c>
      <c r="G2620" s="10">
        <v>1794</v>
      </c>
      <c r="H2620" s="45" t="s">
        <v>1490</v>
      </c>
      <c r="I2620" s="45" t="s">
        <v>1491</v>
      </c>
      <c r="J2620" s="10">
        <v>11</v>
      </c>
      <c r="K2620" s="16">
        <v>1</v>
      </c>
      <c r="L2620" s="53"/>
      <c r="M2620" s="10"/>
      <c r="N2620" s="10"/>
      <c r="O2620" s="10"/>
      <c r="P2620" s="10"/>
      <c r="Q2620" s="10"/>
      <c r="R2620" s="10"/>
    </row>
    <row r="2621" spans="1:18">
      <c r="A2621" s="10"/>
      <c r="B2621" s="45" t="s">
        <v>1489</v>
      </c>
      <c r="C2621" s="45" t="s">
        <v>494</v>
      </c>
      <c r="D2621" s="10"/>
      <c r="E2621" s="10"/>
      <c r="F2621" s="10"/>
      <c r="G2621" s="10"/>
      <c r="H2621" s="10"/>
      <c r="I2621" s="10"/>
      <c r="J2621" s="10"/>
      <c r="K2621" s="16">
        <v>2</v>
      </c>
      <c r="L2621" s="15">
        <v>9</v>
      </c>
      <c r="M2621" s="14"/>
      <c r="N2621" s="1" t="s">
        <v>1038</v>
      </c>
      <c r="O2621" s="23" t="s">
        <v>1040</v>
      </c>
      <c r="P2621" s="23" t="s">
        <v>1041</v>
      </c>
      <c r="Q2621" s="23" t="s">
        <v>1040</v>
      </c>
      <c r="R2621" s="14">
        <v>140</v>
      </c>
    </row>
    <row r="2622" spans="1:18">
      <c r="A2622" s="10"/>
      <c r="B2622" s="45"/>
      <c r="C2622" s="45"/>
      <c r="D2622" s="10"/>
      <c r="E2622" s="10"/>
      <c r="F2622" s="10"/>
      <c r="G2622" s="10"/>
      <c r="H2622" s="10"/>
      <c r="I2622" s="10"/>
      <c r="J2622" s="10"/>
      <c r="K2622" s="16"/>
      <c r="L2622" s="15"/>
      <c r="M2622" s="14"/>
      <c r="O2622" s="23"/>
      <c r="P2622" s="23"/>
      <c r="Q2622" s="23"/>
      <c r="R2622" s="14"/>
    </row>
    <row r="2623" spans="1:18">
      <c r="A2623" s="10"/>
      <c r="B2623" s="45"/>
      <c r="C2623" s="10"/>
      <c r="D2623" s="10"/>
      <c r="E2623" s="10"/>
      <c r="F2623" s="10"/>
      <c r="G2623" s="10"/>
      <c r="H2623" s="10"/>
      <c r="I2623" s="10"/>
      <c r="J2623" s="10"/>
      <c r="K2623" s="16"/>
      <c r="L2623" s="31"/>
      <c r="M2623" s="10"/>
      <c r="N2623" s="10"/>
      <c r="O2623" s="10"/>
      <c r="P2623" s="10"/>
      <c r="Q2623" s="10"/>
      <c r="R2623" s="10"/>
    </row>
    <row r="2624" spans="1:18">
      <c r="A2624" s="62" t="s">
        <v>4262</v>
      </c>
      <c r="B2624" s="62" t="s">
        <v>4263</v>
      </c>
      <c r="C2624" s="62" t="s">
        <v>494</v>
      </c>
      <c r="E2624" s="62" t="s">
        <v>476</v>
      </c>
      <c r="F2624" s="1">
        <v>23</v>
      </c>
      <c r="G2624" s="1">
        <v>2349</v>
      </c>
      <c r="H2624" s="62" t="s">
        <v>4267</v>
      </c>
      <c r="I2624" s="22" t="s">
        <v>4268</v>
      </c>
      <c r="J2624" s="1">
        <v>11</v>
      </c>
      <c r="K2624" s="82">
        <v>1</v>
      </c>
      <c r="L2624" s="9">
        <v>3</v>
      </c>
      <c r="N2624" s="10" t="s">
        <v>506</v>
      </c>
      <c r="O2624" s="10" t="s">
        <v>514</v>
      </c>
      <c r="P2624" s="1" t="s">
        <v>515</v>
      </c>
    </row>
    <row r="2625" spans="1:18">
      <c r="B2625" s="62" t="s">
        <v>4264</v>
      </c>
      <c r="C2625" s="62" t="s">
        <v>494</v>
      </c>
      <c r="K2625" s="82">
        <v>2</v>
      </c>
      <c r="L2625" s="68">
        <v>3</v>
      </c>
      <c r="M2625">
        <v>3</v>
      </c>
      <c r="N2625" s="62" t="s">
        <v>693</v>
      </c>
      <c r="O2625" s="1" t="s">
        <v>695</v>
      </c>
      <c r="P2625" s="1" t="s">
        <v>696</v>
      </c>
      <c r="Q2625"/>
      <c r="R2625"/>
    </row>
    <row r="2626" spans="1:18">
      <c r="B2626" s="62" t="s">
        <v>4265</v>
      </c>
      <c r="C2626" s="62" t="s">
        <v>494</v>
      </c>
      <c r="K2626" s="82">
        <v>3</v>
      </c>
      <c r="L2626" s="15">
        <v>3</v>
      </c>
      <c r="M2626" s="14">
        <v>31</v>
      </c>
      <c r="N2626" s="62" t="s">
        <v>379</v>
      </c>
      <c r="O2626" s="62" t="s">
        <v>698</v>
      </c>
      <c r="P2626" s="62" t="s">
        <v>699</v>
      </c>
      <c r="Q2626" s="62" t="s">
        <v>383</v>
      </c>
      <c r="R2626" s="14">
        <v>2</v>
      </c>
    </row>
    <row r="2627" spans="1:18">
      <c r="B2627" s="62" t="s">
        <v>4266</v>
      </c>
      <c r="C2627" s="62" t="s">
        <v>494</v>
      </c>
      <c r="K2627" s="82">
        <v>4</v>
      </c>
      <c r="L2627" s="15">
        <v>3</v>
      </c>
      <c r="M2627" s="14"/>
      <c r="N2627" s="62"/>
      <c r="O2627" s="62"/>
      <c r="P2627" s="62"/>
      <c r="Q2627" s="62"/>
      <c r="R2627" s="14"/>
    </row>
    <row r="2628" spans="1:18" customFormat="1"/>
    <row r="2629" spans="1:18" customFormat="1"/>
    <row r="2630" spans="1:18" s="62" customFormat="1">
      <c r="I2630" s="22"/>
      <c r="K2630" s="57"/>
      <c r="L2630" s="76"/>
      <c r="O2630" s="60"/>
      <c r="P2630" s="60"/>
    </row>
    <row r="2631" spans="1:18" s="62" customFormat="1">
      <c r="I2631" s="22"/>
      <c r="K2631" s="57"/>
      <c r="L2631" s="76"/>
      <c r="O2631" s="60"/>
      <c r="P2631" s="60"/>
    </row>
    <row r="2632" spans="1:18">
      <c r="A2632" s="62" t="s">
        <v>4226</v>
      </c>
      <c r="B2632" s="62" t="s">
        <v>4088</v>
      </c>
      <c r="C2632" s="62" t="s">
        <v>494</v>
      </c>
      <c r="E2632" s="62" t="s">
        <v>476</v>
      </c>
      <c r="F2632" s="14">
        <v>17</v>
      </c>
      <c r="G2632" s="14">
        <v>1759</v>
      </c>
      <c r="H2632" s="47" t="s">
        <v>4230</v>
      </c>
      <c r="I2632" s="48" t="s">
        <v>4231</v>
      </c>
      <c r="J2632" s="14">
        <v>2</v>
      </c>
      <c r="K2632" s="82">
        <v>1</v>
      </c>
      <c r="L2632" s="15">
        <v>6</v>
      </c>
      <c r="M2632" s="14"/>
      <c r="O2632" s="23"/>
      <c r="P2632" s="23"/>
      <c r="Q2632" s="14"/>
      <c r="R2632" s="14"/>
    </row>
    <row r="2633" spans="1:18">
      <c r="A2633" s="62"/>
      <c r="B2633" s="62" t="s">
        <v>4089</v>
      </c>
      <c r="C2633" s="62" t="s">
        <v>494</v>
      </c>
      <c r="E2633" s="62"/>
      <c r="F2633" s="14"/>
      <c r="G2633" s="14"/>
      <c r="H2633" s="14"/>
      <c r="I2633" s="11"/>
      <c r="J2633" s="14"/>
      <c r="K2633" s="82">
        <v>2</v>
      </c>
      <c r="L2633" s="15">
        <v>6</v>
      </c>
      <c r="M2633" s="14"/>
      <c r="O2633" s="23"/>
      <c r="P2633" s="23"/>
      <c r="Q2633" s="14"/>
      <c r="R2633" s="14"/>
    </row>
    <row r="2634" spans="1:18">
      <c r="B2634" s="62" t="s">
        <v>4229</v>
      </c>
      <c r="C2634" s="62" t="s">
        <v>493</v>
      </c>
      <c r="D2634" s="1">
        <v>1</v>
      </c>
      <c r="F2634" s="14"/>
      <c r="G2634" s="14"/>
      <c r="H2634" s="14"/>
      <c r="I2634" s="11"/>
      <c r="J2634" s="14"/>
      <c r="K2634" s="82">
        <v>3</v>
      </c>
      <c r="L2634" s="15">
        <v>3</v>
      </c>
      <c r="M2634" s="14"/>
      <c r="O2634" s="23"/>
      <c r="P2634" s="23"/>
      <c r="Q2634" s="14"/>
      <c r="R2634" s="14"/>
    </row>
    <row r="2635" spans="1:18">
      <c r="B2635" s="62" t="s">
        <v>4227</v>
      </c>
      <c r="C2635" s="62" t="s">
        <v>493</v>
      </c>
      <c r="D2635" s="1">
        <v>50</v>
      </c>
      <c r="F2635" s="14"/>
      <c r="G2635" s="14"/>
      <c r="H2635" s="14"/>
      <c r="I2635" s="11"/>
      <c r="J2635" s="14"/>
      <c r="K2635" s="82">
        <v>4</v>
      </c>
      <c r="L2635" s="15"/>
      <c r="M2635" s="14"/>
      <c r="O2635" s="23"/>
      <c r="P2635" s="23"/>
      <c r="Q2635" s="14"/>
      <c r="R2635" s="14"/>
    </row>
    <row r="2636" spans="1:18">
      <c r="B2636" s="62" t="s">
        <v>4228</v>
      </c>
      <c r="C2636" s="62" t="s">
        <v>494</v>
      </c>
      <c r="F2636" s="14"/>
      <c r="G2636" s="14"/>
      <c r="H2636" s="14"/>
      <c r="I2636" s="11"/>
      <c r="J2636" s="14"/>
      <c r="K2636" s="82">
        <v>5</v>
      </c>
      <c r="L2636" s="15">
        <v>3</v>
      </c>
      <c r="M2636" s="14"/>
      <c r="N2636" s="62" t="s">
        <v>3664</v>
      </c>
      <c r="O2636" s="62" t="s">
        <v>3666</v>
      </c>
      <c r="P2636" s="62" t="s">
        <v>3667</v>
      </c>
      <c r="Q2636" s="14"/>
      <c r="R2636" s="14"/>
    </row>
    <row r="2637" spans="1:18">
      <c r="B2637" s="62"/>
      <c r="C2637" s="62"/>
      <c r="F2637" s="14"/>
      <c r="G2637" s="14"/>
      <c r="H2637" s="14"/>
      <c r="I2637" s="11"/>
      <c r="J2637" s="14"/>
      <c r="L2637" s="15"/>
      <c r="M2637" s="14"/>
      <c r="O2637" s="23"/>
      <c r="P2637" s="23"/>
      <c r="Q2637" s="14"/>
      <c r="R2637" s="14"/>
    </row>
    <row r="2638" spans="1:18">
      <c r="A2638" s="62" t="s">
        <v>975</v>
      </c>
      <c r="B2638" s="60" t="s">
        <v>976</v>
      </c>
      <c r="C2638" s="1" t="s">
        <v>494</v>
      </c>
      <c r="E2638" s="1" t="s">
        <v>476</v>
      </c>
      <c r="F2638" s="14">
        <v>17</v>
      </c>
      <c r="G2638" s="14">
        <v>1707</v>
      </c>
      <c r="H2638" s="14" t="s">
        <v>987</v>
      </c>
      <c r="I2638" s="11" t="s">
        <v>988</v>
      </c>
      <c r="J2638" s="14">
        <v>1701</v>
      </c>
      <c r="K2638" s="16">
        <v>1</v>
      </c>
      <c r="L2638" s="15">
        <v>3</v>
      </c>
      <c r="M2638" s="14"/>
      <c r="N2638" s="64" t="s">
        <v>506</v>
      </c>
      <c r="O2638" s="64" t="s">
        <v>514</v>
      </c>
      <c r="P2638" s="62" t="s">
        <v>515</v>
      </c>
      <c r="Q2638" s="14"/>
      <c r="R2638" s="14"/>
    </row>
    <row r="2639" spans="1:18">
      <c r="B2639" s="60" t="s">
        <v>977</v>
      </c>
      <c r="C2639" s="1" t="s">
        <v>494</v>
      </c>
      <c r="E2639" s="1" t="s">
        <v>476</v>
      </c>
      <c r="F2639" s="14"/>
      <c r="G2639" s="14"/>
      <c r="H2639" s="14"/>
      <c r="I2639" s="11"/>
      <c r="J2639" s="14"/>
      <c r="K2639" s="16">
        <v>2</v>
      </c>
      <c r="L2639" s="15">
        <v>9</v>
      </c>
      <c r="M2639" s="14"/>
      <c r="N2639" s="62" t="s">
        <v>1038</v>
      </c>
      <c r="O2639" s="23" t="s">
        <v>1040</v>
      </c>
      <c r="P2639" s="23" t="s">
        <v>1041</v>
      </c>
      <c r="Q2639" s="23" t="s">
        <v>1040</v>
      </c>
      <c r="R2639" s="14">
        <v>140</v>
      </c>
    </row>
    <row r="2640" spans="1:18">
      <c r="B2640" s="60" t="s">
        <v>978</v>
      </c>
      <c r="C2640" s="1" t="s">
        <v>494</v>
      </c>
      <c r="E2640" s="1" t="s">
        <v>476</v>
      </c>
      <c r="F2640" s="14"/>
      <c r="G2640" s="14"/>
      <c r="H2640" s="14"/>
      <c r="I2640" s="11"/>
      <c r="J2640" s="14"/>
      <c r="K2640" s="16">
        <v>3</v>
      </c>
      <c r="L2640" s="15">
        <v>3</v>
      </c>
      <c r="M2640" s="14"/>
      <c r="N2640" s="1" t="s">
        <v>379</v>
      </c>
      <c r="O2640" s="62" t="s">
        <v>698</v>
      </c>
      <c r="P2640" s="62" t="s">
        <v>699</v>
      </c>
      <c r="Q2640" s="14"/>
      <c r="R2640" s="14"/>
    </row>
    <row r="2641" spans="2:18">
      <c r="B2641" s="60" t="s">
        <v>979</v>
      </c>
      <c r="C2641" s="1" t="s">
        <v>494</v>
      </c>
      <c r="F2641" s="14"/>
      <c r="G2641" s="14"/>
      <c r="H2641" s="14"/>
      <c r="I2641" s="11"/>
      <c r="J2641" s="14"/>
      <c r="K2641" s="16">
        <v>4</v>
      </c>
      <c r="L2641" s="15">
        <v>6</v>
      </c>
      <c r="M2641" s="14"/>
      <c r="P2641" s="14"/>
      <c r="Q2641" s="14"/>
      <c r="R2641" s="14"/>
    </row>
    <row r="2642" spans="2:18">
      <c r="B2642" s="66" t="s">
        <v>280</v>
      </c>
      <c r="C2642" s="1" t="s">
        <v>494</v>
      </c>
      <c r="F2642" s="14"/>
      <c r="G2642" s="14"/>
      <c r="H2642" s="14"/>
      <c r="I2642" s="11"/>
      <c r="J2642" s="14"/>
      <c r="K2642" s="16">
        <v>5</v>
      </c>
      <c r="L2642" s="15">
        <v>3</v>
      </c>
      <c r="M2642" s="14">
        <v>3</v>
      </c>
      <c r="N2642" s="62" t="s">
        <v>995</v>
      </c>
      <c r="O2642" s="60" t="s">
        <v>997</v>
      </c>
      <c r="P2642" s="60" t="s">
        <v>996</v>
      </c>
      <c r="Q2642" s="14"/>
      <c r="R2642" s="14"/>
    </row>
    <row r="2643" spans="2:18">
      <c r="B2643" s="60" t="s">
        <v>980</v>
      </c>
      <c r="C2643" s="1" t="s">
        <v>494</v>
      </c>
      <c r="F2643" s="14"/>
      <c r="G2643" s="14"/>
      <c r="H2643" s="14"/>
      <c r="I2643" s="11"/>
      <c r="J2643" s="14"/>
      <c r="K2643" s="16">
        <v>6</v>
      </c>
      <c r="L2643" s="15">
        <v>3</v>
      </c>
      <c r="M2643" s="14">
        <v>1</v>
      </c>
      <c r="N2643" s="62" t="s">
        <v>974</v>
      </c>
      <c r="O2643" s="60" t="s">
        <v>954</v>
      </c>
      <c r="P2643" s="23" t="s">
        <v>984</v>
      </c>
      <c r="Q2643" s="14"/>
      <c r="R2643" s="14"/>
    </row>
    <row r="2644" spans="2:18">
      <c r="B2644" s="60" t="s">
        <v>981</v>
      </c>
      <c r="C2644" s="1" t="s">
        <v>494</v>
      </c>
      <c r="F2644" s="14"/>
      <c r="G2644" s="14"/>
      <c r="H2644" s="14"/>
      <c r="I2644" s="11"/>
      <c r="J2644" s="14"/>
      <c r="K2644" s="16">
        <v>7</v>
      </c>
      <c r="L2644" s="15">
        <v>3</v>
      </c>
      <c r="M2644" s="14"/>
      <c r="N2644" s="1" t="s">
        <v>956</v>
      </c>
      <c r="O2644" s="23" t="s">
        <v>957</v>
      </c>
      <c r="P2644" s="23" t="s">
        <v>958</v>
      </c>
      <c r="Q2644" s="14"/>
      <c r="R2644" s="14"/>
    </row>
    <row r="2645" spans="2:18">
      <c r="B2645" s="23" t="s">
        <v>982</v>
      </c>
      <c r="C2645" s="1" t="s">
        <v>494</v>
      </c>
      <c r="F2645" s="14"/>
      <c r="G2645" s="14"/>
      <c r="H2645" s="14"/>
      <c r="I2645" s="11"/>
      <c r="J2645" s="14"/>
      <c r="K2645" s="16">
        <v>8</v>
      </c>
      <c r="L2645" s="15"/>
      <c r="M2645" s="14"/>
      <c r="N2645" s="23"/>
      <c r="O2645" s="14"/>
      <c r="P2645" s="14"/>
      <c r="Q2645" s="14"/>
      <c r="R2645" s="14"/>
    </row>
    <row r="2646" spans="2:18">
      <c r="B2646" s="43" t="s">
        <v>983</v>
      </c>
      <c r="C2646" s="1" t="s">
        <v>494</v>
      </c>
      <c r="F2646" s="14"/>
      <c r="G2646" s="14"/>
      <c r="H2646" s="14"/>
      <c r="I2646" s="11"/>
      <c r="J2646" s="14"/>
      <c r="K2646" s="16">
        <v>9</v>
      </c>
      <c r="L2646" s="15"/>
      <c r="M2646" s="14"/>
      <c r="N2646" s="23"/>
      <c r="P2646" s="14"/>
      <c r="Q2646" s="14"/>
      <c r="R2646" s="14"/>
    </row>
    <row r="2647" spans="2:18">
      <c r="B2647" s="66" t="s">
        <v>209</v>
      </c>
      <c r="C2647" s="1" t="s">
        <v>494</v>
      </c>
      <c r="F2647" s="14"/>
      <c r="G2647" s="14"/>
      <c r="H2647" s="14"/>
      <c r="I2647" s="11"/>
      <c r="J2647" s="14"/>
      <c r="K2647" s="16">
        <v>10</v>
      </c>
      <c r="L2647" s="15"/>
      <c r="M2647" s="14"/>
      <c r="N2647" s="23"/>
      <c r="O2647" s="14"/>
      <c r="P2647" s="14"/>
      <c r="Q2647" s="14"/>
      <c r="R2647" s="14"/>
    </row>
    <row r="2648" spans="2:18">
      <c r="B2648" s="60" t="s">
        <v>296</v>
      </c>
      <c r="C2648" s="1" t="s">
        <v>493</v>
      </c>
      <c r="D2648" s="1">
        <v>10</v>
      </c>
      <c r="F2648" s="14"/>
      <c r="G2648" s="14"/>
      <c r="H2648" s="14"/>
      <c r="I2648" s="11"/>
      <c r="J2648" s="14"/>
      <c r="K2648" s="16">
        <v>11</v>
      </c>
      <c r="L2648" s="15">
        <v>7</v>
      </c>
      <c r="M2648" s="14">
        <v>1</v>
      </c>
      <c r="N2648" s="23"/>
      <c r="O2648" s="14"/>
      <c r="P2648" s="14"/>
      <c r="Q2648" s="14"/>
      <c r="R2648" s="14"/>
    </row>
    <row r="2649" spans="2:18">
      <c r="B2649" s="60" t="s">
        <v>297</v>
      </c>
      <c r="C2649" s="1" t="s">
        <v>493</v>
      </c>
      <c r="D2649" s="1">
        <v>10</v>
      </c>
      <c r="F2649" s="14"/>
      <c r="G2649" s="14"/>
      <c r="H2649" s="14"/>
      <c r="I2649" s="11"/>
      <c r="J2649" s="14"/>
      <c r="K2649" s="16">
        <v>12</v>
      </c>
      <c r="L2649" s="15">
        <v>7</v>
      </c>
      <c r="M2649" s="14">
        <v>1</v>
      </c>
      <c r="N2649" s="23"/>
      <c r="O2649" s="14"/>
      <c r="P2649" s="14"/>
      <c r="Q2649" s="14"/>
      <c r="R2649" s="14">
        <v>-1</v>
      </c>
    </row>
    <row r="2650" spans="2:18">
      <c r="B2650" s="60" t="s">
        <v>268</v>
      </c>
      <c r="C2650" s="1" t="s">
        <v>494</v>
      </c>
      <c r="F2650" s="14"/>
      <c r="G2650" s="14"/>
      <c r="H2650" s="14"/>
      <c r="I2650" s="11"/>
      <c r="J2650" s="14"/>
      <c r="K2650" s="16">
        <v>13</v>
      </c>
      <c r="L2650" s="15">
        <v>3</v>
      </c>
      <c r="M2650" s="14">
        <v>1</v>
      </c>
      <c r="N2650" s="62" t="s">
        <v>269</v>
      </c>
      <c r="O2650" s="23" t="s">
        <v>270</v>
      </c>
      <c r="P2650" s="23" t="s">
        <v>271</v>
      </c>
      <c r="Q2650" s="14"/>
      <c r="R2650" s="14"/>
    </row>
    <row r="2651" spans="2:18">
      <c r="B2651" s="65" t="s">
        <v>1001</v>
      </c>
      <c r="C2651" s="1" t="s">
        <v>494</v>
      </c>
      <c r="F2651" s="14"/>
      <c r="G2651" s="14"/>
      <c r="H2651" s="14"/>
      <c r="I2651" s="11"/>
      <c r="J2651" s="14"/>
      <c r="K2651" s="16">
        <v>14</v>
      </c>
      <c r="L2651" s="15">
        <v>3</v>
      </c>
      <c r="M2651" s="14"/>
      <c r="N2651" s="62" t="s">
        <v>1002</v>
      </c>
      <c r="O2651" s="23" t="s">
        <v>1004</v>
      </c>
      <c r="P2651" s="60" t="s">
        <v>1023</v>
      </c>
      <c r="Q2651" s="14"/>
      <c r="R2651" s="14"/>
    </row>
    <row r="2652" spans="2:18">
      <c r="B2652" s="28" t="s">
        <v>999</v>
      </c>
      <c r="C2652" s="1" t="s">
        <v>493</v>
      </c>
      <c r="D2652" s="1">
        <v>250</v>
      </c>
      <c r="F2652" s="14"/>
      <c r="G2652" s="14"/>
      <c r="H2652" s="14"/>
      <c r="I2652" s="11"/>
      <c r="J2652" s="14"/>
      <c r="K2652" s="16">
        <v>15</v>
      </c>
      <c r="L2652" s="15"/>
      <c r="M2652" s="14"/>
      <c r="N2652" s="23"/>
      <c r="O2652" s="14"/>
      <c r="Q2652" s="14"/>
      <c r="R2652" s="14"/>
    </row>
    <row r="2653" spans="2:18">
      <c r="B2653" s="28" t="s">
        <v>1009</v>
      </c>
      <c r="C2653" s="1" t="s">
        <v>493</v>
      </c>
      <c r="D2653" s="1">
        <v>10</v>
      </c>
      <c r="F2653" s="14"/>
      <c r="G2653" s="14"/>
      <c r="H2653" s="14"/>
      <c r="I2653" s="11"/>
      <c r="J2653" s="14"/>
      <c r="K2653" s="16">
        <v>16</v>
      </c>
      <c r="L2653" s="15">
        <v>7</v>
      </c>
      <c r="M2653" s="14"/>
      <c r="O2653" s="23"/>
      <c r="P2653" s="23"/>
      <c r="Q2653" s="14"/>
      <c r="R2653" s="14"/>
    </row>
    <row r="2654" spans="2:18">
      <c r="B2654" s="28" t="s">
        <v>1000</v>
      </c>
      <c r="C2654" s="1" t="s">
        <v>493</v>
      </c>
      <c r="D2654" s="1">
        <v>250</v>
      </c>
      <c r="F2654" s="14"/>
      <c r="G2654" s="14"/>
      <c r="H2654" s="14"/>
      <c r="I2654" s="11"/>
      <c r="J2654" s="14"/>
      <c r="K2654" s="16">
        <v>17</v>
      </c>
      <c r="L2654" s="15"/>
      <c r="M2654" s="14"/>
      <c r="N2654" s="23"/>
      <c r="O2654" s="14"/>
      <c r="P2654" s="14"/>
      <c r="Q2654" s="14"/>
      <c r="R2654" s="14"/>
    </row>
    <row r="2655" spans="2:18">
      <c r="B2655" s="65" t="s">
        <v>1005</v>
      </c>
      <c r="C2655" s="1" t="s">
        <v>493</v>
      </c>
      <c r="D2655" s="1">
        <v>10</v>
      </c>
      <c r="F2655" s="14"/>
      <c r="G2655" s="14"/>
      <c r="H2655" s="14"/>
      <c r="I2655" s="11"/>
      <c r="J2655" s="14"/>
      <c r="K2655" s="16">
        <v>18</v>
      </c>
      <c r="L2655" s="15">
        <v>7</v>
      </c>
      <c r="M2655" s="14"/>
      <c r="N2655" s="23"/>
      <c r="O2655" s="14"/>
      <c r="P2655" s="14"/>
      <c r="Q2655" s="14"/>
      <c r="R2655" s="14"/>
    </row>
    <row r="2656" spans="2:18">
      <c r="B2656" s="28" t="s">
        <v>1006</v>
      </c>
      <c r="C2656" s="1" t="s">
        <v>494</v>
      </c>
      <c r="F2656" s="14"/>
      <c r="G2656" s="14"/>
      <c r="H2656" s="14"/>
      <c r="I2656" s="11"/>
      <c r="J2656" s="14"/>
      <c r="K2656" s="16">
        <v>19</v>
      </c>
      <c r="L2656" s="15">
        <v>8</v>
      </c>
      <c r="M2656" s="14"/>
      <c r="N2656" s="23"/>
      <c r="O2656" s="14"/>
      <c r="P2656" s="14"/>
      <c r="Q2656" s="14"/>
      <c r="R2656" s="14"/>
    </row>
    <row r="2657" spans="2:18">
      <c r="B2657" s="28" t="s">
        <v>1007</v>
      </c>
      <c r="C2657" s="1" t="s">
        <v>493</v>
      </c>
      <c r="D2657" s="1">
        <v>10</v>
      </c>
      <c r="F2657" s="14"/>
      <c r="G2657" s="14"/>
      <c r="H2657" s="14"/>
      <c r="I2657" s="11"/>
      <c r="J2657" s="14"/>
      <c r="K2657" s="16">
        <v>20</v>
      </c>
      <c r="L2657" s="15">
        <v>7</v>
      </c>
      <c r="M2657" s="14"/>
      <c r="N2657" s="23"/>
      <c r="O2657" s="14"/>
      <c r="P2657" s="14"/>
      <c r="Q2657" s="14"/>
      <c r="R2657" s="14"/>
    </row>
    <row r="2658" spans="2:18">
      <c r="B2658" s="28" t="s">
        <v>1008</v>
      </c>
      <c r="C2658" s="1" t="s">
        <v>494</v>
      </c>
      <c r="F2658" s="14"/>
      <c r="G2658" s="14"/>
      <c r="H2658" s="14"/>
      <c r="I2658" s="11"/>
      <c r="J2658" s="14"/>
      <c r="K2658" s="16">
        <v>21</v>
      </c>
      <c r="L2658" s="15">
        <v>8</v>
      </c>
      <c r="M2658" s="14"/>
      <c r="N2658" s="23"/>
      <c r="O2658" s="14"/>
      <c r="P2658" s="14"/>
      <c r="Q2658" s="14"/>
      <c r="R2658" s="14"/>
    </row>
    <row r="2659" spans="2:18">
      <c r="B2659" s="28" t="s">
        <v>1017</v>
      </c>
      <c r="C2659" s="1" t="s">
        <v>493</v>
      </c>
      <c r="D2659" s="1">
        <v>10</v>
      </c>
      <c r="F2659" s="14"/>
      <c r="G2659" s="14"/>
      <c r="H2659" s="14"/>
      <c r="I2659" s="11"/>
      <c r="J2659" s="14"/>
      <c r="K2659" s="16">
        <v>22</v>
      </c>
      <c r="L2659" s="15">
        <v>7</v>
      </c>
      <c r="M2659" s="14"/>
      <c r="N2659" s="23"/>
      <c r="O2659" s="14"/>
      <c r="P2659" s="14"/>
      <c r="Q2659" s="14"/>
      <c r="R2659" s="14"/>
    </row>
    <row r="2660" spans="2:18">
      <c r="B2660" s="28" t="s">
        <v>1018</v>
      </c>
      <c r="C2660" s="1" t="s">
        <v>494</v>
      </c>
      <c r="F2660" s="14"/>
      <c r="G2660" s="14"/>
      <c r="H2660" s="14"/>
      <c r="I2660" s="11"/>
      <c r="J2660" s="14"/>
      <c r="K2660" s="16">
        <v>23</v>
      </c>
      <c r="L2660" s="15">
        <v>8</v>
      </c>
      <c r="M2660" s="14"/>
      <c r="N2660" s="23"/>
      <c r="O2660" s="14"/>
      <c r="P2660" s="14"/>
      <c r="Q2660" s="14"/>
      <c r="R2660" s="14"/>
    </row>
    <row r="2661" spans="2:18">
      <c r="B2661" s="66" t="s">
        <v>1108</v>
      </c>
      <c r="C2661" s="1" t="s">
        <v>493</v>
      </c>
      <c r="D2661" s="1">
        <v>10</v>
      </c>
      <c r="F2661" s="14"/>
      <c r="G2661" s="14"/>
      <c r="H2661" s="14"/>
      <c r="I2661" s="11"/>
      <c r="J2661" s="14"/>
      <c r="K2661" s="16">
        <v>24</v>
      </c>
      <c r="L2661" s="15">
        <v>7</v>
      </c>
      <c r="M2661" s="14"/>
      <c r="N2661" s="23"/>
      <c r="O2661" s="14"/>
      <c r="P2661" s="14"/>
      <c r="Q2661" s="14"/>
      <c r="R2661" s="14"/>
    </row>
    <row r="2662" spans="2:18">
      <c r="B2662" s="66" t="s">
        <v>1109</v>
      </c>
      <c r="C2662" s="1" t="s">
        <v>494</v>
      </c>
      <c r="F2662" s="14"/>
      <c r="G2662" s="14"/>
      <c r="H2662" s="14"/>
      <c r="I2662" s="11"/>
      <c r="J2662" s="14"/>
      <c r="K2662" s="16">
        <v>25</v>
      </c>
      <c r="L2662" s="15">
        <v>8</v>
      </c>
      <c r="M2662" s="14"/>
      <c r="N2662" s="23"/>
      <c r="O2662" s="14"/>
      <c r="P2662" s="14"/>
      <c r="Q2662" s="14"/>
      <c r="R2662" s="14"/>
    </row>
    <row r="2663" spans="2:18">
      <c r="B2663" s="29" t="s">
        <v>233</v>
      </c>
      <c r="C2663" s="1" t="s">
        <v>494</v>
      </c>
      <c r="F2663" s="14"/>
      <c r="G2663" s="14"/>
      <c r="H2663" s="14"/>
      <c r="I2663" s="11"/>
      <c r="J2663" s="14"/>
      <c r="K2663" s="16">
        <v>26</v>
      </c>
      <c r="L2663" s="15">
        <v>3</v>
      </c>
      <c r="M2663" s="14">
        <v>3</v>
      </c>
      <c r="N2663" s="10" t="s">
        <v>24</v>
      </c>
      <c r="O2663" s="14" t="s">
        <v>26</v>
      </c>
      <c r="P2663" s="14" t="s">
        <v>27</v>
      </c>
      <c r="Q2663" s="14"/>
      <c r="R2663" s="14"/>
    </row>
    <row r="2664" spans="2:18">
      <c r="B2664" s="29" t="s">
        <v>232</v>
      </c>
      <c r="C2664" s="1" t="s">
        <v>702</v>
      </c>
      <c r="F2664" s="14"/>
      <c r="G2664" s="14"/>
      <c r="H2664" s="14"/>
      <c r="I2664" s="11"/>
      <c r="J2664" s="14"/>
      <c r="K2664" s="16">
        <v>27</v>
      </c>
      <c r="L2664" s="15"/>
      <c r="M2664" s="14"/>
      <c r="N2664" s="23"/>
      <c r="O2664" s="14"/>
      <c r="P2664" s="14"/>
      <c r="Q2664" s="14"/>
      <c r="R2664" s="14"/>
    </row>
    <row r="2665" spans="2:18">
      <c r="B2665" s="29" t="s">
        <v>1150</v>
      </c>
      <c r="C2665" s="1" t="s">
        <v>493</v>
      </c>
      <c r="D2665" s="1">
        <v>1</v>
      </c>
      <c r="F2665" s="14"/>
      <c r="G2665" s="14"/>
      <c r="H2665" s="14"/>
      <c r="I2665" s="11"/>
      <c r="J2665" s="14"/>
      <c r="K2665" s="16">
        <v>28</v>
      </c>
      <c r="L2665" s="15"/>
      <c r="M2665" s="14"/>
      <c r="N2665" s="23"/>
      <c r="O2665" s="14"/>
      <c r="P2665" s="14"/>
      <c r="Q2665" s="14"/>
      <c r="R2665" s="14"/>
    </row>
    <row r="2666" spans="2:18">
      <c r="B2666" s="29" t="s">
        <v>715</v>
      </c>
      <c r="C2666" s="1" t="s">
        <v>494</v>
      </c>
      <c r="F2666" s="14"/>
      <c r="G2666" s="14"/>
      <c r="H2666" s="14"/>
      <c r="I2666" s="11"/>
      <c r="J2666" s="14"/>
      <c r="K2666" s="16">
        <v>29</v>
      </c>
      <c r="L2666" s="15">
        <v>1</v>
      </c>
      <c r="M2666" s="14"/>
      <c r="N2666" s="23"/>
      <c r="O2666" s="14"/>
      <c r="P2666" s="14"/>
      <c r="Q2666" s="14"/>
      <c r="R2666" s="14"/>
    </row>
    <row r="2667" spans="2:18">
      <c r="B2667" s="67" t="s">
        <v>714</v>
      </c>
      <c r="C2667" s="1" t="s">
        <v>494</v>
      </c>
      <c r="F2667" s="14"/>
      <c r="G2667" s="14"/>
      <c r="H2667" s="14"/>
      <c r="I2667" s="11"/>
      <c r="J2667" s="14"/>
      <c r="K2667" s="16">
        <v>30</v>
      </c>
      <c r="L2667" s="15">
        <v>1</v>
      </c>
      <c r="M2667" s="14"/>
      <c r="N2667" s="23"/>
      <c r="O2667" s="14"/>
      <c r="P2667" s="14"/>
      <c r="Q2667" s="14"/>
      <c r="R2667" s="14"/>
    </row>
    <row r="2668" spans="2:18">
      <c r="B2668" s="43" t="s">
        <v>77</v>
      </c>
      <c r="C2668" s="1" t="s">
        <v>494</v>
      </c>
      <c r="F2668" s="14"/>
      <c r="G2668" s="14"/>
      <c r="H2668" s="14"/>
      <c r="I2668" s="11"/>
      <c r="J2668" s="14"/>
      <c r="K2668" s="16">
        <v>31</v>
      </c>
      <c r="L2668" s="15">
        <v>3</v>
      </c>
      <c r="M2668" s="14"/>
      <c r="N2668" s="44" t="s">
        <v>1056</v>
      </c>
      <c r="O2668" s="23" t="s">
        <v>1058</v>
      </c>
      <c r="P2668" s="23" t="s">
        <v>1059</v>
      </c>
      <c r="Q2668" s="14"/>
      <c r="R2668" s="14"/>
    </row>
    <row r="2669" spans="2:18">
      <c r="B2669" s="60" t="s">
        <v>206</v>
      </c>
      <c r="C2669" s="1" t="s">
        <v>493</v>
      </c>
      <c r="D2669" s="1">
        <v>1</v>
      </c>
      <c r="F2669" s="14"/>
      <c r="G2669" s="14"/>
      <c r="H2669" s="14"/>
      <c r="I2669" s="11"/>
      <c r="J2669" s="14"/>
      <c r="K2669" s="16">
        <v>32</v>
      </c>
      <c r="L2669" s="15">
        <v>1</v>
      </c>
      <c r="M2669" s="14"/>
      <c r="N2669" s="64" t="s">
        <v>2013</v>
      </c>
      <c r="O2669" s="66" t="s">
        <v>2014</v>
      </c>
      <c r="P2669" s="60" t="s">
        <v>2015</v>
      </c>
      <c r="Q2669" s="14"/>
      <c r="R2669" s="14"/>
    </row>
    <row r="2670" spans="2:18">
      <c r="B2670" s="23" t="s">
        <v>207</v>
      </c>
      <c r="C2670" s="1" t="s">
        <v>493</v>
      </c>
      <c r="D2670" s="16">
        <v>255</v>
      </c>
      <c r="F2670" s="14"/>
      <c r="G2670" s="14"/>
      <c r="H2670" s="14"/>
      <c r="I2670" s="11"/>
      <c r="J2670" s="14"/>
      <c r="K2670" s="16">
        <v>33</v>
      </c>
      <c r="L2670" s="15"/>
      <c r="M2670" s="14"/>
      <c r="O2670" s="23"/>
      <c r="P2670" s="23"/>
      <c r="Q2670" s="14"/>
      <c r="R2670" s="14"/>
    </row>
    <row r="2671" spans="2:18">
      <c r="B2671" s="56" t="s">
        <v>1323</v>
      </c>
      <c r="C2671" s="42" t="s">
        <v>494</v>
      </c>
      <c r="D2671" s="16"/>
      <c r="F2671" s="14"/>
      <c r="G2671" s="14"/>
      <c r="H2671" s="14"/>
      <c r="I2671" s="11"/>
      <c r="J2671" s="14"/>
      <c r="K2671" s="16">
        <v>34</v>
      </c>
      <c r="L2671" s="15">
        <v>3</v>
      </c>
      <c r="M2671" s="14"/>
      <c r="N2671" s="1" t="s">
        <v>1002</v>
      </c>
      <c r="O2671" s="23" t="s">
        <v>1004</v>
      </c>
      <c r="P2671" s="23" t="s">
        <v>1023</v>
      </c>
      <c r="Q2671" s="14"/>
      <c r="R2671" s="14"/>
    </row>
    <row r="2672" spans="2:18">
      <c r="B2672" s="63" t="s">
        <v>1462</v>
      </c>
      <c r="C2672" s="42" t="s">
        <v>493</v>
      </c>
      <c r="D2672" s="16">
        <v>10</v>
      </c>
      <c r="F2672" s="14"/>
      <c r="G2672" s="14"/>
      <c r="H2672" s="14"/>
      <c r="I2672" s="11"/>
      <c r="J2672" s="14"/>
      <c r="K2672" s="16">
        <v>35</v>
      </c>
      <c r="L2672" s="15">
        <v>7</v>
      </c>
      <c r="M2672" s="14">
        <v>1</v>
      </c>
      <c r="O2672" s="23"/>
      <c r="P2672" s="23"/>
      <c r="Q2672" s="14"/>
      <c r="R2672" s="14"/>
    </row>
    <row r="2673" spans="2:18">
      <c r="B2673" s="60" t="s">
        <v>1871</v>
      </c>
      <c r="C2673" s="62" t="s">
        <v>520</v>
      </c>
      <c r="D2673" s="16"/>
      <c r="F2673" s="14"/>
      <c r="G2673" s="14"/>
      <c r="H2673" s="14"/>
      <c r="I2673" s="11"/>
      <c r="J2673" s="14"/>
      <c r="K2673" s="16">
        <v>36</v>
      </c>
      <c r="L2673" s="15"/>
      <c r="M2673" s="14"/>
      <c r="O2673" s="23"/>
      <c r="P2673" s="23"/>
      <c r="Q2673" s="14"/>
      <c r="R2673" s="14"/>
    </row>
    <row r="2674" spans="2:18">
      <c r="B2674" s="60" t="s">
        <v>1874</v>
      </c>
      <c r="C2674" s="62" t="s">
        <v>494</v>
      </c>
      <c r="D2674" s="16"/>
      <c r="F2674" s="14"/>
      <c r="G2674" s="14"/>
      <c r="H2674" s="14"/>
      <c r="I2674" s="11"/>
      <c r="J2674" s="14"/>
      <c r="K2674" s="16">
        <v>37</v>
      </c>
      <c r="L2674" s="15"/>
      <c r="M2674" s="14"/>
      <c r="O2674" s="23"/>
      <c r="P2674" s="23"/>
      <c r="Q2674" s="14"/>
      <c r="R2674" s="14"/>
    </row>
    <row r="2675" spans="2:18">
      <c r="B2675" s="66" t="s">
        <v>2024</v>
      </c>
      <c r="C2675" s="64" t="s">
        <v>494</v>
      </c>
      <c r="D2675" s="16"/>
      <c r="F2675" s="14"/>
      <c r="G2675" s="14"/>
      <c r="H2675" s="47" t="s">
        <v>2025</v>
      </c>
      <c r="I2675" s="11"/>
      <c r="J2675" s="14"/>
      <c r="K2675" s="16">
        <v>38</v>
      </c>
      <c r="L2675" s="9">
        <v>3</v>
      </c>
      <c r="M2675" s="62">
        <v>3</v>
      </c>
      <c r="N2675" s="62" t="s">
        <v>2193</v>
      </c>
      <c r="O2675" s="64" t="s">
        <v>2194</v>
      </c>
      <c r="P2675" s="62" t="s">
        <v>2195</v>
      </c>
      <c r="Q2675" s="14"/>
      <c r="R2675" s="14"/>
    </row>
    <row r="2676" spans="2:18">
      <c r="B2676" s="63" t="s">
        <v>2445</v>
      </c>
      <c r="C2676" s="78" t="s">
        <v>494</v>
      </c>
      <c r="D2676" s="16"/>
      <c r="F2676" s="14"/>
      <c r="G2676" s="14"/>
      <c r="H2676" s="47"/>
      <c r="I2676" s="11"/>
      <c r="J2676" s="14"/>
      <c r="K2676" s="16">
        <v>39</v>
      </c>
      <c r="L2676" s="55">
        <v>8</v>
      </c>
      <c r="M2676" s="62"/>
      <c r="N2676" s="62"/>
      <c r="O2676" s="64"/>
      <c r="P2676" s="62"/>
      <c r="Q2676" s="14"/>
      <c r="R2676" s="14"/>
    </row>
    <row r="2677" spans="2:18">
      <c r="B2677" s="63" t="s">
        <v>2446</v>
      </c>
      <c r="C2677" s="78" t="s">
        <v>493</v>
      </c>
      <c r="D2677" s="16">
        <v>10</v>
      </c>
      <c r="F2677" s="14"/>
      <c r="G2677" s="14"/>
      <c r="H2677" s="47"/>
      <c r="I2677" s="11"/>
      <c r="J2677" s="14"/>
      <c r="K2677" s="16">
        <v>40</v>
      </c>
      <c r="L2677" s="55">
        <v>7</v>
      </c>
      <c r="M2677" s="62"/>
      <c r="N2677" s="62"/>
      <c r="O2677" s="64"/>
      <c r="P2677" s="62"/>
      <c r="Q2677" s="14"/>
      <c r="R2677" s="14"/>
    </row>
    <row r="2678" spans="2:18">
      <c r="B2678" s="63" t="s">
        <v>2447</v>
      </c>
      <c r="C2678" s="78" t="s">
        <v>493</v>
      </c>
      <c r="D2678" s="16">
        <v>250</v>
      </c>
      <c r="F2678" s="14"/>
      <c r="G2678" s="14"/>
      <c r="H2678" s="47"/>
      <c r="I2678" s="11"/>
      <c r="J2678" s="14"/>
      <c r="K2678" s="16">
        <v>41</v>
      </c>
      <c r="M2678" s="62"/>
      <c r="N2678" s="62"/>
      <c r="O2678" s="64"/>
      <c r="P2678" s="62"/>
      <c r="Q2678" s="14"/>
      <c r="R2678" s="14"/>
    </row>
    <row r="2679" spans="2:18">
      <c r="B2679" s="63" t="s">
        <v>2512</v>
      </c>
      <c r="C2679" s="78" t="s">
        <v>494</v>
      </c>
      <c r="D2679" s="16"/>
      <c r="F2679" s="14"/>
      <c r="G2679" s="14"/>
      <c r="H2679" s="47"/>
      <c r="I2679" s="11"/>
      <c r="J2679" s="14"/>
      <c r="K2679" s="16">
        <v>42</v>
      </c>
      <c r="L2679" s="55">
        <v>8</v>
      </c>
      <c r="M2679" s="62"/>
      <c r="N2679" s="62"/>
      <c r="O2679" s="64"/>
      <c r="P2679" s="62"/>
      <c r="Q2679" s="14"/>
      <c r="R2679" s="14"/>
    </row>
    <row r="2680" spans="2:18">
      <c r="B2680" s="67" t="s">
        <v>2753</v>
      </c>
      <c r="C2680" s="70" t="s">
        <v>493</v>
      </c>
      <c r="D2680" s="16">
        <v>1</v>
      </c>
      <c r="F2680" s="14"/>
      <c r="G2680" s="14"/>
      <c r="H2680" s="47"/>
      <c r="I2680" s="11"/>
      <c r="J2680" s="14"/>
      <c r="K2680" s="16">
        <v>43</v>
      </c>
      <c r="L2680" s="55">
        <v>3</v>
      </c>
      <c r="M2680" s="62"/>
      <c r="N2680" s="62"/>
      <c r="O2680" s="64"/>
      <c r="P2680" s="62"/>
      <c r="Q2680" s="14"/>
      <c r="R2680" s="14"/>
    </row>
    <row r="2681" spans="2:18">
      <c r="B2681" s="67" t="s">
        <v>2754</v>
      </c>
      <c r="C2681" s="70" t="s">
        <v>494</v>
      </c>
      <c r="D2681" s="16"/>
      <c r="F2681" s="14"/>
      <c r="G2681" s="14"/>
      <c r="H2681" s="47"/>
      <c r="I2681" s="11"/>
      <c r="J2681" s="14"/>
      <c r="K2681" s="16">
        <v>44</v>
      </c>
      <c r="L2681" s="55"/>
      <c r="M2681" s="62"/>
      <c r="N2681" s="62"/>
      <c r="O2681" s="64"/>
      <c r="P2681" s="62"/>
      <c r="Q2681" s="14"/>
      <c r="R2681" s="14"/>
    </row>
    <row r="2682" spans="2:18">
      <c r="B2682" s="67" t="s">
        <v>2755</v>
      </c>
      <c r="C2682" s="70" t="s">
        <v>493</v>
      </c>
      <c r="D2682" s="16">
        <v>1</v>
      </c>
      <c r="F2682" s="14"/>
      <c r="G2682" s="14"/>
      <c r="H2682" s="47"/>
      <c r="I2682" s="11"/>
      <c r="J2682" s="14"/>
      <c r="K2682" s="16">
        <v>45</v>
      </c>
      <c r="L2682" s="55">
        <v>3</v>
      </c>
      <c r="M2682" s="62"/>
      <c r="N2682" s="62"/>
      <c r="O2682" s="64"/>
      <c r="P2682" s="62"/>
      <c r="Q2682" s="14"/>
      <c r="R2682" s="14"/>
    </row>
    <row r="2683" spans="2:18">
      <c r="B2683" s="67" t="s">
        <v>2756</v>
      </c>
      <c r="C2683" s="70" t="s">
        <v>494</v>
      </c>
      <c r="D2683" s="16"/>
      <c r="F2683" s="14"/>
      <c r="G2683" s="14"/>
      <c r="H2683" s="47"/>
      <c r="I2683" s="11"/>
      <c r="J2683" s="14"/>
      <c r="K2683" s="16">
        <v>46</v>
      </c>
      <c r="L2683" s="55"/>
      <c r="M2683" s="62"/>
      <c r="N2683" s="62"/>
      <c r="O2683" s="64"/>
      <c r="P2683" s="62"/>
      <c r="Q2683" s="14"/>
      <c r="R2683" s="14"/>
    </row>
    <row r="2684" spans="2:18">
      <c r="B2684" s="63" t="s">
        <v>2839</v>
      </c>
      <c r="C2684" s="78" t="s">
        <v>494</v>
      </c>
      <c r="D2684" s="16"/>
      <c r="F2684" s="14"/>
      <c r="G2684" s="14"/>
      <c r="H2684" s="47"/>
      <c r="I2684" s="11"/>
      <c r="J2684" s="14"/>
      <c r="K2684" s="16">
        <v>47</v>
      </c>
      <c r="L2684" s="55">
        <v>8</v>
      </c>
      <c r="M2684" s="62"/>
      <c r="N2684" s="62"/>
      <c r="O2684" s="64"/>
      <c r="P2684" s="62"/>
      <c r="Q2684" s="14"/>
      <c r="R2684" s="14"/>
    </row>
    <row r="2685" spans="2:18">
      <c r="B2685" s="63" t="s">
        <v>2840</v>
      </c>
      <c r="C2685" s="78" t="s">
        <v>493</v>
      </c>
      <c r="D2685" s="16">
        <v>10</v>
      </c>
      <c r="F2685" s="14"/>
      <c r="G2685" s="14"/>
      <c r="H2685" s="47"/>
      <c r="I2685" s="11"/>
      <c r="J2685" s="14"/>
      <c r="K2685" s="16">
        <v>48</v>
      </c>
      <c r="L2685" s="55">
        <v>7</v>
      </c>
      <c r="M2685" s="62"/>
      <c r="N2685" s="62"/>
      <c r="O2685" s="64"/>
      <c r="P2685" s="62"/>
      <c r="Q2685" s="14"/>
      <c r="R2685" s="14"/>
    </row>
    <row r="2686" spans="2:18">
      <c r="B2686" s="63" t="s">
        <v>2841</v>
      </c>
      <c r="C2686" s="78" t="s">
        <v>493</v>
      </c>
      <c r="D2686" s="16">
        <v>250</v>
      </c>
      <c r="F2686" s="14"/>
      <c r="G2686" s="14"/>
      <c r="H2686" s="47"/>
      <c r="I2686" s="11"/>
      <c r="J2686" s="14"/>
      <c r="K2686" s="16">
        <v>49</v>
      </c>
      <c r="L2686" s="1"/>
    </row>
    <row r="2687" spans="2:18">
      <c r="B2687" s="67" t="s">
        <v>2849</v>
      </c>
      <c r="C2687" s="70" t="s">
        <v>494</v>
      </c>
      <c r="D2687" s="16"/>
      <c r="F2687" s="14"/>
      <c r="G2687" s="14"/>
      <c r="H2687" s="47"/>
      <c r="I2687" s="11"/>
      <c r="J2687" s="14"/>
      <c r="K2687" s="16">
        <v>50</v>
      </c>
      <c r="L2687" s="15">
        <v>3</v>
      </c>
      <c r="M2687" s="10">
        <v>2</v>
      </c>
      <c r="N2687" s="64" t="s">
        <v>54</v>
      </c>
      <c r="O2687" s="66" t="s">
        <v>56</v>
      </c>
      <c r="P2687" s="66" t="s">
        <v>57</v>
      </c>
      <c r="Q2687" s="14"/>
      <c r="R2687" s="14">
        <v>147</v>
      </c>
    </row>
    <row r="2688" spans="2:18">
      <c r="B2688" s="67" t="s">
        <v>2850</v>
      </c>
      <c r="C2688" s="70" t="s">
        <v>493</v>
      </c>
      <c r="D2688" s="16">
        <v>250</v>
      </c>
      <c r="F2688" s="14"/>
      <c r="G2688" s="14"/>
      <c r="H2688" s="47"/>
      <c r="I2688" s="11"/>
      <c r="J2688" s="14"/>
      <c r="K2688" s="16">
        <v>51</v>
      </c>
      <c r="M2688" s="62"/>
      <c r="N2688" s="62"/>
      <c r="O2688" s="64"/>
      <c r="P2688" s="62"/>
      <c r="Q2688" s="14"/>
      <c r="R2688" s="14"/>
    </row>
    <row r="2689" spans="2:18">
      <c r="B2689" s="67" t="s">
        <v>2898</v>
      </c>
      <c r="C2689" s="70" t="s">
        <v>494</v>
      </c>
      <c r="D2689" s="16"/>
      <c r="F2689" s="14"/>
      <c r="G2689" s="14"/>
      <c r="H2689" s="47" t="s">
        <v>2899</v>
      </c>
      <c r="I2689" s="11"/>
      <c r="J2689" s="14"/>
      <c r="K2689" s="16">
        <v>52</v>
      </c>
      <c r="M2689" s="62"/>
      <c r="N2689" s="62"/>
      <c r="O2689" s="64"/>
      <c r="P2689" s="62"/>
      <c r="Q2689" s="14"/>
      <c r="R2689" s="14"/>
    </row>
    <row r="2690" spans="2:18">
      <c r="B2690" s="66" t="s">
        <v>3071</v>
      </c>
      <c r="C2690" s="64" t="s">
        <v>494</v>
      </c>
      <c r="D2690" s="16"/>
      <c r="F2690" s="14"/>
      <c r="G2690" s="14"/>
      <c r="H2690" s="47"/>
      <c r="I2690" s="11"/>
      <c r="J2690" s="14"/>
      <c r="K2690" s="16">
        <v>53</v>
      </c>
      <c r="L2690" s="9">
        <v>8</v>
      </c>
      <c r="M2690" s="62"/>
      <c r="N2690" s="62"/>
      <c r="O2690" s="64"/>
      <c r="P2690" s="62"/>
      <c r="Q2690" s="14"/>
      <c r="R2690" s="14"/>
    </row>
    <row r="2691" spans="2:18">
      <c r="B2691" s="66" t="s">
        <v>3068</v>
      </c>
      <c r="C2691" s="64" t="s">
        <v>494</v>
      </c>
      <c r="D2691" s="16"/>
      <c r="F2691" s="14"/>
      <c r="G2691" s="14"/>
      <c r="H2691" s="47"/>
      <c r="I2691" s="11"/>
      <c r="J2691" s="14"/>
      <c r="K2691" s="16">
        <v>54</v>
      </c>
      <c r="L2691" s="9">
        <v>8</v>
      </c>
      <c r="M2691" s="62"/>
      <c r="N2691" s="62"/>
      <c r="O2691" s="64"/>
      <c r="P2691" s="62"/>
      <c r="Q2691" s="14"/>
      <c r="R2691" s="14"/>
    </row>
    <row r="2692" spans="2:18">
      <c r="B2692" s="66" t="s">
        <v>3069</v>
      </c>
      <c r="C2692" s="64" t="s">
        <v>494</v>
      </c>
      <c r="D2692" s="16"/>
      <c r="F2692" s="14"/>
      <c r="G2692" s="14"/>
      <c r="H2692" s="47"/>
      <c r="I2692" s="11"/>
      <c r="J2692" s="14"/>
      <c r="K2692" s="16">
        <v>55</v>
      </c>
      <c r="L2692" s="32">
        <v>8</v>
      </c>
      <c r="M2692" s="62"/>
      <c r="N2692" s="62"/>
      <c r="O2692" s="64"/>
      <c r="P2692" s="62"/>
      <c r="Q2692" s="14"/>
      <c r="R2692" s="14"/>
    </row>
    <row r="2693" spans="2:18">
      <c r="B2693" s="66" t="s">
        <v>3070</v>
      </c>
      <c r="C2693" s="64" t="s">
        <v>494</v>
      </c>
      <c r="D2693" s="16"/>
      <c r="F2693" s="14"/>
      <c r="G2693" s="14"/>
      <c r="H2693" s="47"/>
      <c r="I2693" s="11"/>
      <c r="J2693" s="14"/>
      <c r="K2693" s="16">
        <v>56</v>
      </c>
      <c r="L2693" s="32">
        <v>8</v>
      </c>
      <c r="M2693" s="62"/>
      <c r="N2693" s="62"/>
      <c r="O2693" s="64"/>
      <c r="P2693" s="62"/>
      <c r="Q2693" s="14"/>
      <c r="R2693" s="14"/>
    </row>
    <row r="2694" spans="2:18">
      <c r="B2694" s="66" t="s">
        <v>3074</v>
      </c>
      <c r="C2694" s="64" t="s">
        <v>494</v>
      </c>
      <c r="D2694" s="16"/>
      <c r="F2694" s="14"/>
      <c r="G2694" s="14"/>
      <c r="H2694" s="47"/>
      <c r="I2694" s="11"/>
      <c r="J2694" s="14"/>
      <c r="K2694" s="16">
        <v>57</v>
      </c>
      <c r="L2694" s="32"/>
      <c r="M2694" s="62"/>
      <c r="N2694" s="62"/>
      <c r="O2694" s="64"/>
      <c r="P2694" s="62"/>
      <c r="Q2694" s="14"/>
      <c r="R2694" s="14"/>
    </row>
    <row r="2695" spans="2:18">
      <c r="B2695" s="67" t="s">
        <v>3123</v>
      </c>
      <c r="C2695" s="70" t="s">
        <v>494</v>
      </c>
      <c r="D2695" s="16"/>
      <c r="F2695" s="14"/>
      <c r="G2695" s="14"/>
      <c r="H2695" s="47"/>
      <c r="I2695" s="11"/>
      <c r="J2695" s="14"/>
      <c r="K2695" s="16">
        <v>58</v>
      </c>
      <c r="L2695" s="32">
        <v>3</v>
      </c>
      <c r="M2695" s="62"/>
      <c r="N2695" s="62"/>
      <c r="O2695" s="64"/>
      <c r="P2695" s="62"/>
      <c r="Q2695" s="14"/>
      <c r="R2695" s="14"/>
    </row>
    <row r="2696" spans="2:18">
      <c r="B2696" s="67" t="s">
        <v>3125</v>
      </c>
      <c r="C2696" s="70" t="s">
        <v>494</v>
      </c>
      <c r="D2696" s="16"/>
      <c r="F2696" s="14"/>
      <c r="G2696" s="14"/>
      <c r="H2696" s="47" t="s">
        <v>3132</v>
      </c>
      <c r="I2696" s="11"/>
      <c r="J2696" s="14"/>
      <c r="K2696" s="16">
        <v>59</v>
      </c>
      <c r="L2696" s="32">
        <v>3</v>
      </c>
      <c r="M2696" s="62"/>
      <c r="N2696" s="62"/>
      <c r="O2696" s="64"/>
      <c r="P2696" s="62"/>
      <c r="Q2696" s="14"/>
      <c r="R2696" s="14"/>
    </row>
    <row r="2697" spans="2:18">
      <c r="B2697" s="67" t="s">
        <v>3124</v>
      </c>
      <c r="C2697" s="70" t="s">
        <v>494</v>
      </c>
      <c r="D2697" s="16"/>
      <c r="F2697" s="14"/>
      <c r="G2697" s="14"/>
      <c r="H2697" s="47"/>
      <c r="I2697" s="11"/>
      <c r="J2697" s="14"/>
      <c r="K2697" s="16">
        <v>60</v>
      </c>
      <c r="L2697" s="32"/>
      <c r="M2697" s="62"/>
      <c r="N2697" s="62"/>
      <c r="O2697" s="64"/>
      <c r="P2697" s="62"/>
      <c r="Q2697" s="14"/>
      <c r="R2697" s="14"/>
    </row>
    <row r="2698" spans="2:18">
      <c r="B2698" s="67" t="s">
        <v>3126</v>
      </c>
      <c r="C2698" s="70" t="s">
        <v>494</v>
      </c>
      <c r="D2698" s="16"/>
      <c r="F2698" s="14"/>
      <c r="G2698" s="14"/>
      <c r="H2698" s="47"/>
      <c r="I2698" s="11"/>
      <c r="J2698" s="14"/>
      <c r="K2698" s="16">
        <v>61</v>
      </c>
      <c r="L2698" s="32"/>
      <c r="M2698" s="62"/>
      <c r="N2698" s="62"/>
      <c r="O2698" s="64"/>
      <c r="P2698" s="62"/>
      <c r="Q2698" s="14"/>
      <c r="R2698" s="14"/>
    </row>
    <row r="2699" spans="2:18">
      <c r="B2699" s="67" t="s">
        <v>3204</v>
      </c>
      <c r="C2699" s="70" t="s">
        <v>494</v>
      </c>
      <c r="D2699" s="16"/>
      <c r="F2699" s="14"/>
      <c r="G2699" s="14"/>
      <c r="H2699" s="47"/>
      <c r="I2699" s="11"/>
      <c r="J2699" s="14"/>
      <c r="K2699" s="16">
        <v>62</v>
      </c>
      <c r="L2699" s="32">
        <v>3</v>
      </c>
      <c r="M2699" s="62">
        <v>31</v>
      </c>
      <c r="N2699" s="62" t="s">
        <v>3196</v>
      </c>
      <c r="O2699" s="64" t="s">
        <v>3199</v>
      </c>
      <c r="P2699" s="62" t="s">
        <v>3198</v>
      </c>
      <c r="Q2699" s="62" t="s">
        <v>3197</v>
      </c>
      <c r="R2699" s="14">
        <v>1</v>
      </c>
    </row>
    <row r="2700" spans="2:18">
      <c r="B2700" s="67" t="s">
        <v>3356</v>
      </c>
      <c r="C2700" s="70" t="s">
        <v>493</v>
      </c>
      <c r="D2700" s="16">
        <v>5</v>
      </c>
      <c r="F2700" s="14"/>
      <c r="G2700" s="14"/>
      <c r="H2700" s="47"/>
      <c r="I2700" s="11"/>
      <c r="J2700" s="14"/>
      <c r="K2700" s="16">
        <v>63</v>
      </c>
      <c r="L2700" s="32">
        <v>3</v>
      </c>
      <c r="M2700" s="62"/>
      <c r="N2700" s="62"/>
      <c r="O2700" s="64"/>
      <c r="P2700" s="62"/>
      <c r="Q2700" s="62"/>
      <c r="R2700" s="14"/>
    </row>
    <row r="2701" spans="2:18">
      <c r="B2701" s="67" t="s">
        <v>3892</v>
      </c>
      <c r="C2701" s="70" t="s">
        <v>494</v>
      </c>
      <c r="D2701" s="16"/>
      <c r="F2701" s="14"/>
      <c r="G2701" s="14"/>
      <c r="H2701" s="47"/>
      <c r="I2701" s="11"/>
      <c r="J2701" s="14"/>
      <c r="K2701" s="16">
        <v>64</v>
      </c>
      <c r="L2701" s="32"/>
      <c r="M2701" s="62">
        <v>2</v>
      </c>
      <c r="N2701" s="62"/>
      <c r="O2701" s="64"/>
      <c r="P2701" s="62"/>
      <c r="Q2701" s="62"/>
      <c r="R2701" s="14"/>
    </row>
    <row r="2702" spans="2:18">
      <c r="B2702" s="67" t="s">
        <v>3893</v>
      </c>
      <c r="C2702" s="70" t="s">
        <v>494</v>
      </c>
      <c r="D2702" s="16"/>
      <c r="F2702" s="14"/>
      <c r="G2702" s="14"/>
      <c r="H2702" s="47"/>
      <c r="I2702" s="11"/>
      <c r="J2702" s="14"/>
      <c r="K2702" s="16">
        <v>65</v>
      </c>
      <c r="L2702" s="32"/>
      <c r="M2702" s="62">
        <v>2</v>
      </c>
      <c r="N2702" s="62"/>
      <c r="O2702" s="64"/>
      <c r="P2702" s="62"/>
      <c r="Q2702" s="62"/>
      <c r="R2702" s="14"/>
    </row>
    <row r="2703" spans="2:18">
      <c r="B2703" s="66" t="s">
        <v>4146</v>
      </c>
      <c r="C2703" s="64" t="s">
        <v>494</v>
      </c>
      <c r="D2703" s="16"/>
      <c r="F2703" s="14"/>
      <c r="G2703" s="14"/>
      <c r="H2703" s="47" t="s">
        <v>4147</v>
      </c>
      <c r="I2703" s="11"/>
      <c r="J2703" s="14"/>
      <c r="K2703" s="16">
        <v>66</v>
      </c>
      <c r="L2703" s="32"/>
      <c r="M2703" s="62"/>
      <c r="N2703" s="62"/>
      <c r="O2703" s="64"/>
      <c r="P2703" s="62"/>
      <c r="Q2703" s="62"/>
      <c r="R2703" s="14"/>
    </row>
    <row r="2704" spans="2:18">
      <c r="B2704" s="66" t="s">
        <v>4137</v>
      </c>
      <c r="C2704" s="64" t="s">
        <v>494</v>
      </c>
      <c r="D2704" s="16"/>
      <c r="F2704" s="14"/>
      <c r="G2704" s="14"/>
      <c r="H2704" s="47" t="s">
        <v>4148</v>
      </c>
      <c r="I2704" s="11"/>
      <c r="J2704" s="14"/>
      <c r="K2704" s="16">
        <v>67</v>
      </c>
      <c r="L2704" s="32"/>
      <c r="M2704" s="62">
        <v>2</v>
      </c>
      <c r="N2704" s="62"/>
      <c r="O2704" s="64"/>
      <c r="P2704" s="62"/>
      <c r="Q2704" s="62"/>
      <c r="R2704" s="14"/>
    </row>
    <row r="2705" spans="1:18">
      <c r="B2705" s="66" t="s">
        <v>4136</v>
      </c>
      <c r="C2705" s="64" t="s">
        <v>494</v>
      </c>
      <c r="D2705" s="16"/>
      <c r="F2705" s="14"/>
      <c r="G2705" s="14"/>
      <c r="H2705" s="47"/>
      <c r="I2705" s="11"/>
      <c r="J2705" s="14"/>
      <c r="K2705" s="16">
        <v>68</v>
      </c>
      <c r="L2705" s="32"/>
      <c r="M2705" s="62">
        <v>2</v>
      </c>
      <c r="N2705" s="62"/>
      <c r="O2705" s="64"/>
      <c r="P2705" s="62"/>
      <c r="Q2705" s="62"/>
      <c r="R2705" s="14"/>
    </row>
    <row r="2706" spans="1:18">
      <c r="B2706" s="66" t="s">
        <v>4138</v>
      </c>
      <c r="C2706" s="64" t="s">
        <v>494</v>
      </c>
      <c r="D2706" s="16"/>
      <c r="F2706" s="14"/>
      <c r="G2706" s="14"/>
      <c r="H2706" s="47" t="s">
        <v>4149</v>
      </c>
      <c r="I2706" s="11"/>
      <c r="J2706" s="14"/>
      <c r="K2706" s="16">
        <v>69</v>
      </c>
      <c r="L2706" s="32"/>
      <c r="M2706" s="62">
        <v>2</v>
      </c>
      <c r="N2706" s="62"/>
      <c r="O2706" s="64"/>
      <c r="P2706" s="62"/>
      <c r="Q2706" s="62"/>
      <c r="R2706" s="14"/>
    </row>
    <row r="2707" spans="1:18">
      <c r="B2707" s="66" t="s">
        <v>4139</v>
      </c>
      <c r="C2707" s="64" t="s">
        <v>494</v>
      </c>
      <c r="D2707" s="16"/>
      <c r="F2707" s="14"/>
      <c r="G2707" s="14"/>
      <c r="H2707" s="47"/>
      <c r="I2707" s="11"/>
      <c r="J2707" s="14"/>
      <c r="K2707" s="16">
        <v>70</v>
      </c>
      <c r="L2707" s="32"/>
      <c r="M2707" s="62">
        <v>2</v>
      </c>
      <c r="N2707" s="62"/>
      <c r="O2707" s="64"/>
      <c r="P2707" s="62"/>
      <c r="Q2707" s="62"/>
      <c r="R2707" s="14"/>
    </row>
    <row r="2708" spans="1:18">
      <c r="B2708" s="66" t="s">
        <v>4140</v>
      </c>
      <c r="C2708" s="64" t="s">
        <v>494</v>
      </c>
      <c r="D2708" s="16"/>
      <c r="F2708" s="14"/>
      <c r="G2708" s="14"/>
      <c r="H2708" s="47" t="s">
        <v>4150</v>
      </c>
      <c r="I2708" s="11"/>
      <c r="J2708" s="14"/>
      <c r="K2708" s="16">
        <v>71</v>
      </c>
      <c r="L2708" s="32"/>
      <c r="M2708" s="62">
        <v>2</v>
      </c>
      <c r="N2708" s="62"/>
      <c r="O2708" s="64"/>
      <c r="P2708" s="62"/>
      <c r="Q2708" s="62"/>
      <c r="R2708" s="14"/>
    </row>
    <row r="2709" spans="1:18">
      <c r="B2709" s="66" t="s">
        <v>4141</v>
      </c>
      <c r="C2709" s="64" t="s">
        <v>494</v>
      </c>
      <c r="D2709" s="16"/>
      <c r="F2709" s="14"/>
      <c r="G2709" s="14"/>
      <c r="H2709" s="47"/>
      <c r="I2709" s="11"/>
      <c r="J2709" s="14"/>
      <c r="K2709" s="16">
        <v>72</v>
      </c>
      <c r="L2709" s="32"/>
      <c r="M2709" s="62">
        <v>2</v>
      </c>
      <c r="N2709" s="62"/>
      <c r="O2709" s="64"/>
      <c r="P2709" s="62"/>
      <c r="Q2709" s="62"/>
      <c r="R2709" s="14"/>
    </row>
    <row r="2710" spans="1:18">
      <c r="B2710" s="66" t="s">
        <v>4142</v>
      </c>
      <c r="C2710" s="64" t="s">
        <v>494</v>
      </c>
      <c r="D2710" s="16"/>
      <c r="F2710" s="14"/>
      <c r="G2710" s="14"/>
      <c r="H2710" s="47" t="s">
        <v>4151</v>
      </c>
      <c r="I2710" s="11"/>
      <c r="J2710" s="14"/>
      <c r="K2710" s="16">
        <v>73</v>
      </c>
      <c r="L2710" s="32"/>
      <c r="M2710" s="62">
        <v>2</v>
      </c>
      <c r="N2710" s="62"/>
      <c r="O2710" s="64"/>
      <c r="P2710" s="62"/>
      <c r="Q2710" s="62"/>
      <c r="R2710" s="14"/>
    </row>
    <row r="2711" spans="1:18">
      <c r="B2711" s="66" t="s">
        <v>4143</v>
      </c>
      <c r="C2711" s="64" t="s">
        <v>494</v>
      </c>
      <c r="D2711" s="16"/>
      <c r="F2711" s="14"/>
      <c r="G2711" s="14"/>
      <c r="H2711" s="47"/>
      <c r="I2711" s="11"/>
      <c r="J2711" s="14"/>
      <c r="K2711" s="16">
        <v>74</v>
      </c>
      <c r="L2711" s="32"/>
      <c r="M2711" s="62">
        <v>2</v>
      </c>
      <c r="N2711" s="62"/>
      <c r="O2711" s="64"/>
      <c r="P2711" s="62"/>
      <c r="Q2711" s="62"/>
      <c r="R2711" s="14"/>
    </row>
    <row r="2712" spans="1:18">
      <c r="B2712" s="66" t="s">
        <v>4144</v>
      </c>
      <c r="C2712" s="64" t="s">
        <v>494</v>
      </c>
      <c r="D2712" s="16"/>
      <c r="F2712" s="14"/>
      <c r="G2712" s="14"/>
      <c r="H2712" s="47" t="s">
        <v>4152</v>
      </c>
      <c r="I2712" s="11"/>
      <c r="J2712" s="14"/>
      <c r="K2712" s="16">
        <v>75</v>
      </c>
      <c r="L2712" s="32"/>
      <c r="M2712" s="62">
        <v>2</v>
      </c>
      <c r="N2712" s="62"/>
      <c r="O2712" s="64"/>
      <c r="P2712" s="62"/>
      <c r="Q2712" s="62"/>
      <c r="R2712" s="14"/>
    </row>
    <row r="2713" spans="1:18">
      <c r="B2713" s="66" t="s">
        <v>4145</v>
      </c>
      <c r="C2713" s="64" t="s">
        <v>494</v>
      </c>
      <c r="D2713" s="16"/>
      <c r="F2713" s="14"/>
      <c r="G2713" s="14"/>
      <c r="H2713" s="47"/>
      <c r="I2713" s="11"/>
      <c r="J2713" s="14"/>
      <c r="K2713" s="16">
        <v>76</v>
      </c>
      <c r="L2713" s="32"/>
      <c r="M2713" s="62">
        <v>2</v>
      </c>
      <c r="N2713" s="62"/>
      <c r="O2713" s="64"/>
      <c r="P2713" s="62"/>
      <c r="Q2713" s="62"/>
      <c r="R2713" s="14"/>
    </row>
    <row r="2714" spans="1:18">
      <c r="B2714" s="67" t="s">
        <v>4233</v>
      </c>
      <c r="C2714" s="70" t="s">
        <v>494</v>
      </c>
      <c r="D2714" s="16"/>
      <c r="F2714" s="14"/>
      <c r="G2714" s="14"/>
      <c r="H2714" s="47"/>
      <c r="I2714" s="11"/>
      <c r="J2714" s="14"/>
      <c r="K2714" s="16">
        <v>77</v>
      </c>
      <c r="L2714" s="32">
        <v>3</v>
      </c>
      <c r="M2714" s="62"/>
      <c r="N2714" s="62"/>
      <c r="O2714" s="64"/>
      <c r="P2714" s="62"/>
      <c r="Q2714" s="62"/>
      <c r="R2714" s="14"/>
    </row>
    <row r="2715" spans="1:18">
      <c r="B2715" s="67" t="s">
        <v>4232</v>
      </c>
      <c r="C2715" s="70" t="s">
        <v>494</v>
      </c>
      <c r="D2715" s="16"/>
      <c r="F2715" s="14"/>
      <c r="G2715" s="14"/>
      <c r="H2715" s="47"/>
      <c r="I2715" s="11"/>
      <c r="J2715" s="14"/>
      <c r="K2715" s="16">
        <v>78</v>
      </c>
      <c r="L2715" s="32">
        <v>3</v>
      </c>
      <c r="M2715" s="62"/>
      <c r="N2715" s="62" t="s">
        <v>4226</v>
      </c>
      <c r="O2715" s="62" t="s">
        <v>4089</v>
      </c>
      <c r="P2715" s="62" t="s">
        <v>4088</v>
      </c>
      <c r="Q2715" s="62"/>
      <c r="R2715" s="14"/>
    </row>
    <row r="2716" spans="1:18">
      <c r="B2716" s="67" t="s">
        <v>4234</v>
      </c>
      <c r="C2716" s="70" t="s">
        <v>494</v>
      </c>
      <c r="D2716" s="16"/>
      <c r="F2716" s="14"/>
      <c r="G2716" s="14"/>
      <c r="H2716" s="47"/>
      <c r="I2716" s="11"/>
      <c r="J2716" s="14"/>
      <c r="K2716" s="16">
        <v>79</v>
      </c>
      <c r="L2716" s="32"/>
      <c r="M2716" s="62">
        <v>1</v>
      </c>
      <c r="N2716" s="62"/>
      <c r="O2716" s="62"/>
      <c r="P2716" s="62"/>
      <c r="Q2716" s="62"/>
      <c r="R2716" s="14"/>
    </row>
    <row r="2717" spans="1:18">
      <c r="B2717" s="67" t="s">
        <v>4235</v>
      </c>
      <c r="C2717" s="70" t="s">
        <v>494</v>
      </c>
      <c r="D2717" s="16"/>
      <c r="F2717" s="14"/>
      <c r="G2717" s="14"/>
      <c r="H2717" s="47"/>
      <c r="I2717" s="11"/>
      <c r="J2717" s="14"/>
      <c r="K2717" s="16">
        <v>80</v>
      </c>
      <c r="L2717" s="32"/>
      <c r="M2717" s="62">
        <v>1</v>
      </c>
      <c r="N2717" s="62"/>
      <c r="O2717" s="62"/>
      <c r="P2717" s="62"/>
      <c r="Q2717" s="62"/>
      <c r="R2717" s="14"/>
    </row>
    <row r="2718" spans="1:18">
      <c r="B2718" s="66" t="s">
        <v>4244</v>
      </c>
      <c r="C2718" s="70" t="s">
        <v>494</v>
      </c>
      <c r="D2718" s="16"/>
      <c r="F2718" s="14"/>
      <c r="G2718" s="14"/>
      <c r="H2718" s="47"/>
      <c r="I2718" s="11"/>
      <c r="J2718" s="14"/>
      <c r="K2718" s="16">
        <v>81</v>
      </c>
      <c r="L2718" s="32"/>
      <c r="M2718" s="62">
        <v>2</v>
      </c>
      <c r="N2718" s="62"/>
      <c r="O2718" s="62"/>
      <c r="P2718" s="62"/>
      <c r="Q2718" s="62"/>
      <c r="R2718" s="14"/>
    </row>
    <row r="2719" spans="1:18">
      <c r="B2719" s="66"/>
      <c r="C2719" s="64"/>
      <c r="D2719" s="16"/>
      <c r="F2719" s="14"/>
      <c r="G2719" s="14"/>
      <c r="H2719" s="47"/>
      <c r="I2719" s="11"/>
      <c r="J2719" s="14"/>
      <c r="K2719" s="16"/>
      <c r="L2719" s="15"/>
      <c r="M2719" s="14"/>
      <c r="N2719" s="62"/>
      <c r="O2719" s="62"/>
      <c r="P2719" s="23"/>
      <c r="Q2719" s="14"/>
      <c r="R2719" s="14"/>
    </row>
    <row r="2720" spans="1:18">
      <c r="A2720" s="62" t="s">
        <v>4236</v>
      </c>
      <c r="B2720" s="62" t="s">
        <v>4237</v>
      </c>
      <c r="C2720" s="62" t="s">
        <v>494</v>
      </c>
      <c r="E2720" s="62" t="s">
        <v>476</v>
      </c>
      <c r="F2720" s="14">
        <v>17</v>
      </c>
      <c r="G2720" s="14">
        <v>1760</v>
      </c>
      <c r="H2720" s="47" t="s">
        <v>4242</v>
      </c>
      <c r="I2720" s="48" t="s">
        <v>4243</v>
      </c>
      <c r="J2720" s="14">
        <v>2</v>
      </c>
      <c r="K2720" s="82">
        <v>1</v>
      </c>
      <c r="L2720" s="15">
        <v>6</v>
      </c>
      <c r="M2720" s="14"/>
      <c r="O2720" s="23"/>
      <c r="P2720" s="23"/>
      <c r="Q2720" s="14"/>
      <c r="R2720" s="14"/>
    </row>
    <row r="2721" spans="1:18">
      <c r="A2721" s="62"/>
      <c r="B2721" s="62" t="s">
        <v>4238</v>
      </c>
      <c r="C2721" s="62" t="s">
        <v>494</v>
      </c>
      <c r="E2721" s="62"/>
      <c r="F2721" s="14"/>
      <c r="G2721" s="14"/>
      <c r="H2721" s="14"/>
      <c r="I2721" s="11"/>
      <c r="J2721" s="14"/>
      <c r="K2721" s="82">
        <v>2</v>
      </c>
      <c r="L2721" s="15">
        <v>6</v>
      </c>
      <c r="M2721" s="14"/>
      <c r="O2721" s="23"/>
      <c r="P2721" s="23"/>
      <c r="Q2721" s="14"/>
      <c r="R2721" s="14"/>
    </row>
    <row r="2722" spans="1:18">
      <c r="B2722" s="62" t="s">
        <v>4239</v>
      </c>
      <c r="C2722" s="62" t="s">
        <v>493</v>
      </c>
      <c r="D2722" s="1">
        <v>1</v>
      </c>
      <c r="F2722" s="14"/>
      <c r="G2722" s="14"/>
      <c r="H2722" s="14"/>
      <c r="I2722" s="11"/>
      <c r="J2722" s="14"/>
      <c r="K2722" s="82">
        <v>3</v>
      </c>
      <c r="L2722" s="15">
        <v>3</v>
      </c>
      <c r="M2722" s="14"/>
      <c r="O2722" s="23"/>
      <c r="P2722" s="23"/>
      <c r="Q2722" s="14"/>
      <c r="R2722" s="14"/>
    </row>
    <row r="2723" spans="1:18">
      <c r="B2723" s="62" t="s">
        <v>4240</v>
      </c>
      <c r="C2723" s="62" t="s">
        <v>493</v>
      </c>
      <c r="D2723" s="1">
        <v>50</v>
      </c>
      <c r="F2723" s="14"/>
      <c r="G2723" s="14"/>
      <c r="H2723" s="14"/>
      <c r="I2723" s="11"/>
      <c r="J2723" s="14"/>
      <c r="K2723" s="82">
        <v>4</v>
      </c>
      <c r="L2723" s="15"/>
      <c r="M2723" s="14"/>
      <c r="O2723" s="23"/>
      <c r="P2723" s="23"/>
      <c r="Q2723" s="14"/>
      <c r="R2723" s="14"/>
    </row>
    <row r="2724" spans="1:18">
      <c r="B2724" s="62"/>
      <c r="C2724" s="62"/>
      <c r="F2724" s="14"/>
      <c r="G2724" s="14"/>
      <c r="H2724" s="14"/>
      <c r="I2724" s="11"/>
      <c r="J2724" s="14"/>
      <c r="L2724" s="15"/>
      <c r="M2724" s="14"/>
      <c r="O2724" s="23"/>
      <c r="P2724" s="23"/>
      <c r="Q2724" s="14"/>
      <c r="R2724" s="14"/>
    </row>
    <row r="2725" spans="1:18" customFormat="1"/>
    <row r="2726" spans="1:18" customFormat="1"/>
    <row r="2727" spans="1:18" customFormat="1">
      <c r="A2727" s="62" t="s">
        <v>4219</v>
      </c>
      <c r="B2727" s="66" t="s">
        <v>4220</v>
      </c>
      <c r="C2727" s="62" t="s">
        <v>494</v>
      </c>
      <c r="F2727">
        <v>17</v>
      </c>
      <c r="G2727">
        <v>1729</v>
      </c>
      <c r="H2727" s="62" t="s">
        <v>4221</v>
      </c>
      <c r="I2727" s="62" t="s">
        <v>4222</v>
      </c>
      <c r="J2727">
        <v>7</v>
      </c>
      <c r="K2727" s="57">
        <v>1</v>
      </c>
      <c r="L2727">
        <v>3</v>
      </c>
      <c r="N2727" s="64" t="s">
        <v>506</v>
      </c>
      <c r="O2727" s="64" t="s">
        <v>514</v>
      </c>
      <c r="P2727" s="62" t="s">
        <v>515</v>
      </c>
    </row>
    <row r="2728" spans="1:18" customFormat="1">
      <c r="A2728" s="62"/>
      <c r="B2728" s="66"/>
      <c r="C2728" s="62"/>
      <c r="H2728" s="62"/>
      <c r="I2728" s="62"/>
      <c r="K2728" s="57"/>
      <c r="N2728" s="64"/>
      <c r="O2728" s="64"/>
      <c r="P2728" s="62"/>
    </row>
    <row r="2729" spans="1:18" customFormat="1"/>
    <row r="2730" spans="1:18" customFormat="1">
      <c r="A2730" s="96" t="s">
        <v>4178</v>
      </c>
      <c r="B2730" s="62" t="s">
        <v>4172</v>
      </c>
      <c r="C2730" s="62" t="s">
        <v>494</v>
      </c>
      <c r="E2730" s="62" t="s">
        <v>476</v>
      </c>
      <c r="F2730">
        <v>14</v>
      </c>
      <c r="G2730">
        <v>1403</v>
      </c>
      <c r="H2730" s="62" t="s">
        <v>4188</v>
      </c>
      <c r="I2730" s="62" t="s">
        <v>4189</v>
      </c>
      <c r="J2730">
        <v>1401</v>
      </c>
      <c r="K2730">
        <v>1</v>
      </c>
      <c r="L2730">
        <v>6</v>
      </c>
    </row>
    <row r="2731" spans="1:18" customFormat="1">
      <c r="B2731" s="62" t="s">
        <v>4171</v>
      </c>
      <c r="C2731" s="62" t="s">
        <v>494</v>
      </c>
      <c r="K2731">
        <v>2</v>
      </c>
      <c r="L2731">
        <v>6</v>
      </c>
    </row>
    <row r="2732" spans="1:18" customFormat="1">
      <c r="B2732" s="62" t="s">
        <v>4192</v>
      </c>
      <c r="C2732" s="62" t="s">
        <v>494</v>
      </c>
      <c r="K2732">
        <v>3</v>
      </c>
      <c r="L2732">
        <v>3</v>
      </c>
      <c r="N2732" s="64" t="s">
        <v>506</v>
      </c>
      <c r="O2732" s="64" t="s">
        <v>514</v>
      </c>
      <c r="P2732" s="1" t="s">
        <v>515</v>
      </c>
    </row>
    <row r="2733" spans="1:18" customFormat="1">
      <c r="B2733" s="62" t="s">
        <v>4174</v>
      </c>
      <c r="C2733" s="62" t="s">
        <v>494</v>
      </c>
      <c r="H2733" s="62" t="s">
        <v>4209</v>
      </c>
      <c r="K2733">
        <v>4</v>
      </c>
      <c r="L2733">
        <v>3</v>
      </c>
    </row>
    <row r="2734" spans="1:18" customFormat="1">
      <c r="B2734" s="62" t="s">
        <v>4175</v>
      </c>
      <c r="C2734" s="62" t="s">
        <v>494</v>
      </c>
      <c r="K2734">
        <v>5</v>
      </c>
      <c r="L2734">
        <v>7</v>
      </c>
      <c r="M2734">
        <v>1</v>
      </c>
    </row>
    <row r="2735" spans="1:18" customFormat="1">
      <c r="B2735" s="62" t="s">
        <v>4176</v>
      </c>
      <c r="C2735" s="62" t="s">
        <v>494</v>
      </c>
      <c r="K2735">
        <v>6</v>
      </c>
      <c r="M2735">
        <v>1</v>
      </c>
    </row>
    <row r="2736" spans="1:18" customFormat="1">
      <c r="B2736" s="62" t="s">
        <v>4185</v>
      </c>
      <c r="C2736" s="62" t="s">
        <v>494</v>
      </c>
      <c r="K2736">
        <v>7</v>
      </c>
    </row>
    <row r="2737" spans="1:15" customFormat="1">
      <c r="B2737" s="62" t="s">
        <v>4186</v>
      </c>
      <c r="C2737" s="62" t="s">
        <v>494</v>
      </c>
      <c r="K2737">
        <v>8</v>
      </c>
    </row>
    <row r="2738" spans="1:15" customFormat="1">
      <c r="B2738" s="62" t="s">
        <v>4190</v>
      </c>
      <c r="C2738" s="62" t="s">
        <v>494</v>
      </c>
      <c r="K2738">
        <v>9</v>
      </c>
      <c r="L2738">
        <v>8</v>
      </c>
    </row>
    <row r="2739" spans="1:15" customFormat="1">
      <c r="B2739" s="62" t="s">
        <v>4191</v>
      </c>
      <c r="C2739" s="62" t="s">
        <v>493</v>
      </c>
      <c r="D2739">
        <v>1</v>
      </c>
      <c r="K2739">
        <v>10</v>
      </c>
      <c r="L2739">
        <v>3</v>
      </c>
    </row>
    <row r="2740" spans="1:15" customFormat="1">
      <c r="B2740" s="62" t="s">
        <v>4210</v>
      </c>
      <c r="C2740" s="62" t="s">
        <v>493</v>
      </c>
      <c r="D2740">
        <v>250</v>
      </c>
      <c r="K2740">
        <v>11</v>
      </c>
    </row>
    <row r="2741" spans="1:15" customFormat="1">
      <c r="B2741" s="62" t="s">
        <v>4213</v>
      </c>
      <c r="C2741" s="62" t="s">
        <v>494</v>
      </c>
      <c r="K2741">
        <v>12</v>
      </c>
      <c r="M2741">
        <v>1</v>
      </c>
    </row>
    <row r="2742" spans="1:15" customFormat="1">
      <c r="B2742" s="62" t="s">
        <v>4214</v>
      </c>
      <c r="C2742" s="62" t="s">
        <v>494</v>
      </c>
      <c r="K2742">
        <v>13</v>
      </c>
      <c r="M2742">
        <v>1</v>
      </c>
    </row>
    <row r="2743" spans="1:15" customFormat="1">
      <c r="B2743" s="62" t="s">
        <v>4215</v>
      </c>
      <c r="C2743" s="62" t="s">
        <v>493</v>
      </c>
      <c r="D2743">
        <v>250</v>
      </c>
      <c r="K2743">
        <v>14</v>
      </c>
      <c r="M2743">
        <v>1</v>
      </c>
    </row>
    <row r="2744" spans="1:15" customFormat="1">
      <c r="B2744" s="62" t="s">
        <v>4216</v>
      </c>
      <c r="C2744" s="62" t="s">
        <v>494</v>
      </c>
      <c r="K2744">
        <v>15</v>
      </c>
    </row>
    <row r="2745" spans="1:15" customFormat="1"/>
    <row r="2746" spans="1:15" customFormat="1">
      <c r="A2746" s="96" t="s">
        <v>4177</v>
      </c>
      <c r="B2746" s="62" t="s">
        <v>4179</v>
      </c>
      <c r="C2746" s="62" t="s">
        <v>494</v>
      </c>
      <c r="E2746" s="62" t="s">
        <v>476</v>
      </c>
      <c r="F2746">
        <v>14</v>
      </c>
      <c r="G2746">
        <v>1404</v>
      </c>
      <c r="H2746" s="62" t="s">
        <v>1176</v>
      </c>
      <c r="J2746">
        <v>1401</v>
      </c>
      <c r="K2746">
        <v>1</v>
      </c>
      <c r="L2746">
        <v>52</v>
      </c>
      <c r="N2746">
        <v>1403</v>
      </c>
      <c r="O2746" s="62" t="s">
        <v>4171</v>
      </c>
    </row>
    <row r="2747" spans="1:15" customFormat="1">
      <c r="B2747" s="62" t="s">
        <v>4180</v>
      </c>
      <c r="C2747" s="62" t="s">
        <v>494</v>
      </c>
      <c r="E2747" s="62" t="s">
        <v>476</v>
      </c>
      <c r="K2747">
        <v>2</v>
      </c>
      <c r="L2747">
        <v>8</v>
      </c>
    </row>
    <row r="2748" spans="1:15" customFormat="1">
      <c r="B2748" s="62" t="s">
        <v>4181</v>
      </c>
      <c r="C2748" s="62" t="s">
        <v>494</v>
      </c>
      <c r="K2748">
        <v>3</v>
      </c>
      <c r="L2748">
        <v>6</v>
      </c>
    </row>
    <row r="2749" spans="1:15" customFormat="1">
      <c r="B2749" s="62" t="s">
        <v>4207</v>
      </c>
      <c r="C2749" s="62" t="s">
        <v>494</v>
      </c>
      <c r="H2749" s="62" t="s">
        <v>4208</v>
      </c>
      <c r="K2749">
        <v>4</v>
      </c>
      <c r="L2749">
        <v>3</v>
      </c>
    </row>
    <row r="2750" spans="1:15" customFormat="1">
      <c r="B2750" s="62" t="s">
        <v>4182</v>
      </c>
      <c r="C2750" s="62" t="s">
        <v>494</v>
      </c>
      <c r="K2750">
        <v>5</v>
      </c>
    </row>
    <row r="2751" spans="1:15" customFormat="1">
      <c r="B2751" s="62" t="s">
        <v>4183</v>
      </c>
      <c r="C2751" s="62" t="s">
        <v>494</v>
      </c>
      <c r="K2751">
        <v>6</v>
      </c>
    </row>
    <row r="2752" spans="1:15" customFormat="1">
      <c r="B2752" s="62" t="s">
        <v>4184</v>
      </c>
      <c r="C2752" s="62" t="s">
        <v>494</v>
      </c>
      <c r="H2752" s="62" t="s">
        <v>4187</v>
      </c>
      <c r="K2752">
        <v>7</v>
      </c>
      <c r="L2752">
        <v>3</v>
      </c>
    </row>
    <row r="2753" spans="1:15" customFormat="1"/>
    <row r="2754" spans="1:15" customFormat="1">
      <c r="A2754" s="96" t="s">
        <v>4155</v>
      </c>
      <c r="B2754" s="62" t="s">
        <v>4173</v>
      </c>
      <c r="C2754" s="62" t="s">
        <v>494</v>
      </c>
      <c r="E2754" s="62" t="s">
        <v>476</v>
      </c>
      <c r="F2754">
        <v>14</v>
      </c>
      <c r="G2754">
        <v>1401</v>
      </c>
      <c r="H2754" s="62" t="s">
        <v>2838</v>
      </c>
      <c r="I2754" s="62" t="s">
        <v>4212</v>
      </c>
      <c r="J2754">
        <v>1401</v>
      </c>
      <c r="K2754">
        <v>1</v>
      </c>
      <c r="L2754">
        <v>52</v>
      </c>
      <c r="N2754">
        <v>1403</v>
      </c>
      <c r="O2754" s="62" t="s">
        <v>4171</v>
      </c>
    </row>
    <row r="2755" spans="1:15" customFormat="1">
      <c r="B2755" s="62" t="s">
        <v>4159</v>
      </c>
      <c r="C2755" s="62" t="s">
        <v>494</v>
      </c>
      <c r="E2755" s="62" t="s">
        <v>476</v>
      </c>
      <c r="K2755">
        <v>2</v>
      </c>
      <c r="L2755">
        <v>6</v>
      </c>
    </row>
    <row r="2756" spans="1:15" customFormat="1">
      <c r="B2756" s="62" t="s">
        <v>4160</v>
      </c>
      <c r="C2756" s="62" t="s">
        <v>494</v>
      </c>
      <c r="K2756">
        <v>3</v>
      </c>
      <c r="L2756">
        <v>6</v>
      </c>
    </row>
    <row r="2757" spans="1:15" customFormat="1">
      <c r="B2757" s="62" t="s">
        <v>4170</v>
      </c>
      <c r="C2757" s="62" t="s">
        <v>494</v>
      </c>
      <c r="K2757">
        <v>4</v>
      </c>
      <c r="L2757">
        <v>8</v>
      </c>
    </row>
    <row r="2758" spans="1:15" customFormat="1">
      <c r="B2758" s="62" t="s">
        <v>4158</v>
      </c>
      <c r="C2758" s="62" t="s">
        <v>494</v>
      </c>
      <c r="K2758">
        <v>5</v>
      </c>
      <c r="M2758">
        <v>2</v>
      </c>
    </row>
    <row r="2759" spans="1:15" customFormat="1">
      <c r="B2759" s="62" t="s">
        <v>4156</v>
      </c>
      <c r="C2759" s="62" t="s">
        <v>494</v>
      </c>
      <c r="K2759">
        <v>6</v>
      </c>
      <c r="L2759">
        <v>3</v>
      </c>
    </row>
    <row r="2760" spans="1:15" customFormat="1">
      <c r="B2760" s="62" t="s">
        <v>4157</v>
      </c>
      <c r="C2760" s="62" t="s">
        <v>520</v>
      </c>
      <c r="K2760">
        <v>7</v>
      </c>
    </row>
    <row r="2761" spans="1:15" customFormat="1">
      <c r="B2761" s="62" t="s">
        <v>4161</v>
      </c>
      <c r="C2761" s="62" t="s">
        <v>494</v>
      </c>
      <c r="K2761">
        <v>8</v>
      </c>
      <c r="L2761">
        <v>7</v>
      </c>
      <c r="M2761">
        <v>1</v>
      </c>
    </row>
    <row r="2762" spans="1:15" customFormat="1">
      <c r="B2762" s="62" t="s">
        <v>4162</v>
      </c>
      <c r="C2762" s="62" t="s">
        <v>494</v>
      </c>
      <c r="K2762">
        <v>9</v>
      </c>
      <c r="M2762">
        <v>1</v>
      </c>
    </row>
    <row r="2763" spans="1:15" customFormat="1"/>
    <row r="2764" spans="1:15" customFormat="1">
      <c r="A2764" s="96" t="s">
        <v>4163</v>
      </c>
      <c r="B2764" s="62" t="s">
        <v>4164</v>
      </c>
      <c r="C2764" s="62" t="s">
        <v>494</v>
      </c>
      <c r="E2764" s="62" t="s">
        <v>476</v>
      </c>
      <c r="F2764">
        <v>14</v>
      </c>
      <c r="G2764">
        <v>1402</v>
      </c>
      <c r="H2764" s="62" t="s">
        <v>111</v>
      </c>
      <c r="J2764">
        <v>1401</v>
      </c>
      <c r="K2764">
        <v>1</v>
      </c>
      <c r="L2764">
        <v>52</v>
      </c>
      <c r="N2764">
        <v>1401</v>
      </c>
      <c r="O2764" s="62" t="s">
        <v>4160</v>
      </c>
    </row>
    <row r="2765" spans="1:15" customFormat="1">
      <c r="B2765" s="62" t="s">
        <v>4165</v>
      </c>
      <c r="C2765" s="62" t="s">
        <v>494</v>
      </c>
      <c r="E2765" s="62" t="s">
        <v>476</v>
      </c>
      <c r="K2765">
        <v>2</v>
      </c>
      <c r="L2765">
        <v>6</v>
      </c>
    </row>
    <row r="2766" spans="1:15" customFormat="1">
      <c r="B2766" s="62" t="s">
        <v>4166</v>
      </c>
      <c r="C2766" s="62" t="s">
        <v>494</v>
      </c>
      <c r="K2766">
        <v>3</v>
      </c>
      <c r="L2766">
        <v>6</v>
      </c>
    </row>
    <row r="2767" spans="1:15" customFormat="1">
      <c r="B2767" s="62" t="s">
        <v>4167</v>
      </c>
      <c r="C2767" s="62" t="s">
        <v>494</v>
      </c>
      <c r="K2767">
        <v>4</v>
      </c>
      <c r="L2767">
        <v>91</v>
      </c>
    </row>
    <row r="2768" spans="1:15" customFormat="1">
      <c r="B2768" s="62" t="s">
        <v>4168</v>
      </c>
      <c r="C2768" s="62" t="s">
        <v>494</v>
      </c>
      <c r="K2768">
        <v>5</v>
      </c>
      <c r="L2768">
        <v>92</v>
      </c>
    </row>
    <row r="2769" spans="1:16" customFormat="1">
      <c r="B2769" s="62" t="s">
        <v>4169</v>
      </c>
      <c r="C2769" s="62" t="s">
        <v>493</v>
      </c>
      <c r="D2769">
        <v>250</v>
      </c>
      <c r="K2769">
        <v>6</v>
      </c>
    </row>
    <row r="2770" spans="1:16" customFormat="1"/>
    <row r="2771" spans="1:16" customFormat="1">
      <c r="A2771" s="96" t="s">
        <v>4193</v>
      </c>
      <c r="B2771" s="62" t="s">
        <v>4197</v>
      </c>
      <c r="C2771" s="62" t="s">
        <v>494</v>
      </c>
      <c r="E2771" s="62" t="s">
        <v>476</v>
      </c>
      <c r="F2771">
        <v>14</v>
      </c>
      <c r="G2771">
        <v>1405</v>
      </c>
      <c r="H2771" s="62" t="s">
        <v>4201</v>
      </c>
      <c r="J2771">
        <v>1401</v>
      </c>
      <c r="K2771">
        <v>1</v>
      </c>
      <c r="L2771">
        <v>52</v>
      </c>
      <c r="N2771">
        <v>1403</v>
      </c>
      <c r="O2771" s="62" t="s">
        <v>4171</v>
      </c>
    </row>
    <row r="2772" spans="1:16" customFormat="1">
      <c r="B2772" s="62" t="s">
        <v>4194</v>
      </c>
      <c r="C2772" s="62" t="s">
        <v>494</v>
      </c>
      <c r="E2772" s="62" t="s">
        <v>476</v>
      </c>
      <c r="K2772">
        <v>2</v>
      </c>
      <c r="L2772">
        <v>8</v>
      </c>
    </row>
    <row r="2773" spans="1:16" customFormat="1">
      <c r="B2773" s="62" t="s">
        <v>4196</v>
      </c>
      <c r="C2773" s="62" t="s">
        <v>494</v>
      </c>
      <c r="E2773" s="62" t="s">
        <v>476</v>
      </c>
      <c r="K2773">
        <v>3</v>
      </c>
      <c r="L2773">
        <v>3</v>
      </c>
      <c r="N2773" t="s">
        <v>4155</v>
      </c>
      <c r="O2773" s="62" t="s">
        <v>4166</v>
      </c>
      <c r="P2773" s="62" t="s">
        <v>4165</v>
      </c>
    </row>
    <row r="2774" spans="1:16" customFormat="1">
      <c r="B2774" s="62" t="s">
        <v>4195</v>
      </c>
      <c r="C2774" s="62" t="s">
        <v>494</v>
      </c>
      <c r="K2774">
        <v>4</v>
      </c>
      <c r="L2774">
        <v>6</v>
      </c>
    </row>
    <row r="2775" spans="1:16" customFormat="1">
      <c r="B2775" s="62" t="s">
        <v>4198</v>
      </c>
      <c r="C2775" s="62" t="s">
        <v>494</v>
      </c>
      <c r="K2775">
        <v>5</v>
      </c>
      <c r="L2775">
        <v>3</v>
      </c>
      <c r="M2775">
        <v>1</v>
      </c>
    </row>
    <row r="2776" spans="1:16" customFormat="1">
      <c r="B2776" s="62" t="s">
        <v>4199</v>
      </c>
      <c r="C2776" s="62" t="s">
        <v>494</v>
      </c>
      <c r="K2776">
        <v>6</v>
      </c>
      <c r="L2776">
        <v>7</v>
      </c>
      <c r="M2776">
        <v>1</v>
      </c>
    </row>
    <row r="2777" spans="1:16" customFormat="1">
      <c r="B2777" s="62" t="s">
        <v>4200</v>
      </c>
      <c r="C2777" s="62" t="s">
        <v>494</v>
      </c>
      <c r="K2777">
        <v>7</v>
      </c>
      <c r="M2777">
        <v>1</v>
      </c>
    </row>
    <row r="2778" spans="1:16" customFormat="1">
      <c r="B2778" s="62" t="s">
        <v>4217</v>
      </c>
      <c r="C2778" s="62" t="s">
        <v>494</v>
      </c>
      <c r="K2778">
        <v>8</v>
      </c>
      <c r="M2778">
        <v>2</v>
      </c>
    </row>
    <row r="2779" spans="1:16" customFormat="1">
      <c r="B2779" s="62" t="s">
        <v>4218</v>
      </c>
      <c r="C2779" s="62" t="s">
        <v>494</v>
      </c>
      <c r="K2779">
        <v>9</v>
      </c>
      <c r="M2779">
        <v>2</v>
      </c>
    </row>
    <row r="2780" spans="1:16" customFormat="1">
      <c r="B2780" s="62"/>
      <c r="C2780" s="62"/>
    </row>
    <row r="2781" spans="1:16" customFormat="1"/>
    <row r="2782" spans="1:16" customFormat="1">
      <c r="A2782" s="62" t="s">
        <v>4202</v>
      </c>
      <c r="B2782" s="62" t="s">
        <v>4203</v>
      </c>
      <c r="C2782" s="62" t="s">
        <v>494</v>
      </c>
      <c r="E2782" s="62" t="s">
        <v>476</v>
      </c>
      <c r="F2782">
        <v>14</v>
      </c>
      <c r="G2782">
        <v>1406</v>
      </c>
      <c r="H2782" s="62" t="s">
        <v>4211</v>
      </c>
      <c r="J2782">
        <v>1401</v>
      </c>
      <c r="K2782">
        <v>1</v>
      </c>
      <c r="L2782">
        <v>8</v>
      </c>
    </row>
    <row r="2783" spans="1:16" customFormat="1">
      <c r="B2783" s="62" t="s">
        <v>4204</v>
      </c>
      <c r="C2783" s="62" t="s">
        <v>494</v>
      </c>
      <c r="E2783" s="62" t="s">
        <v>476</v>
      </c>
      <c r="K2783">
        <v>2</v>
      </c>
      <c r="L2783">
        <v>3</v>
      </c>
      <c r="N2783" s="64" t="s">
        <v>506</v>
      </c>
      <c r="O2783" s="64" t="s">
        <v>514</v>
      </c>
      <c r="P2783" s="1" t="s">
        <v>515</v>
      </c>
    </row>
    <row r="2784" spans="1:16" customFormat="1">
      <c r="B2784" s="62" t="s">
        <v>4205</v>
      </c>
      <c r="C2784" s="62" t="s">
        <v>494</v>
      </c>
      <c r="K2784">
        <v>3</v>
      </c>
      <c r="L2784">
        <v>6</v>
      </c>
    </row>
    <row r="2785" spans="1:18" customFormat="1">
      <c r="B2785" s="62" t="s">
        <v>4206</v>
      </c>
      <c r="C2785" s="62" t="s">
        <v>494</v>
      </c>
      <c r="K2785">
        <v>4</v>
      </c>
    </row>
    <row r="2786" spans="1:18" customFormat="1"/>
    <row r="2787" spans="1:18">
      <c r="B2787" s="66"/>
      <c r="C2787" s="64"/>
      <c r="F2787" s="14"/>
      <c r="G2787" s="14"/>
      <c r="H2787" s="14"/>
      <c r="I2787" s="11"/>
      <c r="J2787" s="14"/>
      <c r="K2787" s="76"/>
      <c r="L2787" s="15"/>
      <c r="M2787" s="14"/>
      <c r="N2787" s="62"/>
      <c r="O2787" s="60"/>
      <c r="P2787" s="23"/>
      <c r="Q2787" s="14"/>
      <c r="R2787" s="14"/>
    </row>
    <row r="2788" spans="1:18" customFormat="1"/>
    <row r="2789" spans="1:18">
      <c r="B2789" s="66"/>
      <c r="C2789" s="64"/>
      <c r="F2789" s="14"/>
      <c r="G2789" s="14"/>
      <c r="H2789" s="14"/>
      <c r="I2789" s="11"/>
      <c r="J2789" s="14"/>
      <c r="K2789" s="76"/>
      <c r="L2789" s="15"/>
      <c r="M2789" s="14"/>
      <c r="N2789" s="62"/>
      <c r="O2789" s="60"/>
      <c r="P2789" s="23"/>
      <c r="Q2789" s="14"/>
      <c r="R2789" s="14"/>
    </row>
    <row r="2790" spans="1:18">
      <c r="A2790" s="10"/>
      <c r="B2790" s="10"/>
      <c r="C2790" s="10"/>
      <c r="D2790" s="10"/>
      <c r="E2790" s="10"/>
      <c r="F2790" s="10"/>
      <c r="G2790" s="10"/>
      <c r="H2790" s="10"/>
      <c r="I2790" s="10"/>
      <c r="J2790" s="10"/>
      <c r="K2790" s="16"/>
      <c r="L2790" s="15"/>
      <c r="M2790" s="14"/>
      <c r="O2790" s="23"/>
      <c r="P2790" s="23"/>
      <c r="Q2790" s="10"/>
      <c r="R2790" s="10"/>
    </row>
    <row r="2791" spans="1:18">
      <c r="B2791" s="23"/>
      <c r="F2791" s="14"/>
      <c r="G2791" s="14"/>
      <c r="H2791" s="14"/>
      <c r="I2791" s="11"/>
      <c r="J2791" s="14"/>
      <c r="K2791" s="16"/>
      <c r="L2791" s="15"/>
      <c r="M2791" s="14"/>
      <c r="N2791" s="23"/>
      <c r="O2791" s="14"/>
      <c r="P2791" s="14"/>
      <c r="Q2791" s="14"/>
      <c r="R2791" s="14"/>
    </row>
    <row r="2792" spans="1:18">
      <c r="B2792" s="66"/>
      <c r="C2792" s="62"/>
      <c r="F2792" s="14"/>
      <c r="G2792" s="14"/>
      <c r="H2792" s="14"/>
      <c r="I2792" s="11"/>
      <c r="J2792" s="14"/>
      <c r="K2792" s="16"/>
      <c r="L2792" s="15"/>
      <c r="M2792" s="14"/>
      <c r="O2792" s="23"/>
      <c r="P2792" s="23"/>
      <c r="Q2792" s="14"/>
      <c r="R2792" s="14"/>
    </row>
    <row r="2793" spans="1:18">
      <c r="B2793" s="23"/>
      <c r="F2793" s="14"/>
      <c r="G2793" s="14"/>
      <c r="H2793" s="14"/>
      <c r="I2793" s="11"/>
      <c r="J2793" s="14"/>
      <c r="K2793" s="16"/>
      <c r="L2793" s="15"/>
      <c r="M2793" s="14"/>
      <c r="N2793" s="23"/>
      <c r="O2793" s="14"/>
      <c r="P2793" s="14"/>
      <c r="Q2793" s="14"/>
      <c r="R2793" s="14"/>
    </row>
    <row r="2794" spans="1:18" customFormat="1">
      <c r="A2794" s="62" t="s">
        <v>4097</v>
      </c>
      <c r="B2794" s="64" t="s">
        <v>4098</v>
      </c>
      <c r="C2794" s="64" t="s">
        <v>494</v>
      </c>
      <c r="E2794" s="62" t="s">
        <v>476</v>
      </c>
      <c r="F2794">
        <v>24</v>
      </c>
      <c r="G2794">
        <v>2402</v>
      </c>
      <c r="H2794" s="62" t="s">
        <v>4104</v>
      </c>
      <c r="I2794" s="62" t="s">
        <v>4117</v>
      </c>
      <c r="J2794">
        <v>2202</v>
      </c>
      <c r="K2794">
        <v>1</v>
      </c>
      <c r="L2794">
        <v>8</v>
      </c>
    </row>
    <row r="2795" spans="1:18" customFormat="1">
      <c r="B2795" s="64" t="s">
        <v>4099</v>
      </c>
      <c r="C2795" s="64" t="s">
        <v>494</v>
      </c>
      <c r="E2795" s="62" t="s">
        <v>476</v>
      </c>
      <c r="K2795">
        <v>2</v>
      </c>
      <c r="L2795">
        <v>3</v>
      </c>
      <c r="M2795">
        <v>3</v>
      </c>
      <c r="N2795" s="10" t="s">
        <v>506</v>
      </c>
      <c r="O2795" s="10" t="s">
        <v>514</v>
      </c>
      <c r="P2795" s="1" t="s">
        <v>515</v>
      </c>
    </row>
    <row r="2796" spans="1:18" customFormat="1">
      <c r="B2796" s="64" t="s">
        <v>4100</v>
      </c>
      <c r="C2796" s="64" t="s">
        <v>494</v>
      </c>
      <c r="E2796" s="62" t="s">
        <v>476</v>
      </c>
      <c r="K2796">
        <v>3</v>
      </c>
      <c r="L2796">
        <v>3</v>
      </c>
      <c r="M2796">
        <v>3</v>
      </c>
      <c r="N2796" s="62" t="s">
        <v>1038</v>
      </c>
      <c r="O2796" s="23" t="s">
        <v>1040</v>
      </c>
      <c r="P2796" s="23" t="s">
        <v>1041</v>
      </c>
    </row>
    <row r="2797" spans="1:18" customFormat="1">
      <c r="B2797" s="64" t="s">
        <v>4101</v>
      </c>
      <c r="C2797" s="64" t="s">
        <v>494</v>
      </c>
      <c r="E2797" s="62" t="s">
        <v>476</v>
      </c>
      <c r="H2797" s="10"/>
      <c r="K2797">
        <v>4</v>
      </c>
      <c r="L2797">
        <v>3</v>
      </c>
    </row>
    <row r="2798" spans="1:18" customFormat="1">
      <c r="B2798" s="64" t="s">
        <v>4102</v>
      </c>
      <c r="C2798" s="64" t="s">
        <v>494</v>
      </c>
      <c r="H2798" s="10"/>
      <c r="K2798">
        <v>5</v>
      </c>
      <c r="L2798">
        <v>6</v>
      </c>
    </row>
    <row r="2799" spans="1:18" customFormat="1">
      <c r="B2799" s="64" t="s">
        <v>4103</v>
      </c>
      <c r="C2799" s="64" t="s">
        <v>494</v>
      </c>
      <c r="H2799" s="64"/>
      <c r="K2799">
        <v>6</v>
      </c>
      <c r="L2799">
        <v>3</v>
      </c>
      <c r="M2799">
        <v>3</v>
      </c>
      <c r="N2799" s="62" t="s">
        <v>4105</v>
      </c>
      <c r="O2799" s="62" t="s">
        <v>4106</v>
      </c>
      <c r="P2799" s="62" t="s">
        <v>4107</v>
      </c>
    </row>
    <row r="2800" spans="1:18" customFormat="1">
      <c r="B2800" s="10" t="s">
        <v>4108</v>
      </c>
      <c r="C2800" s="64" t="s">
        <v>494</v>
      </c>
      <c r="H2800" s="64"/>
      <c r="K2800">
        <v>7</v>
      </c>
      <c r="L2800">
        <v>7</v>
      </c>
    </row>
    <row r="2801" spans="1:18" customFormat="1">
      <c r="B2801" s="10" t="s">
        <v>4109</v>
      </c>
      <c r="C2801" s="64" t="s">
        <v>494</v>
      </c>
      <c r="H2801" s="64"/>
      <c r="K2801">
        <v>8</v>
      </c>
      <c r="L2801">
        <v>7</v>
      </c>
    </row>
    <row r="2802" spans="1:18" customFormat="1">
      <c r="B2802" s="64" t="s">
        <v>4110</v>
      </c>
      <c r="C2802" s="64" t="s">
        <v>494</v>
      </c>
      <c r="H2802" s="64"/>
      <c r="K2802">
        <v>9</v>
      </c>
      <c r="L2802">
        <v>7</v>
      </c>
    </row>
    <row r="2803" spans="1:18" customFormat="1">
      <c r="B2803" s="64" t="s">
        <v>4111</v>
      </c>
      <c r="C2803" s="64" t="s">
        <v>494</v>
      </c>
      <c r="H2803" s="64"/>
      <c r="K2803">
        <v>10</v>
      </c>
    </row>
    <row r="2804" spans="1:18" customFormat="1">
      <c r="B2804" s="64"/>
      <c r="C2804" s="64"/>
      <c r="H2804" s="64"/>
    </row>
    <row r="2805" spans="1:18" customFormat="1">
      <c r="H2805" s="10"/>
    </row>
    <row r="2806" spans="1:18">
      <c r="A2806" s="62" t="s">
        <v>4082</v>
      </c>
      <c r="B2806" s="66" t="s">
        <v>4083</v>
      </c>
      <c r="C2806" s="62" t="s">
        <v>494</v>
      </c>
      <c r="E2806" s="62" t="s">
        <v>476</v>
      </c>
      <c r="F2806" s="14">
        <v>22</v>
      </c>
      <c r="G2806" s="14">
        <v>2258</v>
      </c>
      <c r="H2806" s="47" t="s">
        <v>4095</v>
      </c>
      <c r="I2806" s="48" t="s">
        <v>4096</v>
      </c>
      <c r="J2806" s="14">
        <v>2</v>
      </c>
      <c r="K2806" s="16">
        <v>1</v>
      </c>
      <c r="L2806" s="15">
        <v>6</v>
      </c>
      <c r="M2806" s="14"/>
      <c r="N2806" s="62"/>
      <c r="O2806" s="23"/>
      <c r="P2806" s="60"/>
      <c r="Q2806" s="14"/>
      <c r="R2806" s="14"/>
    </row>
    <row r="2807" spans="1:18">
      <c r="B2807" s="66" t="s">
        <v>3962</v>
      </c>
      <c r="C2807" s="62" t="s">
        <v>494</v>
      </c>
      <c r="F2807" s="14"/>
      <c r="G2807" s="14"/>
      <c r="H2807" s="14"/>
      <c r="I2807" s="11"/>
      <c r="J2807" s="14"/>
      <c r="K2807" s="16">
        <v>2</v>
      </c>
      <c r="L2807" s="15">
        <v>6</v>
      </c>
      <c r="M2807" s="14"/>
      <c r="N2807" s="62"/>
      <c r="O2807" s="23"/>
      <c r="P2807" s="60"/>
      <c r="Q2807" s="14"/>
      <c r="R2807" s="14"/>
    </row>
    <row r="2808" spans="1:18">
      <c r="B2808" s="66" t="s">
        <v>4084</v>
      </c>
      <c r="C2808" s="62" t="s">
        <v>493</v>
      </c>
      <c r="D2808" s="1">
        <v>100</v>
      </c>
      <c r="F2808" s="14"/>
      <c r="G2808" s="14"/>
      <c r="H2808" s="14"/>
      <c r="I2808" s="11"/>
      <c r="J2808" s="14"/>
      <c r="K2808" s="16">
        <v>3</v>
      </c>
      <c r="L2808" s="15"/>
      <c r="M2808" s="14"/>
      <c r="N2808" s="62"/>
      <c r="O2808" s="23"/>
      <c r="P2808" s="60"/>
      <c r="Q2808" s="14"/>
      <c r="R2808" s="14"/>
    </row>
    <row r="2809" spans="1:18">
      <c r="B2809" s="66"/>
      <c r="C2809" s="62"/>
      <c r="F2809" s="14"/>
      <c r="G2809" s="14"/>
      <c r="H2809" s="14"/>
      <c r="I2809" s="11"/>
      <c r="J2809" s="14"/>
      <c r="K2809" s="16"/>
      <c r="L2809" s="15"/>
      <c r="M2809" s="14"/>
      <c r="N2809" s="62"/>
      <c r="O2809" s="23"/>
      <c r="P2809" s="60"/>
      <c r="Q2809" s="14"/>
      <c r="R2809" s="14"/>
    </row>
    <row r="2810" spans="1:18">
      <c r="B2810" s="66"/>
      <c r="C2810" s="62"/>
      <c r="F2810" s="14"/>
      <c r="G2810" s="14"/>
      <c r="H2810" s="14"/>
      <c r="I2810" s="11"/>
      <c r="J2810" s="14"/>
      <c r="K2810" s="16"/>
      <c r="L2810" s="15"/>
      <c r="M2810" s="14"/>
      <c r="N2810" s="62"/>
      <c r="O2810" s="23"/>
      <c r="P2810" s="60"/>
      <c r="Q2810" s="14"/>
      <c r="R2810" s="14"/>
    </row>
    <row r="2811" spans="1:18" customFormat="1">
      <c r="A2811" s="62" t="s">
        <v>3655</v>
      </c>
      <c r="B2811" s="66" t="s">
        <v>3656</v>
      </c>
      <c r="C2811" s="62" t="s">
        <v>494</v>
      </c>
      <c r="E2811" s="62" t="s">
        <v>476</v>
      </c>
      <c r="F2811">
        <v>22</v>
      </c>
      <c r="G2811">
        <v>2209</v>
      </c>
      <c r="H2811" s="62" t="s">
        <v>3661</v>
      </c>
      <c r="I2811" s="62" t="s">
        <v>3662</v>
      </c>
      <c r="J2811">
        <v>1</v>
      </c>
      <c r="K2811" s="62">
        <v>1</v>
      </c>
      <c r="L2811" s="62">
        <v>6</v>
      </c>
    </row>
    <row r="2812" spans="1:18" customFormat="1">
      <c r="A2812" s="62"/>
      <c r="B2812" s="66" t="s">
        <v>3648</v>
      </c>
      <c r="C2812" s="62" t="s">
        <v>494</v>
      </c>
      <c r="K2812" s="62">
        <v>2</v>
      </c>
      <c r="L2812">
        <v>6</v>
      </c>
    </row>
    <row r="2813" spans="1:18" customFormat="1">
      <c r="A2813" s="62"/>
      <c r="B2813" s="66" t="s">
        <v>3657</v>
      </c>
      <c r="C2813" s="62" t="s">
        <v>493</v>
      </c>
      <c r="D2813">
        <v>250</v>
      </c>
      <c r="H2813" s="62" t="s">
        <v>3693</v>
      </c>
      <c r="K2813" s="62">
        <v>3</v>
      </c>
    </row>
    <row r="2814" spans="1:18" customFormat="1">
      <c r="A2814" s="62"/>
      <c r="B2814" s="66" t="s">
        <v>3658</v>
      </c>
      <c r="C2814" s="62" t="s">
        <v>494</v>
      </c>
      <c r="K2814" s="62">
        <v>4</v>
      </c>
      <c r="L2814">
        <v>3</v>
      </c>
      <c r="N2814" s="62" t="s">
        <v>3664</v>
      </c>
      <c r="O2814" s="62" t="s">
        <v>3666</v>
      </c>
      <c r="P2814" s="62" t="s">
        <v>3667</v>
      </c>
    </row>
    <row r="2815" spans="1:18" customFormat="1">
      <c r="A2815" s="62"/>
      <c r="B2815" s="66" t="s">
        <v>3659</v>
      </c>
      <c r="C2815" s="62" t="s">
        <v>494</v>
      </c>
      <c r="K2815" s="62">
        <v>5</v>
      </c>
      <c r="L2815">
        <v>8</v>
      </c>
    </row>
    <row r="2816" spans="1:18" customFormat="1">
      <c r="A2816" s="62"/>
      <c r="B2816" s="66" t="s">
        <v>3660</v>
      </c>
      <c r="C2816" s="62" t="s">
        <v>494</v>
      </c>
      <c r="K2816" s="62">
        <v>6</v>
      </c>
      <c r="M2816">
        <v>1</v>
      </c>
    </row>
    <row r="2817" spans="1:18" customFormat="1">
      <c r="A2817" s="62"/>
      <c r="B2817" s="66" t="s">
        <v>3708</v>
      </c>
      <c r="C2817" s="62" t="s">
        <v>493</v>
      </c>
      <c r="D2817">
        <v>1</v>
      </c>
      <c r="K2817" s="62">
        <v>7</v>
      </c>
      <c r="L2817">
        <v>3</v>
      </c>
    </row>
    <row r="2818" spans="1:18" customFormat="1">
      <c r="B2818" s="66" t="s">
        <v>3879</v>
      </c>
      <c r="C2818" s="62" t="s">
        <v>494</v>
      </c>
      <c r="K2818">
        <v>8</v>
      </c>
      <c r="L2818" s="80">
        <v>3</v>
      </c>
      <c r="M2818" s="10"/>
      <c r="N2818" s="62" t="s">
        <v>3620</v>
      </c>
      <c r="O2818" s="62" t="s">
        <v>3622</v>
      </c>
      <c r="P2818" s="62" t="s">
        <v>3623</v>
      </c>
      <c r="R2818">
        <v>2311</v>
      </c>
    </row>
    <row r="2819" spans="1:18" customFormat="1">
      <c r="B2819" s="66"/>
      <c r="C2819" s="62"/>
      <c r="L2819" s="80"/>
      <c r="M2819" s="10"/>
      <c r="N2819" s="62"/>
      <c r="O2819" s="62"/>
      <c r="P2819" s="62"/>
    </row>
    <row r="2820" spans="1:18" customFormat="1"/>
    <row r="2821" spans="1:18" s="44" customFormat="1">
      <c r="B2821" s="62"/>
      <c r="I2821" s="58"/>
      <c r="K2821" s="59"/>
      <c r="L2821" s="59"/>
    </row>
    <row r="2822" spans="1:18" s="44" customFormat="1">
      <c r="B2822" s="62"/>
      <c r="I2822" s="58"/>
      <c r="K2822" s="59"/>
      <c r="L2822" s="59"/>
    </row>
    <row r="2823" spans="1:18" s="44" customFormat="1">
      <c r="I2823" s="58"/>
      <c r="K2823" s="59"/>
      <c r="L2823" s="59"/>
    </row>
    <row r="2824" spans="1:18" customFormat="1">
      <c r="B2824" s="62"/>
      <c r="C2824" s="62"/>
    </row>
    <row r="2825" spans="1:18" customFormat="1"/>
    <row r="2826" spans="1:18">
      <c r="A2826" s="10"/>
      <c r="B2826" s="10"/>
      <c r="C2826" s="10"/>
      <c r="D2826" s="10"/>
      <c r="E2826" s="10"/>
      <c r="F2826" s="10"/>
      <c r="G2826" s="10"/>
      <c r="H2826" s="10"/>
      <c r="I2826" s="10"/>
      <c r="J2826" s="10"/>
      <c r="K2826" s="16"/>
      <c r="L2826" s="31"/>
      <c r="M2826" s="10"/>
      <c r="N2826" s="10"/>
      <c r="O2826" s="10"/>
      <c r="P2826" s="10"/>
      <c r="Q2826" s="10"/>
      <c r="R2826" s="10"/>
    </row>
    <row r="2827" spans="1:18" s="3" customFormat="1">
      <c r="A2827" s="62"/>
      <c r="B2827" s="62"/>
      <c r="C2827" s="62"/>
      <c r="D2827" s="62"/>
      <c r="E2827" s="62"/>
      <c r="F2827" s="62"/>
      <c r="G2827" s="62"/>
      <c r="H2827" s="62"/>
      <c r="I2827" s="62"/>
      <c r="J2827" s="62"/>
      <c r="K2827" s="76"/>
      <c r="L2827" s="75"/>
      <c r="M2827" s="62"/>
      <c r="N2827" s="62"/>
      <c r="O2827" s="62"/>
      <c r="P2827" s="62"/>
      <c r="Q2827" s="12"/>
      <c r="R2827" s="12"/>
    </row>
    <row r="2828" spans="1:18" customFormat="1">
      <c r="A2828" s="62" t="s">
        <v>4043</v>
      </c>
      <c r="B2828" s="62" t="s">
        <v>4044</v>
      </c>
      <c r="C2828" s="62" t="s">
        <v>494</v>
      </c>
      <c r="F2828">
        <v>24</v>
      </c>
      <c r="G2828">
        <v>2401</v>
      </c>
      <c r="H2828" s="62" t="s">
        <v>4047</v>
      </c>
      <c r="I2828" s="62" t="s">
        <v>4048</v>
      </c>
      <c r="J2828">
        <v>2202</v>
      </c>
      <c r="K2828">
        <v>1</v>
      </c>
      <c r="L2828">
        <v>3</v>
      </c>
      <c r="N2828" s="10" t="s">
        <v>506</v>
      </c>
      <c r="O2828" s="10" t="s">
        <v>514</v>
      </c>
      <c r="P2828" s="1" t="s">
        <v>515</v>
      </c>
    </row>
    <row r="2829" spans="1:18" customFormat="1">
      <c r="B2829" s="62" t="s">
        <v>4045</v>
      </c>
      <c r="C2829" s="62" t="s">
        <v>494</v>
      </c>
      <c r="K2829">
        <v>2</v>
      </c>
      <c r="L2829">
        <v>3</v>
      </c>
      <c r="M2829">
        <v>31</v>
      </c>
      <c r="N2829" s="62" t="s">
        <v>1038</v>
      </c>
      <c r="O2829" s="23" t="s">
        <v>1040</v>
      </c>
      <c r="P2829" s="23" t="s">
        <v>1041</v>
      </c>
      <c r="Q2829" s="62" t="s">
        <v>2003</v>
      </c>
      <c r="R2829">
        <v>1</v>
      </c>
    </row>
    <row r="2830" spans="1:18" customFormat="1">
      <c r="B2830" s="62" t="s">
        <v>4046</v>
      </c>
      <c r="C2830" s="62" t="s">
        <v>494</v>
      </c>
      <c r="K2830">
        <v>3</v>
      </c>
      <c r="L2830">
        <v>3</v>
      </c>
      <c r="M2830">
        <v>31</v>
      </c>
      <c r="N2830" s="62" t="s">
        <v>961</v>
      </c>
      <c r="O2830" s="23" t="s">
        <v>942</v>
      </c>
      <c r="P2830" s="23" t="s">
        <v>945</v>
      </c>
      <c r="Q2830" s="62" t="s">
        <v>799</v>
      </c>
      <c r="R2830">
        <v>2</v>
      </c>
    </row>
    <row r="2831" spans="1:18" customFormat="1">
      <c r="B2831" s="62" t="s">
        <v>4049</v>
      </c>
      <c r="C2831" s="62" t="s">
        <v>494</v>
      </c>
      <c r="K2831">
        <v>4</v>
      </c>
      <c r="L2831">
        <v>3</v>
      </c>
      <c r="M2831">
        <v>31</v>
      </c>
      <c r="N2831" s="64" t="s">
        <v>3311</v>
      </c>
      <c r="O2831" s="62" t="s">
        <v>3316</v>
      </c>
      <c r="P2831" s="62" t="s">
        <v>3315</v>
      </c>
      <c r="Q2831" s="62" t="s">
        <v>3313</v>
      </c>
      <c r="R2831">
        <v>3</v>
      </c>
    </row>
    <row r="2832" spans="1:18" customFormat="1">
      <c r="B2832" s="62"/>
      <c r="C2832" s="62"/>
      <c r="N2832" s="62"/>
      <c r="O2832" s="23"/>
      <c r="P2832" s="1"/>
      <c r="Q2832" s="62"/>
    </row>
    <row r="2833" spans="1:16" customFormat="1"/>
    <row r="2834" spans="1:16" customFormat="1">
      <c r="A2834" s="62" t="s">
        <v>4028</v>
      </c>
      <c r="B2834" s="62" t="s">
        <v>4029</v>
      </c>
      <c r="C2834" s="62" t="s">
        <v>494</v>
      </c>
      <c r="E2834" s="62" t="s">
        <v>476</v>
      </c>
      <c r="F2834">
        <v>24</v>
      </c>
      <c r="G2834">
        <v>2492</v>
      </c>
      <c r="H2834" s="62" t="s">
        <v>4040</v>
      </c>
      <c r="I2834" s="62" t="s">
        <v>4041</v>
      </c>
      <c r="J2834">
        <v>11</v>
      </c>
      <c r="K2834">
        <v>1</v>
      </c>
    </row>
    <row r="2835" spans="1:16" customFormat="1">
      <c r="A2835" s="62"/>
      <c r="B2835" s="62" t="s">
        <v>4034</v>
      </c>
      <c r="C2835" s="62" t="s">
        <v>494</v>
      </c>
      <c r="E2835" s="62" t="s">
        <v>476</v>
      </c>
      <c r="I2835" s="62"/>
      <c r="K2835">
        <v>2</v>
      </c>
    </row>
    <row r="2836" spans="1:16" customFormat="1">
      <c r="B2836" s="62" t="s">
        <v>4031</v>
      </c>
      <c r="C2836" s="62" t="s">
        <v>494</v>
      </c>
      <c r="K2836">
        <v>3</v>
      </c>
    </row>
    <row r="2837" spans="1:16" customFormat="1">
      <c r="B2837" s="62" t="s">
        <v>4030</v>
      </c>
      <c r="C2837" s="62" t="s">
        <v>494</v>
      </c>
      <c r="K2837">
        <v>4</v>
      </c>
    </row>
    <row r="2838" spans="1:16" customFormat="1">
      <c r="B2838" s="62" t="s">
        <v>4032</v>
      </c>
      <c r="C2838" s="62" t="s">
        <v>494</v>
      </c>
      <c r="K2838">
        <v>5</v>
      </c>
    </row>
    <row r="2839" spans="1:16" customFormat="1">
      <c r="B2839" s="62" t="s">
        <v>4035</v>
      </c>
      <c r="C2839" s="62" t="s">
        <v>494</v>
      </c>
      <c r="K2839">
        <v>6</v>
      </c>
    </row>
    <row r="2840" spans="1:16" customFormat="1">
      <c r="B2840" s="62" t="s">
        <v>4036</v>
      </c>
      <c r="C2840" s="62" t="s">
        <v>494</v>
      </c>
      <c r="K2840">
        <v>7</v>
      </c>
    </row>
    <row r="2841" spans="1:16" customFormat="1">
      <c r="B2841" s="62" t="s">
        <v>4037</v>
      </c>
      <c r="C2841" s="62" t="s">
        <v>494</v>
      </c>
      <c r="K2841">
        <v>8</v>
      </c>
    </row>
    <row r="2842" spans="1:16" customFormat="1">
      <c r="B2842" s="62" t="s">
        <v>4038</v>
      </c>
      <c r="C2842" s="62" t="s">
        <v>494</v>
      </c>
      <c r="K2842">
        <v>9</v>
      </c>
    </row>
    <row r="2843" spans="1:16" customFormat="1">
      <c r="B2843" s="62" t="s">
        <v>4039</v>
      </c>
      <c r="C2843" s="62" t="s">
        <v>494</v>
      </c>
      <c r="K2843">
        <v>10</v>
      </c>
    </row>
    <row r="2844" spans="1:16" customFormat="1">
      <c r="B2844" s="62"/>
      <c r="C2844" s="62"/>
    </row>
    <row r="2845" spans="1:16" customFormat="1"/>
    <row r="2846" spans="1:16" customFormat="1">
      <c r="A2846" s="62" t="s">
        <v>4021</v>
      </c>
      <c r="B2846" s="62" t="s">
        <v>4022</v>
      </c>
      <c r="C2846" s="62" t="s">
        <v>494</v>
      </c>
      <c r="F2846">
        <v>24</v>
      </c>
      <c r="G2846">
        <v>2491</v>
      </c>
      <c r="H2846" s="62" t="s">
        <v>4025</v>
      </c>
      <c r="I2846" s="62" t="s">
        <v>4026</v>
      </c>
      <c r="J2846">
        <v>11</v>
      </c>
      <c r="K2846">
        <v>1</v>
      </c>
      <c r="L2846">
        <v>8</v>
      </c>
    </row>
    <row r="2847" spans="1:16" customFormat="1">
      <c r="B2847" s="62" t="s">
        <v>4023</v>
      </c>
      <c r="C2847" s="62" t="s">
        <v>494</v>
      </c>
      <c r="K2847">
        <v>2</v>
      </c>
      <c r="L2847">
        <v>3</v>
      </c>
      <c r="N2847" s="10" t="s">
        <v>506</v>
      </c>
      <c r="O2847" s="10" t="s">
        <v>514</v>
      </c>
      <c r="P2847" s="1" t="s">
        <v>515</v>
      </c>
    </row>
    <row r="2848" spans="1:16" customFormat="1">
      <c r="B2848" s="62" t="s">
        <v>4024</v>
      </c>
      <c r="C2848" s="62" t="s">
        <v>494</v>
      </c>
      <c r="K2848">
        <v>3</v>
      </c>
    </row>
    <row r="2849" spans="1:18" customFormat="1"/>
    <row r="2857" spans="1:18" customFormat="1">
      <c r="A2857" s="62"/>
      <c r="B2857" s="66"/>
      <c r="C2857" s="62"/>
      <c r="N2857" s="62"/>
      <c r="O2857" s="62"/>
      <c r="P2857" s="62"/>
    </row>
    <row r="2858" spans="1:18" customFormat="1">
      <c r="A2858" s="62" t="s">
        <v>3357</v>
      </c>
      <c r="B2858" s="66" t="s">
        <v>3322</v>
      </c>
      <c r="C2858" s="62" t="s">
        <v>494</v>
      </c>
      <c r="E2858" s="62" t="s">
        <v>476</v>
      </c>
      <c r="F2858">
        <v>22</v>
      </c>
      <c r="G2858">
        <v>2207</v>
      </c>
      <c r="H2858" s="62" t="s">
        <v>3329</v>
      </c>
      <c r="I2858" s="62" t="s">
        <v>4001</v>
      </c>
      <c r="J2858">
        <v>11</v>
      </c>
      <c r="K2858" s="62">
        <v>1</v>
      </c>
      <c r="L2858" s="9">
        <v>3</v>
      </c>
      <c r="M2858" s="1"/>
      <c r="N2858" s="10" t="s">
        <v>506</v>
      </c>
      <c r="O2858" s="10" t="s">
        <v>514</v>
      </c>
      <c r="P2858" s="1" t="s">
        <v>515</v>
      </c>
    </row>
    <row r="2859" spans="1:18" customFormat="1">
      <c r="B2859" s="66" t="s">
        <v>3331</v>
      </c>
      <c r="C2859" s="62" t="s">
        <v>494</v>
      </c>
      <c r="E2859" s="62" t="s">
        <v>476</v>
      </c>
      <c r="K2859" s="62">
        <v>2</v>
      </c>
      <c r="L2859" s="15">
        <v>3</v>
      </c>
      <c r="M2859" s="14">
        <v>31</v>
      </c>
      <c r="N2859" s="62" t="s">
        <v>3655</v>
      </c>
      <c r="O2859" s="62" t="s">
        <v>3648</v>
      </c>
      <c r="P2859" s="62" t="s">
        <v>3657</v>
      </c>
      <c r="Q2859" s="47" t="s">
        <v>3658</v>
      </c>
      <c r="R2859" s="14">
        <v>7</v>
      </c>
    </row>
    <row r="2860" spans="1:18" customFormat="1">
      <c r="B2860" s="66" t="s">
        <v>3323</v>
      </c>
      <c r="C2860" s="62" t="s">
        <v>494</v>
      </c>
      <c r="E2860" s="62" t="s">
        <v>476</v>
      </c>
      <c r="K2860" s="62">
        <v>3</v>
      </c>
      <c r="L2860" s="68">
        <v>9</v>
      </c>
      <c r="M2860" s="1"/>
      <c r="N2860" s="1" t="s">
        <v>1038</v>
      </c>
      <c r="O2860" s="23" t="s">
        <v>1040</v>
      </c>
      <c r="P2860" s="23" t="s">
        <v>1041</v>
      </c>
      <c r="Q2860" s="23" t="s">
        <v>1040</v>
      </c>
      <c r="R2860" s="14">
        <v>140</v>
      </c>
    </row>
    <row r="2861" spans="1:18" customFormat="1">
      <c r="B2861" s="66" t="s">
        <v>3324</v>
      </c>
      <c r="C2861" s="62" t="s">
        <v>494</v>
      </c>
      <c r="E2861" s="62" t="s">
        <v>476</v>
      </c>
      <c r="K2861" s="62">
        <v>4</v>
      </c>
      <c r="L2861" s="15">
        <v>3</v>
      </c>
      <c r="M2861" s="14">
        <v>31</v>
      </c>
      <c r="N2861" s="62" t="s">
        <v>379</v>
      </c>
      <c r="O2861" s="62" t="s">
        <v>698</v>
      </c>
      <c r="P2861" s="62" t="s">
        <v>699</v>
      </c>
      <c r="Q2861" s="62" t="s">
        <v>383</v>
      </c>
      <c r="R2861" s="14">
        <v>6</v>
      </c>
    </row>
    <row r="2862" spans="1:18" customFormat="1">
      <c r="B2862" s="66" t="s">
        <v>3330</v>
      </c>
      <c r="C2862" s="62" t="s">
        <v>494</v>
      </c>
      <c r="K2862" s="62">
        <v>6</v>
      </c>
      <c r="L2862" s="68">
        <v>3</v>
      </c>
      <c r="M2862">
        <v>3</v>
      </c>
      <c r="N2862" s="62" t="s">
        <v>693</v>
      </c>
      <c r="O2862" s="1" t="s">
        <v>695</v>
      </c>
      <c r="P2862" s="1" t="s">
        <v>696</v>
      </c>
    </row>
    <row r="2863" spans="1:18" customFormat="1">
      <c r="B2863" s="66" t="s">
        <v>3326</v>
      </c>
      <c r="C2863" s="62" t="s">
        <v>494</v>
      </c>
      <c r="K2863" s="62">
        <v>7</v>
      </c>
      <c r="L2863" s="15">
        <v>3</v>
      </c>
      <c r="M2863">
        <v>3</v>
      </c>
      <c r="N2863" s="62" t="s">
        <v>995</v>
      </c>
      <c r="O2863" s="62" t="s">
        <v>997</v>
      </c>
      <c r="P2863" s="62" t="s">
        <v>996</v>
      </c>
    </row>
    <row r="2864" spans="1:18" customFormat="1">
      <c r="B2864" s="66" t="s">
        <v>3325</v>
      </c>
      <c r="C2864" s="62" t="s">
        <v>494</v>
      </c>
      <c r="K2864" s="62">
        <v>8</v>
      </c>
    </row>
    <row r="2865" spans="1:18" customFormat="1">
      <c r="B2865" s="66" t="s">
        <v>3327</v>
      </c>
      <c r="C2865" s="62" t="s">
        <v>494</v>
      </c>
      <c r="K2865" s="62">
        <v>9</v>
      </c>
    </row>
    <row r="2866" spans="1:18" customFormat="1">
      <c r="B2866" s="66"/>
      <c r="C2866" s="62"/>
      <c r="K2866" s="62"/>
    </row>
    <row r="2867" spans="1:18" customFormat="1">
      <c r="B2867" s="66"/>
      <c r="C2867" s="62"/>
      <c r="K2867" s="62"/>
    </row>
    <row r="2868" spans="1:18" customFormat="1">
      <c r="A2868" s="64" t="s">
        <v>3828</v>
      </c>
      <c r="B2868" s="62" t="s">
        <v>3829</v>
      </c>
      <c r="C2868" s="62" t="s">
        <v>494</v>
      </c>
      <c r="E2868" s="62" t="s">
        <v>476</v>
      </c>
      <c r="F2868">
        <v>22</v>
      </c>
      <c r="G2868">
        <v>2216</v>
      </c>
      <c r="H2868" s="62" t="s">
        <v>3833</v>
      </c>
      <c r="I2868" s="62" t="s">
        <v>3834</v>
      </c>
      <c r="J2868">
        <v>2201</v>
      </c>
      <c r="K2868" s="55">
        <v>1</v>
      </c>
      <c r="L2868" s="9">
        <v>3</v>
      </c>
      <c r="M2868" s="1"/>
      <c r="N2868" s="10" t="s">
        <v>506</v>
      </c>
      <c r="O2868" s="10" t="s">
        <v>514</v>
      </c>
      <c r="P2868" s="1" t="s">
        <v>515</v>
      </c>
    </row>
    <row r="2869" spans="1:18" customFormat="1">
      <c r="B2869" s="62" t="s">
        <v>3830</v>
      </c>
      <c r="C2869" s="62" t="s">
        <v>494</v>
      </c>
      <c r="E2869" s="62" t="s">
        <v>476</v>
      </c>
      <c r="K2869" s="55">
        <v>2</v>
      </c>
      <c r="L2869">
        <v>8</v>
      </c>
    </row>
    <row r="2870" spans="1:18" customFormat="1">
      <c r="B2870" s="62" t="s">
        <v>3831</v>
      </c>
      <c r="C2870" s="62" t="s">
        <v>494</v>
      </c>
      <c r="E2870" s="62" t="s">
        <v>476</v>
      </c>
      <c r="K2870" s="55">
        <v>3</v>
      </c>
      <c r="L2870">
        <v>3</v>
      </c>
      <c r="M2870">
        <v>31</v>
      </c>
      <c r="N2870" s="62" t="s">
        <v>54</v>
      </c>
      <c r="O2870" s="62" t="s">
        <v>56</v>
      </c>
      <c r="P2870" s="62" t="s">
        <v>57</v>
      </c>
      <c r="Q2870" s="14" t="s">
        <v>59</v>
      </c>
      <c r="R2870" s="14">
        <v>7</v>
      </c>
    </row>
    <row r="2871" spans="1:18" customFormat="1">
      <c r="B2871" s="62" t="s">
        <v>3778</v>
      </c>
      <c r="C2871" s="62" t="s">
        <v>494</v>
      </c>
      <c r="E2871" s="62"/>
      <c r="K2871" s="55">
        <v>4</v>
      </c>
      <c r="L2871">
        <v>6</v>
      </c>
    </row>
    <row r="2872" spans="1:18" customFormat="1">
      <c r="B2872" s="62" t="s">
        <v>3832</v>
      </c>
      <c r="C2872" s="62" t="s">
        <v>494</v>
      </c>
      <c r="E2872" s="62"/>
      <c r="K2872" s="55">
        <v>5</v>
      </c>
      <c r="L2872">
        <v>3</v>
      </c>
      <c r="M2872" s="14">
        <v>31</v>
      </c>
      <c r="N2872" s="62" t="s">
        <v>379</v>
      </c>
      <c r="O2872" s="62" t="s">
        <v>698</v>
      </c>
      <c r="P2872" s="62" t="s">
        <v>699</v>
      </c>
      <c r="Q2872" s="62" t="s">
        <v>383</v>
      </c>
      <c r="R2872">
        <v>8</v>
      </c>
    </row>
    <row r="2873" spans="1:18" customFormat="1">
      <c r="B2873" s="62" t="s">
        <v>3840</v>
      </c>
      <c r="C2873" s="62" t="s">
        <v>493</v>
      </c>
      <c r="D2873">
        <v>250</v>
      </c>
      <c r="E2873" s="62"/>
      <c r="K2873" s="55">
        <v>6</v>
      </c>
    </row>
    <row r="2874" spans="1:18" customFormat="1">
      <c r="B2874" s="62" t="s">
        <v>3835</v>
      </c>
      <c r="C2874" s="62" t="s">
        <v>494</v>
      </c>
      <c r="E2874" s="62"/>
      <c r="K2874" s="55">
        <v>7</v>
      </c>
      <c r="L2874">
        <v>3</v>
      </c>
      <c r="N2874" s="62" t="s">
        <v>3664</v>
      </c>
      <c r="O2874" s="62" t="s">
        <v>3666</v>
      </c>
      <c r="P2874" s="62" t="s">
        <v>3667</v>
      </c>
    </row>
    <row r="2875" spans="1:18" customFormat="1">
      <c r="B2875" s="62" t="s">
        <v>3836</v>
      </c>
      <c r="C2875" s="62" t="s">
        <v>494</v>
      </c>
      <c r="E2875" s="62"/>
      <c r="K2875" s="55">
        <v>8</v>
      </c>
      <c r="L2875">
        <v>3</v>
      </c>
      <c r="N2875" s="62" t="s">
        <v>693</v>
      </c>
      <c r="O2875" s="1" t="s">
        <v>695</v>
      </c>
      <c r="P2875" s="1" t="s">
        <v>696</v>
      </c>
    </row>
    <row r="2876" spans="1:18" customFormat="1">
      <c r="B2876" s="62" t="s">
        <v>3837</v>
      </c>
      <c r="C2876" s="62" t="s">
        <v>494</v>
      </c>
      <c r="E2876" s="62"/>
      <c r="K2876" s="55">
        <v>9</v>
      </c>
      <c r="L2876">
        <v>7</v>
      </c>
    </row>
    <row r="2877" spans="1:18" customFormat="1">
      <c r="B2877" s="62" t="s">
        <v>3838</v>
      </c>
      <c r="C2877" s="62" t="s">
        <v>494</v>
      </c>
      <c r="E2877" s="62"/>
      <c r="K2877" s="55">
        <v>10</v>
      </c>
    </row>
    <row r="2878" spans="1:18" customFormat="1">
      <c r="B2878" s="62" t="s">
        <v>3839</v>
      </c>
      <c r="C2878" s="62" t="s">
        <v>494</v>
      </c>
      <c r="E2878" s="62"/>
      <c r="K2878" s="55">
        <v>11</v>
      </c>
      <c r="M2878">
        <v>1</v>
      </c>
    </row>
    <row r="2879" spans="1:18" customFormat="1">
      <c r="B2879" s="66" t="s">
        <v>3841</v>
      </c>
      <c r="C2879" s="62" t="s">
        <v>494</v>
      </c>
      <c r="K2879" s="55">
        <v>12</v>
      </c>
      <c r="M2879">
        <v>1</v>
      </c>
    </row>
    <row r="2880" spans="1:18" customFormat="1">
      <c r="B2880" s="66" t="s">
        <v>3842</v>
      </c>
      <c r="C2880" s="62" t="s">
        <v>494</v>
      </c>
      <c r="K2880" s="55">
        <v>13</v>
      </c>
      <c r="M2880">
        <v>1</v>
      </c>
    </row>
    <row r="2881" spans="1:18" customFormat="1">
      <c r="B2881" s="66" t="s">
        <v>3843</v>
      </c>
      <c r="C2881" s="62" t="s">
        <v>702</v>
      </c>
      <c r="K2881" s="55">
        <v>14</v>
      </c>
      <c r="M2881">
        <v>1</v>
      </c>
    </row>
    <row r="2882" spans="1:18" customFormat="1">
      <c r="B2882" s="66" t="s">
        <v>3844</v>
      </c>
      <c r="C2882" s="62" t="s">
        <v>494</v>
      </c>
      <c r="K2882" s="55">
        <v>15</v>
      </c>
      <c r="M2882">
        <v>1</v>
      </c>
    </row>
    <row r="2883" spans="1:18" customFormat="1">
      <c r="B2883" s="66" t="s">
        <v>3845</v>
      </c>
      <c r="C2883" s="62" t="s">
        <v>494</v>
      </c>
      <c r="K2883" s="55">
        <v>16</v>
      </c>
      <c r="L2883">
        <v>3</v>
      </c>
    </row>
    <row r="2884" spans="1:18" customFormat="1">
      <c r="B2884" s="66" t="s">
        <v>3877</v>
      </c>
      <c r="C2884" s="62" t="s">
        <v>494</v>
      </c>
      <c r="K2884" s="55">
        <v>17</v>
      </c>
      <c r="M2884">
        <v>1</v>
      </c>
    </row>
    <row r="2885" spans="1:18" customFormat="1">
      <c r="B2885" s="66" t="s">
        <v>3878</v>
      </c>
      <c r="C2885" s="62" t="s">
        <v>494</v>
      </c>
      <c r="K2885" s="55">
        <v>18</v>
      </c>
      <c r="M2885">
        <v>1</v>
      </c>
    </row>
    <row r="2886" spans="1:18" customFormat="1">
      <c r="B2886" s="66" t="s">
        <v>3967</v>
      </c>
      <c r="C2886" s="62" t="s">
        <v>494</v>
      </c>
      <c r="H2886" s="62" t="s">
        <v>3968</v>
      </c>
      <c r="K2886" s="55">
        <v>19</v>
      </c>
      <c r="L2886">
        <v>8</v>
      </c>
      <c r="M2886">
        <v>2</v>
      </c>
    </row>
    <row r="2887" spans="1:18" customFormat="1">
      <c r="B2887" s="66"/>
      <c r="C2887" s="62"/>
      <c r="H2887" s="62"/>
      <c r="K2887" s="55"/>
    </row>
    <row r="2888" spans="1:18" customFormat="1">
      <c r="B2888" s="66"/>
      <c r="C2888" s="62"/>
      <c r="K2888" s="55"/>
    </row>
    <row r="2889" spans="1:18" customFormat="1">
      <c r="A2889" s="91" t="s">
        <v>3311</v>
      </c>
      <c r="B2889" s="62" t="s">
        <v>3312</v>
      </c>
      <c r="C2889" s="62" t="s">
        <v>494</v>
      </c>
      <c r="E2889" s="62" t="s">
        <v>476</v>
      </c>
      <c r="F2889">
        <v>23</v>
      </c>
      <c r="G2889">
        <v>2206</v>
      </c>
      <c r="H2889" s="62" t="s">
        <v>2890</v>
      </c>
      <c r="I2889" s="62" t="s">
        <v>3328</v>
      </c>
      <c r="J2889">
        <v>2201</v>
      </c>
      <c r="K2889">
        <v>1</v>
      </c>
      <c r="L2889" s="9">
        <v>3</v>
      </c>
      <c r="M2889" s="1"/>
      <c r="N2889" s="10" t="s">
        <v>506</v>
      </c>
      <c r="O2889" s="10" t="s">
        <v>514</v>
      </c>
      <c r="P2889" s="1" t="s">
        <v>515</v>
      </c>
    </row>
    <row r="2890" spans="1:18" customFormat="1">
      <c r="B2890" s="62" t="s">
        <v>3313</v>
      </c>
      <c r="C2890" s="62" t="s">
        <v>494</v>
      </c>
      <c r="E2890" s="62" t="s">
        <v>476</v>
      </c>
      <c r="K2890">
        <v>2</v>
      </c>
      <c r="L2890" s="68">
        <v>9</v>
      </c>
      <c r="M2890" s="1"/>
      <c r="N2890" s="1" t="s">
        <v>1038</v>
      </c>
      <c r="O2890" s="23" t="s">
        <v>1040</v>
      </c>
      <c r="P2890" s="23" t="s">
        <v>1041</v>
      </c>
      <c r="Q2890" s="23" t="s">
        <v>1040</v>
      </c>
      <c r="R2890" s="14">
        <v>140</v>
      </c>
    </row>
    <row r="2891" spans="1:18" customFormat="1">
      <c r="B2891" s="62" t="s">
        <v>3315</v>
      </c>
      <c r="C2891" s="62" t="s">
        <v>494</v>
      </c>
      <c r="E2891" s="62" t="s">
        <v>476</v>
      </c>
      <c r="K2891">
        <v>3</v>
      </c>
      <c r="L2891">
        <v>6</v>
      </c>
    </row>
    <row r="2892" spans="1:18" customFormat="1">
      <c r="B2892" s="62" t="s">
        <v>3316</v>
      </c>
      <c r="C2892" s="62" t="s">
        <v>494</v>
      </c>
      <c r="K2892">
        <v>4</v>
      </c>
      <c r="L2892" s="32">
        <v>6</v>
      </c>
      <c r="M2892" s="62"/>
      <c r="N2892" s="62"/>
      <c r="O2892" s="64"/>
      <c r="P2892" s="62"/>
      <c r="Q2892" s="14"/>
      <c r="R2892" s="14"/>
    </row>
    <row r="2893" spans="1:18" customFormat="1">
      <c r="B2893" s="62" t="s">
        <v>3314</v>
      </c>
      <c r="C2893" s="62" t="s">
        <v>494</v>
      </c>
      <c r="E2893" s="62"/>
      <c r="K2893">
        <v>5</v>
      </c>
    </row>
    <row r="2894" spans="1:18">
      <c r="B2894" s="66" t="s">
        <v>3317</v>
      </c>
      <c r="C2894" s="64" t="s">
        <v>494</v>
      </c>
      <c r="D2894" s="16"/>
      <c r="F2894" s="14"/>
      <c r="G2894" s="14"/>
      <c r="H2894" s="47" t="s">
        <v>3358</v>
      </c>
      <c r="I2894" s="11"/>
      <c r="J2894" s="14"/>
      <c r="K2894">
        <v>6</v>
      </c>
      <c r="L2894" s="32">
        <v>3</v>
      </c>
      <c r="M2894" s="62"/>
      <c r="N2894" s="62"/>
      <c r="O2894" s="64"/>
      <c r="P2894" s="62"/>
      <c r="Q2894" s="14"/>
      <c r="R2894" s="14"/>
    </row>
    <row r="2895" spans="1:18">
      <c r="B2895" s="66" t="s">
        <v>3318</v>
      </c>
      <c r="C2895" s="64" t="s">
        <v>494</v>
      </c>
      <c r="D2895" s="16"/>
      <c r="F2895" s="14"/>
      <c r="G2895" s="14"/>
      <c r="H2895" s="47"/>
      <c r="I2895" s="11"/>
      <c r="J2895" s="14"/>
      <c r="K2895">
        <v>7</v>
      </c>
      <c r="L2895" s="32"/>
      <c r="M2895" s="62"/>
      <c r="N2895" s="62"/>
      <c r="O2895" s="64"/>
      <c r="P2895" s="62"/>
      <c r="Q2895" s="14"/>
      <c r="R2895" s="14"/>
    </row>
    <row r="2896" spans="1:18">
      <c r="B2896" s="66" t="s">
        <v>3319</v>
      </c>
      <c r="C2896" s="64" t="s">
        <v>494</v>
      </c>
      <c r="D2896" s="16"/>
      <c r="F2896" s="14"/>
      <c r="G2896" s="14"/>
      <c r="H2896" s="47"/>
      <c r="I2896" s="11"/>
      <c r="J2896" s="14"/>
      <c r="K2896">
        <v>8</v>
      </c>
      <c r="L2896"/>
      <c r="M2896"/>
      <c r="N2896"/>
      <c r="O2896"/>
      <c r="P2896"/>
      <c r="Q2896"/>
      <c r="R2896"/>
    </row>
    <row r="2897" spans="1:18">
      <c r="B2897" s="66" t="s">
        <v>3345</v>
      </c>
      <c r="C2897" s="64" t="s">
        <v>494</v>
      </c>
      <c r="D2897" s="16"/>
      <c r="F2897" s="14"/>
      <c r="G2897" s="14"/>
      <c r="H2897" s="47"/>
      <c r="I2897" s="11"/>
      <c r="J2897" s="14"/>
      <c r="K2897">
        <v>9</v>
      </c>
      <c r="L2897">
        <v>7</v>
      </c>
      <c r="M2897"/>
      <c r="N2897"/>
      <c r="O2897"/>
      <c r="P2897"/>
      <c r="Q2897"/>
      <c r="R2897"/>
    </row>
    <row r="2898" spans="1:18" customFormat="1">
      <c r="B2898" s="66" t="s">
        <v>3320</v>
      </c>
      <c r="C2898" s="64" t="s">
        <v>494</v>
      </c>
      <c r="K2898">
        <v>10</v>
      </c>
      <c r="L2898">
        <v>8</v>
      </c>
    </row>
    <row r="2899" spans="1:18" customFormat="1">
      <c r="B2899" s="66" t="s">
        <v>3321</v>
      </c>
      <c r="C2899" s="64" t="s">
        <v>494</v>
      </c>
      <c r="G2899" s="89"/>
      <c r="K2899">
        <v>11</v>
      </c>
      <c r="L2899">
        <v>8</v>
      </c>
    </row>
    <row r="2900" spans="1:18" customFormat="1">
      <c r="B2900" s="66" t="s">
        <v>3341</v>
      </c>
      <c r="C2900" s="64" t="s">
        <v>494</v>
      </c>
      <c r="K2900">
        <v>12</v>
      </c>
      <c r="L2900">
        <v>8</v>
      </c>
    </row>
    <row r="2901" spans="1:18" customFormat="1">
      <c r="B2901" s="66" t="s">
        <v>3359</v>
      </c>
      <c r="C2901" s="64" t="s">
        <v>494</v>
      </c>
      <c r="K2901">
        <v>13</v>
      </c>
    </row>
    <row r="2902" spans="1:18" customFormat="1">
      <c r="B2902" s="66" t="s">
        <v>3344</v>
      </c>
      <c r="C2902" s="64" t="s">
        <v>493</v>
      </c>
      <c r="D2902">
        <v>20</v>
      </c>
      <c r="K2902">
        <v>14</v>
      </c>
    </row>
    <row r="2903" spans="1:18" customFormat="1">
      <c r="B2903" s="66" t="s">
        <v>3360</v>
      </c>
      <c r="C2903" s="64" t="s">
        <v>494</v>
      </c>
      <c r="G2903" s="62" t="s">
        <v>3361</v>
      </c>
      <c r="K2903">
        <v>15</v>
      </c>
      <c r="L2903">
        <v>3</v>
      </c>
    </row>
    <row r="2904" spans="1:18" customFormat="1">
      <c r="B2904" s="62" t="s">
        <v>3971</v>
      </c>
      <c r="C2904" s="62" t="s">
        <v>494</v>
      </c>
      <c r="K2904">
        <v>16</v>
      </c>
      <c r="L2904">
        <v>3</v>
      </c>
      <c r="N2904" s="62" t="s">
        <v>379</v>
      </c>
      <c r="O2904" s="62" t="s">
        <v>698</v>
      </c>
      <c r="P2904" s="62" t="s">
        <v>699</v>
      </c>
    </row>
    <row r="2905" spans="1:18" customFormat="1"/>
    <row r="2906" spans="1:18" customFormat="1"/>
    <row r="2907" spans="1:18">
      <c r="B2907" s="64"/>
      <c r="C2907" s="64"/>
      <c r="F2907" s="14"/>
      <c r="G2907" s="14"/>
      <c r="H2907" s="14"/>
      <c r="I2907" s="11"/>
      <c r="J2907" s="14"/>
      <c r="K2907" s="16"/>
      <c r="L2907" s="15"/>
      <c r="M2907" s="14"/>
      <c r="N2907" s="14"/>
      <c r="O2907" s="14"/>
      <c r="P2907" s="14"/>
      <c r="Q2907" s="14"/>
      <c r="R2907" s="14"/>
    </row>
    <row r="2908" spans="1:18" s="3" customFormat="1">
      <c r="A2908" s="62"/>
      <c r="B2908" s="62"/>
      <c r="C2908" s="62"/>
      <c r="D2908" s="62"/>
      <c r="E2908" s="62"/>
      <c r="F2908" s="62"/>
      <c r="G2908" s="62"/>
      <c r="H2908" s="62"/>
      <c r="I2908" s="62"/>
      <c r="J2908" s="62"/>
      <c r="K2908" s="76"/>
      <c r="L2908" s="62"/>
      <c r="M2908" s="62"/>
      <c r="N2908" s="62"/>
      <c r="O2908" s="62"/>
      <c r="P2908" s="62"/>
      <c r="Q2908" s="12"/>
      <c r="R2908" s="12"/>
    </row>
    <row r="2909" spans="1:18" s="3" customFormat="1">
      <c r="A2909" s="62"/>
      <c r="B2909" s="62"/>
      <c r="C2909" s="62"/>
      <c r="D2909" s="62"/>
      <c r="E2909" s="62"/>
      <c r="F2909" s="62"/>
      <c r="G2909" s="62"/>
      <c r="H2909" s="62"/>
      <c r="I2909" s="62"/>
      <c r="J2909" s="62"/>
      <c r="K2909" s="76"/>
      <c r="L2909" s="62"/>
      <c r="M2909" s="62"/>
      <c r="N2909" s="62"/>
      <c r="O2909" s="62"/>
      <c r="P2909" s="62"/>
      <c r="Q2909" s="12"/>
      <c r="R2909" s="12"/>
    </row>
    <row r="2910" spans="1:18" s="3" customFormat="1">
      <c r="A2910" s="62"/>
      <c r="B2910" s="62"/>
      <c r="C2910" s="62"/>
      <c r="D2910" s="62"/>
      <c r="E2910" s="62"/>
      <c r="F2910" s="62"/>
      <c r="G2910" s="62"/>
      <c r="H2910" s="62"/>
      <c r="I2910" s="62"/>
      <c r="J2910" s="62"/>
      <c r="K2910" s="76"/>
      <c r="L2910" s="75"/>
      <c r="M2910" s="62"/>
      <c r="N2910" s="62"/>
      <c r="O2910" s="62"/>
      <c r="P2910" s="62"/>
      <c r="Q2910" s="12"/>
      <c r="R2910" s="12"/>
    </row>
    <row r="2911" spans="1:18" customFormat="1">
      <c r="A2911" s="62" t="s">
        <v>3894</v>
      </c>
      <c r="B2911" s="62" t="s">
        <v>3895</v>
      </c>
      <c r="C2911" s="62" t="s">
        <v>494</v>
      </c>
      <c r="E2911" s="62" t="s">
        <v>476</v>
      </c>
      <c r="F2911">
        <v>1</v>
      </c>
      <c r="G2911">
        <v>203</v>
      </c>
      <c r="H2911" s="62" t="s">
        <v>3909</v>
      </c>
      <c r="I2911" s="62" t="s">
        <v>3910</v>
      </c>
      <c r="J2911">
        <v>7</v>
      </c>
      <c r="K2911">
        <v>1</v>
      </c>
      <c r="L2911">
        <v>3</v>
      </c>
      <c r="N2911" s="62" t="s">
        <v>3924</v>
      </c>
      <c r="O2911" s="62" t="s">
        <v>3923</v>
      </c>
      <c r="P2911" s="62" t="s">
        <v>3925</v>
      </c>
    </row>
    <row r="2912" spans="1:18" customFormat="1">
      <c r="B2912" s="62" t="s">
        <v>3896</v>
      </c>
      <c r="C2912" s="62" t="s">
        <v>494</v>
      </c>
      <c r="E2912" s="62" t="s">
        <v>476</v>
      </c>
      <c r="K2912">
        <v>2</v>
      </c>
      <c r="L2912">
        <v>6</v>
      </c>
      <c r="O2912" s="1"/>
    </row>
    <row r="2913" spans="1:16" customFormat="1">
      <c r="B2913" s="62" t="s">
        <v>3897</v>
      </c>
      <c r="C2913" s="62" t="s">
        <v>494</v>
      </c>
      <c r="K2913">
        <v>3</v>
      </c>
      <c r="L2913">
        <v>6</v>
      </c>
    </row>
    <row r="2914" spans="1:16" customFormat="1">
      <c r="B2914" s="62" t="s">
        <v>3898</v>
      </c>
      <c r="C2914" s="62" t="s">
        <v>494</v>
      </c>
      <c r="K2914">
        <v>4</v>
      </c>
      <c r="M2914">
        <v>1</v>
      </c>
    </row>
    <row r="2915" spans="1:16" customFormat="1">
      <c r="B2915" s="62" t="s">
        <v>3899</v>
      </c>
      <c r="C2915" s="62" t="s">
        <v>494</v>
      </c>
      <c r="K2915">
        <v>5</v>
      </c>
      <c r="M2915">
        <v>1</v>
      </c>
    </row>
    <row r="2916" spans="1:16" customFormat="1">
      <c r="B2916" s="62" t="s">
        <v>3908</v>
      </c>
      <c r="C2916" s="62" t="s">
        <v>494</v>
      </c>
      <c r="K2916">
        <v>6</v>
      </c>
      <c r="M2916">
        <v>1</v>
      </c>
    </row>
    <row r="2917" spans="1:16" customFormat="1">
      <c r="B2917" s="62" t="s">
        <v>3900</v>
      </c>
      <c r="C2917" s="62" t="s">
        <v>494</v>
      </c>
      <c r="K2917">
        <v>7</v>
      </c>
      <c r="L2917">
        <v>8</v>
      </c>
    </row>
    <row r="2918" spans="1:16" customFormat="1">
      <c r="B2918" s="62" t="s">
        <v>3904</v>
      </c>
      <c r="C2918" s="62" t="s">
        <v>494</v>
      </c>
      <c r="K2918">
        <v>8</v>
      </c>
      <c r="L2918">
        <v>3</v>
      </c>
      <c r="M2918">
        <v>1</v>
      </c>
      <c r="N2918" s="62" t="s">
        <v>3905</v>
      </c>
      <c r="O2918" s="62" t="s">
        <v>3906</v>
      </c>
      <c r="P2918" s="62" t="s">
        <v>3907</v>
      </c>
    </row>
    <row r="2919" spans="1:16" customFormat="1">
      <c r="B2919" s="62" t="s">
        <v>3901</v>
      </c>
      <c r="C2919" s="62" t="s">
        <v>494</v>
      </c>
      <c r="K2919">
        <v>9</v>
      </c>
      <c r="L2919">
        <v>7</v>
      </c>
      <c r="M2919">
        <v>1</v>
      </c>
    </row>
    <row r="2920" spans="1:16" customFormat="1">
      <c r="B2920" s="62" t="s">
        <v>3902</v>
      </c>
      <c r="C2920" s="62" t="s">
        <v>494</v>
      </c>
      <c r="K2920">
        <v>10</v>
      </c>
      <c r="L2920">
        <v>7</v>
      </c>
      <c r="M2920">
        <v>1</v>
      </c>
    </row>
    <row r="2921" spans="1:16" customFormat="1">
      <c r="B2921" s="62" t="s">
        <v>3903</v>
      </c>
      <c r="C2921" s="62" t="s">
        <v>520</v>
      </c>
      <c r="K2921">
        <v>11</v>
      </c>
    </row>
    <row r="2922" spans="1:16" customFormat="1">
      <c r="B2922" s="70" t="s">
        <v>3912</v>
      </c>
      <c r="C2922" s="70" t="s">
        <v>494</v>
      </c>
      <c r="K2922">
        <v>12</v>
      </c>
      <c r="L2922">
        <v>3</v>
      </c>
      <c r="N2922" s="62" t="s">
        <v>3913</v>
      </c>
      <c r="O2922" s="62" t="s">
        <v>3915</v>
      </c>
      <c r="P2922" s="62" t="s">
        <v>3919</v>
      </c>
    </row>
    <row r="2923" spans="1:16" customFormat="1">
      <c r="B2923" s="70" t="s">
        <v>3911</v>
      </c>
      <c r="C2923" s="70" t="s">
        <v>494</v>
      </c>
      <c r="K2923">
        <v>13</v>
      </c>
      <c r="L2923">
        <v>8</v>
      </c>
    </row>
    <row r="2924" spans="1:16" customFormat="1">
      <c r="B2924" s="70" t="s">
        <v>3936</v>
      </c>
      <c r="C2924" s="70" t="s">
        <v>494</v>
      </c>
      <c r="K2924">
        <v>14</v>
      </c>
      <c r="L2924">
        <v>7</v>
      </c>
      <c r="N2924" s="62"/>
      <c r="O2924" s="62"/>
      <c r="P2924" s="62"/>
    </row>
    <row r="2925" spans="1:16" customFormat="1">
      <c r="B2925" s="62"/>
      <c r="C2925" s="62"/>
      <c r="N2925" s="62"/>
      <c r="O2925" s="62"/>
      <c r="P2925" s="62"/>
    </row>
    <row r="2926" spans="1:16" customFormat="1">
      <c r="A2926" s="62" t="s">
        <v>3926</v>
      </c>
      <c r="B2926" s="62" t="s">
        <v>3927</v>
      </c>
      <c r="C2926" s="62" t="s">
        <v>494</v>
      </c>
      <c r="E2926" s="62" t="s">
        <v>476</v>
      </c>
      <c r="F2926">
        <v>1</v>
      </c>
      <c r="G2926">
        <v>207</v>
      </c>
      <c r="H2926" s="62" t="s">
        <v>521</v>
      </c>
      <c r="J2926">
        <v>7</v>
      </c>
      <c r="K2926">
        <v>1</v>
      </c>
      <c r="L2926">
        <v>52</v>
      </c>
      <c r="N2926" s="62">
        <v>203</v>
      </c>
      <c r="O2926" s="62" t="s">
        <v>3897</v>
      </c>
      <c r="P2926" s="62"/>
    </row>
    <row r="2927" spans="1:16" customFormat="1">
      <c r="B2927" s="62" t="s">
        <v>3928</v>
      </c>
      <c r="C2927" s="62" t="s">
        <v>494</v>
      </c>
      <c r="E2927" s="62" t="s">
        <v>476</v>
      </c>
      <c r="K2927">
        <v>2</v>
      </c>
      <c r="L2927">
        <v>6</v>
      </c>
      <c r="N2927" s="62"/>
      <c r="O2927" s="62"/>
      <c r="P2927" s="62"/>
    </row>
    <row r="2928" spans="1:16" customFormat="1">
      <c r="B2928" s="62" t="s">
        <v>3929</v>
      </c>
      <c r="C2928" s="62" t="s">
        <v>494</v>
      </c>
      <c r="K2928">
        <v>3</v>
      </c>
      <c r="L2928">
        <v>6</v>
      </c>
      <c r="N2928" s="62"/>
      <c r="O2928" s="62"/>
      <c r="P2928" s="62"/>
    </row>
    <row r="2929" spans="1:18" customFormat="1">
      <c r="B2929" s="62" t="s">
        <v>3930</v>
      </c>
      <c r="C2929" s="62" t="s">
        <v>494</v>
      </c>
      <c r="K2929">
        <v>4</v>
      </c>
      <c r="L2929">
        <v>8</v>
      </c>
      <c r="M2929">
        <v>1</v>
      </c>
      <c r="N2929" s="62"/>
      <c r="O2929" s="62"/>
      <c r="P2929" s="62"/>
    </row>
    <row r="2930" spans="1:18" customFormat="1">
      <c r="B2930" s="62" t="s">
        <v>3931</v>
      </c>
      <c r="C2930" s="62" t="s">
        <v>494</v>
      </c>
      <c r="K2930">
        <v>5</v>
      </c>
      <c r="M2930">
        <v>1</v>
      </c>
      <c r="N2930" s="62"/>
      <c r="O2930" s="62"/>
      <c r="P2930" s="62"/>
    </row>
    <row r="2931" spans="1:18" customFormat="1">
      <c r="B2931" s="62" t="s">
        <v>3932</v>
      </c>
      <c r="C2931" s="62" t="s">
        <v>494</v>
      </c>
      <c r="K2931">
        <v>6</v>
      </c>
      <c r="M2931">
        <v>1</v>
      </c>
      <c r="N2931" s="62"/>
      <c r="O2931" s="62"/>
      <c r="P2931" s="62"/>
    </row>
    <row r="2932" spans="1:18" customFormat="1">
      <c r="B2932" s="62" t="s">
        <v>3933</v>
      </c>
      <c r="C2932" s="62" t="s">
        <v>520</v>
      </c>
      <c r="K2932">
        <v>7</v>
      </c>
      <c r="N2932" s="62"/>
      <c r="O2932" s="62"/>
      <c r="P2932" s="62"/>
    </row>
    <row r="2933" spans="1:18" customFormat="1">
      <c r="B2933" s="62" t="s">
        <v>3934</v>
      </c>
      <c r="C2933" s="62" t="s">
        <v>494</v>
      </c>
      <c r="K2933">
        <v>8</v>
      </c>
      <c r="L2933">
        <v>91</v>
      </c>
      <c r="N2933" s="62"/>
      <c r="O2933" s="62"/>
      <c r="P2933" s="62"/>
    </row>
    <row r="2934" spans="1:18" customFormat="1">
      <c r="B2934" s="62" t="s">
        <v>3935</v>
      </c>
      <c r="C2934" s="62" t="s">
        <v>494</v>
      </c>
      <c r="K2934">
        <v>9</v>
      </c>
      <c r="L2934">
        <v>92</v>
      </c>
    </row>
    <row r="2935" spans="1:18" customFormat="1">
      <c r="B2935" s="62"/>
      <c r="C2935" s="62"/>
    </row>
    <row r="2936" spans="1:18" customFormat="1">
      <c r="B2936" s="62"/>
    </row>
    <row r="2937" spans="1:18" customFormat="1"/>
    <row r="2938" spans="1:18" customFormat="1"/>
    <row r="2939" spans="1:18">
      <c r="A2939" s="62" t="s">
        <v>975</v>
      </c>
      <c r="B2939" s="60" t="s">
        <v>976</v>
      </c>
      <c r="C2939" s="1" t="s">
        <v>494</v>
      </c>
      <c r="E2939" s="1" t="s">
        <v>476</v>
      </c>
      <c r="F2939" s="14">
        <v>17</v>
      </c>
      <c r="G2939" s="14">
        <v>1707</v>
      </c>
      <c r="H2939" s="14" t="s">
        <v>987</v>
      </c>
      <c r="I2939" s="11" t="s">
        <v>988</v>
      </c>
      <c r="J2939" s="14">
        <v>1701</v>
      </c>
      <c r="K2939" s="16">
        <v>1</v>
      </c>
      <c r="L2939" s="15">
        <v>3</v>
      </c>
      <c r="M2939" s="14"/>
      <c r="N2939" s="64" t="s">
        <v>506</v>
      </c>
      <c r="O2939" s="64" t="s">
        <v>514</v>
      </c>
      <c r="P2939" s="1" t="s">
        <v>515</v>
      </c>
      <c r="Q2939" s="14"/>
      <c r="R2939" s="14"/>
    </row>
    <row r="2940" spans="1:18">
      <c r="B2940" s="60" t="s">
        <v>977</v>
      </c>
      <c r="C2940" s="1" t="s">
        <v>494</v>
      </c>
      <c r="E2940" s="1" t="s">
        <v>476</v>
      </c>
      <c r="F2940" s="14"/>
      <c r="G2940" s="14"/>
      <c r="H2940" s="14"/>
      <c r="I2940" s="11"/>
      <c r="J2940" s="14"/>
      <c r="K2940" s="16">
        <v>2</v>
      </c>
      <c r="L2940" s="15">
        <v>9</v>
      </c>
      <c r="M2940" s="14"/>
      <c r="N2940" s="62" t="s">
        <v>1038</v>
      </c>
      <c r="O2940" s="23" t="s">
        <v>1040</v>
      </c>
      <c r="P2940" s="23" t="s">
        <v>1041</v>
      </c>
      <c r="Q2940" s="23" t="s">
        <v>1040</v>
      </c>
      <c r="R2940" s="14">
        <v>140</v>
      </c>
    </row>
    <row r="2941" spans="1:18">
      <c r="B2941" s="60" t="s">
        <v>978</v>
      </c>
      <c r="C2941" s="1" t="s">
        <v>494</v>
      </c>
      <c r="E2941" s="1" t="s">
        <v>476</v>
      </c>
      <c r="F2941" s="14"/>
      <c r="G2941" s="14"/>
      <c r="H2941" s="14"/>
      <c r="I2941" s="11"/>
      <c r="J2941" s="14"/>
      <c r="K2941" s="16">
        <v>3</v>
      </c>
      <c r="L2941" s="15">
        <v>3</v>
      </c>
      <c r="M2941" s="14"/>
      <c r="N2941" s="1" t="s">
        <v>379</v>
      </c>
      <c r="O2941" s="62" t="s">
        <v>698</v>
      </c>
      <c r="P2941" s="62" t="s">
        <v>699</v>
      </c>
      <c r="Q2941" s="14"/>
      <c r="R2941" s="14"/>
    </row>
    <row r="2942" spans="1:18">
      <c r="B2942" s="60" t="s">
        <v>979</v>
      </c>
      <c r="C2942" s="1" t="s">
        <v>494</v>
      </c>
      <c r="F2942" s="14"/>
      <c r="G2942" s="14"/>
      <c r="H2942" s="14"/>
      <c r="I2942" s="11"/>
      <c r="J2942" s="14"/>
      <c r="K2942" s="16">
        <v>4</v>
      </c>
      <c r="L2942" s="15">
        <v>6</v>
      </c>
      <c r="M2942" s="14"/>
      <c r="P2942" s="14"/>
      <c r="Q2942" s="14"/>
      <c r="R2942" s="14"/>
    </row>
    <row r="2943" spans="1:18">
      <c r="B2943" s="66" t="s">
        <v>280</v>
      </c>
      <c r="C2943" s="1" t="s">
        <v>494</v>
      </c>
      <c r="F2943" s="14"/>
      <c r="G2943" s="14"/>
      <c r="H2943" s="14"/>
      <c r="I2943" s="11"/>
      <c r="J2943" s="14"/>
      <c r="K2943" s="16">
        <v>5</v>
      </c>
      <c r="L2943" s="15">
        <v>3</v>
      </c>
      <c r="M2943" s="14">
        <v>3</v>
      </c>
      <c r="N2943" s="62" t="s">
        <v>995</v>
      </c>
      <c r="O2943" s="60" t="s">
        <v>997</v>
      </c>
      <c r="P2943" s="60" t="s">
        <v>996</v>
      </c>
      <c r="Q2943" s="14"/>
      <c r="R2943" s="14"/>
    </row>
    <row r="2944" spans="1:18">
      <c r="B2944" s="60" t="s">
        <v>980</v>
      </c>
      <c r="C2944" s="1" t="s">
        <v>494</v>
      </c>
      <c r="F2944" s="14"/>
      <c r="G2944" s="14"/>
      <c r="H2944" s="14"/>
      <c r="I2944" s="11"/>
      <c r="J2944" s="14"/>
      <c r="K2944" s="16">
        <v>6</v>
      </c>
      <c r="L2944" s="15">
        <v>3</v>
      </c>
      <c r="M2944" s="14">
        <v>1</v>
      </c>
      <c r="N2944" s="62" t="s">
        <v>974</v>
      </c>
      <c r="O2944" s="60" t="s">
        <v>954</v>
      </c>
      <c r="P2944" s="23" t="s">
        <v>984</v>
      </c>
      <c r="Q2944" s="14"/>
      <c r="R2944" s="14"/>
    </row>
    <row r="2945" spans="2:18">
      <c r="B2945" s="60" t="s">
        <v>981</v>
      </c>
      <c r="C2945" s="1" t="s">
        <v>494</v>
      </c>
      <c r="F2945" s="14"/>
      <c r="G2945" s="14"/>
      <c r="H2945" s="14"/>
      <c r="I2945" s="11"/>
      <c r="J2945" s="14"/>
      <c r="K2945" s="16">
        <v>7</v>
      </c>
      <c r="L2945" s="15">
        <v>3</v>
      </c>
      <c r="M2945" s="14"/>
      <c r="N2945" s="1" t="s">
        <v>956</v>
      </c>
      <c r="O2945" s="23" t="s">
        <v>957</v>
      </c>
      <c r="P2945" s="23" t="s">
        <v>958</v>
      </c>
      <c r="Q2945" s="14"/>
      <c r="R2945" s="14"/>
    </row>
    <row r="2946" spans="2:18">
      <c r="B2946" s="23" t="s">
        <v>982</v>
      </c>
      <c r="C2946" s="1" t="s">
        <v>494</v>
      </c>
      <c r="F2946" s="14"/>
      <c r="G2946" s="14"/>
      <c r="H2946" s="14"/>
      <c r="I2946" s="11"/>
      <c r="J2946" s="14"/>
      <c r="K2946" s="16">
        <v>8</v>
      </c>
      <c r="L2946" s="15"/>
      <c r="M2946" s="14"/>
      <c r="N2946" s="23"/>
      <c r="O2946" s="14"/>
      <c r="P2946" s="14"/>
      <c r="Q2946" s="14"/>
      <c r="R2946" s="14"/>
    </row>
    <row r="2947" spans="2:18">
      <c r="B2947" s="43" t="s">
        <v>983</v>
      </c>
      <c r="C2947" s="1" t="s">
        <v>494</v>
      </c>
      <c r="F2947" s="14"/>
      <c r="G2947" s="14"/>
      <c r="H2947" s="14"/>
      <c r="I2947" s="11"/>
      <c r="J2947" s="14"/>
      <c r="K2947" s="16">
        <v>9</v>
      </c>
      <c r="L2947" s="15"/>
      <c r="M2947" s="14"/>
      <c r="N2947" s="23"/>
      <c r="P2947" s="14"/>
      <c r="Q2947" s="14"/>
      <c r="R2947" s="14"/>
    </row>
    <row r="2948" spans="2:18">
      <c r="B2948" s="66" t="s">
        <v>209</v>
      </c>
      <c r="C2948" s="1" t="s">
        <v>494</v>
      </c>
      <c r="F2948" s="14"/>
      <c r="G2948" s="14"/>
      <c r="H2948" s="14"/>
      <c r="I2948" s="11"/>
      <c r="J2948" s="14"/>
      <c r="K2948" s="16">
        <v>10</v>
      </c>
      <c r="L2948" s="15"/>
      <c r="M2948" s="14"/>
      <c r="N2948" s="23"/>
      <c r="O2948" s="14"/>
      <c r="P2948" s="14"/>
      <c r="Q2948" s="14"/>
      <c r="R2948" s="14"/>
    </row>
    <row r="2949" spans="2:18">
      <c r="B2949" s="43" t="s">
        <v>296</v>
      </c>
      <c r="C2949" s="1" t="s">
        <v>493</v>
      </c>
      <c r="D2949" s="1">
        <v>10</v>
      </c>
      <c r="F2949" s="14"/>
      <c r="G2949" s="14"/>
      <c r="H2949" s="14"/>
      <c r="I2949" s="11"/>
      <c r="J2949" s="14"/>
      <c r="K2949" s="16">
        <v>11</v>
      </c>
      <c r="L2949" s="15">
        <v>7</v>
      </c>
      <c r="M2949" s="14">
        <v>1</v>
      </c>
      <c r="N2949" s="23"/>
      <c r="O2949" s="14"/>
      <c r="P2949" s="14"/>
      <c r="Q2949" s="14"/>
      <c r="R2949" s="14"/>
    </row>
    <row r="2950" spans="2:18">
      <c r="B2950" s="60" t="s">
        <v>297</v>
      </c>
      <c r="C2950" s="1" t="s">
        <v>493</v>
      </c>
      <c r="D2950" s="1">
        <v>10</v>
      </c>
      <c r="F2950" s="14"/>
      <c r="G2950" s="14"/>
      <c r="H2950" s="14"/>
      <c r="I2950" s="11"/>
      <c r="J2950" s="14"/>
      <c r="K2950" s="16">
        <v>12</v>
      </c>
      <c r="L2950" s="15">
        <v>7</v>
      </c>
      <c r="M2950" s="14">
        <v>1</v>
      </c>
      <c r="N2950" s="23"/>
      <c r="O2950" s="14"/>
      <c r="P2950" s="14"/>
      <c r="Q2950" s="14"/>
      <c r="R2950" s="14">
        <v>-1</v>
      </c>
    </row>
    <row r="2951" spans="2:18">
      <c r="B2951" s="60" t="s">
        <v>268</v>
      </c>
      <c r="C2951" s="1" t="s">
        <v>494</v>
      </c>
      <c r="F2951" s="14"/>
      <c r="G2951" s="14"/>
      <c r="H2951" s="14"/>
      <c r="I2951" s="11"/>
      <c r="J2951" s="14"/>
      <c r="K2951" s="16">
        <v>13</v>
      </c>
      <c r="L2951" s="15">
        <v>3</v>
      </c>
      <c r="M2951" s="14">
        <v>1</v>
      </c>
      <c r="N2951" s="62" t="s">
        <v>269</v>
      </c>
      <c r="O2951" s="23" t="s">
        <v>270</v>
      </c>
      <c r="P2951" s="23" t="s">
        <v>271</v>
      </c>
      <c r="Q2951" s="14"/>
      <c r="R2951" s="14"/>
    </row>
    <row r="2952" spans="2:18">
      <c r="B2952" s="65" t="s">
        <v>1001</v>
      </c>
      <c r="C2952" s="1" t="s">
        <v>494</v>
      </c>
      <c r="F2952" s="14"/>
      <c r="G2952" s="14"/>
      <c r="H2952" s="14"/>
      <c r="I2952" s="11"/>
      <c r="J2952" s="14"/>
      <c r="K2952" s="16">
        <v>14</v>
      </c>
      <c r="L2952" s="15">
        <v>3</v>
      </c>
      <c r="M2952" s="14"/>
      <c r="N2952" s="62" t="s">
        <v>1002</v>
      </c>
      <c r="O2952" s="23" t="s">
        <v>1004</v>
      </c>
      <c r="P2952" s="60" t="s">
        <v>1023</v>
      </c>
      <c r="Q2952" s="14"/>
      <c r="R2952" s="14"/>
    </row>
    <row r="2953" spans="2:18">
      <c r="B2953" s="28" t="s">
        <v>999</v>
      </c>
      <c r="C2953" s="1" t="s">
        <v>493</v>
      </c>
      <c r="D2953" s="1">
        <v>250</v>
      </c>
      <c r="F2953" s="14"/>
      <c r="G2953" s="14"/>
      <c r="H2953" s="14"/>
      <c r="I2953" s="11"/>
      <c r="J2953" s="14"/>
      <c r="K2953" s="16">
        <v>15</v>
      </c>
      <c r="L2953" s="15"/>
      <c r="M2953" s="14"/>
      <c r="N2953" s="23"/>
      <c r="O2953" s="14"/>
      <c r="Q2953" s="14"/>
      <c r="R2953" s="14"/>
    </row>
    <row r="2954" spans="2:18">
      <c r="B2954" s="28" t="s">
        <v>1009</v>
      </c>
      <c r="C2954" s="1" t="s">
        <v>493</v>
      </c>
      <c r="D2954" s="1">
        <v>10</v>
      </c>
      <c r="F2954" s="14"/>
      <c r="G2954" s="14"/>
      <c r="H2954" s="14"/>
      <c r="I2954" s="11"/>
      <c r="J2954" s="14"/>
      <c r="K2954" s="16">
        <v>16</v>
      </c>
      <c r="L2954" s="15">
        <v>7</v>
      </c>
      <c r="M2954" s="14"/>
      <c r="O2954" s="23"/>
      <c r="P2954" s="23"/>
      <c r="Q2954" s="14"/>
      <c r="R2954" s="14"/>
    </row>
    <row r="2955" spans="2:18">
      <c r="B2955" s="28" t="s">
        <v>1000</v>
      </c>
      <c r="C2955" s="1" t="s">
        <v>493</v>
      </c>
      <c r="D2955" s="1">
        <v>250</v>
      </c>
      <c r="F2955" s="14"/>
      <c r="G2955" s="14"/>
      <c r="H2955" s="14"/>
      <c r="I2955" s="11"/>
      <c r="J2955" s="14"/>
      <c r="K2955" s="16">
        <v>17</v>
      </c>
      <c r="L2955" s="15"/>
      <c r="M2955" s="14"/>
      <c r="N2955" s="23"/>
      <c r="O2955" s="14"/>
      <c r="P2955" s="14"/>
      <c r="Q2955" s="14"/>
      <c r="R2955" s="14"/>
    </row>
    <row r="2956" spans="2:18">
      <c r="B2956" s="65" t="s">
        <v>1005</v>
      </c>
      <c r="C2956" s="1" t="s">
        <v>493</v>
      </c>
      <c r="D2956" s="1">
        <v>10</v>
      </c>
      <c r="F2956" s="14"/>
      <c r="G2956" s="14"/>
      <c r="H2956" s="14"/>
      <c r="I2956" s="11"/>
      <c r="J2956" s="14"/>
      <c r="K2956" s="16">
        <v>18</v>
      </c>
      <c r="L2956" s="15">
        <v>7</v>
      </c>
      <c r="M2956" s="14"/>
      <c r="N2956" s="23"/>
      <c r="O2956" s="14"/>
      <c r="P2956" s="14"/>
      <c r="Q2956" s="14"/>
      <c r="R2956" s="14"/>
    </row>
    <row r="2957" spans="2:18">
      <c r="B2957" s="28" t="s">
        <v>1006</v>
      </c>
      <c r="C2957" s="1" t="s">
        <v>494</v>
      </c>
      <c r="F2957" s="14"/>
      <c r="G2957" s="14"/>
      <c r="H2957" s="14"/>
      <c r="I2957" s="11"/>
      <c r="J2957" s="14"/>
      <c r="K2957" s="16">
        <v>19</v>
      </c>
      <c r="L2957" s="15">
        <v>8</v>
      </c>
      <c r="M2957" s="14"/>
      <c r="N2957" s="23"/>
      <c r="O2957" s="14"/>
      <c r="P2957" s="14"/>
      <c r="Q2957" s="14"/>
      <c r="R2957" s="14"/>
    </row>
    <row r="2958" spans="2:18">
      <c r="B2958" s="28" t="s">
        <v>1007</v>
      </c>
      <c r="C2958" s="1" t="s">
        <v>493</v>
      </c>
      <c r="D2958" s="1">
        <v>10</v>
      </c>
      <c r="F2958" s="14"/>
      <c r="G2958" s="14"/>
      <c r="H2958" s="14"/>
      <c r="I2958" s="11"/>
      <c r="J2958" s="14"/>
      <c r="K2958" s="16">
        <v>20</v>
      </c>
      <c r="L2958" s="15">
        <v>7</v>
      </c>
      <c r="M2958" s="14"/>
      <c r="N2958" s="23"/>
      <c r="O2958" s="14"/>
      <c r="P2958" s="14"/>
      <c r="Q2958" s="14"/>
      <c r="R2958" s="14"/>
    </row>
    <row r="2959" spans="2:18">
      <c r="B2959" s="28" t="s">
        <v>1008</v>
      </c>
      <c r="C2959" s="1" t="s">
        <v>494</v>
      </c>
      <c r="F2959" s="14"/>
      <c r="G2959" s="14"/>
      <c r="H2959" s="14"/>
      <c r="I2959" s="11"/>
      <c r="J2959" s="14"/>
      <c r="K2959" s="16">
        <v>21</v>
      </c>
      <c r="L2959" s="15">
        <v>8</v>
      </c>
      <c r="M2959" s="14"/>
      <c r="N2959" s="23"/>
      <c r="O2959" s="14"/>
      <c r="P2959" s="14"/>
      <c r="Q2959" s="14"/>
      <c r="R2959" s="14"/>
    </row>
    <row r="2960" spans="2:18">
      <c r="B2960" s="28" t="s">
        <v>1017</v>
      </c>
      <c r="C2960" s="1" t="s">
        <v>493</v>
      </c>
      <c r="D2960" s="1">
        <v>10</v>
      </c>
      <c r="F2960" s="14"/>
      <c r="G2960" s="14"/>
      <c r="H2960" s="14"/>
      <c r="I2960" s="11"/>
      <c r="J2960" s="14"/>
      <c r="K2960" s="16">
        <v>22</v>
      </c>
      <c r="L2960" s="15">
        <v>7</v>
      </c>
      <c r="M2960" s="14"/>
      <c r="N2960" s="23"/>
      <c r="O2960" s="14"/>
      <c r="P2960" s="14"/>
      <c r="Q2960" s="14"/>
      <c r="R2960" s="14"/>
    </row>
    <row r="2961" spans="2:18">
      <c r="B2961" s="28" t="s">
        <v>1018</v>
      </c>
      <c r="C2961" s="1" t="s">
        <v>494</v>
      </c>
      <c r="F2961" s="14"/>
      <c r="G2961" s="14"/>
      <c r="H2961" s="14"/>
      <c r="I2961" s="11"/>
      <c r="J2961" s="14"/>
      <c r="K2961" s="16">
        <v>23</v>
      </c>
      <c r="L2961" s="15">
        <v>8</v>
      </c>
      <c r="M2961" s="14"/>
      <c r="N2961" s="23"/>
      <c r="O2961" s="14"/>
      <c r="P2961" s="14"/>
      <c r="Q2961" s="14"/>
      <c r="R2961" s="14"/>
    </row>
    <row r="2962" spans="2:18">
      <c r="B2962" s="66" t="s">
        <v>1108</v>
      </c>
      <c r="C2962" s="1" t="s">
        <v>493</v>
      </c>
      <c r="D2962" s="1">
        <v>10</v>
      </c>
      <c r="F2962" s="14"/>
      <c r="G2962" s="14"/>
      <c r="H2962" s="14"/>
      <c r="I2962" s="11"/>
      <c r="J2962" s="14"/>
      <c r="K2962" s="16">
        <v>24</v>
      </c>
      <c r="L2962" s="15">
        <v>7</v>
      </c>
      <c r="M2962" s="14"/>
      <c r="N2962" s="23"/>
      <c r="O2962" s="14"/>
      <c r="P2962" s="14"/>
      <c r="Q2962" s="14"/>
      <c r="R2962" s="14"/>
    </row>
    <row r="2963" spans="2:18">
      <c r="B2963" s="66" t="s">
        <v>1109</v>
      </c>
      <c r="C2963" s="1" t="s">
        <v>494</v>
      </c>
      <c r="F2963" s="14"/>
      <c r="G2963" s="14"/>
      <c r="H2963" s="14"/>
      <c r="I2963" s="11"/>
      <c r="J2963" s="14"/>
      <c r="K2963" s="16">
        <v>25</v>
      </c>
      <c r="L2963" s="15">
        <v>8</v>
      </c>
      <c r="M2963" s="14"/>
      <c r="N2963" s="23"/>
      <c r="O2963" s="14"/>
      <c r="P2963" s="14"/>
      <c r="Q2963" s="14"/>
      <c r="R2963" s="14"/>
    </row>
    <row r="2964" spans="2:18">
      <c r="B2964" s="29" t="s">
        <v>233</v>
      </c>
      <c r="C2964" s="1" t="s">
        <v>494</v>
      </c>
      <c r="F2964" s="14"/>
      <c r="G2964" s="14"/>
      <c r="H2964" s="14"/>
      <c r="I2964" s="11"/>
      <c r="J2964" s="14"/>
      <c r="K2964" s="16">
        <v>26</v>
      </c>
      <c r="L2964" s="15">
        <v>3</v>
      </c>
      <c r="M2964" s="14">
        <v>3</v>
      </c>
      <c r="N2964" s="10" t="s">
        <v>24</v>
      </c>
      <c r="O2964" s="14" t="s">
        <v>26</v>
      </c>
      <c r="P2964" s="14" t="s">
        <v>27</v>
      </c>
      <c r="Q2964" s="14"/>
      <c r="R2964" s="14"/>
    </row>
    <row r="2965" spans="2:18">
      <c r="B2965" s="29" t="s">
        <v>232</v>
      </c>
      <c r="C2965" s="1" t="s">
        <v>702</v>
      </c>
      <c r="F2965" s="14"/>
      <c r="G2965" s="14"/>
      <c r="H2965" s="14"/>
      <c r="I2965" s="11"/>
      <c r="J2965" s="14"/>
      <c r="K2965" s="16">
        <v>27</v>
      </c>
      <c r="L2965" s="15"/>
      <c r="M2965" s="14"/>
      <c r="N2965" s="23"/>
      <c r="O2965" s="14"/>
      <c r="P2965" s="14"/>
      <c r="Q2965" s="14"/>
      <c r="R2965" s="14"/>
    </row>
    <row r="2966" spans="2:18">
      <c r="B2966" s="29" t="s">
        <v>1150</v>
      </c>
      <c r="C2966" s="1" t="s">
        <v>493</v>
      </c>
      <c r="D2966" s="1">
        <v>1</v>
      </c>
      <c r="F2966" s="14"/>
      <c r="G2966" s="14"/>
      <c r="H2966" s="14"/>
      <c r="I2966" s="11"/>
      <c r="J2966" s="14"/>
      <c r="K2966" s="16">
        <v>28</v>
      </c>
      <c r="L2966" s="15"/>
      <c r="M2966" s="14"/>
      <c r="N2966" s="23"/>
      <c r="O2966" s="14"/>
      <c r="P2966" s="14"/>
      <c r="Q2966" s="14"/>
      <c r="R2966" s="14"/>
    </row>
    <row r="2967" spans="2:18">
      <c r="B2967" s="29" t="s">
        <v>715</v>
      </c>
      <c r="C2967" s="1" t="s">
        <v>494</v>
      </c>
      <c r="F2967" s="14"/>
      <c r="G2967" s="14"/>
      <c r="H2967" s="14"/>
      <c r="I2967" s="11"/>
      <c r="J2967" s="14"/>
      <c r="K2967" s="16">
        <v>29</v>
      </c>
      <c r="L2967" s="15">
        <v>1</v>
      </c>
      <c r="M2967" s="14"/>
      <c r="N2967" s="23"/>
      <c r="O2967" s="14"/>
      <c r="P2967" s="14"/>
      <c r="Q2967" s="14"/>
      <c r="R2967" s="14"/>
    </row>
    <row r="2968" spans="2:18">
      <c r="B2968" s="67" t="s">
        <v>714</v>
      </c>
      <c r="C2968" s="1" t="s">
        <v>494</v>
      </c>
      <c r="F2968" s="14"/>
      <c r="G2968" s="14"/>
      <c r="H2968" s="14"/>
      <c r="I2968" s="11"/>
      <c r="J2968" s="14"/>
      <c r="K2968" s="16">
        <v>30</v>
      </c>
      <c r="L2968" s="15">
        <v>1</v>
      </c>
      <c r="M2968" s="14"/>
      <c r="N2968" s="23"/>
      <c r="O2968" s="14"/>
      <c r="P2968" s="14"/>
      <c r="Q2968" s="14"/>
      <c r="R2968" s="14"/>
    </row>
    <row r="2969" spans="2:18">
      <c r="B2969" s="43" t="s">
        <v>77</v>
      </c>
      <c r="C2969" s="1" t="s">
        <v>494</v>
      </c>
      <c r="F2969" s="14"/>
      <c r="G2969" s="14"/>
      <c r="H2969" s="14"/>
      <c r="I2969" s="11"/>
      <c r="J2969" s="14"/>
      <c r="K2969" s="16">
        <v>31</v>
      </c>
      <c r="L2969" s="15">
        <v>3</v>
      </c>
      <c r="M2969" s="14"/>
      <c r="N2969" s="44" t="s">
        <v>1056</v>
      </c>
      <c r="O2969" s="23" t="s">
        <v>1058</v>
      </c>
      <c r="P2969" s="23" t="s">
        <v>1059</v>
      </c>
      <c r="Q2969" s="14"/>
      <c r="R2969" s="14"/>
    </row>
    <row r="2970" spans="2:18">
      <c r="B2970" s="60" t="s">
        <v>206</v>
      </c>
      <c r="C2970" s="1" t="s">
        <v>493</v>
      </c>
      <c r="D2970" s="1">
        <v>1</v>
      </c>
      <c r="F2970" s="14"/>
      <c r="G2970" s="14"/>
      <c r="H2970" s="14"/>
      <c r="I2970" s="11"/>
      <c r="J2970" s="14"/>
      <c r="K2970" s="16">
        <v>32</v>
      </c>
      <c r="L2970" s="15">
        <v>1</v>
      </c>
      <c r="M2970" s="14"/>
      <c r="N2970" s="64" t="s">
        <v>2013</v>
      </c>
      <c r="O2970" s="66" t="s">
        <v>2014</v>
      </c>
      <c r="P2970" s="60" t="s">
        <v>2015</v>
      </c>
      <c r="Q2970" s="14"/>
      <c r="R2970" s="14"/>
    </row>
    <row r="2971" spans="2:18">
      <c r="B2971" s="23" t="s">
        <v>207</v>
      </c>
      <c r="C2971" s="1" t="s">
        <v>493</v>
      </c>
      <c r="D2971" s="16">
        <v>255</v>
      </c>
      <c r="F2971" s="14"/>
      <c r="G2971" s="14"/>
      <c r="H2971" s="14"/>
      <c r="I2971" s="11"/>
      <c r="J2971" s="14"/>
      <c r="K2971" s="16">
        <v>33</v>
      </c>
      <c r="L2971" s="15"/>
      <c r="M2971" s="14"/>
      <c r="O2971" s="23"/>
      <c r="P2971" s="23"/>
      <c r="Q2971" s="14"/>
      <c r="R2971" s="14"/>
    </row>
    <row r="2972" spans="2:18">
      <c r="B2972" s="56" t="s">
        <v>1323</v>
      </c>
      <c r="C2972" s="42" t="s">
        <v>494</v>
      </c>
      <c r="D2972" s="16"/>
      <c r="F2972" s="14"/>
      <c r="G2972" s="14"/>
      <c r="H2972" s="14"/>
      <c r="I2972" s="11"/>
      <c r="J2972" s="14"/>
      <c r="K2972" s="16">
        <v>34</v>
      </c>
      <c r="L2972" s="15">
        <v>3</v>
      </c>
      <c r="M2972" s="14"/>
      <c r="N2972" s="1" t="s">
        <v>1002</v>
      </c>
      <c r="O2972" s="23" t="s">
        <v>1004</v>
      </c>
      <c r="P2972" s="23" t="s">
        <v>1023</v>
      </c>
      <c r="Q2972" s="14"/>
      <c r="R2972" s="14"/>
    </row>
    <row r="2973" spans="2:18">
      <c r="B2973" s="63" t="s">
        <v>1462</v>
      </c>
      <c r="C2973" s="42" t="s">
        <v>493</v>
      </c>
      <c r="D2973" s="16">
        <v>10</v>
      </c>
      <c r="F2973" s="14"/>
      <c r="G2973" s="14"/>
      <c r="H2973" s="14"/>
      <c r="I2973" s="11"/>
      <c r="J2973" s="14"/>
      <c r="K2973" s="16">
        <v>35</v>
      </c>
      <c r="L2973" s="15">
        <v>7</v>
      </c>
      <c r="M2973" s="14">
        <v>1</v>
      </c>
      <c r="O2973" s="23"/>
      <c r="P2973" s="23"/>
      <c r="Q2973" s="14"/>
      <c r="R2973" s="14"/>
    </row>
    <row r="2974" spans="2:18">
      <c r="B2974" s="60" t="s">
        <v>1871</v>
      </c>
      <c r="C2974" s="62" t="s">
        <v>520</v>
      </c>
      <c r="D2974" s="16"/>
      <c r="F2974" s="14"/>
      <c r="G2974" s="14"/>
      <c r="H2974" s="14"/>
      <c r="I2974" s="11"/>
      <c r="J2974" s="14"/>
      <c r="K2974" s="16">
        <v>36</v>
      </c>
      <c r="L2974" s="15"/>
      <c r="M2974" s="14"/>
      <c r="O2974" s="23"/>
      <c r="P2974" s="23"/>
      <c r="Q2974" s="14"/>
      <c r="R2974" s="14"/>
    </row>
    <row r="2975" spans="2:18">
      <c r="B2975" s="60" t="s">
        <v>1874</v>
      </c>
      <c r="C2975" s="62" t="s">
        <v>494</v>
      </c>
      <c r="D2975" s="16"/>
      <c r="F2975" s="14"/>
      <c r="G2975" s="14"/>
      <c r="H2975" s="14"/>
      <c r="I2975" s="11"/>
      <c r="J2975" s="14"/>
      <c r="K2975" s="16">
        <v>37</v>
      </c>
      <c r="L2975" s="15"/>
      <c r="M2975" s="14"/>
      <c r="O2975" s="23"/>
      <c r="P2975" s="23"/>
      <c r="Q2975" s="14"/>
      <c r="R2975" s="14"/>
    </row>
    <row r="2976" spans="2:18">
      <c r="B2976" s="66" t="s">
        <v>2024</v>
      </c>
      <c r="C2976" s="64" t="s">
        <v>494</v>
      </c>
      <c r="D2976" s="16"/>
      <c r="F2976" s="14"/>
      <c r="G2976" s="14"/>
      <c r="H2976" s="47" t="s">
        <v>2025</v>
      </c>
      <c r="I2976" s="11"/>
      <c r="J2976" s="14"/>
      <c r="K2976" s="16">
        <v>38</v>
      </c>
      <c r="L2976" s="9">
        <v>3</v>
      </c>
      <c r="M2976" s="62">
        <v>3</v>
      </c>
      <c r="N2976" s="62" t="s">
        <v>2193</v>
      </c>
      <c r="O2976" s="64" t="s">
        <v>2194</v>
      </c>
      <c r="P2976" s="62" t="s">
        <v>2195</v>
      </c>
      <c r="Q2976" s="14"/>
      <c r="R2976" s="14"/>
    </row>
    <row r="2977" spans="2:18">
      <c r="B2977" s="63" t="s">
        <v>2445</v>
      </c>
      <c r="C2977" s="78" t="s">
        <v>494</v>
      </c>
      <c r="D2977" s="16"/>
      <c r="F2977" s="14"/>
      <c r="G2977" s="14"/>
      <c r="H2977" s="47"/>
      <c r="I2977" s="11"/>
      <c r="J2977" s="14"/>
      <c r="K2977" s="16">
        <v>39</v>
      </c>
      <c r="L2977" s="55">
        <v>8</v>
      </c>
      <c r="M2977" s="62"/>
      <c r="N2977" s="62"/>
      <c r="O2977" s="64"/>
      <c r="P2977" s="62"/>
      <c r="Q2977" s="14"/>
      <c r="R2977" s="14"/>
    </row>
    <row r="2978" spans="2:18">
      <c r="B2978" s="63" t="s">
        <v>2446</v>
      </c>
      <c r="C2978" s="78" t="s">
        <v>493</v>
      </c>
      <c r="D2978" s="16">
        <v>10</v>
      </c>
      <c r="F2978" s="14"/>
      <c r="G2978" s="14"/>
      <c r="H2978" s="47"/>
      <c r="I2978" s="11"/>
      <c r="J2978" s="14"/>
      <c r="K2978" s="16">
        <v>40</v>
      </c>
      <c r="L2978" s="55">
        <v>7</v>
      </c>
      <c r="M2978" s="62"/>
      <c r="N2978" s="62"/>
      <c r="O2978" s="64"/>
      <c r="P2978" s="62"/>
      <c r="Q2978" s="14"/>
      <c r="R2978" s="14"/>
    </row>
    <row r="2979" spans="2:18">
      <c r="B2979" s="63" t="s">
        <v>2447</v>
      </c>
      <c r="C2979" s="78" t="s">
        <v>493</v>
      </c>
      <c r="D2979" s="16">
        <v>250</v>
      </c>
      <c r="F2979" s="14"/>
      <c r="G2979" s="14"/>
      <c r="H2979" s="47"/>
      <c r="I2979" s="11"/>
      <c r="J2979" s="14"/>
      <c r="K2979" s="16">
        <v>41</v>
      </c>
      <c r="M2979" s="62"/>
      <c r="N2979" s="62"/>
      <c r="O2979" s="64"/>
      <c r="P2979" s="62"/>
      <c r="Q2979" s="14"/>
      <c r="R2979" s="14"/>
    </row>
    <row r="2980" spans="2:18">
      <c r="B2980" s="63" t="s">
        <v>2512</v>
      </c>
      <c r="C2980" s="78" t="s">
        <v>494</v>
      </c>
      <c r="D2980" s="16"/>
      <c r="F2980" s="14"/>
      <c r="G2980" s="14"/>
      <c r="H2980" s="47"/>
      <c r="I2980" s="11"/>
      <c r="J2980" s="14"/>
      <c r="K2980" s="16">
        <v>42</v>
      </c>
      <c r="L2980" s="55">
        <v>8</v>
      </c>
      <c r="M2980" s="62"/>
      <c r="N2980" s="62"/>
      <c r="O2980" s="64"/>
      <c r="P2980" s="62"/>
      <c r="Q2980" s="14"/>
      <c r="R2980" s="14"/>
    </row>
    <row r="2981" spans="2:18">
      <c r="B2981" s="67" t="s">
        <v>2753</v>
      </c>
      <c r="C2981" s="70" t="s">
        <v>493</v>
      </c>
      <c r="D2981" s="16">
        <v>1</v>
      </c>
      <c r="F2981" s="14"/>
      <c r="G2981" s="14"/>
      <c r="H2981" s="47"/>
      <c r="I2981" s="11"/>
      <c r="J2981" s="14"/>
      <c r="K2981" s="16">
        <v>43</v>
      </c>
      <c r="L2981" s="55">
        <v>3</v>
      </c>
      <c r="M2981" s="62"/>
      <c r="N2981" s="62"/>
      <c r="O2981" s="64"/>
      <c r="P2981" s="62"/>
      <c r="Q2981" s="14"/>
      <c r="R2981" s="14"/>
    </row>
    <row r="2982" spans="2:18">
      <c r="B2982" s="67" t="s">
        <v>2754</v>
      </c>
      <c r="C2982" s="70" t="s">
        <v>494</v>
      </c>
      <c r="D2982" s="16"/>
      <c r="F2982" s="14"/>
      <c r="G2982" s="14"/>
      <c r="H2982" s="47"/>
      <c r="I2982" s="11"/>
      <c r="J2982" s="14"/>
      <c r="K2982" s="16">
        <v>44</v>
      </c>
      <c r="L2982" s="55"/>
      <c r="M2982" s="62"/>
      <c r="N2982" s="62"/>
      <c r="O2982" s="64"/>
      <c r="P2982" s="62"/>
      <c r="Q2982" s="14"/>
      <c r="R2982" s="14"/>
    </row>
    <row r="2983" spans="2:18">
      <c r="B2983" s="67" t="s">
        <v>2755</v>
      </c>
      <c r="C2983" s="70" t="s">
        <v>493</v>
      </c>
      <c r="D2983" s="16">
        <v>1</v>
      </c>
      <c r="F2983" s="14"/>
      <c r="G2983" s="14"/>
      <c r="H2983" s="47"/>
      <c r="I2983" s="11"/>
      <c r="J2983" s="14"/>
      <c r="K2983" s="16">
        <v>45</v>
      </c>
      <c r="L2983" s="55">
        <v>3</v>
      </c>
      <c r="M2983" s="62"/>
      <c r="N2983" s="62"/>
      <c r="O2983" s="64"/>
      <c r="P2983" s="62"/>
      <c r="Q2983" s="14"/>
      <c r="R2983" s="14"/>
    </row>
    <row r="2984" spans="2:18">
      <c r="B2984" s="67" t="s">
        <v>2756</v>
      </c>
      <c r="C2984" s="70" t="s">
        <v>494</v>
      </c>
      <c r="D2984" s="16"/>
      <c r="F2984" s="14"/>
      <c r="G2984" s="14"/>
      <c r="H2984" s="47"/>
      <c r="I2984" s="11"/>
      <c r="J2984" s="14"/>
      <c r="K2984" s="16">
        <v>46</v>
      </c>
      <c r="L2984" s="55"/>
      <c r="M2984" s="62"/>
      <c r="N2984" s="62"/>
      <c r="O2984" s="64"/>
      <c r="P2984" s="62"/>
      <c r="Q2984" s="14"/>
      <c r="R2984" s="14"/>
    </row>
    <row r="2985" spans="2:18">
      <c r="B2985" s="63" t="s">
        <v>2839</v>
      </c>
      <c r="C2985" s="78" t="s">
        <v>494</v>
      </c>
      <c r="D2985" s="16"/>
      <c r="F2985" s="14"/>
      <c r="G2985" s="14"/>
      <c r="H2985" s="47"/>
      <c r="I2985" s="11"/>
      <c r="J2985" s="14"/>
      <c r="K2985" s="16">
        <v>47</v>
      </c>
      <c r="L2985" s="55">
        <v>8</v>
      </c>
      <c r="M2985" s="62"/>
      <c r="N2985" s="62"/>
      <c r="O2985" s="64"/>
      <c r="P2985" s="62"/>
      <c r="Q2985" s="14"/>
      <c r="R2985" s="14"/>
    </row>
    <row r="2986" spans="2:18">
      <c r="B2986" s="63" t="s">
        <v>2840</v>
      </c>
      <c r="C2986" s="78" t="s">
        <v>493</v>
      </c>
      <c r="D2986" s="16">
        <v>10</v>
      </c>
      <c r="F2986" s="14"/>
      <c r="G2986" s="14"/>
      <c r="H2986" s="47"/>
      <c r="I2986" s="11"/>
      <c r="J2986" s="14"/>
      <c r="K2986" s="16">
        <v>48</v>
      </c>
      <c r="L2986" s="55">
        <v>7</v>
      </c>
      <c r="M2986" s="62"/>
      <c r="N2986" s="62"/>
      <c r="O2986" s="64"/>
      <c r="P2986" s="62"/>
      <c r="Q2986" s="14"/>
      <c r="R2986" s="14"/>
    </row>
    <row r="2987" spans="2:18">
      <c r="B2987" s="63" t="s">
        <v>2841</v>
      </c>
      <c r="C2987" s="78" t="s">
        <v>493</v>
      </c>
      <c r="D2987" s="16">
        <v>250</v>
      </c>
      <c r="F2987" s="14"/>
      <c r="G2987" s="14"/>
      <c r="H2987" s="47"/>
      <c r="I2987" s="11"/>
      <c r="J2987" s="14"/>
      <c r="K2987" s="16">
        <v>49</v>
      </c>
      <c r="L2987" s="1"/>
    </row>
    <row r="2988" spans="2:18">
      <c r="B2988" s="67" t="s">
        <v>2849</v>
      </c>
      <c r="C2988" s="70" t="s">
        <v>494</v>
      </c>
      <c r="D2988" s="16"/>
      <c r="F2988" s="14"/>
      <c r="G2988" s="14"/>
      <c r="H2988" s="47"/>
      <c r="I2988" s="11"/>
      <c r="J2988" s="14"/>
      <c r="K2988" s="16">
        <v>50</v>
      </c>
      <c r="L2988" s="15">
        <v>3</v>
      </c>
      <c r="M2988" s="10">
        <v>2</v>
      </c>
      <c r="N2988" s="64" t="s">
        <v>54</v>
      </c>
      <c r="O2988" s="66" t="s">
        <v>56</v>
      </c>
      <c r="P2988" s="66" t="s">
        <v>57</v>
      </c>
      <c r="Q2988" s="14"/>
      <c r="R2988" s="14">
        <v>147</v>
      </c>
    </row>
    <row r="2989" spans="2:18">
      <c r="B2989" s="67" t="s">
        <v>2850</v>
      </c>
      <c r="C2989" s="70" t="s">
        <v>493</v>
      </c>
      <c r="D2989" s="16">
        <v>250</v>
      </c>
      <c r="F2989" s="14"/>
      <c r="G2989" s="14"/>
      <c r="H2989" s="47"/>
      <c r="I2989" s="11"/>
      <c r="J2989" s="14"/>
      <c r="K2989" s="16">
        <v>51</v>
      </c>
      <c r="M2989" s="62"/>
      <c r="N2989" s="62"/>
      <c r="O2989" s="64"/>
      <c r="P2989" s="62"/>
      <c r="Q2989" s="14"/>
      <c r="R2989" s="14"/>
    </row>
    <row r="2990" spans="2:18">
      <c r="B2990" s="67" t="s">
        <v>2898</v>
      </c>
      <c r="C2990" s="70" t="s">
        <v>494</v>
      </c>
      <c r="D2990" s="16"/>
      <c r="F2990" s="14"/>
      <c r="G2990" s="14"/>
      <c r="H2990" s="47" t="s">
        <v>2899</v>
      </c>
      <c r="I2990" s="11"/>
      <c r="J2990" s="14"/>
      <c r="K2990" s="16">
        <v>52</v>
      </c>
      <c r="M2990" s="62"/>
      <c r="N2990" s="62"/>
      <c r="O2990" s="64"/>
      <c r="P2990" s="62"/>
      <c r="Q2990" s="14"/>
      <c r="R2990" s="14"/>
    </row>
    <row r="2991" spans="2:18">
      <c r="B2991" s="66" t="s">
        <v>3071</v>
      </c>
      <c r="C2991" s="64" t="s">
        <v>494</v>
      </c>
      <c r="D2991" s="16"/>
      <c r="F2991" s="14"/>
      <c r="G2991" s="14"/>
      <c r="H2991" s="47"/>
      <c r="I2991" s="11"/>
      <c r="J2991" s="14"/>
      <c r="K2991" s="16">
        <v>53</v>
      </c>
      <c r="L2991" s="9">
        <v>8</v>
      </c>
      <c r="M2991" s="62"/>
      <c r="N2991" s="62"/>
      <c r="O2991" s="64"/>
      <c r="P2991" s="62"/>
      <c r="Q2991" s="14"/>
      <c r="R2991" s="14"/>
    </row>
    <row r="2992" spans="2:18">
      <c r="B2992" s="66" t="s">
        <v>3068</v>
      </c>
      <c r="C2992" s="64" t="s">
        <v>494</v>
      </c>
      <c r="D2992" s="16"/>
      <c r="F2992" s="14"/>
      <c r="G2992" s="14"/>
      <c r="H2992" s="47"/>
      <c r="I2992" s="11"/>
      <c r="J2992" s="14"/>
      <c r="K2992" s="16">
        <v>54</v>
      </c>
      <c r="L2992" s="9">
        <v>8</v>
      </c>
      <c r="M2992" s="62"/>
      <c r="N2992" s="62"/>
      <c r="O2992" s="64"/>
      <c r="P2992" s="62"/>
      <c r="Q2992" s="14"/>
      <c r="R2992" s="14"/>
    </row>
    <row r="2993" spans="1:22">
      <c r="B2993" s="66" t="s">
        <v>3069</v>
      </c>
      <c r="C2993" s="64" t="s">
        <v>494</v>
      </c>
      <c r="D2993" s="16"/>
      <c r="F2993" s="14"/>
      <c r="G2993" s="14"/>
      <c r="H2993" s="47"/>
      <c r="I2993" s="11"/>
      <c r="J2993" s="14"/>
      <c r="K2993" s="16">
        <v>55</v>
      </c>
      <c r="L2993" s="32">
        <v>8</v>
      </c>
      <c r="M2993" s="62"/>
      <c r="N2993" s="62"/>
      <c r="O2993" s="64"/>
      <c r="P2993" s="62"/>
      <c r="Q2993" s="14"/>
      <c r="R2993" s="14"/>
    </row>
    <row r="2994" spans="1:22">
      <c r="B2994" s="66" t="s">
        <v>3070</v>
      </c>
      <c r="C2994" s="64" t="s">
        <v>494</v>
      </c>
      <c r="D2994" s="16"/>
      <c r="F2994" s="14"/>
      <c r="G2994" s="14"/>
      <c r="H2994" s="47"/>
      <c r="I2994" s="11"/>
      <c r="J2994" s="14"/>
      <c r="K2994" s="16">
        <v>56</v>
      </c>
      <c r="L2994" s="32">
        <v>8</v>
      </c>
      <c r="M2994" s="62"/>
      <c r="N2994" s="62"/>
      <c r="O2994" s="64"/>
      <c r="P2994" s="62"/>
      <c r="Q2994" s="14"/>
      <c r="R2994" s="14"/>
    </row>
    <row r="2995" spans="1:22">
      <c r="B2995" s="66" t="s">
        <v>3074</v>
      </c>
      <c r="C2995" s="64" t="s">
        <v>494</v>
      </c>
      <c r="D2995" s="16"/>
      <c r="F2995" s="14"/>
      <c r="G2995" s="14"/>
      <c r="H2995" s="47"/>
      <c r="I2995" s="11"/>
      <c r="J2995" s="14"/>
      <c r="K2995" s="16">
        <v>57</v>
      </c>
      <c r="L2995" s="32"/>
      <c r="M2995" s="62"/>
      <c r="N2995" s="62"/>
      <c r="O2995" s="64"/>
      <c r="P2995" s="62"/>
      <c r="Q2995" s="14"/>
      <c r="R2995" s="14"/>
    </row>
    <row r="2996" spans="1:22">
      <c r="B2996" s="67" t="s">
        <v>3123</v>
      </c>
      <c r="C2996" s="70" t="s">
        <v>494</v>
      </c>
      <c r="D2996" s="16"/>
      <c r="F2996" s="14"/>
      <c r="G2996" s="14"/>
      <c r="H2996" s="47"/>
      <c r="I2996" s="11"/>
      <c r="J2996" s="14"/>
      <c r="K2996" s="16">
        <v>58</v>
      </c>
      <c r="L2996" s="32">
        <v>3</v>
      </c>
      <c r="M2996" s="62"/>
      <c r="N2996" s="62"/>
      <c r="O2996" s="64"/>
      <c r="P2996" s="62"/>
      <c r="Q2996" s="14"/>
      <c r="R2996" s="14"/>
    </row>
    <row r="2997" spans="1:22">
      <c r="B2997" s="67" t="s">
        <v>3125</v>
      </c>
      <c r="C2997" s="70" t="s">
        <v>494</v>
      </c>
      <c r="D2997" s="16"/>
      <c r="F2997" s="14"/>
      <c r="G2997" s="14"/>
      <c r="H2997" s="47" t="s">
        <v>3132</v>
      </c>
      <c r="I2997" s="11"/>
      <c r="J2997" s="14"/>
      <c r="K2997" s="16">
        <v>59</v>
      </c>
      <c r="L2997" s="32">
        <v>3</v>
      </c>
      <c r="M2997" s="62"/>
      <c r="N2997" s="62"/>
      <c r="O2997" s="64"/>
      <c r="P2997" s="62"/>
      <c r="Q2997" s="14"/>
      <c r="R2997" s="14"/>
    </row>
    <row r="2998" spans="1:22">
      <c r="B2998" s="67" t="s">
        <v>3124</v>
      </c>
      <c r="C2998" s="70" t="s">
        <v>494</v>
      </c>
      <c r="D2998" s="16"/>
      <c r="F2998" s="14"/>
      <c r="G2998" s="14"/>
      <c r="H2998" s="47"/>
      <c r="I2998" s="11"/>
      <c r="J2998" s="14"/>
      <c r="K2998" s="16">
        <v>60</v>
      </c>
      <c r="L2998" s="32"/>
      <c r="M2998" s="62"/>
      <c r="N2998" s="62"/>
      <c r="O2998" s="64"/>
      <c r="P2998" s="62"/>
      <c r="Q2998" s="14"/>
      <c r="R2998" s="14"/>
    </row>
    <row r="2999" spans="1:22">
      <c r="B2999" s="67" t="s">
        <v>3126</v>
      </c>
      <c r="C2999" s="70" t="s">
        <v>494</v>
      </c>
      <c r="D2999" s="16"/>
      <c r="F2999" s="14"/>
      <c r="G2999" s="14"/>
      <c r="H2999" s="47"/>
      <c r="I2999" s="11"/>
      <c r="J2999" s="14"/>
      <c r="K2999" s="16">
        <v>61</v>
      </c>
      <c r="L2999" s="32"/>
      <c r="M2999" s="62"/>
      <c r="N2999" s="62"/>
      <c r="O2999" s="64"/>
      <c r="P2999" s="62"/>
      <c r="Q2999" s="14"/>
      <c r="R2999" s="14"/>
    </row>
    <row r="3000" spans="1:22">
      <c r="B3000" s="67" t="s">
        <v>3204</v>
      </c>
      <c r="C3000" s="70" t="s">
        <v>494</v>
      </c>
      <c r="D3000" s="16"/>
      <c r="F3000" s="14"/>
      <c r="G3000" s="14"/>
      <c r="H3000" s="47"/>
      <c r="I3000" s="11"/>
      <c r="J3000" s="14"/>
      <c r="K3000" s="16">
        <v>62</v>
      </c>
      <c r="L3000" s="32">
        <v>3</v>
      </c>
      <c r="M3000" s="62">
        <v>31</v>
      </c>
      <c r="N3000" s="62" t="s">
        <v>3196</v>
      </c>
      <c r="O3000" s="64" t="s">
        <v>3199</v>
      </c>
      <c r="P3000" s="62" t="s">
        <v>3198</v>
      </c>
      <c r="Q3000" s="62" t="s">
        <v>3197</v>
      </c>
      <c r="R3000" s="14">
        <v>1</v>
      </c>
    </row>
    <row r="3001" spans="1:22">
      <c r="B3001" s="67" t="s">
        <v>3356</v>
      </c>
      <c r="C3001" s="70" t="s">
        <v>493</v>
      </c>
      <c r="D3001" s="16">
        <v>5</v>
      </c>
      <c r="F3001" s="14"/>
      <c r="G3001" s="14"/>
      <c r="H3001" s="47"/>
      <c r="I3001" s="11"/>
      <c r="J3001" s="14"/>
      <c r="K3001" s="16">
        <v>63</v>
      </c>
      <c r="L3001" s="32">
        <v>3</v>
      </c>
      <c r="M3001" s="62"/>
      <c r="N3001" s="62"/>
      <c r="O3001" s="64"/>
      <c r="P3001" s="62"/>
      <c r="Q3001" s="62"/>
      <c r="R3001" s="14"/>
    </row>
    <row r="3002" spans="1:22">
      <c r="B3002" s="67" t="s">
        <v>3892</v>
      </c>
      <c r="C3002" s="70" t="s">
        <v>494</v>
      </c>
      <c r="D3002" s="16"/>
      <c r="F3002" s="14"/>
      <c r="G3002" s="14"/>
      <c r="H3002" s="47"/>
      <c r="I3002" s="11"/>
      <c r="J3002" s="14"/>
      <c r="K3002" s="16">
        <v>64</v>
      </c>
      <c r="L3002" s="32"/>
      <c r="M3002" s="62">
        <v>2</v>
      </c>
      <c r="N3002" s="62"/>
      <c r="O3002" s="64"/>
      <c r="P3002" s="62"/>
      <c r="Q3002" s="62"/>
      <c r="R3002" s="14"/>
    </row>
    <row r="3003" spans="1:22">
      <c r="B3003" s="67" t="s">
        <v>3893</v>
      </c>
      <c r="C3003" s="70" t="s">
        <v>494</v>
      </c>
      <c r="D3003" s="16"/>
      <c r="F3003" s="14"/>
      <c r="G3003" s="14"/>
      <c r="H3003" s="47"/>
      <c r="I3003" s="11"/>
      <c r="J3003" s="14"/>
      <c r="K3003" s="16">
        <v>65</v>
      </c>
      <c r="L3003" s="32"/>
      <c r="M3003" s="62">
        <v>2</v>
      </c>
      <c r="N3003" s="62"/>
      <c r="O3003" s="64"/>
      <c r="P3003" s="62"/>
      <c r="Q3003" s="62"/>
      <c r="R3003" s="14"/>
    </row>
    <row r="3004" spans="1:22">
      <c r="B3004" s="66"/>
      <c r="C3004" s="64"/>
      <c r="D3004" s="16"/>
      <c r="F3004" s="14"/>
      <c r="G3004" s="14"/>
      <c r="H3004" s="47"/>
      <c r="I3004" s="11"/>
      <c r="J3004" s="14"/>
      <c r="K3004" s="16"/>
      <c r="L3004" s="15"/>
      <c r="M3004" s="14"/>
      <c r="O3004" s="23"/>
      <c r="P3004" s="23"/>
      <c r="Q3004" s="14"/>
      <c r="R3004" s="14"/>
    </row>
    <row r="3005" spans="1:22">
      <c r="A3005" s="70" t="s">
        <v>288</v>
      </c>
      <c r="B3005" s="67" t="s">
        <v>289</v>
      </c>
      <c r="C3005" s="1" t="s">
        <v>494</v>
      </c>
      <c r="E3005" s="1" t="s">
        <v>476</v>
      </c>
      <c r="F3005" s="14">
        <v>17</v>
      </c>
      <c r="G3005" s="14">
        <v>1711</v>
      </c>
      <c r="H3005" s="14" t="s">
        <v>994</v>
      </c>
      <c r="I3005" s="11" t="s">
        <v>295</v>
      </c>
      <c r="J3005" s="14">
        <v>1701</v>
      </c>
      <c r="K3005" s="16">
        <v>1</v>
      </c>
      <c r="L3005" s="15">
        <v>52</v>
      </c>
      <c r="M3005" s="14"/>
      <c r="N3005" s="64">
        <v>1707</v>
      </c>
      <c r="O3005" s="60" t="s">
        <v>976</v>
      </c>
      <c r="Q3005" s="64"/>
      <c r="R3005" s="64"/>
      <c r="T3005" s="64" t="s">
        <v>506</v>
      </c>
      <c r="U3005" s="64" t="s">
        <v>514</v>
      </c>
      <c r="V3005" s="1" t="s">
        <v>515</v>
      </c>
    </row>
    <row r="3006" spans="1:22">
      <c r="A3006" s="39"/>
      <c r="B3006" s="87" t="s">
        <v>279</v>
      </c>
      <c r="C3006" s="1" t="s">
        <v>494</v>
      </c>
      <c r="E3006" s="1" t="s">
        <v>476</v>
      </c>
      <c r="F3006" s="14"/>
      <c r="G3006" s="14"/>
      <c r="H3006" s="14"/>
      <c r="I3006" s="11"/>
      <c r="J3006" s="14"/>
      <c r="K3006" s="16">
        <v>2</v>
      </c>
      <c r="L3006" s="15">
        <v>3</v>
      </c>
      <c r="M3006" s="14"/>
      <c r="N3006" s="1" t="s">
        <v>995</v>
      </c>
      <c r="O3006" s="23" t="s">
        <v>997</v>
      </c>
      <c r="P3006" s="23" t="s">
        <v>996</v>
      </c>
      <c r="Q3006" s="14"/>
      <c r="R3006" s="14"/>
    </row>
    <row r="3007" spans="1:22">
      <c r="A3007" s="39"/>
      <c r="B3007" s="67" t="s">
        <v>290</v>
      </c>
      <c r="C3007" s="1" t="s">
        <v>494</v>
      </c>
      <c r="E3007" s="1" t="s">
        <v>476</v>
      </c>
      <c r="F3007" s="14"/>
      <c r="G3007" s="14"/>
      <c r="H3007" s="14"/>
      <c r="I3007" s="11"/>
      <c r="J3007" s="14"/>
      <c r="K3007" s="16">
        <v>3</v>
      </c>
      <c r="L3007" s="15">
        <v>9</v>
      </c>
      <c r="M3007" s="14"/>
      <c r="N3007" s="1" t="s">
        <v>1038</v>
      </c>
      <c r="O3007" s="23" t="s">
        <v>1040</v>
      </c>
      <c r="P3007" s="23" t="s">
        <v>1041</v>
      </c>
      <c r="Q3007" s="23" t="s">
        <v>1040</v>
      </c>
      <c r="R3007" s="14">
        <v>140</v>
      </c>
    </row>
    <row r="3008" spans="1:22">
      <c r="A3008" s="39"/>
      <c r="B3008" s="67" t="s">
        <v>291</v>
      </c>
      <c r="C3008" s="1" t="s">
        <v>494</v>
      </c>
      <c r="E3008" s="1" t="s">
        <v>476</v>
      </c>
      <c r="F3008" s="14"/>
      <c r="G3008" s="14"/>
      <c r="H3008" s="14"/>
      <c r="I3008" s="11"/>
      <c r="J3008" s="14"/>
      <c r="K3008" s="16">
        <v>4</v>
      </c>
      <c r="L3008" s="15">
        <v>3</v>
      </c>
      <c r="M3008" s="14"/>
      <c r="N3008" s="62" t="s">
        <v>285</v>
      </c>
      <c r="O3008" s="60" t="s">
        <v>992</v>
      </c>
      <c r="P3008" s="60" t="s">
        <v>993</v>
      </c>
      <c r="Q3008" s="14"/>
      <c r="R3008" s="14">
        <v>1710</v>
      </c>
    </row>
    <row r="3009" spans="1:18">
      <c r="A3009" s="39"/>
      <c r="B3009" s="88" t="s">
        <v>292</v>
      </c>
      <c r="C3009" s="1" t="s">
        <v>494</v>
      </c>
      <c r="F3009" s="14"/>
      <c r="G3009" s="14"/>
      <c r="H3009" s="14"/>
      <c r="I3009" s="11"/>
      <c r="J3009" s="14"/>
      <c r="K3009" s="16">
        <v>5</v>
      </c>
      <c r="L3009" s="15">
        <v>6</v>
      </c>
      <c r="M3009" s="14"/>
      <c r="P3009" s="23"/>
      <c r="Q3009" s="14"/>
      <c r="R3009" s="14"/>
    </row>
    <row r="3010" spans="1:18">
      <c r="A3010" s="39"/>
      <c r="B3010" s="67" t="s">
        <v>293</v>
      </c>
      <c r="C3010" s="1" t="s">
        <v>494</v>
      </c>
      <c r="F3010" s="14"/>
      <c r="G3010" s="14"/>
      <c r="H3010" s="14"/>
      <c r="I3010" s="11"/>
      <c r="J3010" s="14"/>
      <c r="K3010" s="16">
        <v>6</v>
      </c>
      <c r="L3010" s="15">
        <v>8</v>
      </c>
      <c r="M3010" s="14"/>
      <c r="P3010" s="14"/>
      <c r="Q3010" s="14"/>
      <c r="R3010" s="14"/>
    </row>
    <row r="3011" spans="1:18">
      <c r="A3011" s="39"/>
      <c r="B3011" s="88" t="s">
        <v>294</v>
      </c>
      <c r="C3011" s="1" t="s">
        <v>520</v>
      </c>
      <c r="F3011" s="14"/>
      <c r="G3011" s="14"/>
      <c r="H3011" s="14"/>
      <c r="I3011" s="11"/>
      <c r="J3011" s="14"/>
      <c r="K3011" s="16">
        <v>7</v>
      </c>
      <c r="L3011" s="15"/>
      <c r="M3011" s="14"/>
      <c r="P3011" s="14"/>
      <c r="Q3011" s="14"/>
      <c r="R3011" s="14"/>
    </row>
    <row r="3012" spans="1:18">
      <c r="A3012" s="39"/>
      <c r="B3012" s="88" t="s">
        <v>1110</v>
      </c>
      <c r="C3012" s="1" t="s">
        <v>493</v>
      </c>
      <c r="D3012" s="1">
        <v>10</v>
      </c>
      <c r="F3012" s="14"/>
      <c r="G3012" s="14"/>
      <c r="H3012" s="14"/>
      <c r="I3012" s="11"/>
      <c r="J3012" s="14"/>
      <c r="K3012" s="16">
        <v>8</v>
      </c>
      <c r="L3012" s="15">
        <v>7</v>
      </c>
      <c r="M3012" s="14">
        <v>2</v>
      </c>
      <c r="P3012" s="14"/>
      <c r="Q3012" s="14"/>
      <c r="R3012" s="14"/>
    </row>
    <row r="3013" spans="1:18">
      <c r="A3013" s="39"/>
      <c r="B3013" s="67" t="s">
        <v>2846</v>
      </c>
      <c r="C3013" s="1" t="s">
        <v>493</v>
      </c>
      <c r="D3013" s="1">
        <v>10</v>
      </c>
      <c r="F3013" s="14"/>
      <c r="G3013" s="14"/>
      <c r="H3013" s="14"/>
      <c r="I3013" s="11"/>
      <c r="J3013" s="14"/>
      <c r="K3013" s="16">
        <v>9</v>
      </c>
      <c r="L3013" s="15">
        <v>7</v>
      </c>
      <c r="M3013" s="14">
        <v>2</v>
      </c>
      <c r="P3013" s="14"/>
      <c r="Q3013" s="14"/>
      <c r="R3013" s="14"/>
    </row>
    <row r="3014" spans="1:18">
      <c r="B3014" s="66"/>
      <c r="F3014" s="14"/>
      <c r="G3014" s="14"/>
      <c r="H3014" s="14"/>
      <c r="I3014" s="11"/>
      <c r="J3014" s="14"/>
      <c r="K3014" s="16"/>
      <c r="L3014" s="15"/>
      <c r="M3014" s="14"/>
      <c r="P3014" s="14"/>
      <c r="Q3014" s="14"/>
      <c r="R3014" s="14"/>
    </row>
    <row r="3015" spans="1:18">
      <c r="A3015" s="1" t="s">
        <v>298</v>
      </c>
      <c r="B3015" s="23" t="s">
        <v>299</v>
      </c>
      <c r="C3015" s="1" t="s">
        <v>494</v>
      </c>
      <c r="E3015" s="1" t="s">
        <v>476</v>
      </c>
      <c r="F3015" s="14">
        <v>17</v>
      </c>
      <c r="G3015" s="14">
        <v>1712</v>
      </c>
      <c r="H3015" s="14" t="s">
        <v>305</v>
      </c>
      <c r="I3015" s="11"/>
      <c r="J3015" s="14">
        <v>1701</v>
      </c>
      <c r="K3015" s="16">
        <v>1</v>
      </c>
      <c r="L3015" s="15">
        <v>52</v>
      </c>
      <c r="M3015" s="14"/>
      <c r="N3015" s="14">
        <v>1707</v>
      </c>
      <c r="O3015" s="23" t="s">
        <v>979</v>
      </c>
      <c r="P3015" s="14"/>
      <c r="Q3015" s="14"/>
      <c r="R3015" s="14"/>
    </row>
    <row r="3016" spans="1:18">
      <c r="B3016" s="23" t="s">
        <v>300</v>
      </c>
      <c r="C3016" s="1" t="s">
        <v>494</v>
      </c>
      <c r="E3016" s="1" t="s">
        <v>476</v>
      </c>
      <c r="F3016" s="14"/>
      <c r="G3016" s="14"/>
      <c r="H3016" s="14"/>
      <c r="I3016" s="11"/>
      <c r="J3016" s="14"/>
      <c r="K3016" s="16">
        <v>2</v>
      </c>
      <c r="L3016" s="15">
        <v>6</v>
      </c>
      <c r="M3016" s="14"/>
      <c r="P3016" s="14"/>
      <c r="Q3016" s="14"/>
      <c r="R3016" s="14"/>
    </row>
    <row r="3017" spans="1:18">
      <c r="B3017" s="23" t="s">
        <v>301</v>
      </c>
      <c r="C3017" s="1" t="s">
        <v>494</v>
      </c>
      <c r="F3017" s="14"/>
      <c r="G3017" s="14"/>
      <c r="H3017" s="14" t="s">
        <v>304</v>
      </c>
      <c r="I3017" s="11"/>
      <c r="J3017" s="14"/>
      <c r="K3017" s="16">
        <v>3</v>
      </c>
      <c r="L3017" s="15">
        <v>6</v>
      </c>
      <c r="M3017" s="14"/>
      <c r="P3017" s="14"/>
      <c r="Q3017" s="14"/>
      <c r="R3017" s="14"/>
    </row>
    <row r="3018" spans="1:18">
      <c r="B3018" s="23" t="s">
        <v>302</v>
      </c>
      <c r="C3018" s="1" t="s">
        <v>493</v>
      </c>
      <c r="D3018" s="1">
        <v>10</v>
      </c>
      <c r="F3018" s="14"/>
      <c r="G3018" s="14"/>
      <c r="H3018" s="14"/>
      <c r="I3018" s="11"/>
      <c r="J3018" s="14"/>
      <c r="K3018" s="16">
        <v>4</v>
      </c>
      <c r="L3018" s="15">
        <v>7</v>
      </c>
      <c r="M3018" s="14"/>
      <c r="P3018" s="14"/>
      <c r="Q3018" s="14"/>
      <c r="R3018" s="14"/>
    </row>
    <row r="3019" spans="1:18">
      <c r="B3019" s="23" t="s">
        <v>303</v>
      </c>
      <c r="C3019" s="1" t="s">
        <v>493</v>
      </c>
      <c r="D3019" s="1">
        <v>10</v>
      </c>
      <c r="F3019" s="14"/>
      <c r="G3019" s="14"/>
      <c r="H3019" s="14"/>
      <c r="I3019" s="11"/>
      <c r="J3019" s="14"/>
      <c r="K3019" s="16">
        <v>5</v>
      </c>
      <c r="L3019" s="15">
        <v>7</v>
      </c>
      <c r="M3019" s="14"/>
      <c r="P3019" s="14"/>
      <c r="Q3019" s="14"/>
      <c r="R3019" s="14"/>
    </row>
    <row r="3020" spans="1:18">
      <c r="B3020" s="23" t="s">
        <v>306</v>
      </c>
      <c r="C3020" s="1" t="s">
        <v>494</v>
      </c>
      <c r="F3020" s="14"/>
      <c r="G3020" s="14"/>
      <c r="H3020" s="14"/>
      <c r="I3020" s="11"/>
      <c r="J3020" s="14"/>
      <c r="K3020" s="16">
        <v>6</v>
      </c>
      <c r="L3020" s="15">
        <v>8</v>
      </c>
      <c r="M3020" s="14"/>
      <c r="P3020" s="14"/>
      <c r="Q3020" s="14"/>
      <c r="R3020" s="14"/>
    </row>
    <row r="3021" spans="1:18">
      <c r="B3021" s="23"/>
      <c r="F3021" s="14"/>
      <c r="G3021" s="14"/>
      <c r="H3021" s="14"/>
      <c r="I3021" s="11"/>
      <c r="J3021" s="14"/>
      <c r="K3021" s="16"/>
      <c r="L3021" s="15"/>
      <c r="M3021" s="14"/>
      <c r="P3021" s="14"/>
      <c r="Q3021" s="14"/>
      <c r="R3021" s="14"/>
    </row>
    <row r="3022" spans="1:18">
      <c r="A3022" s="10" t="s">
        <v>1019</v>
      </c>
      <c r="B3022" s="29" t="s">
        <v>1010</v>
      </c>
      <c r="C3022" s="1" t="s">
        <v>494</v>
      </c>
      <c r="E3022" s="1" t="s">
        <v>476</v>
      </c>
      <c r="F3022" s="14">
        <v>17</v>
      </c>
      <c r="G3022" s="14">
        <v>1713</v>
      </c>
      <c r="H3022" s="14" t="s">
        <v>521</v>
      </c>
      <c r="I3022" s="11"/>
      <c r="J3022" s="14">
        <v>1701</v>
      </c>
      <c r="K3022" s="16">
        <v>1</v>
      </c>
      <c r="L3022" s="15">
        <v>52</v>
      </c>
      <c r="M3022" s="14"/>
      <c r="N3022" s="14">
        <v>1707</v>
      </c>
      <c r="O3022" s="23" t="s">
        <v>979</v>
      </c>
      <c r="P3022" s="14"/>
      <c r="Q3022" s="14"/>
      <c r="R3022" s="14"/>
    </row>
    <row r="3023" spans="1:18">
      <c r="A3023" s="10"/>
      <c r="B3023" s="29" t="s">
        <v>1011</v>
      </c>
      <c r="C3023" s="1" t="s">
        <v>494</v>
      </c>
      <c r="E3023" s="1" t="s">
        <v>476</v>
      </c>
      <c r="F3023" s="14"/>
      <c r="G3023" s="14"/>
      <c r="H3023" s="14"/>
      <c r="I3023" s="11"/>
      <c r="J3023" s="14"/>
      <c r="K3023" s="16">
        <v>2</v>
      </c>
      <c r="L3023" s="15">
        <v>6</v>
      </c>
      <c r="M3023" s="14"/>
      <c r="P3023" s="14"/>
      <c r="Q3023" s="14"/>
      <c r="R3023" s="14"/>
    </row>
    <row r="3024" spans="1:18">
      <c r="A3024" s="10"/>
      <c r="B3024" s="29" t="s">
        <v>1012</v>
      </c>
      <c r="C3024" s="1" t="s">
        <v>494</v>
      </c>
      <c r="F3024" s="14"/>
      <c r="G3024" s="14"/>
      <c r="H3024" s="14"/>
      <c r="I3024" s="11"/>
      <c r="J3024" s="14"/>
      <c r="K3024" s="16">
        <v>3</v>
      </c>
      <c r="L3024" s="15">
        <v>6</v>
      </c>
      <c r="M3024" s="14"/>
      <c r="P3024" s="14"/>
      <c r="Q3024" s="14"/>
      <c r="R3024" s="14"/>
    </row>
    <row r="3025" spans="1:18">
      <c r="A3025" s="10"/>
      <c r="B3025" s="29" t="s">
        <v>1015</v>
      </c>
      <c r="C3025" s="1" t="s">
        <v>493</v>
      </c>
      <c r="D3025" s="1">
        <v>10</v>
      </c>
      <c r="F3025" s="14"/>
      <c r="G3025" s="14"/>
      <c r="H3025" s="14"/>
      <c r="I3025" s="11"/>
      <c r="J3025" s="14"/>
      <c r="K3025" s="16">
        <v>4</v>
      </c>
      <c r="L3025" s="15">
        <v>7</v>
      </c>
      <c r="M3025" s="14"/>
      <c r="P3025" s="14"/>
      <c r="Q3025" s="14"/>
      <c r="R3025" s="14"/>
    </row>
    <row r="3026" spans="1:18">
      <c r="A3026" s="10"/>
      <c r="B3026" s="29" t="s">
        <v>1014</v>
      </c>
      <c r="C3026" s="1" t="s">
        <v>494</v>
      </c>
      <c r="F3026" s="14"/>
      <c r="G3026" s="14"/>
      <c r="H3026" s="14"/>
      <c r="I3026" s="11"/>
      <c r="J3026" s="14"/>
      <c r="K3026" s="16">
        <v>5</v>
      </c>
      <c r="L3026" s="15"/>
      <c r="M3026" s="14">
        <v>71</v>
      </c>
      <c r="P3026" s="14"/>
      <c r="Q3026" s="14"/>
      <c r="R3026" s="14"/>
    </row>
    <row r="3027" spans="1:18">
      <c r="A3027" s="10"/>
      <c r="B3027" s="29" t="s">
        <v>1016</v>
      </c>
      <c r="C3027" s="1" t="s">
        <v>494</v>
      </c>
      <c r="F3027" s="14"/>
      <c r="G3027" s="14"/>
      <c r="H3027" s="14"/>
      <c r="I3027" s="11"/>
      <c r="J3027" s="14"/>
      <c r="K3027" s="16">
        <v>6</v>
      </c>
      <c r="L3027" s="15"/>
      <c r="M3027" s="14">
        <v>72</v>
      </c>
      <c r="P3027" s="14"/>
      <c r="Q3027" s="14"/>
      <c r="R3027" s="14"/>
    </row>
    <row r="3028" spans="1:18">
      <c r="A3028" s="10"/>
      <c r="B3028" s="29" t="s">
        <v>1013</v>
      </c>
      <c r="C3028" s="1" t="s">
        <v>494</v>
      </c>
      <c r="F3028" s="14"/>
      <c r="G3028" s="14"/>
      <c r="H3028" s="14"/>
      <c r="I3028" s="11"/>
      <c r="J3028" s="14"/>
      <c r="K3028" s="16">
        <v>7</v>
      </c>
      <c r="L3028" s="15">
        <v>8</v>
      </c>
      <c r="M3028" s="14"/>
      <c r="P3028" s="14"/>
      <c r="Q3028" s="14"/>
      <c r="R3028" s="14"/>
    </row>
    <row r="3029" spans="1:18">
      <c r="A3029" s="10"/>
      <c r="B3029" s="29" t="s">
        <v>1020</v>
      </c>
      <c r="C3029" s="1" t="s">
        <v>520</v>
      </c>
      <c r="F3029" s="14"/>
      <c r="G3029" s="14"/>
      <c r="H3029" s="14"/>
      <c r="I3029" s="11"/>
      <c r="J3029" s="14"/>
      <c r="K3029" s="16">
        <v>8</v>
      </c>
      <c r="L3029" s="15"/>
      <c r="M3029" s="14"/>
      <c r="P3029" s="14"/>
      <c r="Q3029" s="14"/>
      <c r="R3029" s="14"/>
    </row>
    <row r="3030" spans="1:18">
      <c r="A3030" s="10"/>
      <c r="B3030" s="29" t="s">
        <v>1151</v>
      </c>
      <c r="C3030" s="1" t="s">
        <v>493</v>
      </c>
      <c r="D3030" s="1">
        <v>1</v>
      </c>
      <c r="F3030" s="14"/>
      <c r="G3030" s="14"/>
      <c r="H3030" s="14"/>
      <c r="I3030" s="11"/>
      <c r="J3030" s="14"/>
      <c r="K3030" s="16">
        <v>9</v>
      </c>
      <c r="L3030" s="15">
        <v>3</v>
      </c>
      <c r="M3030" s="14"/>
      <c r="P3030" s="14"/>
      <c r="Q3030" s="14"/>
      <c r="R3030" s="14"/>
    </row>
    <row r="3031" spans="1:18">
      <c r="A3031" s="10"/>
      <c r="B3031" s="29" t="s">
        <v>1152</v>
      </c>
      <c r="C3031" s="1" t="s">
        <v>493</v>
      </c>
      <c r="D3031" s="1">
        <v>10</v>
      </c>
      <c r="F3031" s="14"/>
      <c r="G3031" s="14"/>
      <c r="H3031" s="14"/>
      <c r="I3031" s="11"/>
      <c r="J3031" s="14"/>
      <c r="K3031" s="16">
        <v>10</v>
      </c>
      <c r="L3031" s="15">
        <v>7</v>
      </c>
      <c r="M3031" s="14"/>
      <c r="P3031" s="14"/>
      <c r="Q3031" s="14"/>
      <c r="R3031" s="14"/>
    </row>
    <row r="3032" spans="1:18">
      <c r="A3032" s="10"/>
      <c r="B3032" s="29" t="s">
        <v>1153</v>
      </c>
      <c r="C3032" s="1" t="s">
        <v>494</v>
      </c>
      <c r="F3032" s="14"/>
      <c r="G3032" s="14"/>
      <c r="H3032" s="14"/>
      <c r="I3032" s="11"/>
      <c r="J3032" s="14"/>
      <c r="K3032" s="16">
        <v>11</v>
      </c>
      <c r="L3032" s="15">
        <v>8</v>
      </c>
      <c r="M3032" s="14"/>
      <c r="P3032" s="14"/>
      <c r="Q3032" s="14"/>
      <c r="R3032" s="14"/>
    </row>
    <row r="3033" spans="1:18">
      <c r="A3033" s="10"/>
      <c r="B3033" s="29" t="s">
        <v>1154</v>
      </c>
      <c r="C3033" s="1" t="s">
        <v>520</v>
      </c>
      <c r="F3033" s="14"/>
      <c r="G3033" s="14"/>
      <c r="H3033" s="14"/>
      <c r="I3033" s="11"/>
      <c r="J3033" s="14"/>
      <c r="K3033" s="16">
        <v>12</v>
      </c>
      <c r="L3033" s="15"/>
      <c r="M3033" s="14"/>
      <c r="P3033" s="14"/>
      <c r="Q3033" s="14"/>
      <c r="R3033" s="14"/>
    </row>
    <row r="3034" spans="1:18">
      <c r="A3034" s="10"/>
      <c r="B3034" s="29" t="s">
        <v>308</v>
      </c>
      <c r="C3034" s="1" t="s">
        <v>494</v>
      </c>
      <c r="F3034" s="14"/>
      <c r="G3034" s="14"/>
      <c r="H3034" s="14"/>
      <c r="I3034" s="11"/>
      <c r="J3034" s="14"/>
      <c r="K3034" s="16">
        <v>13</v>
      </c>
      <c r="L3034" s="15">
        <v>3</v>
      </c>
      <c r="M3034" s="14"/>
      <c r="N3034" s="1" t="s">
        <v>309</v>
      </c>
      <c r="O3034" s="29" t="s">
        <v>310</v>
      </c>
      <c r="P3034" s="29" t="s">
        <v>311</v>
      </c>
      <c r="Q3034" s="14"/>
      <c r="R3034" s="14"/>
    </row>
    <row r="3035" spans="1:18">
      <c r="B3035" s="29"/>
      <c r="F3035" s="14"/>
      <c r="G3035" s="14"/>
      <c r="H3035" s="14"/>
      <c r="I3035" s="11"/>
      <c r="J3035" s="14"/>
      <c r="K3035" s="16"/>
      <c r="L3035" s="15"/>
      <c r="M3035" s="14"/>
      <c r="P3035" s="23"/>
      <c r="Q3035" s="14"/>
      <c r="R3035" s="14"/>
    </row>
    <row r="3036" spans="1:18">
      <c r="A3036" s="62" t="s">
        <v>39</v>
      </c>
      <c r="B3036" s="29" t="s">
        <v>40</v>
      </c>
      <c r="C3036" s="1" t="s">
        <v>494</v>
      </c>
      <c r="E3036" s="1" t="s">
        <v>476</v>
      </c>
      <c r="F3036" s="14">
        <v>17</v>
      </c>
      <c r="G3036" s="14">
        <v>1730</v>
      </c>
      <c r="H3036" s="14" t="s">
        <v>50</v>
      </c>
      <c r="I3036" s="11"/>
      <c r="J3036" s="14">
        <v>1701</v>
      </c>
      <c r="K3036" s="16">
        <v>1</v>
      </c>
      <c r="L3036" s="15">
        <v>52</v>
      </c>
      <c r="M3036" s="14"/>
      <c r="N3036" s="14">
        <v>1707</v>
      </c>
      <c r="O3036" s="23" t="s">
        <v>979</v>
      </c>
      <c r="P3036" s="23"/>
      <c r="Q3036" s="14"/>
      <c r="R3036" s="14"/>
    </row>
    <row r="3037" spans="1:18">
      <c r="B3037" s="29" t="s">
        <v>41</v>
      </c>
      <c r="C3037" s="1" t="s">
        <v>494</v>
      </c>
      <c r="E3037" s="1" t="s">
        <v>476</v>
      </c>
      <c r="F3037" s="14"/>
      <c r="G3037" s="14"/>
      <c r="H3037" s="14"/>
      <c r="I3037" s="11"/>
      <c r="J3037" s="14"/>
      <c r="K3037" s="16">
        <v>2</v>
      </c>
      <c r="L3037" s="15">
        <v>6</v>
      </c>
      <c r="M3037" s="14"/>
      <c r="O3037" s="23"/>
      <c r="P3037" s="23"/>
      <c r="Q3037" s="14"/>
      <c r="R3037" s="14"/>
    </row>
    <row r="3038" spans="1:18">
      <c r="B3038" s="29" t="s">
        <v>42</v>
      </c>
      <c r="C3038" s="1" t="s">
        <v>494</v>
      </c>
      <c r="F3038" s="14"/>
      <c r="G3038" s="14"/>
      <c r="H3038" s="14"/>
      <c r="I3038" s="11"/>
      <c r="J3038" s="14"/>
      <c r="K3038" s="16">
        <v>3</v>
      </c>
      <c r="L3038" s="15">
        <v>6</v>
      </c>
      <c r="M3038" s="14"/>
      <c r="O3038" s="23"/>
      <c r="P3038" s="23"/>
      <c r="Q3038" s="14"/>
      <c r="R3038" s="14"/>
    </row>
    <row r="3039" spans="1:18">
      <c r="B3039" s="29" t="s">
        <v>43</v>
      </c>
      <c r="C3039" s="1" t="s">
        <v>493</v>
      </c>
      <c r="D3039" s="1">
        <v>10</v>
      </c>
      <c r="F3039" s="14"/>
      <c r="G3039" s="14"/>
      <c r="H3039" s="14"/>
      <c r="I3039" s="11"/>
      <c r="J3039" s="14"/>
      <c r="K3039" s="16">
        <v>4</v>
      </c>
      <c r="L3039" s="15">
        <v>7</v>
      </c>
      <c r="M3039" s="14"/>
      <c r="O3039" s="23"/>
      <c r="P3039" s="23"/>
      <c r="Q3039" s="14"/>
      <c r="R3039" s="14"/>
    </row>
    <row r="3040" spans="1:18">
      <c r="B3040" s="29" t="s">
        <v>45</v>
      </c>
      <c r="C3040" s="1" t="s">
        <v>494</v>
      </c>
      <c r="F3040" s="14"/>
      <c r="G3040" s="14"/>
      <c r="H3040" s="14"/>
      <c r="I3040" s="11"/>
      <c r="J3040" s="14"/>
      <c r="K3040" s="16">
        <v>5</v>
      </c>
      <c r="L3040" s="15"/>
      <c r="M3040" s="14">
        <v>71</v>
      </c>
      <c r="O3040" s="23"/>
      <c r="P3040" s="23"/>
      <c r="Q3040" s="14"/>
      <c r="R3040" s="14"/>
    </row>
    <row r="3041" spans="1:18">
      <c r="B3041" s="29" t="s">
        <v>44</v>
      </c>
      <c r="C3041" s="1" t="s">
        <v>494</v>
      </c>
      <c r="F3041" s="14"/>
      <c r="G3041" s="14"/>
      <c r="H3041" s="14"/>
      <c r="I3041" s="11"/>
      <c r="J3041" s="14"/>
      <c r="K3041" s="16">
        <v>6</v>
      </c>
      <c r="L3041" s="15"/>
      <c r="M3041" s="14">
        <v>72</v>
      </c>
      <c r="O3041" s="23"/>
      <c r="P3041" s="23"/>
      <c r="Q3041" s="14"/>
      <c r="R3041" s="14"/>
    </row>
    <row r="3042" spans="1:18">
      <c r="B3042" s="29" t="s">
        <v>46</v>
      </c>
      <c r="C3042" s="1" t="s">
        <v>494</v>
      </c>
      <c r="F3042" s="14"/>
      <c r="G3042" s="14"/>
      <c r="H3042" s="14"/>
      <c r="I3042" s="11"/>
      <c r="J3042" s="14"/>
      <c r="K3042" s="16">
        <v>7</v>
      </c>
      <c r="L3042" s="15">
        <v>8</v>
      </c>
      <c r="M3042" s="14"/>
      <c r="O3042" s="23"/>
      <c r="P3042" s="23"/>
      <c r="Q3042" s="14"/>
      <c r="R3042" s="14"/>
    </row>
    <row r="3043" spans="1:18">
      <c r="B3043" s="29" t="s">
        <v>47</v>
      </c>
      <c r="C3043" s="1" t="s">
        <v>494</v>
      </c>
      <c r="F3043" s="14"/>
      <c r="G3043" s="14"/>
      <c r="H3043" s="14"/>
      <c r="I3043" s="11"/>
      <c r="J3043" s="14"/>
      <c r="K3043" s="16">
        <v>8</v>
      </c>
      <c r="L3043" s="15">
        <v>3</v>
      </c>
      <c r="M3043" s="14"/>
      <c r="N3043" s="1" t="s">
        <v>269</v>
      </c>
      <c r="O3043" s="23" t="s">
        <v>270</v>
      </c>
      <c r="P3043" s="23" t="s">
        <v>271</v>
      </c>
      <c r="Q3043" s="14"/>
      <c r="R3043" s="14"/>
    </row>
    <row r="3044" spans="1:18">
      <c r="B3044" s="29" t="s">
        <v>48</v>
      </c>
      <c r="C3044" s="1" t="s">
        <v>494</v>
      </c>
      <c r="F3044" s="14"/>
      <c r="G3044" s="14"/>
      <c r="H3044" s="14"/>
      <c r="I3044" s="11"/>
      <c r="J3044" s="14"/>
      <c r="K3044" s="16">
        <v>9</v>
      </c>
      <c r="L3044" s="15">
        <v>3</v>
      </c>
      <c r="M3044" s="14"/>
      <c r="N3044" s="1" t="s">
        <v>269</v>
      </c>
      <c r="O3044" s="23" t="s">
        <v>270</v>
      </c>
      <c r="P3044" s="23" t="s">
        <v>271</v>
      </c>
      <c r="Q3044" s="14"/>
      <c r="R3044" s="14"/>
    </row>
    <row r="3045" spans="1:18">
      <c r="B3045" s="29" t="s">
        <v>49</v>
      </c>
      <c r="C3045" s="1" t="s">
        <v>520</v>
      </c>
      <c r="F3045" s="14"/>
      <c r="G3045" s="14"/>
      <c r="H3045" s="14"/>
      <c r="I3045" s="11"/>
      <c r="J3045" s="14"/>
      <c r="K3045" s="16">
        <v>10</v>
      </c>
      <c r="L3045" s="15"/>
      <c r="M3045" s="14"/>
      <c r="O3045" s="23"/>
      <c r="P3045" s="23"/>
      <c r="Q3045" s="14"/>
      <c r="R3045" s="14"/>
    </row>
    <row r="3046" spans="1:18">
      <c r="B3046" s="29"/>
      <c r="F3046" s="14"/>
      <c r="G3046" s="14"/>
      <c r="H3046" s="14"/>
      <c r="I3046" s="11"/>
      <c r="J3046" s="14"/>
      <c r="K3046" s="16"/>
      <c r="L3046" s="15"/>
      <c r="M3046" s="14"/>
      <c r="O3046" s="23"/>
      <c r="P3046" s="23"/>
      <c r="Q3046" s="14"/>
      <c r="R3046" s="14"/>
    </row>
    <row r="3047" spans="1:18">
      <c r="B3047" s="29"/>
      <c r="F3047" s="14"/>
      <c r="G3047" s="14"/>
      <c r="H3047" s="14"/>
      <c r="I3047" s="11"/>
      <c r="J3047" s="14"/>
      <c r="K3047" s="16"/>
      <c r="L3047" s="15"/>
      <c r="M3047" s="14"/>
      <c r="O3047" s="23"/>
      <c r="P3047" s="23"/>
      <c r="Q3047" s="14"/>
      <c r="R3047" s="14"/>
    </row>
    <row r="3048" spans="1:18" customFormat="1"/>
    <row r="3049" spans="1:18" s="3" customFormat="1">
      <c r="A3049" s="62" t="s">
        <v>3594</v>
      </c>
      <c r="B3049" s="62" t="s">
        <v>3595</v>
      </c>
      <c r="C3049" s="62" t="s">
        <v>494</v>
      </c>
      <c r="D3049" s="62"/>
      <c r="E3049" s="62" t="s">
        <v>476</v>
      </c>
      <c r="F3049" s="62">
        <v>23</v>
      </c>
      <c r="G3049" s="62">
        <v>2310</v>
      </c>
      <c r="H3049" s="62" t="s">
        <v>3602</v>
      </c>
      <c r="I3049" s="62"/>
      <c r="J3049" s="62">
        <v>2301</v>
      </c>
      <c r="K3049" s="76">
        <v>1</v>
      </c>
      <c r="L3049" s="62">
        <v>52</v>
      </c>
      <c r="M3049" s="62"/>
      <c r="N3049" s="62">
        <v>2301</v>
      </c>
      <c r="O3049" s="62" t="s">
        <v>3381</v>
      </c>
      <c r="P3049" s="62"/>
      <c r="Q3049" s="12"/>
      <c r="R3049" s="12"/>
    </row>
    <row r="3050" spans="1:18" s="3" customFormat="1">
      <c r="A3050" s="62"/>
      <c r="B3050" s="62" t="s">
        <v>3596</v>
      </c>
      <c r="C3050" s="62" t="s">
        <v>494</v>
      </c>
      <c r="D3050" s="62"/>
      <c r="E3050" s="62" t="s">
        <v>476</v>
      </c>
      <c r="F3050" s="62"/>
      <c r="G3050" s="62"/>
      <c r="H3050" s="62"/>
      <c r="I3050" s="62"/>
      <c r="J3050" s="62"/>
      <c r="K3050" s="76">
        <v>2</v>
      </c>
      <c r="L3050" s="62">
        <v>3</v>
      </c>
      <c r="M3050" s="62"/>
      <c r="N3050" s="62" t="s">
        <v>3562</v>
      </c>
      <c r="O3050" s="62" t="s">
        <v>3563</v>
      </c>
      <c r="P3050" s="62" t="s">
        <v>3564</v>
      </c>
      <c r="Q3050" s="12"/>
      <c r="R3050" s="12"/>
    </row>
    <row r="3051" spans="1:18" s="3" customFormat="1">
      <c r="A3051" s="62"/>
      <c r="B3051" s="62" t="s">
        <v>3597</v>
      </c>
      <c r="C3051" s="62" t="s">
        <v>494</v>
      </c>
      <c r="D3051" s="62"/>
      <c r="E3051" s="62" t="s">
        <v>476</v>
      </c>
      <c r="F3051" s="62"/>
      <c r="G3051" s="62"/>
      <c r="H3051" s="62"/>
      <c r="I3051" s="62"/>
      <c r="J3051" s="62"/>
      <c r="K3051" s="76">
        <v>3</v>
      </c>
      <c r="L3051" s="62">
        <v>6</v>
      </c>
      <c r="M3051" s="62"/>
      <c r="N3051" s="62"/>
      <c r="O3051" s="62"/>
      <c r="P3051" s="62"/>
      <c r="Q3051" s="12"/>
      <c r="R3051" s="12"/>
    </row>
    <row r="3052" spans="1:18" s="3" customFormat="1">
      <c r="A3052" s="62"/>
      <c r="B3052" s="62" t="s">
        <v>3599</v>
      </c>
      <c r="C3052" s="62" t="s">
        <v>494</v>
      </c>
      <c r="D3052" s="62"/>
      <c r="E3052" s="62"/>
      <c r="F3052" s="62"/>
      <c r="G3052" s="62"/>
      <c r="H3052" s="62"/>
      <c r="I3052" s="62"/>
      <c r="J3052" s="62"/>
      <c r="K3052" s="76">
        <v>4</v>
      </c>
      <c r="L3052" s="62">
        <v>6</v>
      </c>
      <c r="M3052" s="62"/>
      <c r="N3052" s="62"/>
      <c r="O3052" s="62"/>
      <c r="P3052" s="62"/>
      <c r="Q3052" s="12"/>
      <c r="R3052" s="12"/>
    </row>
    <row r="3053" spans="1:18" s="3" customFormat="1">
      <c r="A3053" s="62"/>
      <c r="B3053" s="62" t="s">
        <v>3598</v>
      </c>
      <c r="C3053" s="62" t="s">
        <v>494</v>
      </c>
      <c r="D3053" s="62"/>
      <c r="E3053" s="62"/>
      <c r="F3053" s="62"/>
      <c r="G3053" s="62"/>
      <c r="H3053" s="62"/>
      <c r="I3053" s="62"/>
      <c r="J3053" s="62"/>
      <c r="K3053" s="76">
        <v>5</v>
      </c>
      <c r="L3053" s="62">
        <v>3</v>
      </c>
      <c r="M3053" s="62"/>
      <c r="N3053" s="62" t="s">
        <v>3565</v>
      </c>
      <c r="O3053" s="62" t="s">
        <v>3568</v>
      </c>
      <c r="P3053" s="62" t="s">
        <v>3569</v>
      </c>
      <c r="Q3053" s="12"/>
      <c r="R3053" s="47">
        <v>2308</v>
      </c>
    </row>
    <row r="3054" spans="1:18" s="3" customFormat="1">
      <c r="A3054" s="62"/>
      <c r="B3054" s="62" t="s">
        <v>3600</v>
      </c>
      <c r="C3054" s="62" t="s">
        <v>494</v>
      </c>
      <c r="D3054" s="62"/>
      <c r="E3054" s="62"/>
      <c r="F3054" s="62"/>
      <c r="G3054" s="62"/>
      <c r="H3054" s="62"/>
      <c r="I3054" s="62"/>
      <c r="J3054" s="62"/>
      <c r="K3054" s="76">
        <v>6</v>
      </c>
      <c r="L3054" s="62"/>
      <c r="M3054" s="62">
        <v>1</v>
      </c>
      <c r="N3054" s="62"/>
      <c r="O3054" s="62"/>
      <c r="P3054" s="62"/>
      <c r="Q3054" s="12"/>
      <c r="R3054" s="12"/>
    </row>
    <row r="3055" spans="1:18" s="3" customFormat="1">
      <c r="A3055" s="62"/>
      <c r="B3055" s="62" t="s">
        <v>3601</v>
      </c>
      <c r="C3055" s="62" t="s">
        <v>494</v>
      </c>
      <c r="D3055" s="62"/>
      <c r="E3055" s="62"/>
      <c r="F3055" s="62"/>
      <c r="G3055" s="62"/>
      <c r="H3055" s="62"/>
      <c r="I3055" s="62"/>
      <c r="J3055" s="62"/>
      <c r="K3055" s="76">
        <v>7</v>
      </c>
      <c r="L3055" s="62"/>
      <c r="M3055" s="62">
        <v>1</v>
      </c>
      <c r="N3055" s="62"/>
      <c r="O3055" s="62"/>
      <c r="P3055" s="62"/>
      <c r="Q3055" s="12"/>
      <c r="R3055" s="12"/>
    </row>
    <row r="3056" spans="1:18" s="3" customFormat="1">
      <c r="A3056" s="62"/>
      <c r="B3056" s="70" t="s">
        <v>3609</v>
      </c>
      <c r="C3056" s="70" t="s">
        <v>494</v>
      </c>
      <c r="D3056" s="62"/>
      <c r="E3056" s="62"/>
      <c r="F3056" s="62"/>
      <c r="G3056" s="62"/>
      <c r="H3056" s="62"/>
      <c r="I3056" s="62"/>
      <c r="J3056" s="62"/>
      <c r="K3056" s="76">
        <v>8</v>
      </c>
      <c r="L3056" s="62">
        <v>3</v>
      </c>
      <c r="M3056" s="62"/>
      <c r="N3056" s="62"/>
      <c r="O3056" s="62"/>
      <c r="P3056" s="62"/>
      <c r="Q3056" s="12"/>
      <c r="R3056" s="12"/>
    </row>
    <row r="3057" spans="1:18" s="3" customFormat="1">
      <c r="A3057" s="62"/>
      <c r="B3057" s="62"/>
      <c r="C3057" s="62"/>
      <c r="D3057" s="62"/>
      <c r="E3057" s="62"/>
      <c r="F3057" s="62"/>
      <c r="G3057" s="62"/>
      <c r="H3057" s="62"/>
      <c r="I3057" s="62"/>
      <c r="J3057" s="62"/>
      <c r="K3057" s="76"/>
      <c r="L3057" s="62"/>
      <c r="M3057" s="62"/>
      <c r="N3057" s="62"/>
      <c r="O3057" s="62"/>
      <c r="P3057" s="62"/>
      <c r="Q3057" s="12"/>
      <c r="R3057" s="12"/>
    </row>
    <row r="3058" spans="1:18" s="3" customFormat="1">
      <c r="A3058" s="62"/>
      <c r="B3058" s="62"/>
      <c r="C3058" s="62"/>
      <c r="D3058" s="62"/>
      <c r="E3058" s="62"/>
      <c r="F3058" s="62"/>
      <c r="G3058" s="62"/>
      <c r="H3058" s="62"/>
      <c r="I3058" s="62"/>
      <c r="J3058" s="62"/>
      <c r="K3058" s="76"/>
      <c r="L3058" s="75"/>
      <c r="M3058" s="62"/>
      <c r="N3058" s="62"/>
      <c r="O3058" s="62"/>
      <c r="P3058" s="62"/>
      <c r="Q3058" s="12"/>
      <c r="R3058" s="12"/>
    </row>
    <row r="3059" spans="1:18">
      <c r="A3059" s="10"/>
      <c r="B3059" s="10"/>
      <c r="C3059" s="10"/>
      <c r="D3059" s="10"/>
      <c r="E3059" s="10"/>
      <c r="F3059" s="10"/>
      <c r="G3059" s="10"/>
      <c r="H3059" s="10"/>
      <c r="I3059" s="10"/>
      <c r="J3059" s="10"/>
      <c r="K3059" s="16"/>
      <c r="L3059" s="31"/>
      <c r="M3059" s="10"/>
      <c r="N3059" s="10"/>
      <c r="O3059" s="10"/>
      <c r="P3059" s="10"/>
      <c r="Q3059" s="10"/>
      <c r="R3059" s="10"/>
    </row>
    <row r="3060" spans="1:18">
      <c r="B3060" s="62"/>
      <c r="C3060" s="62"/>
      <c r="F3060" s="14"/>
      <c r="G3060" s="14"/>
      <c r="H3060" s="14"/>
      <c r="I3060" s="11"/>
      <c r="J3060" s="14"/>
      <c r="L3060" s="15"/>
      <c r="M3060" s="14"/>
      <c r="O3060" s="23"/>
      <c r="P3060" s="23"/>
      <c r="Q3060" s="14"/>
      <c r="R3060" s="14"/>
    </row>
    <row r="3061" spans="1:18">
      <c r="B3061" s="62"/>
      <c r="C3061" s="62"/>
      <c r="F3061" s="14"/>
      <c r="G3061" s="14"/>
      <c r="H3061" s="14"/>
      <c r="I3061" s="11"/>
      <c r="J3061" s="14"/>
      <c r="L3061" s="15"/>
      <c r="M3061" s="14"/>
      <c r="O3061" s="23"/>
      <c r="P3061" s="23"/>
      <c r="Q3061" s="14"/>
      <c r="R3061" s="14"/>
    </row>
    <row r="3062" spans="1:18" customFormat="1">
      <c r="A3062" s="62" t="s">
        <v>3719</v>
      </c>
      <c r="B3062" s="62" t="s">
        <v>3720</v>
      </c>
      <c r="C3062" s="62" t="s">
        <v>494</v>
      </c>
      <c r="E3062" s="62" t="s">
        <v>476</v>
      </c>
      <c r="F3062">
        <v>22</v>
      </c>
      <c r="G3062">
        <v>2215</v>
      </c>
      <c r="H3062" s="62" t="s">
        <v>3726</v>
      </c>
      <c r="I3062" s="62" t="s">
        <v>3727</v>
      </c>
      <c r="J3062">
        <v>2</v>
      </c>
      <c r="K3062">
        <v>1</v>
      </c>
      <c r="L3062">
        <v>3</v>
      </c>
      <c r="N3062" s="62" t="s">
        <v>3696</v>
      </c>
      <c r="O3062" s="62" t="s">
        <v>3698</v>
      </c>
      <c r="P3062" s="62" t="s">
        <v>3699</v>
      </c>
      <c r="R3062">
        <v>2214</v>
      </c>
    </row>
    <row r="3063" spans="1:18" customFormat="1">
      <c r="B3063" s="62" t="s">
        <v>3721</v>
      </c>
      <c r="C3063" s="62" t="s">
        <v>494</v>
      </c>
      <c r="E3063" s="62" t="s">
        <v>476</v>
      </c>
      <c r="K3063">
        <v>2</v>
      </c>
      <c r="L3063">
        <v>6</v>
      </c>
    </row>
    <row r="3064" spans="1:18" customFormat="1">
      <c r="B3064" s="62" t="s">
        <v>3722</v>
      </c>
      <c r="C3064" s="62" t="s">
        <v>494</v>
      </c>
      <c r="K3064">
        <v>3</v>
      </c>
      <c r="L3064">
        <v>6</v>
      </c>
    </row>
    <row r="3065" spans="1:18" customFormat="1">
      <c r="B3065" s="62" t="s">
        <v>3723</v>
      </c>
      <c r="C3065" s="62" t="s">
        <v>493</v>
      </c>
      <c r="D3065">
        <v>1</v>
      </c>
      <c r="K3065">
        <v>4</v>
      </c>
      <c r="L3065">
        <v>3</v>
      </c>
    </row>
    <row r="3066" spans="1:18" customFormat="1">
      <c r="B3066" s="62" t="s">
        <v>3724</v>
      </c>
      <c r="C3066" s="62" t="s">
        <v>493</v>
      </c>
      <c r="D3066">
        <v>250</v>
      </c>
      <c r="K3066">
        <v>5</v>
      </c>
    </row>
    <row r="3067" spans="1:18" customFormat="1">
      <c r="B3067" s="62" t="s">
        <v>3725</v>
      </c>
      <c r="C3067" s="62" t="s">
        <v>494</v>
      </c>
      <c r="K3067">
        <v>6</v>
      </c>
      <c r="L3067">
        <v>8</v>
      </c>
    </row>
    <row r="3068" spans="1:18" customFormat="1"/>
    <row r="3069" spans="1:18">
      <c r="A3069" s="70" t="s">
        <v>1038</v>
      </c>
      <c r="B3069" s="67" t="s">
        <v>3716</v>
      </c>
      <c r="C3069" s="70" t="s">
        <v>494</v>
      </c>
      <c r="E3069" s="1" t="s">
        <v>476</v>
      </c>
      <c r="F3069" s="14">
        <v>17</v>
      </c>
      <c r="G3069" s="14">
        <v>140</v>
      </c>
      <c r="H3069" s="14" t="s">
        <v>1042</v>
      </c>
      <c r="I3069" s="11"/>
      <c r="J3069" s="14">
        <v>1</v>
      </c>
      <c r="K3069" s="16">
        <v>1</v>
      </c>
      <c r="L3069" s="55">
        <v>52</v>
      </c>
      <c r="M3069"/>
      <c r="N3069" s="62">
        <v>2215</v>
      </c>
      <c r="O3069" s="62" t="s">
        <v>3722</v>
      </c>
      <c r="P3069" s="14"/>
      <c r="Q3069" s="14"/>
      <c r="R3069" s="14"/>
    </row>
    <row r="3070" spans="1:18">
      <c r="A3070" s="70"/>
      <c r="B3070" s="67" t="s">
        <v>1039</v>
      </c>
      <c r="C3070" s="1" t="s">
        <v>494</v>
      </c>
      <c r="F3070" s="14"/>
      <c r="G3070" s="14"/>
      <c r="H3070" s="14"/>
      <c r="I3070" s="11"/>
      <c r="J3070" s="14"/>
      <c r="K3070" s="16">
        <v>2</v>
      </c>
      <c r="L3070" s="15"/>
      <c r="M3070" s="14"/>
      <c r="P3070" s="14"/>
      <c r="Q3070" s="14"/>
      <c r="R3070" s="14"/>
    </row>
    <row r="3071" spans="1:18">
      <c r="A3071" s="39"/>
      <c r="B3071" s="67" t="s">
        <v>1040</v>
      </c>
      <c r="C3071" s="1" t="s">
        <v>494</v>
      </c>
      <c r="F3071" s="14"/>
      <c r="G3071" s="14"/>
      <c r="H3071" s="14"/>
      <c r="I3071" s="11"/>
      <c r="J3071" s="14"/>
      <c r="K3071" s="16">
        <v>3</v>
      </c>
      <c r="L3071" s="15">
        <v>6</v>
      </c>
      <c r="M3071" s="14"/>
      <c r="N3071" s="23"/>
      <c r="O3071" s="14"/>
      <c r="P3071" s="14"/>
      <c r="Q3071" s="14"/>
      <c r="R3071" s="14"/>
    </row>
    <row r="3072" spans="1:18">
      <c r="A3072" s="39"/>
      <c r="B3072" s="67" t="s">
        <v>1041</v>
      </c>
      <c r="C3072" s="1" t="s">
        <v>493</v>
      </c>
      <c r="D3072" s="1">
        <v>255</v>
      </c>
      <c r="F3072" s="14"/>
      <c r="G3072" s="14"/>
      <c r="H3072" s="14"/>
      <c r="I3072" s="11"/>
      <c r="J3072" s="14"/>
      <c r="K3072" s="16">
        <v>4</v>
      </c>
      <c r="L3072" s="15"/>
      <c r="M3072" s="14"/>
      <c r="N3072" s="23"/>
      <c r="O3072" s="14"/>
      <c r="P3072" s="14"/>
      <c r="Q3072" s="14"/>
      <c r="R3072" s="14"/>
    </row>
    <row r="3073" spans="1:18" customFormat="1"/>
    <row r="3074" spans="1:18" customFormat="1"/>
    <row r="3075" spans="1:18" customFormat="1"/>
    <row r="3076" spans="1:18" s="3" customFormat="1">
      <c r="A3076" s="62"/>
      <c r="B3076" s="62"/>
      <c r="C3076" s="62"/>
      <c r="D3076" s="62"/>
      <c r="E3076" s="62"/>
      <c r="F3076" s="62"/>
      <c r="G3076" s="62"/>
      <c r="H3076" s="62"/>
      <c r="I3076" s="62"/>
      <c r="J3076" s="62"/>
      <c r="K3076" s="76"/>
      <c r="L3076" s="62"/>
      <c r="M3076" s="62"/>
      <c r="N3076" s="62"/>
      <c r="O3076" s="62"/>
      <c r="P3076" s="62"/>
      <c r="Q3076" s="12"/>
      <c r="R3076" s="12"/>
    </row>
    <row r="3080" spans="1:18" s="3" customFormat="1">
      <c r="A3080" s="62"/>
      <c r="B3080" s="62"/>
      <c r="C3080" s="62"/>
      <c r="D3080" s="62"/>
      <c r="E3080" s="62"/>
      <c r="F3080" s="62"/>
      <c r="G3080" s="62"/>
      <c r="H3080" s="62"/>
      <c r="I3080" s="62"/>
      <c r="J3080" s="62"/>
      <c r="K3080" s="76"/>
      <c r="L3080" s="62"/>
      <c r="M3080" s="62"/>
      <c r="N3080" s="62"/>
      <c r="O3080" s="62"/>
      <c r="P3080" s="62"/>
      <c r="Q3080" s="12"/>
      <c r="R3080" s="12"/>
    </row>
    <row r="3081" spans="1:18" s="3" customFormat="1">
      <c r="A3081" s="62"/>
      <c r="B3081" s="62"/>
      <c r="C3081" s="62"/>
      <c r="D3081" s="62"/>
      <c r="E3081" s="62"/>
      <c r="F3081" s="62"/>
      <c r="G3081" s="62"/>
      <c r="H3081" s="62"/>
      <c r="I3081" s="62"/>
      <c r="J3081" s="62"/>
      <c r="K3081" s="76"/>
      <c r="L3081" s="62"/>
      <c r="M3081" s="62"/>
      <c r="N3081" s="62"/>
      <c r="O3081" s="62"/>
      <c r="P3081" s="62"/>
      <c r="Q3081" s="12"/>
      <c r="R3081" s="12"/>
    </row>
    <row r="3082" spans="1:18" s="3" customFormat="1">
      <c r="A3082" s="62" t="s">
        <v>1977</v>
      </c>
      <c r="B3082" s="62" t="s">
        <v>1992</v>
      </c>
      <c r="C3082" s="62" t="s">
        <v>494</v>
      </c>
      <c r="D3082" s="62"/>
      <c r="E3082" s="62" t="s">
        <v>476</v>
      </c>
      <c r="F3082" s="62">
        <v>21</v>
      </c>
      <c r="G3082" s="62">
        <v>2111</v>
      </c>
      <c r="H3082" s="62" t="s">
        <v>1998</v>
      </c>
      <c r="I3082" s="62"/>
      <c r="J3082" s="62">
        <v>2101</v>
      </c>
      <c r="K3082" s="76">
        <v>1</v>
      </c>
      <c r="L3082" s="62">
        <v>52</v>
      </c>
      <c r="M3082" s="62"/>
      <c r="N3082" s="62">
        <v>2108</v>
      </c>
      <c r="O3082" s="62" t="s">
        <v>1964</v>
      </c>
      <c r="P3082" s="62"/>
      <c r="Q3082" s="12"/>
      <c r="R3082" s="12"/>
    </row>
    <row r="3083" spans="1:18" s="3" customFormat="1">
      <c r="A3083" s="62"/>
      <c r="B3083" s="62" t="s">
        <v>1978</v>
      </c>
      <c r="C3083" s="62" t="s">
        <v>494</v>
      </c>
      <c r="D3083" s="62"/>
      <c r="E3083" s="62" t="s">
        <v>476</v>
      </c>
      <c r="F3083" s="62"/>
      <c r="G3083" s="62"/>
      <c r="H3083" s="62"/>
      <c r="I3083" s="62"/>
      <c r="J3083" s="62"/>
      <c r="K3083" s="76">
        <v>2</v>
      </c>
      <c r="L3083" s="62">
        <v>6</v>
      </c>
      <c r="M3083" s="62"/>
      <c r="N3083" s="62"/>
      <c r="O3083" s="62"/>
      <c r="P3083" s="62"/>
      <c r="Q3083" s="12"/>
      <c r="R3083" s="12"/>
    </row>
    <row r="3084" spans="1:18" s="3" customFormat="1">
      <c r="A3084" s="62"/>
      <c r="B3084" s="62" t="s">
        <v>1979</v>
      </c>
      <c r="C3084" s="62" t="s">
        <v>494</v>
      </c>
      <c r="D3084" s="62"/>
      <c r="E3084" s="62"/>
      <c r="F3084" s="62"/>
      <c r="G3084" s="62"/>
      <c r="H3084" s="62"/>
      <c r="I3084" s="62"/>
      <c r="J3084" s="62"/>
      <c r="K3084" s="76">
        <v>3</v>
      </c>
      <c r="L3084" s="62">
        <v>6</v>
      </c>
      <c r="M3084" s="62"/>
      <c r="N3084" s="62"/>
      <c r="O3084" s="62"/>
      <c r="P3084" s="62"/>
      <c r="Q3084" s="12"/>
      <c r="R3084" s="12"/>
    </row>
    <row r="3085" spans="1:18" s="3" customFormat="1">
      <c r="A3085" s="62"/>
      <c r="B3085" s="62" t="s">
        <v>1993</v>
      </c>
      <c r="C3085" s="62" t="s">
        <v>494</v>
      </c>
      <c r="D3085" s="62"/>
      <c r="E3085" s="62"/>
      <c r="F3085" s="62"/>
      <c r="G3085" s="62"/>
      <c r="H3085" s="62"/>
      <c r="I3085" s="62"/>
      <c r="J3085" s="62"/>
      <c r="K3085" s="76">
        <v>4</v>
      </c>
      <c r="L3085" s="62">
        <v>8</v>
      </c>
      <c r="M3085" s="62"/>
      <c r="N3085" s="62"/>
      <c r="O3085" s="62"/>
      <c r="P3085" s="62"/>
      <c r="Q3085" s="12"/>
      <c r="R3085" s="12"/>
    </row>
    <row r="3086" spans="1:18" s="3" customFormat="1">
      <c r="A3086" s="62"/>
      <c r="B3086" s="62" t="s">
        <v>2000</v>
      </c>
      <c r="C3086" s="62" t="s">
        <v>493</v>
      </c>
      <c r="D3086" s="62">
        <v>10</v>
      </c>
      <c r="E3086" s="62"/>
      <c r="F3086" s="62"/>
      <c r="G3086" s="62"/>
      <c r="H3086" s="62"/>
      <c r="I3086" s="62"/>
      <c r="J3086" s="62"/>
      <c r="K3086" s="76">
        <v>5</v>
      </c>
      <c r="L3086" s="62">
        <v>7</v>
      </c>
      <c r="M3086" s="62">
        <v>1</v>
      </c>
      <c r="N3086" s="62"/>
      <c r="O3086" s="62"/>
      <c r="P3086" s="62"/>
      <c r="Q3086" s="12"/>
      <c r="R3086" s="12"/>
    </row>
    <row r="3087" spans="1:18" s="3" customFormat="1">
      <c r="A3087" s="62"/>
      <c r="B3087" s="62" t="s">
        <v>2001</v>
      </c>
      <c r="C3087" s="62" t="s">
        <v>494</v>
      </c>
      <c r="D3087" s="62"/>
      <c r="E3087" s="62"/>
      <c r="F3087" s="62"/>
      <c r="G3087" s="62"/>
      <c r="H3087" s="62"/>
      <c r="I3087" s="62"/>
      <c r="J3087" s="62"/>
      <c r="K3087" s="76">
        <v>6</v>
      </c>
      <c r="L3087" s="62"/>
      <c r="M3087" s="62">
        <v>71</v>
      </c>
      <c r="N3087" s="62"/>
      <c r="O3087" s="62"/>
      <c r="P3087" s="62"/>
      <c r="Q3087" s="12"/>
      <c r="R3087" s="12"/>
    </row>
    <row r="3088" spans="1:18" s="3" customFormat="1">
      <c r="A3088" s="62"/>
      <c r="B3088" s="62" t="s">
        <v>2002</v>
      </c>
      <c r="C3088" s="62" t="s">
        <v>494</v>
      </c>
      <c r="D3088" s="62"/>
      <c r="E3088" s="62"/>
      <c r="F3088" s="62"/>
      <c r="G3088" s="62"/>
      <c r="H3088" s="62"/>
      <c r="I3088" s="62"/>
      <c r="J3088" s="62"/>
      <c r="K3088" s="76">
        <v>7</v>
      </c>
      <c r="L3088" s="62"/>
      <c r="M3088" s="62">
        <v>72</v>
      </c>
      <c r="N3088" s="62"/>
      <c r="O3088" s="62"/>
      <c r="P3088" s="62"/>
      <c r="Q3088" s="12"/>
      <c r="R3088" s="12"/>
    </row>
    <row r="3089" spans="1:18" s="3" customFormat="1">
      <c r="A3089" s="62"/>
      <c r="B3089" s="62" t="s">
        <v>2053</v>
      </c>
      <c r="C3089" s="62" t="s">
        <v>493</v>
      </c>
      <c r="D3089" s="62">
        <v>1</v>
      </c>
      <c r="E3089" s="62"/>
      <c r="F3089" s="62"/>
      <c r="G3089" s="62"/>
      <c r="H3089" s="62"/>
      <c r="I3089" s="62"/>
      <c r="J3089" s="62"/>
      <c r="K3089" s="76">
        <v>8</v>
      </c>
      <c r="L3089" s="62">
        <v>3</v>
      </c>
      <c r="M3089" s="62"/>
      <c r="N3089" s="62"/>
      <c r="O3089" s="62"/>
      <c r="P3089" s="62"/>
      <c r="Q3089" s="12"/>
      <c r="R3089" s="12"/>
    </row>
    <row r="3090" spans="1:18" s="3" customFormat="1">
      <c r="A3090" s="62"/>
      <c r="B3090" s="62" t="s">
        <v>2052</v>
      </c>
      <c r="C3090" s="62" t="s">
        <v>493</v>
      </c>
      <c r="D3090" s="62">
        <v>1</v>
      </c>
      <c r="E3090" s="62"/>
      <c r="F3090" s="62"/>
      <c r="G3090" s="62"/>
      <c r="H3090" s="62"/>
      <c r="I3090" s="62"/>
      <c r="J3090" s="62"/>
      <c r="K3090" s="76">
        <v>9</v>
      </c>
      <c r="L3090" s="62">
        <v>3</v>
      </c>
      <c r="M3090" s="62"/>
      <c r="N3090" s="62"/>
      <c r="O3090" s="62"/>
      <c r="P3090" s="62"/>
      <c r="Q3090" s="12"/>
      <c r="R3090" s="12"/>
    </row>
    <row r="3091" spans="1:18" s="3" customFormat="1">
      <c r="A3091" s="62"/>
      <c r="B3091" s="62" t="s">
        <v>2054</v>
      </c>
      <c r="C3091" s="62" t="s">
        <v>493</v>
      </c>
      <c r="D3091" s="62">
        <v>1</v>
      </c>
      <c r="E3091" s="62"/>
      <c r="F3091" s="62"/>
      <c r="G3091" s="62"/>
      <c r="H3091" s="62"/>
      <c r="I3091" s="62"/>
      <c r="J3091" s="62"/>
      <c r="K3091" s="76">
        <v>10</v>
      </c>
      <c r="L3091" s="62">
        <v>3</v>
      </c>
      <c r="M3091" s="62"/>
      <c r="N3091" s="62"/>
      <c r="O3091" s="62"/>
      <c r="P3091" s="62"/>
      <c r="Q3091" s="12"/>
      <c r="R3091" s="12"/>
    </row>
    <row r="3092" spans="1:18" s="3" customFormat="1">
      <c r="A3092" s="62"/>
      <c r="B3092" s="62" t="s">
        <v>2055</v>
      </c>
      <c r="C3092" s="62" t="s">
        <v>493</v>
      </c>
      <c r="D3092" s="62">
        <v>1</v>
      </c>
      <c r="E3092" s="62"/>
      <c r="F3092" s="62"/>
      <c r="G3092" s="62"/>
      <c r="H3092" s="62"/>
      <c r="I3092" s="62"/>
      <c r="J3092" s="62"/>
      <c r="K3092" s="76">
        <v>11</v>
      </c>
      <c r="L3092" s="62">
        <v>3</v>
      </c>
      <c r="M3092" s="62"/>
      <c r="N3092" s="62"/>
      <c r="O3092" s="62"/>
      <c r="P3092" s="62"/>
      <c r="Q3092" s="12"/>
      <c r="R3092" s="12"/>
    </row>
    <row r="3093" spans="1:18" s="3" customFormat="1">
      <c r="A3093" s="62"/>
      <c r="B3093" s="62" t="s">
        <v>2056</v>
      </c>
      <c r="C3093" s="62" t="s">
        <v>493</v>
      </c>
      <c r="D3093" s="62">
        <v>1</v>
      </c>
      <c r="E3093" s="62"/>
      <c r="F3093" s="62"/>
      <c r="G3093" s="62"/>
      <c r="H3093" s="62"/>
      <c r="I3093" s="62"/>
      <c r="J3093" s="62"/>
      <c r="K3093" s="76">
        <v>12</v>
      </c>
      <c r="L3093" s="62">
        <v>3</v>
      </c>
      <c r="M3093" s="62"/>
      <c r="N3093" s="62"/>
      <c r="O3093" s="62"/>
      <c r="P3093" s="62"/>
      <c r="Q3093" s="12"/>
      <c r="R3093" s="12"/>
    </row>
    <row r="3094" spans="1:18" s="3" customFormat="1">
      <c r="A3094" s="62"/>
      <c r="B3094" s="62" t="s">
        <v>2058</v>
      </c>
      <c r="C3094" s="62" t="s">
        <v>702</v>
      </c>
      <c r="D3094" s="62"/>
      <c r="E3094" s="62"/>
      <c r="F3094" s="62"/>
      <c r="G3094" s="62"/>
      <c r="H3094" s="62"/>
      <c r="I3094" s="62"/>
      <c r="J3094" s="62"/>
      <c r="K3094" s="76">
        <v>13</v>
      </c>
      <c r="L3094" s="62"/>
      <c r="M3094" s="62"/>
      <c r="N3094" s="62"/>
      <c r="O3094" s="62"/>
      <c r="P3094" s="62"/>
      <c r="Q3094" s="12"/>
      <c r="R3094" s="12"/>
    </row>
    <row r="3095" spans="1:18" s="3" customFormat="1">
      <c r="A3095" s="62"/>
      <c r="B3095" s="62" t="s">
        <v>2059</v>
      </c>
      <c r="C3095" s="62" t="s">
        <v>702</v>
      </c>
      <c r="D3095" s="62"/>
      <c r="E3095" s="62"/>
      <c r="F3095" s="62"/>
      <c r="G3095" s="62"/>
      <c r="H3095" s="62"/>
      <c r="I3095" s="62"/>
      <c r="J3095" s="62"/>
      <c r="K3095" s="76">
        <v>14</v>
      </c>
      <c r="L3095" s="62"/>
      <c r="M3095" s="62"/>
      <c r="N3095" s="62"/>
      <c r="O3095" s="62"/>
      <c r="P3095" s="62"/>
      <c r="Q3095" s="12"/>
      <c r="R3095" s="12"/>
    </row>
    <row r="3096" spans="1:18" s="3" customFormat="1">
      <c r="A3096" s="62"/>
      <c r="B3096" s="62" t="s">
        <v>2060</v>
      </c>
      <c r="C3096" s="62" t="s">
        <v>702</v>
      </c>
      <c r="D3096" s="62"/>
      <c r="E3096" s="62"/>
      <c r="F3096" s="62"/>
      <c r="G3096" s="62"/>
      <c r="H3096" s="62"/>
      <c r="I3096" s="62"/>
      <c r="J3096" s="62"/>
      <c r="K3096" s="76">
        <v>15</v>
      </c>
      <c r="L3096" s="62"/>
      <c r="M3096" s="62"/>
      <c r="N3096" s="62"/>
      <c r="O3096" s="62"/>
      <c r="P3096" s="62"/>
      <c r="Q3096" s="12"/>
      <c r="R3096" s="12"/>
    </row>
    <row r="3097" spans="1:18" s="3" customFormat="1">
      <c r="A3097" s="62"/>
      <c r="B3097" s="62" t="s">
        <v>2061</v>
      </c>
      <c r="C3097" s="62" t="s">
        <v>702</v>
      </c>
      <c r="D3097" s="62"/>
      <c r="E3097" s="62"/>
      <c r="F3097" s="62"/>
      <c r="G3097" s="62"/>
      <c r="H3097" s="62"/>
      <c r="I3097" s="62"/>
      <c r="J3097" s="62"/>
      <c r="K3097" s="76">
        <v>16</v>
      </c>
      <c r="L3097" s="62"/>
      <c r="M3097" s="62"/>
      <c r="N3097" s="62"/>
      <c r="O3097" s="62"/>
      <c r="P3097" s="62"/>
      <c r="Q3097" s="12"/>
      <c r="R3097" s="12"/>
    </row>
    <row r="3098" spans="1:18" s="3" customFormat="1">
      <c r="A3098" s="62"/>
      <c r="B3098" s="62" t="s">
        <v>2062</v>
      </c>
      <c r="C3098" s="62" t="s">
        <v>702</v>
      </c>
      <c r="D3098" s="62"/>
      <c r="E3098" s="62"/>
      <c r="F3098" s="62"/>
      <c r="G3098" s="62"/>
      <c r="H3098" s="62"/>
      <c r="I3098" s="62"/>
      <c r="J3098" s="62"/>
      <c r="K3098" s="76">
        <v>17</v>
      </c>
      <c r="L3098" s="62"/>
      <c r="M3098" s="62"/>
      <c r="N3098" s="62"/>
      <c r="O3098" s="62"/>
      <c r="P3098" s="62"/>
      <c r="Q3098" s="12"/>
      <c r="R3098" s="12"/>
    </row>
    <row r="3099" spans="1:18" s="3" customFormat="1">
      <c r="A3099" s="62"/>
      <c r="B3099" s="62" t="s">
        <v>2057</v>
      </c>
      <c r="C3099" s="62" t="s">
        <v>702</v>
      </c>
      <c r="D3099" s="62"/>
      <c r="E3099" s="62"/>
      <c r="F3099" s="62"/>
      <c r="G3099" s="62"/>
      <c r="H3099" s="62"/>
      <c r="I3099" s="62"/>
      <c r="J3099" s="62"/>
      <c r="K3099" s="76">
        <v>18</v>
      </c>
      <c r="L3099" s="62"/>
      <c r="M3099" s="62"/>
      <c r="N3099" s="62"/>
      <c r="O3099" s="62"/>
      <c r="P3099" s="62"/>
      <c r="Q3099" s="12"/>
      <c r="R3099" s="12"/>
    </row>
    <row r="3100" spans="1:18" s="3" customFormat="1">
      <c r="A3100" s="62"/>
      <c r="B3100" s="62" t="s">
        <v>2277</v>
      </c>
      <c r="C3100" s="62" t="s">
        <v>520</v>
      </c>
      <c r="D3100" s="62"/>
      <c r="E3100" s="62"/>
      <c r="F3100" s="62"/>
      <c r="G3100" s="62"/>
      <c r="H3100" s="62"/>
      <c r="I3100" s="62"/>
      <c r="J3100" s="62"/>
      <c r="K3100" s="76">
        <v>19</v>
      </c>
      <c r="L3100" s="62"/>
      <c r="M3100" s="62"/>
      <c r="N3100" s="62"/>
      <c r="O3100" s="62"/>
      <c r="P3100" s="62"/>
      <c r="Q3100" s="12"/>
      <c r="R3100" s="12"/>
    </row>
    <row r="3101" spans="1:18" s="3" customFormat="1">
      <c r="A3101" s="62"/>
      <c r="B3101" s="62" t="s">
        <v>2308</v>
      </c>
      <c r="C3101" s="62" t="s">
        <v>494</v>
      </c>
      <c r="D3101" s="62"/>
      <c r="E3101" s="62"/>
      <c r="F3101" s="62"/>
      <c r="G3101" s="62"/>
      <c r="H3101" s="62"/>
      <c r="I3101" s="62"/>
      <c r="J3101" s="62"/>
      <c r="K3101" s="76">
        <v>20</v>
      </c>
      <c r="L3101" s="62"/>
      <c r="M3101" s="62"/>
      <c r="N3101" s="62"/>
      <c r="O3101" s="62"/>
      <c r="P3101" s="62"/>
      <c r="Q3101" s="12"/>
      <c r="R3101" s="12"/>
    </row>
    <row r="3102" spans="1:18" s="3" customFormat="1">
      <c r="A3102" s="62"/>
      <c r="B3102" s="62" t="s">
        <v>3209</v>
      </c>
      <c r="C3102" s="62" t="s">
        <v>494</v>
      </c>
      <c r="D3102" s="62"/>
      <c r="E3102" s="62"/>
      <c r="F3102" s="62"/>
      <c r="G3102" s="62"/>
      <c r="H3102" s="62"/>
      <c r="I3102" s="62"/>
      <c r="J3102" s="62"/>
      <c r="K3102" s="76">
        <v>21</v>
      </c>
      <c r="L3102" s="62"/>
      <c r="M3102" s="62">
        <v>1</v>
      </c>
      <c r="N3102" s="62"/>
      <c r="O3102" s="62"/>
      <c r="P3102" s="62"/>
      <c r="Q3102" s="12"/>
      <c r="R3102" s="12"/>
    </row>
    <row r="3103" spans="1:18" s="3" customFormat="1">
      <c r="A3103" s="62"/>
      <c r="B3103" s="62"/>
      <c r="C3103" s="62"/>
      <c r="D3103" s="62"/>
      <c r="E3103" s="62"/>
      <c r="F3103" s="62"/>
      <c r="G3103" s="62"/>
      <c r="H3103" s="62"/>
      <c r="I3103" s="62"/>
      <c r="J3103" s="62"/>
      <c r="K3103" s="76"/>
      <c r="L3103" s="62"/>
      <c r="M3103" s="62"/>
      <c r="N3103" s="62"/>
      <c r="O3103" s="62"/>
      <c r="P3103" s="62"/>
      <c r="Q3103" s="12"/>
      <c r="R3103" s="12"/>
    </row>
    <row r="3104" spans="1:18" s="3" customFormat="1">
      <c r="A3104" s="62"/>
      <c r="B3104" s="62"/>
      <c r="C3104" s="62"/>
      <c r="D3104" s="62"/>
      <c r="E3104" s="62"/>
      <c r="F3104" s="62"/>
      <c r="G3104" s="62"/>
      <c r="H3104" s="62"/>
      <c r="I3104" s="62"/>
      <c r="J3104" s="62"/>
      <c r="K3104" s="76"/>
      <c r="L3104" s="62"/>
      <c r="M3104" s="62"/>
      <c r="N3104" s="62"/>
      <c r="O3104" s="62"/>
      <c r="P3104" s="62"/>
      <c r="Q3104" s="12"/>
      <c r="R3104" s="12"/>
    </row>
    <row r="3105" spans="1:18" s="62" customFormat="1">
      <c r="I3105" s="22"/>
      <c r="K3105" s="57"/>
      <c r="L3105" s="76"/>
      <c r="O3105" s="60"/>
      <c r="P3105" s="60"/>
    </row>
    <row r="3106" spans="1:18">
      <c r="B3106" s="3"/>
      <c r="C3106" s="62"/>
    </row>
    <row r="3107" spans="1:18" customFormat="1">
      <c r="A3107" s="62" t="s">
        <v>3044</v>
      </c>
      <c r="B3107" s="62" t="s">
        <v>3045</v>
      </c>
      <c r="C3107" s="62" t="s">
        <v>494</v>
      </c>
      <c r="E3107" s="62" t="s">
        <v>476</v>
      </c>
      <c r="F3107">
        <v>17</v>
      </c>
      <c r="G3107">
        <v>1746</v>
      </c>
      <c r="H3107" s="62" t="s">
        <v>3065</v>
      </c>
      <c r="I3107" s="62" t="s">
        <v>3073</v>
      </c>
      <c r="J3107">
        <v>11</v>
      </c>
      <c r="K3107">
        <v>1</v>
      </c>
    </row>
    <row r="3108" spans="1:18" customFormat="1">
      <c r="B3108" s="62" t="s">
        <v>3046</v>
      </c>
      <c r="C3108" s="62" t="s">
        <v>494</v>
      </c>
      <c r="E3108" s="62" t="s">
        <v>476</v>
      </c>
      <c r="K3108">
        <v>2</v>
      </c>
      <c r="L3108">
        <v>6</v>
      </c>
    </row>
    <row r="3109" spans="1:18" customFormat="1">
      <c r="B3109" s="62" t="s">
        <v>3047</v>
      </c>
      <c r="C3109" s="62" t="s">
        <v>494</v>
      </c>
      <c r="K3109">
        <v>3</v>
      </c>
      <c r="L3109">
        <v>6</v>
      </c>
    </row>
    <row r="3110" spans="1:18" customFormat="1">
      <c r="B3110" s="62" t="s">
        <v>3048</v>
      </c>
      <c r="C3110" s="62" t="s">
        <v>494</v>
      </c>
      <c r="K3110">
        <v>4</v>
      </c>
      <c r="L3110">
        <v>3</v>
      </c>
      <c r="N3110" s="64" t="s">
        <v>506</v>
      </c>
      <c r="O3110" s="64" t="s">
        <v>514</v>
      </c>
      <c r="P3110" s="1" t="s">
        <v>515</v>
      </c>
    </row>
    <row r="3111" spans="1:18" customFormat="1">
      <c r="B3111" s="62" t="s">
        <v>3049</v>
      </c>
      <c r="C3111" s="62" t="s">
        <v>494</v>
      </c>
      <c r="K3111">
        <v>5</v>
      </c>
      <c r="L3111" s="62">
        <v>9</v>
      </c>
      <c r="M3111" s="62"/>
      <c r="N3111" s="62" t="s">
        <v>1038</v>
      </c>
      <c r="O3111" s="23" t="s">
        <v>1040</v>
      </c>
      <c r="P3111" s="60" t="s">
        <v>1041</v>
      </c>
      <c r="Q3111" s="23" t="s">
        <v>1040</v>
      </c>
      <c r="R3111" s="14">
        <v>140</v>
      </c>
    </row>
    <row r="3112" spans="1:18" customFormat="1">
      <c r="B3112" s="62" t="s">
        <v>3050</v>
      </c>
      <c r="C3112" s="62" t="s">
        <v>494</v>
      </c>
      <c r="K3112">
        <v>6</v>
      </c>
      <c r="L3112" s="62">
        <v>8</v>
      </c>
    </row>
    <row r="3113" spans="1:18" customFormat="1">
      <c r="B3113" s="62" t="s">
        <v>3056</v>
      </c>
      <c r="C3113" s="62" t="s">
        <v>494</v>
      </c>
      <c r="K3113">
        <v>7</v>
      </c>
      <c r="L3113" s="62">
        <v>3</v>
      </c>
    </row>
    <row r="3114" spans="1:18" customFormat="1">
      <c r="B3114" s="62" t="s">
        <v>3051</v>
      </c>
      <c r="C3114" s="62" t="s">
        <v>494</v>
      </c>
      <c r="K3114">
        <v>8</v>
      </c>
      <c r="L3114">
        <v>3</v>
      </c>
    </row>
    <row r="3115" spans="1:18" customFormat="1">
      <c r="B3115" s="62" t="s">
        <v>3052</v>
      </c>
      <c r="C3115" s="62" t="s">
        <v>494</v>
      </c>
      <c r="K3115">
        <v>9</v>
      </c>
      <c r="L3115">
        <v>3</v>
      </c>
      <c r="N3115" s="62" t="s">
        <v>3066</v>
      </c>
      <c r="O3115" s="62" t="s">
        <v>3059</v>
      </c>
      <c r="P3115" s="62" t="s">
        <v>3067</v>
      </c>
    </row>
    <row r="3116" spans="1:18" customFormat="1">
      <c r="B3116" s="62" t="s">
        <v>3053</v>
      </c>
      <c r="C3116" s="62" t="s">
        <v>494</v>
      </c>
      <c r="K3116">
        <v>10</v>
      </c>
      <c r="L3116">
        <v>7</v>
      </c>
      <c r="M3116">
        <v>70</v>
      </c>
    </row>
    <row r="3117" spans="1:18" customFormat="1">
      <c r="B3117" s="62" t="s">
        <v>3054</v>
      </c>
      <c r="C3117" s="62" t="s">
        <v>494</v>
      </c>
      <c r="K3117">
        <v>11</v>
      </c>
      <c r="M3117">
        <v>71</v>
      </c>
    </row>
    <row r="3118" spans="1:18" customFormat="1">
      <c r="B3118" s="62" t="s">
        <v>3055</v>
      </c>
      <c r="C3118" s="62" t="s">
        <v>494</v>
      </c>
      <c r="K3118">
        <v>12</v>
      </c>
      <c r="M3118">
        <v>72</v>
      </c>
    </row>
    <row r="3119" spans="1:18" customFormat="1">
      <c r="B3119" s="62" t="s">
        <v>3057</v>
      </c>
      <c r="C3119" s="62" t="s">
        <v>520</v>
      </c>
      <c r="K3119">
        <v>13</v>
      </c>
    </row>
    <row r="3120" spans="1:18" customFormat="1">
      <c r="B3120" s="62"/>
      <c r="C3120" s="62"/>
    </row>
    <row r="3121" spans="1:18" customFormat="1">
      <c r="A3121" s="62" t="s">
        <v>3066</v>
      </c>
      <c r="B3121" s="62" t="s">
        <v>3059</v>
      </c>
      <c r="C3121" s="62" t="s">
        <v>494</v>
      </c>
      <c r="E3121" s="62" t="s">
        <v>476</v>
      </c>
      <c r="K3121">
        <v>1</v>
      </c>
    </row>
    <row r="3122" spans="1:18" customFormat="1">
      <c r="A3122" s="62"/>
      <c r="B3122" s="62" t="s">
        <v>3067</v>
      </c>
      <c r="C3122" s="62" t="s">
        <v>493</v>
      </c>
      <c r="D3122">
        <v>50</v>
      </c>
      <c r="K3122">
        <v>2</v>
      </c>
    </row>
    <row r="3123" spans="1:18" customFormat="1">
      <c r="B3123" s="62"/>
    </row>
    <row r="3124" spans="1:18" customFormat="1">
      <c r="A3124" s="62" t="s">
        <v>3060</v>
      </c>
      <c r="B3124" s="62" t="s">
        <v>3061</v>
      </c>
      <c r="C3124" s="62" t="s">
        <v>494</v>
      </c>
      <c r="E3124" s="62" t="s">
        <v>476</v>
      </c>
      <c r="F3124">
        <v>17</v>
      </c>
      <c r="G3124">
        <v>1748</v>
      </c>
      <c r="H3124" s="62" t="s">
        <v>3058</v>
      </c>
      <c r="I3124" s="62" t="s">
        <v>3072</v>
      </c>
      <c r="J3124">
        <v>11</v>
      </c>
      <c r="K3124">
        <v>1</v>
      </c>
      <c r="L3124">
        <v>3</v>
      </c>
      <c r="N3124" s="64" t="s">
        <v>506</v>
      </c>
      <c r="O3124" s="64" t="s">
        <v>514</v>
      </c>
      <c r="P3124" s="1" t="s">
        <v>515</v>
      </c>
    </row>
    <row r="3125" spans="1:18" customFormat="1">
      <c r="B3125" s="62" t="s">
        <v>3062</v>
      </c>
      <c r="C3125" s="62" t="s">
        <v>494</v>
      </c>
      <c r="E3125" s="62" t="s">
        <v>476</v>
      </c>
      <c r="K3125">
        <v>2</v>
      </c>
      <c r="L3125">
        <v>8</v>
      </c>
    </row>
    <row r="3126" spans="1:18" customFormat="1">
      <c r="B3126" s="62" t="s">
        <v>3063</v>
      </c>
      <c r="C3126" s="62" t="s">
        <v>494</v>
      </c>
      <c r="K3126">
        <v>3</v>
      </c>
      <c r="L3126">
        <v>6</v>
      </c>
    </row>
    <row r="3127" spans="1:18" customFormat="1">
      <c r="B3127" s="62" t="s">
        <v>3064</v>
      </c>
      <c r="C3127" s="62" t="s">
        <v>494</v>
      </c>
      <c r="K3127">
        <v>4</v>
      </c>
    </row>
    <row r="3128" spans="1:18" customFormat="1">
      <c r="B3128" s="62"/>
    </row>
    <row r="3129" spans="1:18">
      <c r="A3129" s="62" t="s">
        <v>3193</v>
      </c>
      <c r="B3129" s="62" t="s">
        <v>3190</v>
      </c>
      <c r="C3129" s="62" t="s">
        <v>494</v>
      </c>
      <c r="E3129" s="62" t="s">
        <v>476</v>
      </c>
      <c r="F3129" s="1">
        <v>17</v>
      </c>
      <c r="G3129" s="1">
        <v>1750</v>
      </c>
      <c r="H3129" s="62" t="s">
        <v>3191</v>
      </c>
      <c r="I3129" s="22" t="s">
        <v>3192</v>
      </c>
      <c r="J3129" s="1">
        <v>11</v>
      </c>
      <c r="K3129" s="82">
        <v>1</v>
      </c>
      <c r="L3129" s="15">
        <v>3</v>
      </c>
      <c r="M3129" s="14"/>
      <c r="N3129" s="62" t="s">
        <v>995</v>
      </c>
      <c r="O3129" s="62" t="s">
        <v>997</v>
      </c>
      <c r="P3129" s="62" t="s">
        <v>996</v>
      </c>
    </row>
    <row r="3130" spans="1:18">
      <c r="B3130" s="62" t="s">
        <v>3189</v>
      </c>
      <c r="C3130" s="62" t="s">
        <v>494</v>
      </c>
      <c r="K3130" s="82">
        <v>2</v>
      </c>
      <c r="L3130" s="9">
        <v>3</v>
      </c>
      <c r="N3130" s="64" t="s">
        <v>506</v>
      </c>
      <c r="O3130" s="64" t="s">
        <v>514</v>
      </c>
      <c r="P3130" s="1" t="s">
        <v>515</v>
      </c>
    </row>
    <row r="3132" spans="1:18" customFormat="1">
      <c r="B3132" s="62"/>
      <c r="C3132" s="62"/>
      <c r="E3132" s="62"/>
    </row>
    <row r="3133" spans="1:18" customFormat="1"/>
    <row r="3134" spans="1:18">
      <c r="A3134" s="62" t="s">
        <v>285</v>
      </c>
      <c r="B3134" s="23" t="s">
        <v>991</v>
      </c>
      <c r="C3134" s="1" t="s">
        <v>494</v>
      </c>
      <c r="E3134" s="1" t="s">
        <v>476</v>
      </c>
      <c r="F3134" s="14">
        <v>17</v>
      </c>
      <c r="G3134" s="14">
        <v>1710</v>
      </c>
      <c r="H3134" s="14" t="s">
        <v>286</v>
      </c>
      <c r="I3134" s="11" t="s">
        <v>287</v>
      </c>
      <c r="J3134" s="14">
        <v>2</v>
      </c>
      <c r="K3134" s="16">
        <v>1</v>
      </c>
      <c r="L3134" s="15">
        <v>6</v>
      </c>
      <c r="M3134" s="14"/>
      <c r="N3134" s="23"/>
      <c r="O3134" s="14"/>
      <c r="P3134" s="14"/>
      <c r="Q3134" s="14"/>
      <c r="R3134" s="14"/>
    </row>
    <row r="3135" spans="1:18">
      <c r="B3135" s="23" t="s">
        <v>992</v>
      </c>
      <c r="C3135" s="1" t="s">
        <v>494</v>
      </c>
      <c r="F3135" s="14"/>
      <c r="G3135" s="14"/>
      <c r="H3135" s="14"/>
      <c r="I3135" s="11"/>
      <c r="J3135" s="14"/>
      <c r="K3135" s="16">
        <v>2</v>
      </c>
      <c r="L3135" s="15">
        <v>6</v>
      </c>
      <c r="M3135" s="14"/>
      <c r="N3135" s="23"/>
      <c r="O3135" s="14"/>
      <c r="P3135" s="14"/>
      <c r="Q3135" s="14"/>
      <c r="R3135" s="14"/>
    </row>
    <row r="3136" spans="1:18">
      <c r="B3136" s="23" t="s">
        <v>993</v>
      </c>
      <c r="C3136" s="1" t="s">
        <v>493</v>
      </c>
      <c r="D3136" s="1">
        <v>100</v>
      </c>
      <c r="F3136" s="14"/>
      <c r="G3136" s="14"/>
      <c r="H3136" s="14"/>
      <c r="I3136" s="11"/>
      <c r="J3136" s="14"/>
      <c r="K3136" s="16">
        <v>3</v>
      </c>
      <c r="L3136" s="15"/>
      <c r="M3136" s="14"/>
      <c r="N3136" s="23"/>
      <c r="O3136" s="14"/>
      <c r="P3136" s="14"/>
      <c r="Q3136" s="14"/>
      <c r="R3136" s="14"/>
    </row>
    <row r="3137" spans="2:18">
      <c r="B3137" s="60" t="s">
        <v>283</v>
      </c>
      <c r="C3137" s="1" t="s">
        <v>494</v>
      </c>
      <c r="F3137" s="14"/>
      <c r="G3137" s="14"/>
      <c r="H3137" s="14"/>
      <c r="I3137" s="11"/>
      <c r="J3137" s="14"/>
      <c r="K3137" s="16">
        <v>4</v>
      </c>
      <c r="L3137" s="15">
        <v>3</v>
      </c>
      <c r="M3137" s="14"/>
      <c r="N3137" s="62" t="s">
        <v>284</v>
      </c>
      <c r="O3137" s="23" t="s">
        <v>989</v>
      </c>
      <c r="P3137" s="23" t="s">
        <v>990</v>
      </c>
      <c r="Q3137" s="14"/>
      <c r="R3137" s="14"/>
    </row>
    <row r="3138" spans="2:18">
      <c r="B3138" s="23" t="s">
        <v>307</v>
      </c>
      <c r="C3138" s="1" t="s">
        <v>494</v>
      </c>
      <c r="F3138" s="14"/>
      <c r="G3138" s="14"/>
      <c r="H3138" s="14"/>
      <c r="I3138" s="11"/>
      <c r="J3138" s="14"/>
      <c r="K3138" s="16">
        <v>5</v>
      </c>
      <c r="L3138" s="15"/>
      <c r="M3138" s="14"/>
      <c r="O3138" s="23"/>
      <c r="P3138" s="23"/>
      <c r="Q3138" s="14"/>
      <c r="R3138" s="14"/>
    </row>
    <row r="3139" spans="2:18">
      <c r="B3139" s="60" t="s">
        <v>3075</v>
      </c>
      <c r="C3139" s="62" t="s">
        <v>494</v>
      </c>
      <c r="F3139" s="14"/>
      <c r="G3139" s="14"/>
      <c r="H3139" s="14"/>
      <c r="I3139" s="11"/>
      <c r="J3139" s="14"/>
      <c r="K3139" s="16">
        <v>6</v>
      </c>
      <c r="L3139" s="15">
        <v>3</v>
      </c>
      <c r="M3139" s="14"/>
      <c r="N3139" s="1" t="s">
        <v>551</v>
      </c>
      <c r="O3139" s="1" t="s">
        <v>552</v>
      </c>
      <c r="P3139" s="1" t="s">
        <v>553</v>
      </c>
      <c r="Q3139" s="14"/>
      <c r="R3139" s="14"/>
    </row>
    <row r="3140" spans="2:18">
      <c r="B3140" s="60" t="s">
        <v>3133</v>
      </c>
      <c r="C3140" s="62" t="s">
        <v>494</v>
      </c>
      <c r="F3140" s="14"/>
      <c r="G3140" s="14"/>
      <c r="H3140" s="14"/>
      <c r="I3140" s="11"/>
      <c r="J3140" s="14"/>
      <c r="K3140" s="16">
        <v>7</v>
      </c>
      <c r="L3140" s="15">
        <v>3</v>
      </c>
      <c r="M3140" s="14"/>
      <c r="N3140" s="1" t="s">
        <v>551</v>
      </c>
      <c r="O3140" s="1" t="s">
        <v>552</v>
      </c>
      <c r="P3140" s="1" t="s">
        <v>553</v>
      </c>
      <c r="Q3140" s="14"/>
      <c r="R3140" s="14"/>
    </row>
    <row r="3141" spans="2:18">
      <c r="B3141" s="60" t="s">
        <v>3134</v>
      </c>
      <c r="C3141" s="62" t="s">
        <v>494</v>
      </c>
      <c r="F3141" s="14"/>
      <c r="G3141" s="14"/>
      <c r="H3141" s="14"/>
      <c r="I3141" s="11"/>
      <c r="J3141" s="14"/>
      <c r="K3141" s="16">
        <v>8</v>
      </c>
      <c r="L3141" s="15">
        <v>3</v>
      </c>
      <c r="M3141" s="14"/>
      <c r="N3141" s="1" t="s">
        <v>551</v>
      </c>
      <c r="O3141" s="1" t="s">
        <v>552</v>
      </c>
      <c r="P3141" s="1" t="s">
        <v>553</v>
      </c>
      <c r="Q3141" s="14"/>
      <c r="R3141" s="14"/>
    </row>
    <row r="3142" spans="2:18">
      <c r="B3142" s="60" t="s">
        <v>3135</v>
      </c>
      <c r="C3142" s="62" t="s">
        <v>494</v>
      </c>
      <c r="F3142" s="14"/>
      <c r="G3142" s="14"/>
      <c r="H3142" s="14"/>
      <c r="I3142" s="11"/>
      <c r="J3142" s="14"/>
      <c r="K3142" s="16">
        <v>9</v>
      </c>
      <c r="L3142" s="15">
        <v>3</v>
      </c>
      <c r="M3142" s="14"/>
      <c r="N3142" s="1" t="s">
        <v>551</v>
      </c>
      <c r="O3142" s="1" t="s">
        <v>552</v>
      </c>
      <c r="P3142" s="1" t="s">
        <v>553</v>
      </c>
      <c r="Q3142" s="14"/>
      <c r="R3142" s="14"/>
    </row>
    <row r="3143" spans="2:18">
      <c r="B3143" s="60" t="s">
        <v>3138</v>
      </c>
      <c r="C3143" s="62" t="s">
        <v>494</v>
      </c>
      <c r="F3143" s="14"/>
      <c r="G3143" s="14"/>
      <c r="H3143" s="14"/>
      <c r="I3143" s="11"/>
      <c r="J3143" s="14"/>
      <c r="K3143" s="16">
        <v>10</v>
      </c>
      <c r="L3143" s="15">
        <v>3</v>
      </c>
      <c r="M3143" s="14"/>
      <c r="N3143" s="1" t="s">
        <v>551</v>
      </c>
      <c r="O3143" s="1" t="s">
        <v>552</v>
      </c>
      <c r="P3143" s="1" t="s">
        <v>553</v>
      </c>
      <c r="Q3143" s="14"/>
      <c r="R3143" s="14"/>
    </row>
    <row r="3144" spans="2:18">
      <c r="B3144" s="60" t="s">
        <v>3137</v>
      </c>
      <c r="C3144" s="62" t="s">
        <v>494</v>
      </c>
      <c r="F3144" s="14"/>
      <c r="G3144" s="14"/>
      <c r="H3144" s="14"/>
      <c r="I3144" s="11"/>
      <c r="J3144" s="14"/>
      <c r="K3144" s="16">
        <v>11</v>
      </c>
      <c r="L3144" s="15">
        <v>3</v>
      </c>
      <c r="M3144" s="14"/>
      <c r="N3144" s="1" t="s">
        <v>551</v>
      </c>
      <c r="O3144" s="1" t="s">
        <v>552</v>
      </c>
      <c r="P3144" s="1" t="s">
        <v>553</v>
      </c>
      <c r="Q3144" s="14"/>
      <c r="R3144" s="14"/>
    </row>
    <row r="3145" spans="2:18">
      <c r="B3145" s="60" t="s">
        <v>3136</v>
      </c>
      <c r="C3145" s="62" t="s">
        <v>494</v>
      </c>
      <c r="F3145" s="14"/>
      <c r="G3145" s="14"/>
      <c r="H3145" s="14"/>
      <c r="I3145" s="11"/>
      <c r="J3145" s="14"/>
      <c r="K3145" s="16">
        <v>12</v>
      </c>
      <c r="L3145" s="15">
        <v>3</v>
      </c>
      <c r="M3145" s="14"/>
      <c r="N3145" s="1" t="s">
        <v>551</v>
      </c>
      <c r="O3145" s="1" t="s">
        <v>552</v>
      </c>
      <c r="P3145" s="1" t="s">
        <v>553</v>
      </c>
      <c r="Q3145" s="14"/>
      <c r="R3145" s="14"/>
    </row>
    <row r="3146" spans="2:18">
      <c r="B3146" s="60" t="s">
        <v>3139</v>
      </c>
      <c r="C3146" s="62" t="s">
        <v>494</v>
      </c>
      <c r="F3146" s="14"/>
      <c r="G3146" s="14"/>
      <c r="H3146" s="14"/>
      <c r="I3146" s="11"/>
      <c r="J3146" s="14"/>
      <c r="K3146" s="16">
        <v>13</v>
      </c>
      <c r="L3146" s="15">
        <v>3</v>
      </c>
      <c r="M3146" s="14"/>
      <c r="N3146" s="1" t="s">
        <v>551</v>
      </c>
      <c r="O3146" s="1" t="s">
        <v>552</v>
      </c>
      <c r="P3146" s="1" t="s">
        <v>553</v>
      </c>
      <c r="Q3146" s="14"/>
      <c r="R3146" s="14"/>
    </row>
    <row r="3147" spans="2:18">
      <c r="B3147" s="60" t="s">
        <v>3140</v>
      </c>
      <c r="C3147" s="62" t="s">
        <v>494</v>
      </c>
      <c r="F3147" s="14"/>
      <c r="G3147" s="14"/>
      <c r="H3147" s="14"/>
      <c r="I3147" s="11"/>
      <c r="J3147" s="14"/>
      <c r="K3147" s="16">
        <v>14</v>
      </c>
      <c r="L3147" s="15">
        <v>3</v>
      </c>
      <c r="M3147" s="14"/>
      <c r="N3147" s="1" t="s">
        <v>551</v>
      </c>
      <c r="O3147" s="1" t="s">
        <v>552</v>
      </c>
      <c r="P3147" s="1" t="s">
        <v>553</v>
      </c>
      <c r="Q3147" s="14"/>
      <c r="R3147" s="14"/>
    </row>
    <row r="3148" spans="2:18">
      <c r="B3148" s="60" t="s">
        <v>3141</v>
      </c>
      <c r="C3148" s="62" t="s">
        <v>494</v>
      </c>
      <c r="F3148" s="14"/>
      <c r="G3148" s="14"/>
      <c r="H3148" s="14"/>
      <c r="I3148" s="11"/>
      <c r="J3148" s="14"/>
      <c r="K3148" s="16">
        <v>15</v>
      </c>
      <c r="L3148" s="15">
        <v>3</v>
      </c>
      <c r="M3148" s="14"/>
      <c r="N3148" s="1" t="s">
        <v>551</v>
      </c>
      <c r="O3148" s="1" t="s">
        <v>552</v>
      </c>
      <c r="P3148" s="1" t="s">
        <v>553</v>
      </c>
      <c r="Q3148" s="14"/>
      <c r="R3148" s="14"/>
    </row>
    <row r="3149" spans="2:18">
      <c r="B3149" s="60" t="s">
        <v>3142</v>
      </c>
      <c r="C3149" s="62" t="s">
        <v>494</v>
      </c>
      <c r="F3149" s="14"/>
      <c r="G3149" s="14"/>
      <c r="H3149" s="14"/>
      <c r="I3149" s="11"/>
      <c r="J3149" s="14"/>
      <c r="K3149" s="16">
        <v>16</v>
      </c>
      <c r="L3149" s="15">
        <v>3</v>
      </c>
      <c r="M3149" s="14"/>
      <c r="N3149" s="1" t="s">
        <v>551</v>
      </c>
      <c r="O3149" s="1" t="s">
        <v>552</v>
      </c>
      <c r="P3149" s="1" t="s">
        <v>553</v>
      </c>
      <c r="Q3149" s="14"/>
      <c r="R3149" s="14"/>
    </row>
    <row r="3150" spans="2:18">
      <c r="B3150" s="60" t="s">
        <v>3145</v>
      </c>
      <c r="C3150" s="62" t="s">
        <v>494</v>
      </c>
      <c r="F3150" s="14"/>
      <c r="G3150" s="14"/>
      <c r="H3150" s="14"/>
      <c r="I3150" s="11"/>
      <c r="J3150" s="14"/>
      <c r="K3150" s="16">
        <v>17</v>
      </c>
      <c r="L3150" s="15">
        <v>3</v>
      </c>
      <c r="M3150" s="14"/>
      <c r="N3150" s="1" t="s">
        <v>551</v>
      </c>
      <c r="O3150" s="1" t="s">
        <v>552</v>
      </c>
      <c r="P3150" s="1" t="s">
        <v>553</v>
      </c>
      <c r="Q3150" s="14"/>
      <c r="R3150" s="14"/>
    </row>
    <row r="3151" spans="2:18">
      <c r="B3151" s="60" t="s">
        <v>3146</v>
      </c>
      <c r="C3151" s="62" t="s">
        <v>494</v>
      </c>
      <c r="F3151" s="14"/>
      <c r="G3151" s="14"/>
      <c r="H3151" s="14"/>
      <c r="I3151" s="11"/>
      <c r="J3151" s="14"/>
      <c r="K3151" s="16">
        <v>18</v>
      </c>
      <c r="L3151" s="15">
        <v>3</v>
      </c>
      <c r="M3151" s="14"/>
      <c r="N3151" s="1" t="s">
        <v>551</v>
      </c>
      <c r="O3151" s="1" t="s">
        <v>552</v>
      </c>
      <c r="P3151" s="1" t="s">
        <v>553</v>
      </c>
      <c r="Q3151" s="14"/>
      <c r="R3151" s="14"/>
    </row>
    <row r="3152" spans="2:18">
      <c r="B3152" s="60" t="s">
        <v>3147</v>
      </c>
      <c r="C3152" s="62" t="s">
        <v>494</v>
      </c>
      <c r="F3152" s="14"/>
      <c r="G3152" s="14"/>
      <c r="H3152" s="14"/>
      <c r="I3152" s="11"/>
      <c r="J3152" s="14"/>
      <c r="K3152" s="16">
        <v>19</v>
      </c>
      <c r="L3152" s="15">
        <v>3</v>
      </c>
      <c r="M3152" s="14"/>
      <c r="N3152" s="1" t="s">
        <v>551</v>
      </c>
      <c r="O3152" s="1" t="s">
        <v>552</v>
      </c>
      <c r="P3152" s="1" t="s">
        <v>553</v>
      </c>
      <c r="Q3152" s="14"/>
      <c r="R3152" s="14"/>
    </row>
    <row r="3153" spans="1:18">
      <c r="B3153" s="60" t="s">
        <v>3148</v>
      </c>
      <c r="C3153" s="62" t="s">
        <v>494</v>
      </c>
      <c r="F3153" s="14"/>
      <c r="G3153" s="14"/>
      <c r="H3153" s="14"/>
      <c r="I3153" s="11"/>
      <c r="J3153" s="14"/>
      <c r="K3153" s="16">
        <v>20</v>
      </c>
      <c r="L3153" s="15">
        <v>3</v>
      </c>
      <c r="M3153" s="14"/>
      <c r="N3153" s="1" t="s">
        <v>551</v>
      </c>
      <c r="O3153" s="1" t="s">
        <v>552</v>
      </c>
      <c r="P3153" s="1" t="s">
        <v>553</v>
      </c>
      <c r="Q3153" s="14"/>
      <c r="R3153" s="14"/>
    </row>
    <row r="3154" spans="1:18">
      <c r="B3154" s="60" t="s">
        <v>3149</v>
      </c>
      <c r="C3154" s="62" t="s">
        <v>494</v>
      </c>
      <c r="F3154" s="14"/>
      <c r="G3154" s="14"/>
      <c r="H3154" s="14"/>
      <c r="I3154" s="11"/>
      <c r="J3154" s="14"/>
      <c r="K3154" s="16">
        <v>21</v>
      </c>
      <c r="L3154" s="15">
        <v>3</v>
      </c>
      <c r="M3154" s="14"/>
      <c r="N3154" s="1" t="s">
        <v>551</v>
      </c>
      <c r="O3154" s="1" t="s">
        <v>552</v>
      </c>
      <c r="P3154" s="1" t="s">
        <v>553</v>
      </c>
      <c r="Q3154" s="14"/>
      <c r="R3154" s="14"/>
    </row>
    <row r="3155" spans="1:18">
      <c r="B3155" s="60" t="s">
        <v>3150</v>
      </c>
      <c r="C3155" s="62" t="s">
        <v>494</v>
      </c>
      <c r="F3155" s="14"/>
      <c r="G3155" s="14"/>
      <c r="H3155" s="14"/>
      <c r="I3155" s="11"/>
      <c r="J3155" s="14"/>
      <c r="K3155" s="16">
        <v>22</v>
      </c>
      <c r="L3155" s="15">
        <v>3</v>
      </c>
      <c r="M3155" s="14"/>
      <c r="N3155" s="1" t="s">
        <v>551</v>
      </c>
      <c r="O3155" s="1" t="s">
        <v>552</v>
      </c>
      <c r="P3155" s="1" t="s">
        <v>553</v>
      </c>
      <c r="Q3155" s="14"/>
      <c r="R3155" s="14"/>
    </row>
    <row r="3156" spans="1:18">
      <c r="B3156" s="60" t="s">
        <v>3143</v>
      </c>
      <c r="C3156" s="62" t="s">
        <v>494</v>
      </c>
      <c r="F3156" s="14"/>
      <c r="G3156" s="14"/>
      <c r="H3156" s="14"/>
      <c r="I3156" s="11"/>
      <c r="J3156" s="14"/>
      <c r="K3156" s="16">
        <v>23</v>
      </c>
      <c r="L3156" s="15">
        <v>3</v>
      </c>
      <c r="M3156" s="14"/>
      <c r="N3156" s="1" t="s">
        <v>551</v>
      </c>
      <c r="O3156" s="1" t="s">
        <v>552</v>
      </c>
      <c r="P3156" s="1" t="s">
        <v>553</v>
      </c>
      <c r="Q3156" s="14"/>
      <c r="R3156" s="14"/>
    </row>
    <row r="3157" spans="1:18">
      <c r="B3157" s="60" t="s">
        <v>3144</v>
      </c>
      <c r="C3157" s="62" t="s">
        <v>494</v>
      </c>
      <c r="F3157" s="14"/>
      <c r="G3157" s="14"/>
      <c r="H3157" s="14"/>
      <c r="I3157" s="11"/>
      <c r="J3157" s="14"/>
      <c r="K3157" s="16">
        <v>24</v>
      </c>
      <c r="L3157" s="15">
        <v>3</v>
      </c>
      <c r="M3157" s="14"/>
      <c r="N3157" s="1" t="s">
        <v>551</v>
      </c>
      <c r="O3157" s="1" t="s">
        <v>552</v>
      </c>
      <c r="P3157" s="1" t="s">
        <v>553</v>
      </c>
      <c r="Q3157" s="14"/>
      <c r="R3157" s="14"/>
    </row>
    <row r="3158" spans="1:18">
      <c r="B3158" s="60" t="s">
        <v>3151</v>
      </c>
      <c r="C3158" s="62" t="s">
        <v>494</v>
      </c>
      <c r="F3158" s="14"/>
      <c r="G3158" s="14"/>
      <c r="H3158" s="14"/>
      <c r="I3158" s="11"/>
      <c r="J3158" s="14"/>
      <c r="K3158" s="16">
        <v>25</v>
      </c>
      <c r="L3158" s="15">
        <v>3</v>
      </c>
      <c r="M3158" s="14"/>
      <c r="N3158" s="1" t="s">
        <v>551</v>
      </c>
      <c r="O3158" s="1" t="s">
        <v>552</v>
      </c>
      <c r="P3158" s="1" t="s">
        <v>553</v>
      </c>
      <c r="Q3158" s="14"/>
      <c r="R3158" s="14"/>
    </row>
    <row r="3159" spans="1:18">
      <c r="B3159" s="60"/>
      <c r="C3159" s="62"/>
      <c r="F3159" s="14"/>
      <c r="G3159" s="14"/>
      <c r="H3159" s="14"/>
      <c r="I3159" s="11"/>
      <c r="J3159" s="14"/>
      <c r="K3159" s="16"/>
      <c r="L3159" s="15"/>
      <c r="M3159" s="14"/>
      <c r="O3159" s="23"/>
      <c r="P3159" s="23"/>
      <c r="Q3159" s="14"/>
      <c r="R3159" s="14"/>
    </row>
    <row r="3160" spans="1:18" customFormat="1"/>
    <row r="3161" spans="1:18" s="3" customFormat="1">
      <c r="A3161" s="62" t="s">
        <v>3009</v>
      </c>
      <c r="B3161" s="62" t="s">
        <v>3010</v>
      </c>
      <c r="C3161" s="62" t="s">
        <v>494</v>
      </c>
      <c r="D3161" s="62"/>
      <c r="E3161" s="62" t="s">
        <v>476</v>
      </c>
      <c r="F3161" s="62">
        <v>17</v>
      </c>
      <c r="G3161" s="62">
        <v>1745</v>
      </c>
      <c r="H3161" s="62" t="s">
        <v>3012</v>
      </c>
      <c r="I3161" s="62" t="s">
        <v>3013</v>
      </c>
      <c r="J3161" s="62">
        <v>1</v>
      </c>
      <c r="K3161" s="76">
        <v>1</v>
      </c>
      <c r="L3161" s="62"/>
      <c r="M3161" s="62"/>
      <c r="N3161" s="62"/>
      <c r="O3161" s="62"/>
      <c r="P3161" s="62"/>
      <c r="Q3161" s="12"/>
      <c r="R3161" s="12"/>
    </row>
    <row r="3162" spans="1:18" s="3" customFormat="1">
      <c r="A3162" s="62"/>
      <c r="B3162" s="62" t="s">
        <v>3011</v>
      </c>
      <c r="C3162" s="62" t="s">
        <v>494</v>
      </c>
      <c r="D3162" s="62"/>
      <c r="E3162" s="62"/>
      <c r="F3162" s="62"/>
      <c r="G3162" s="62"/>
      <c r="H3162" s="62"/>
      <c r="I3162" s="62"/>
      <c r="J3162" s="62"/>
      <c r="K3162" s="76">
        <v>2</v>
      </c>
      <c r="L3162" s="62">
        <v>3</v>
      </c>
      <c r="M3162" s="62"/>
      <c r="N3162" s="62"/>
      <c r="O3162" s="62"/>
      <c r="P3162" s="62"/>
      <c r="Q3162" s="12"/>
      <c r="R3162" s="12"/>
    </row>
    <row r="3163" spans="1:18" s="3" customFormat="1">
      <c r="A3163" s="62"/>
      <c r="B3163" s="62"/>
      <c r="C3163" s="62"/>
      <c r="D3163" s="62"/>
      <c r="E3163" s="62"/>
      <c r="F3163" s="62"/>
      <c r="G3163" s="62"/>
      <c r="H3163" s="62"/>
      <c r="I3163" s="62"/>
      <c r="J3163" s="62"/>
      <c r="K3163" s="76"/>
      <c r="L3163" s="62"/>
      <c r="M3163" s="62"/>
      <c r="N3163" s="62"/>
      <c r="O3163" s="62"/>
      <c r="P3163" s="62"/>
      <c r="Q3163" s="12"/>
      <c r="R3163" s="12"/>
    </row>
    <row r="3164" spans="1:18" s="3" customFormat="1">
      <c r="A3164" s="62"/>
      <c r="B3164" s="62"/>
      <c r="C3164" s="62"/>
      <c r="D3164" s="62"/>
      <c r="E3164" s="62"/>
      <c r="F3164" s="62"/>
      <c r="G3164" s="62"/>
      <c r="H3164" s="62"/>
      <c r="I3164" s="62"/>
      <c r="J3164" s="62"/>
      <c r="K3164" s="76"/>
      <c r="L3164" s="62"/>
      <c r="M3164" s="62"/>
      <c r="N3164" s="62"/>
      <c r="O3164" s="62"/>
      <c r="P3164" s="62"/>
      <c r="Q3164" s="12"/>
      <c r="R3164" s="12"/>
    </row>
    <row r="3165" spans="1:18">
      <c r="A3165" s="64" t="s">
        <v>506</v>
      </c>
      <c r="B3165" s="64" t="s">
        <v>514</v>
      </c>
      <c r="C3165" s="10" t="s">
        <v>494</v>
      </c>
      <c r="D3165" s="10"/>
      <c r="E3165" s="10" t="s">
        <v>476</v>
      </c>
      <c r="F3165" s="10">
        <v>21</v>
      </c>
      <c r="G3165" s="10">
        <v>2136</v>
      </c>
      <c r="H3165" s="64" t="s">
        <v>3004</v>
      </c>
      <c r="I3165" s="64" t="s">
        <v>3007</v>
      </c>
      <c r="J3165" s="10">
        <v>2</v>
      </c>
      <c r="K3165" s="16">
        <v>1</v>
      </c>
      <c r="L3165" s="31"/>
      <c r="M3165" s="10"/>
      <c r="N3165" t="s">
        <v>916</v>
      </c>
      <c r="O3165" t="s">
        <v>917</v>
      </c>
      <c r="P3165" t="s">
        <v>918</v>
      </c>
      <c r="Q3165" s="10"/>
      <c r="R3165" s="10"/>
    </row>
    <row r="3166" spans="1:18">
      <c r="B3166" s="62" t="s">
        <v>515</v>
      </c>
      <c r="C3166" s="1" t="s">
        <v>493</v>
      </c>
      <c r="D3166" s="1">
        <v>60</v>
      </c>
      <c r="F3166" s="14"/>
      <c r="G3166" s="14"/>
      <c r="H3166" s="14"/>
      <c r="I3166" s="11"/>
      <c r="J3166" s="14"/>
      <c r="K3166" s="16">
        <v>2</v>
      </c>
      <c r="L3166" s="15"/>
      <c r="M3166" s="14">
        <v>1</v>
      </c>
      <c r="N3166" s="14"/>
      <c r="O3166" s="14"/>
      <c r="P3166" s="14"/>
      <c r="Q3166" s="14"/>
      <c r="R3166" s="14"/>
    </row>
    <row r="3167" spans="1:18">
      <c r="B3167" s="62" t="s">
        <v>516</v>
      </c>
      <c r="C3167" s="1" t="s">
        <v>493</v>
      </c>
      <c r="D3167" s="1">
        <v>250</v>
      </c>
      <c r="F3167" s="14"/>
      <c r="G3167" s="14"/>
      <c r="H3167" s="47" t="s">
        <v>3006</v>
      </c>
      <c r="I3167" s="11"/>
      <c r="J3167" s="14"/>
      <c r="K3167" s="16">
        <v>3</v>
      </c>
      <c r="L3167" s="15"/>
      <c r="M3167" s="14">
        <v>1</v>
      </c>
      <c r="N3167" s="14"/>
      <c r="O3167" s="14"/>
      <c r="P3167" s="14"/>
      <c r="Q3167" s="14"/>
      <c r="R3167" s="14"/>
    </row>
    <row r="3168" spans="1:18">
      <c r="B3168" s="1" t="s">
        <v>517</v>
      </c>
      <c r="C3168" s="1" t="s">
        <v>494</v>
      </c>
      <c r="F3168" s="14"/>
      <c r="G3168" s="14"/>
      <c r="H3168" s="14"/>
      <c r="I3168" s="11"/>
      <c r="J3168" s="14"/>
      <c r="K3168" s="16">
        <v>4</v>
      </c>
      <c r="L3168" s="15">
        <v>3</v>
      </c>
      <c r="M3168" s="14">
        <v>1</v>
      </c>
      <c r="N3168" s="1" t="s">
        <v>507</v>
      </c>
      <c r="O3168" s="1" t="s">
        <v>508</v>
      </c>
      <c r="P3168" s="1" t="s">
        <v>509</v>
      </c>
      <c r="Q3168" s="14"/>
      <c r="R3168" s="14"/>
    </row>
    <row r="3169" spans="1:18">
      <c r="B3169" s="62" t="s">
        <v>512</v>
      </c>
      <c r="C3169" s="1" t="s">
        <v>493</v>
      </c>
      <c r="D3169" s="1">
        <v>1</v>
      </c>
      <c r="F3169" s="14"/>
      <c r="G3169" s="14"/>
      <c r="H3169" s="14"/>
      <c r="I3169" s="11"/>
      <c r="J3169" s="14"/>
      <c r="K3169" s="16">
        <v>5</v>
      </c>
      <c r="L3169" s="15">
        <v>3</v>
      </c>
      <c r="M3169" s="14">
        <v>1</v>
      </c>
      <c r="N3169" s="14"/>
      <c r="O3169" s="14"/>
      <c r="P3169" s="14"/>
      <c r="Q3169" s="14"/>
      <c r="R3169" s="14"/>
    </row>
    <row r="3170" spans="1:18">
      <c r="B3170" s="64" t="s">
        <v>2515</v>
      </c>
      <c r="C3170" s="64" t="s">
        <v>493</v>
      </c>
      <c r="D3170" s="1">
        <v>10</v>
      </c>
      <c r="F3170" s="14"/>
      <c r="G3170" s="14"/>
      <c r="H3170" s="14"/>
      <c r="I3170" s="11"/>
      <c r="J3170" s="14"/>
      <c r="K3170" s="16">
        <v>14</v>
      </c>
      <c r="L3170" s="15">
        <v>7</v>
      </c>
      <c r="M3170" s="14"/>
      <c r="N3170" s="14"/>
      <c r="O3170" s="14"/>
      <c r="P3170" s="14"/>
      <c r="Q3170" s="14"/>
      <c r="R3170" s="14"/>
    </row>
    <row r="3171" spans="1:18">
      <c r="B3171" s="64" t="s">
        <v>2516</v>
      </c>
      <c r="C3171" s="64" t="s">
        <v>493</v>
      </c>
      <c r="D3171" s="1">
        <v>10</v>
      </c>
      <c r="F3171" s="14"/>
      <c r="G3171" s="14"/>
      <c r="H3171" s="14"/>
      <c r="I3171" s="11"/>
      <c r="J3171" s="14"/>
      <c r="K3171" s="16">
        <v>15</v>
      </c>
      <c r="L3171" s="15">
        <v>7</v>
      </c>
      <c r="M3171" s="14"/>
      <c r="N3171" s="14"/>
      <c r="O3171" s="14"/>
      <c r="P3171" s="14"/>
      <c r="Q3171" s="14"/>
      <c r="R3171" s="14"/>
    </row>
    <row r="3172" spans="1:18">
      <c r="B3172" s="64" t="s">
        <v>2517</v>
      </c>
      <c r="C3172" s="64" t="s">
        <v>493</v>
      </c>
      <c r="D3172" s="1">
        <v>10</v>
      </c>
      <c r="F3172" s="14"/>
      <c r="G3172" s="14"/>
      <c r="H3172" s="14"/>
      <c r="I3172" s="11"/>
      <c r="J3172" s="14"/>
      <c r="K3172" s="16">
        <v>16</v>
      </c>
      <c r="L3172" s="15">
        <v>7</v>
      </c>
      <c r="M3172" s="14"/>
      <c r="N3172" s="14"/>
      <c r="O3172" s="14"/>
      <c r="P3172" s="14"/>
      <c r="Q3172" s="14"/>
      <c r="R3172" s="14"/>
    </row>
    <row r="3173" spans="1:18">
      <c r="B3173" s="64" t="s">
        <v>2518</v>
      </c>
      <c r="C3173" s="64" t="s">
        <v>493</v>
      </c>
      <c r="D3173" s="1">
        <v>10</v>
      </c>
      <c r="F3173" s="14"/>
      <c r="G3173" s="14"/>
      <c r="H3173" s="14"/>
      <c r="I3173" s="11"/>
      <c r="J3173" s="14"/>
      <c r="K3173" s="16">
        <v>17</v>
      </c>
      <c r="L3173" s="15">
        <v>7</v>
      </c>
      <c r="M3173" s="14"/>
      <c r="N3173" s="14"/>
      <c r="O3173" s="14"/>
      <c r="P3173" s="14"/>
      <c r="Q3173" s="14"/>
      <c r="R3173" s="14"/>
    </row>
    <row r="3174" spans="1:18">
      <c r="B3174" s="64" t="s">
        <v>2896</v>
      </c>
      <c r="C3174" s="64" t="s">
        <v>493</v>
      </c>
      <c r="D3174" s="62">
        <v>1</v>
      </c>
      <c r="F3174" s="14"/>
      <c r="G3174" s="14"/>
      <c r="H3174" s="14"/>
      <c r="I3174" s="11"/>
      <c r="J3174" s="14"/>
      <c r="K3174" s="16">
        <v>18</v>
      </c>
      <c r="L3174" s="15">
        <v>3</v>
      </c>
      <c r="M3174" s="14"/>
      <c r="N3174" s="14"/>
      <c r="O3174" s="14"/>
      <c r="P3174" s="14"/>
      <c r="Q3174" s="14"/>
      <c r="R3174" s="14"/>
    </row>
    <row r="3175" spans="1:18">
      <c r="B3175" s="64"/>
      <c r="C3175" s="64"/>
      <c r="D3175" s="62"/>
      <c r="F3175" s="14"/>
      <c r="G3175" s="14"/>
      <c r="H3175" s="14"/>
      <c r="I3175" s="11"/>
      <c r="J3175" s="14"/>
      <c r="K3175" s="16"/>
      <c r="L3175" s="15"/>
      <c r="M3175" s="14"/>
      <c r="N3175" s="14"/>
      <c r="O3175" s="14"/>
      <c r="P3175" s="14"/>
      <c r="Q3175" s="14"/>
      <c r="R3175" s="14"/>
    </row>
    <row r="3176" spans="1:18">
      <c r="B3176" s="64"/>
      <c r="C3176" s="64"/>
      <c r="F3176" s="14"/>
      <c r="G3176" s="14"/>
      <c r="H3176" s="14"/>
      <c r="I3176" s="11"/>
      <c r="J3176" s="14"/>
      <c r="K3176" s="16"/>
      <c r="L3176" s="15"/>
      <c r="M3176" s="14"/>
      <c r="N3176" s="14"/>
      <c r="O3176" s="14"/>
      <c r="P3176" s="14"/>
      <c r="Q3176" s="14"/>
      <c r="R3176" s="14"/>
    </row>
    <row r="3177" spans="1:18">
      <c r="B3177" s="60"/>
      <c r="C3177" s="62"/>
      <c r="F3177" s="14"/>
      <c r="G3177" s="14"/>
      <c r="H3177" s="14"/>
      <c r="I3177" s="11"/>
      <c r="J3177" s="14"/>
      <c r="K3177" s="16"/>
      <c r="L3177" s="15"/>
      <c r="M3177" s="14"/>
      <c r="N3177" s="62"/>
      <c r="O3177" s="60"/>
      <c r="P3177" s="23"/>
      <c r="Q3177" s="14"/>
      <c r="R3177" s="14"/>
    </row>
    <row r="3178" spans="1:18">
      <c r="A3178" s="62" t="s">
        <v>1261</v>
      </c>
      <c r="B3178" s="70" t="s">
        <v>1262</v>
      </c>
      <c r="C3178" s="1" t="s">
        <v>494</v>
      </c>
      <c r="E3178" s="1" t="s">
        <v>476</v>
      </c>
      <c r="F3178" s="1">
        <v>1</v>
      </c>
      <c r="G3178" s="1">
        <v>247</v>
      </c>
      <c r="H3178" s="1" t="s">
        <v>1299</v>
      </c>
      <c r="I3178" s="2" t="s">
        <v>1300</v>
      </c>
      <c r="J3178" s="1">
        <v>1</v>
      </c>
      <c r="K3178" s="82">
        <v>1</v>
      </c>
      <c r="L3178" s="9">
        <v>3</v>
      </c>
      <c r="N3178" s="10" t="s">
        <v>506</v>
      </c>
      <c r="O3178" s="10" t="s">
        <v>514</v>
      </c>
      <c r="P3178" s="1" t="s">
        <v>515</v>
      </c>
    </row>
    <row r="3179" spans="1:18">
      <c r="B3179" s="62" t="s">
        <v>1273</v>
      </c>
      <c r="C3179" s="1" t="s">
        <v>494</v>
      </c>
      <c r="E3179" s="1" t="s">
        <v>476</v>
      </c>
      <c r="K3179" s="82">
        <v>2</v>
      </c>
      <c r="L3179" s="9">
        <v>3</v>
      </c>
      <c r="N3179" s="62" t="s">
        <v>1002</v>
      </c>
      <c r="O3179" s="23" t="s">
        <v>1004</v>
      </c>
      <c r="P3179" s="23" t="s">
        <v>1023</v>
      </c>
    </row>
    <row r="3180" spans="1:18">
      <c r="B3180" s="62" t="s">
        <v>1264</v>
      </c>
      <c r="C3180" s="1" t="s">
        <v>494</v>
      </c>
      <c r="E3180" s="1" t="s">
        <v>476</v>
      </c>
      <c r="K3180" s="82">
        <v>3</v>
      </c>
      <c r="L3180" s="9">
        <v>3</v>
      </c>
      <c r="N3180" s="64" t="s">
        <v>1814</v>
      </c>
      <c r="O3180" s="66" t="s">
        <v>1815</v>
      </c>
      <c r="P3180" s="66" t="s">
        <v>1816</v>
      </c>
    </row>
    <row r="3181" spans="1:18">
      <c r="B3181" s="62" t="s">
        <v>1263</v>
      </c>
      <c r="C3181" s="1" t="s">
        <v>494</v>
      </c>
      <c r="E3181" s="1" t="s">
        <v>476</v>
      </c>
      <c r="K3181" s="82">
        <v>4</v>
      </c>
      <c r="L3181" s="9">
        <v>8</v>
      </c>
      <c r="N3181" s="10"/>
    </row>
    <row r="3182" spans="1:18">
      <c r="B3182" s="70" t="s">
        <v>1265</v>
      </c>
      <c r="C3182" s="1" t="s">
        <v>494</v>
      </c>
      <c r="E3182" s="1" t="s">
        <v>476</v>
      </c>
      <c r="K3182" s="82">
        <v>5</v>
      </c>
      <c r="L3182" s="68">
        <v>9</v>
      </c>
      <c r="N3182" s="1" t="s">
        <v>1038</v>
      </c>
      <c r="O3182" s="23" t="s">
        <v>1040</v>
      </c>
      <c r="P3182" s="23" t="s">
        <v>1041</v>
      </c>
      <c r="Q3182" s="23" t="s">
        <v>1040</v>
      </c>
      <c r="R3182" s="14">
        <v>140</v>
      </c>
    </row>
    <row r="3183" spans="1:18">
      <c r="B3183" s="70" t="s">
        <v>1298</v>
      </c>
      <c r="C3183" s="1" t="s">
        <v>494</v>
      </c>
      <c r="E3183" s="62" t="s">
        <v>476</v>
      </c>
      <c r="H3183" s="62" t="s">
        <v>1813</v>
      </c>
      <c r="K3183" s="82">
        <v>6</v>
      </c>
    </row>
    <row r="3184" spans="1:18">
      <c r="B3184" s="62" t="s">
        <v>1266</v>
      </c>
      <c r="C3184" s="1" t="s">
        <v>493</v>
      </c>
      <c r="D3184" s="1">
        <v>1</v>
      </c>
      <c r="K3184" s="82">
        <v>7</v>
      </c>
      <c r="L3184" s="9">
        <v>3</v>
      </c>
    </row>
    <row r="3185" spans="1:18">
      <c r="B3185" s="64" t="s">
        <v>1271</v>
      </c>
      <c r="C3185" s="1" t="s">
        <v>493</v>
      </c>
      <c r="D3185" s="1">
        <v>1</v>
      </c>
      <c r="K3185" s="82">
        <v>8</v>
      </c>
      <c r="L3185" s="9">
        <v>3</v>
      </c>
    </row>
    <row r="3186" spans="1:18">
      <c r="B3186" s="1" t="s">
        <v>1272</v>
      </c>
      <c r="C3186" s="1" t="s">
        <v>494</v>
      </c>
      <c r="K3186" s="82">
        <v>9</v>
      </c>
    </row>
    <row r="3187" spans="1:18">
      <c r="B3187" s="62" t="s">
        <v>1267</v>
      </c>
      <c r="C3187" s="1" t="s">
        <v>494</v>
      </c>
      <c r="H3187" s="1" t="s">
        <v>1270</v>
      </c>
      <c r="K3187" s="82">
        <v>10</v>
      </c>
      <c r="L3187" s="32">
        <v>3</v>
      </c>
      <c r="N3187" s="1" t="s">
        <v>379</v>
      </c>
      <c r="O3187" s="62" t="s">
        <v>698</v>
      </c>
      <c r="P3187" s="62" t="s">
        <v>699</v>
      </c>
    </row>
    <row r="3188" spans="1:18">
      <c r="B3188" s="1" t="s">
        <v>1268</v>
      </c>
      <c r="C3188" s="1" t="s">
        <v>494</v>
      </c>
      <c r="H3188" s="1" t="s">
        <v>1269</v>
      </c>
      <c r="K3188" s="82">
        <v>11</v>
      </c>
      <c r="L3188" s="32">
        <v>3</v>
      </c>
      <c r="N3188" s="1" t="s">
        <v>379</v>
      </c>
      <c r="O3188" s="62" t="s">
        <v>698</v>
      </c>
      <c r="P3188" s="62" t="s">
        <v>699</v>
      </c>
    </row>
    <row r="3189" spans="1:18">
      <c r="B3189" s="39" t="s">
        <v>1311</v>
      </c>
      <c r="C3189" s="1" t="s">
        <v>493</v>
      </c>
      <c r="D3189" s="1">
        <v>50</v>
      </c>
      <c r="H3189" s="1" t="s">
        <v>1319</v>
      </c>
      <c r="K3189" s="82">
        <v>12</v>
      </c>
    </row>
    <row r="3190" spans="1:18">
      <c r="B3190" s="39" t="s">
        <v>1312</v>
      </c>
      <c r="C3190" s="1" t="s">
        <v>493</v>
      </c>
      <c r="D3190" s="1">
        <v>10</v>
      </c>
      <c r="H3190" s="1" t="s">
        <v>1320</v>
      </c>
      <c r="K3190" s="82">
        <v>13</v>
      </c>
      <c r="L3190" s="9">
        <v>7</v>
      </c>
    </row>
    <row r="3191" spans="1:18">
      <c r="B3191" s="39" t="s">
        <v>1313</v>
      </c>
      <c r="C3191" s="1" t="s">
        <v>494</v>
      </c>
      <c r="K3191" s="82">
        <v>14</v>
      </c>
      <c r="M3191" s="1">
        <v>71</v>
      </c>
    </row>
    <row r="3192" spans="1:18">
      <c r="B3192" s="39" t="s">
        <v>1314</v>
      </c>
      <c r="C3192" s="1" t="s">
        <v>494</v>
      </c>
      <c r="K3192" s="82">
        <v>15</v>
      </c>
      <c r="M3192" s="1">
        <v>72</v>
      </c>
    </row>
    <row r="3193" spans="1:18">
      <c r="B3193" s="39" t="s">
        <v>1315</v>
      </c>
      <c r="C3193" s="1" t="s">
        <v>493</v>
      </c>
      <c r="D3193" s="1">
        <v>1</v>
      </c>
      <c r="K3193" s="82">
        <v>16</v>
      </c>
      <c r="L3193" s="9">
        <v>3</v>
      </c>
    </row>
    <row r="3194" spans="1:18">
      <c r="B3194" s="70" t="s">
        <v>1316</v>
      </c>
      <c r="C3194" s="1" t="s">
        <v>493</v>
      </c>
      <c r="D3194" s="1">
        <v>10</v>
      </c>
      <c r="H3194" s="1" t="s">
        <v>1321</v>
      </c>
      <c r="K3194" s="82">
        <v>17</v>
      </c>
      <c r="L3194" s="9">
        <v>7</v>
      </c>
    </row>
    <row r="3195" spans="1:18">
      <c r="B3195" s="39" t="s">
        <v>1317</v>
      </c>
      <c r="C3195" s="1" t="s">
        <v>494</v>
      </c>
      <c r="K3195" s="82">
        <v>18</v>
      </c>
      <c r="M3195" s="1">
        <v>71</v>
      </c>
    </row>
    <row r="3196" spans="1:18">
      <c r="B3196" s="39" t="s">
        <v>1318</v>
      </c>
      <c r="C3196" s="1" t="s">
        <v>494</v>
      </c>
      <c r="K3196" s="82">
        <v>19</v>
      </c>
      <c r="M3196" s="1">
        <v>72</v>
      </c>
    </row>
    <row r="3197" spans="1:18">
      <c r="B3197" s="78" t="s">
        <v>2022</v>
      </c>
      <c r="C3197" s="62" t="s">
        <v>494</v>
      </c>
      <c r="H3197" s="62" t="s">
        <v>2023</v>
      </c>
      <c r="K3197" s="82">
        <v>20</v>
      </c>
      <c r="L3197" s="9">
        <v>3</v>
      </c>
      <c r="M3197" s="62">
        <v>3</v>
      </c>
      <c r="N3197" s="62" t="s">
        <v>2193</v>
      </c>
      <c r="O3197" s="64" t="s">
        <v>2194</v>
      </c>
      <c r="P3197" s="62" t="s">
        <v>2195</v>
      </c>
    </row>
    <row r="3198" spans="1:18">
      <c r="B3198" s="78"/>
      <c r="C3198" s="62"/>
      <c r="H3198" s="62"/>
      <c r="M3198" s="62"/>
      <c r="N3198" s="62"/>
      <c r="O3198" s="64"/>
      <c r="P3198" s="62"/>
    </row>
    <row r="3199" spans="1:18">
      <c r="B3199" s="64"/>
      <c r="C3199" s="62"/>
      <c r="H3199" s="62"/>
    </row>
    <row r="3200" spans="1:18">
      <c r="A3200" s="10"/>
      <c r="B3200" s="10"/>
      <c r="C3200" s="10"/>
      <c r="D3200" s="10"/>
      <c r="E3200" s="10"/>
      <c r="F3200" s="10"/>
      <c r="G3200" s="10"/>
      <c r="H3200" s="10"/>
      <c r="I3200" s="10"/>
      <c r="J3200" s="10"/>
      <c r="K3200" s="16"/>
      <c r="L3200" s="31"/>
      <c r="M3200" s="10"/>
      <c r="N3200" s="10"/>
      <c r="O3200" s="10"/>
      <c r="P3200" s="10"/>
      <c r="Q3200" s="10"/>
      <c r="R3200" s="10"/>
    </row>
    <row r="3201" spans="1:18">
      <c r="A3201" s="10"/>
      <c r="B3201" s="10"/>
      <c r="C3201" s="10"/>
      <c r="D3201" s="10"/>
      <c r="E3201" s="10"/>
      <c r="F3201" s="10"/>
      <c r="G3201" s="10"/>
      <c r="H3201" s="10"/>
      <c r="I3201" s="10"/>
      <c r="J3201" s="10"/>
      <c r="K3201" s="16"/>
      <c r="L3201" s="31"/>
      <c r="M3201" s="10"/>
      <c r="N3201" s="10"/>
      <c r="O3201" s="10"/>
      <c r="P3201" s="10"/>
      <c r="Q3201" s="10"/>
      <c r="R3201" s="10"/>
    </row>
    <row r="3210" spans="1:18">
      <c r="A3210" s="10"/>
      <c r="B3210" s="10"/>
      <c r="C3210" s="10"/>
      <c r="D3210" s="10"/>
      <c r="E3210" s="10"/>
      <c r="F3210" s="10"/>
      <c r="G3210" s="10"/>
      <c r="H3210" s="10"/>
      <c r="I3210" s="10"/>
      <c r="J3210" s="10"/>
      <c r="K3210" s="16"/>
      <c r="L3210" s="31"/>
      <c r="M3210" s="10"/>
      <c r="N3210" s="10"/>
      <c r="O3210" s="10"/>
      <c r="P3210" s="10"/>
      <c r="Q3210" s="10"/>
      <c r="R3210" s="10"/>
    </row>
    <row r="3211" spans="1:18">
      <c r="F3211" s="14"/>
      <c r="G3211" s="14"/>
      <c r="H3211" s="14"/>
      <c r="I3211" s="11"/>
      <c r="J3211" s="14"/>
      <c r="K3211" s="16"/>
      <c r="L3211" s="15"/>
      <c r="M3211" s="14"/>
      <c r="N3211" s="14"/>
      <c r="O3211" s="14"/>
      <c r="P3211" s="14"/>
    </row>
    <row r="3219" spans="1:18">
      <c r="F3219" s="14"/>
      <c r="G3219" s="14"/>
      <c r="H3219" s="14"/>
      <c r="I3219" s="11"/>
      <c r="J3219" s="14"/>
      <c r="K3219" s="16"/>
      <c r="L3219" s="15"/>
      <c r="M3219" s="14"/>
      <c r="O3219" s="14"/>
      <c r="P3219" s="14"/>
    </row>
    <row r="3221" spans="1:18" s="62" customFormat="1">
      <c r="I3221" s="22"/>
      <c r="K3221" s="32"/>
      <c r="L3221" s="76"/>
    </row>
    <row r="3222" spans="1:18">
      <c r="A3222" s="10"/>
      <c r="B3222" s="64"/>
      <c r="C3222" s="64"/>
      <c r="D3222" s="10"/>
      <c r="E3222" s="10"/>
      <c r="F3222" s="10"/>
      <c r="G3222" s="10"/>
      <c r="H3222" s="10"/>
      <c r="I3222" s="10"/>
      <c r="J3222" s="10"/>
      <c r="K3222" s="16"/>
      <c r="L3222" s="15"/>
      <c r="M3222" s="14"/>
      <c r="O3222" s="23"/>
      <c r="P3222" s="23"/>
      <c r="Q3222" s="10"/>
      <c r="R3222" s="10"/>
    </row>
    <row r="3223" spans="1:18">
      <c r="A3223" s="10"/>
      <c r="B3223" s="64"/>
      <c r="C3223" s="64"/>
      <c r="D3223" s="10"/>
      <c r="E3223" s="10"/>
      <c r="F3223" s="10"/>
      <c r="G3223" s="10"/>
      <c r="H3223" s="10"/>
      <c r="I3223" s="10"/>
      <c r="J3223" s="10"/>
      <c r="K3223" s="16"/>
      <c r="L3223" s="15"/>
      <c r="M3223" s="14"/>
      <c r="O3223" s="23"/>
      <c r="P3223" s="23"/>
      <c r="Q3223" s="10"/>
      <c r="R3223" s="10"/>
    </row>
    <row r="3224" spans="1:18">
      <c r="A3224" s="10"/>
      <c r="B3224" s="64"/>
      <c r="C3224" s="10"/>
      <c r="D3224" s="10"/>
      <c r="E3224" s="10"/>
      <c r="F3224" s="10"/>
      <c r="G3224" s="10"/>
      <c r="H3224" s="10"/>
      <c r="I3224" s="10"/>
      <c r="J3224" s="10"/>
      <c r="K3224" s="16"/>
      <c r="L3224" s="15"/>
      <c r="M3224" s="14"/>
      <c r="O3224" s="23"/>
      <c r="P3224" s="23"/>
      <c r="Q3224" s="10"/>
      <c r="R3224" s="10"/>
    </row>
    <row r="3225" spans="1:18">
      <c r="A3225" s="64" t="s">
        <v>2865</v>
      </c>
      <c r="B3225" s="64" t="s">
        <v>2866</v>
      </c>
      <c r="C3225" s="64" t="s">
        <v>494</v>
      </c>
      <c r="D3225" s="10"/>
      <c r="E3225" s="64" t="s">
        <v>476</v>
      </c>
      <c r="F3225" s="10">
        <v>15</v>
      </c>
      <c r="G3225" s="10">
        <v>1580</v>
      </c>
      <c r="H3225" s="64" t="s">
        <v>2876</v>
      </c>
      <c r="I3225" s="64" t="s">
        <v>2877</v>
      </c>
      <c r="J3225" s="10">
        <v>1501</v>
      </c>
      <c r="K3225" s="16">
        <v>1</v>
      </c>
      <c r="L3225" s="15"/>
      <c r="M3225" s="14"/>
      <c r="O3225" s="23"/>
      <c r="P3225" s="23"/>
      <c r="Q3225" s="10"/>
      <c r="R3225" s="10"/>
    </row>
    <row r="3226" spans="1:18">
      <c r="A3226" s="10"/>
      <c r="B3226" s="64" t="s">
        <v>2867</v>
      </c>
      <c r="C3226" s="64" t="s">
        <v>494</v>
      </c>
      <c r="D3226" s="10"/>
      <c r="E3226" s="64" t="s">
        <v>476</v>
      </c>
      <c r="F3226" s="10"/>
      <c r="G3226" s="10"/>
      <c r="H3226" s="10"/>
      <c r="I3226" s="10"/>
      <c r="J3226" s="10"/>
      <c r="K3226" s="16">
        <v>2</v>
      </c>
      <c r="L3226" s="15"/>
      <c r="M3226" s="14"/>
      <c r="O3226" s="23"/>
      <c r="P3226" s="23"/>
      <c r="Q3226" s="10"/>
      <c r="R3226" s="10"/>
    </row>
    <row r="3227" spans="1:18">
      <c r="A3227" s="10"/>
      <c r="B3227" s="64" t="s">
        <v>2868</v>
      </c>
      <c r="C3227" s="64" t="s">
        <v>494</v>
      </c>
      <c r="D3227" s="10"/>
      <c r="E3227" s="64" t="s">
        <v>476</v>
      </c>
      <c r="F3227" s="10"/>
      <c r="G3227" s="10"/>
      <c r="H3227" s="10"/>
      <c r="I3227" s="10"/>
      <c r="J3227" s="10"/>
      <c r="K3227" s="16">
        <v>3</v>
      </c>
      <c r="L3227" s="15"/>
      <c r="M3227" s="14"/>
      <c r="O3227" s="23"/>
      <c r="P3227" s="23"/>
      <c r="Q3227" s="10"/>
      <c r="R3227" s="10"/>
    </row>
    <row r="3228" spans="1:18">
      <c r="A3228" s="10"/>
      <c r="B3228" s="64" t="s">
        <v>2869</v>
      </c>
      <c r="C3228" s="64" t="s">
        <v>494</v>
      </c>
      <c r="D3228" s="10"/>
      <c r="E3228" s="64" t="s">
        <v>476</v>
      </c>
      <c r="F3228" s="10"/>
      <c r="G3228" s="10"/>
      <c r="H3228" s="10"/>
      <c r="I3228" s="10"/>
      <c r="J3228" s="10"/>
      <c r="K3228" s="16">
        <v>4</v>
      </c>
      <c r="L3228" s="15">
        <v>6</v>
      </c>
      <c r="M3228" s="14"/>
      <c r="O3228" s="23"/>
      <c r="P3228" s="23"/>
      <c r="Q3228" s="10"/>
      <c r="R3228" s="10"/>
    </row>
    <row r="3229" spans="1:18">
      <c r="A3229" s="10"/>
      <c r="B3229" s="64" t="s">
        <v>2870</v>
      </c>
      <c r="C3229" s="64" t="s">
        <v>494</v>
      </c>
      <c r="D3229" s="10"/>
      <c r="E3229" s="10"/>
      <c r="F3229" s="10"/>
      <c r="G3229" s="10"/>
      <c r="H3229" s="10"/>
      <c r="I3229" s="10"/>
      <c r="J3229" s="10"/>
      <c r="K3229" s="16">
        <v>5</v>
      </c>
      <c r="L3229" s="15">
        <v>6</v>
      </c>
      <c r="M3229" s="14"/>
      <c r="O3229" s="23"/>
      <c r="P3229" s="23"/>
      <c r="Q3229" s="10"/>
      <c r="R3229" s="10"/>
    </row>
    <row r="3230" spans="1:18">
      <c r="A3230" s="10"/>
      <c r="B3230" s="64" t="s">
        <v>2871</v>
      </c>
      <c r="C3230" s="64" t="s">
        <v>520</v>
      </c>
      <c r="D3230" s="10"/>
      <c r="E3230" s="10"/>
      <c r="F3230" s="10"/>
      <c r="G3230" s="10"/>
      <c r="H3230" s="10"/>
      <c r="I3230" s="10"/>
      <c r="J3230" s="10"/>
      <c r="K3230" s="16">
        <v>6</v>
      </c>
      <c r="L3230" s="15"/>
      <c r="M3230" s="14"/>
      <c r="O3230" s="23"/>
      <c r="P3230" s="23"/>
      <c r="Q3230" s="10"/>
      <c r="R3230" s="10"/>
    </row>
    <row r="3231" spans="1:18">
      <c r="A3231" s="10"/>
      <c r="B3231" s="64" t="s">
        <v>2872</v>
      </c>
      <c r="C3231" s="64" t="s">
        <v>494</v>
      </c>
      <c r="D3231" s="10"/>
      <c r="E3231" s="10"/>
      <c r="F3231" s="10"/>
      <c r="G3231" s="10"/>
      <c r="H3231" s="10"/>
      <c r="I3231" s="10"/>
      <c r="J3231" s="10"/>
      <c r="K3231" s="16">
        <v>7</v>
      </c>
      <c r="L3231" s="15"/>
      <c r="M3231" s="14">
        <v>1</v>
      </c>
      <c r="O3231" s="23"/>
      <c r="P3231" s="23"/>
      <c r="Q3231" s="10"/>
      <c r="R3231" s="10"/>
    </row>
    <row r="3232" spans="1:18">
      <c r="A3232" s="10"/>
      <c r="B3232" s="64" t="s">
        <v>2874</v>
      </c>
      <c r="C3232" s="64" t="s">
        <v>494</v>
      </c>
      <c r="D3232" s="10"/>
      <c r="E3232" s="10"/>
      <c r="F3232" s="10"/>
      <c r="G3232" s="10"/>
      <c r="H3232" s="10"/>
      <c r="I3232" s="10"/>
      <c r="J3232" s="10"/>
      <c r="K3232" s="16">
        <v>8</v>
      </c>
      <c r="L3232" s="15"/>
      <c r="M3232" s="14">
        <v>1</v>
      </c>
      <c r="O3232" s="23"/>
      <c r="P3232" s="23"/>
      <c r="Q3232" s="10"/>
      <c r="R3232" s="10"/>
    </row>
    <row r="3233" spans="1:18">
      <c r="A3233" s="10"/>
      <c r="B3233" s="64" t="s">
        <v>2873</v>
      </c>
      <c r="C3233" s="64" t="s">
        <v>494</v>
      </c>
      <c r="D3233" s="10"/>
      <c r="E3233" s="10"/>
      <c r="F3233" s="10"/>
      <c r="G3233" s="10"/>
      <c r="H3233" s="10"/>
      <c r="I3233" s="10"/>
      <c r="J3233" s="10"/>
      <c r="K3233" s="16">
        <v>9</v>
      </c>
      <c r="L3233" s="15"/>
      <c r="M3233" s="14">
        <v>1</v>
      </c>
      <c r="O3233" s="23"/>
      <c r="P3233" s="23"/>
      <c r="Q3233" s="10"/>
      <c r="R3233" s="10"/>
    </row>
    <row r="3234" spans="1:18">
      <c r="A3234" s="10"/>
      <c r="B3234" s="64" t="s">
        <v>2875</v>
      </c>
      <c r="C3234" s="64" t="s">
        <v>494</v>
      </c>
      <c r="D3234" s="10"/>
      <c r="E3234" s="10"/>
      <c r="F3234" s="10"/>
      <c r="G3234" s="10"/>
      <c r="H3234" s="10"/>
      <c r="I3234" s="10"/>
      <c r="J3234" s="10"/>
      <c r="K3234" s="16">
        <v>10</v>
      </c>
      <c r="L3234" s="15">
        <v>8</v>
      </c>
      <c r="M3234" s="14">
        <v>1</v>
      </c>
      <c r="O3234" s="23"/>
      <c r="P3234" s="23"/>
      <c r="Q3234" s="10"/>
      <c r="R3234" s="10"/>
    </row>
    <row r="3235" spans="1:18">
      <c r="A3235" s="10"/>
      <c r="B3235" s="64"/>
      <c r="C3235" s="64"/>
      <c r="D3235" s="10"/>
      <c r="E3235" s="10"/>
      <c r="F3235" s="10"/>
      <c r="G3235" s="10"/>
      <c r="H3235" s="10"/>
      <c r="I3235" s="10"/>
      <c r="J3235" s="10"/>
      <c r="K3235" s="16"/>
      <c r="L3235" s="15"/>
      <c r="M3235" s="14"/>
      <c r="O3235" s="23"/>
      <c r="P3235" s="23"/>
      <c r="Q3235" s="10"/>
      <c r="R3235" s="10"/>
    </row>
    <row r="3236" spans="1:18">
      <c r="A3236" s="10"/>
      <c r="B3236" s="64"/>
      <c r="C3236" s="10"/>
      <c r="D3236" s="10"/>
      <c r="E3236" s="10"/>
      <c r="F3236" s="10"/>
      <c r="G3236" s="10"/>
      <c r="H3236" s="10"/>
      <c r="I3236" s="10"/>
      <c r="J3236" s="10"/>
      <c r="K3236" s="16"/>
      <c r="L3236" s="15"/>
      <c r="M3236" s="14"/>
      <c r="O3236" s="23"/>
      <c r="P3236" s="23"/>
      <c r="Q3236" s="10"/>
      <c r="R3236" s="10"/>
    </row>
    <row r="3237" spans="1:18">
      <c r="B3237" s="66"/>
      <c r="C3237" s="64"/>
      <c r="D3237" s="16"/>
      <c r="F3237" s="14"/>
      <c r="G3237" s="14"/>
      <c r="H3237" s="47"/>
      <c r="I3237" s="11"/>
      <c r="J3237" s="14"/>
      <c r="K3237" s="16"/>
      <c r="L3237" s="15"/>
      <c r="M3237" s="14"/>
      <c r="O3237" s="23"/>
      <c r="P3237" s="23"/>
      <c r="Q3237" s="14"/>
      <c r="R3237" s="14"/>
    </row>
    <row r="3238" spans="1:18">
      <c r="B3238" s="60"/>
      <c r="C3238" s="62"/>
      <c r="F3238" s="14"/>
      <c r="G3238" s="14"/>
      <c r="H3238" s="14"/>
      <c r="I3238" s="11"/>
      <c r="J3238" s="14"/>
      <c r="K3238" s="16"/>
      <c r="L3238" s="15"/>
      <c r="M3238" s="14"/>
      <c r="P3238" s="23"/>
      <c r="Q3238" s="14"/>
      <c r="R3238" s="14"/>
    </row>
    <row r="3239" spans="1:18">
      <c r="B3239" s="60"/>
      <c r="C3239" s="62"/>
      <c r="F3239" s="14"/>
      <c r="G3239" s="14"/>
      <c r="H3239" s="14"/>
      <c r="I3239" s="11"/>
      <c r="J3239" s="14"/>
      <c r="K3239" s="16"/>
      <c r="L3239" s="15"/>
      <c r="M3239" s="14"/>
      <c r="P3239" s="23"/>
      <c r="Q3239" s="14"/>
      <c r="R3239" s="14"/>
    </row>
    <row r="3240" spans="1:18">
      <c r="B3240" s="60"/>
      <c r="C3240" s="62"/>
      <c r="F3240" s="14"/>
      <c r="G3240" s="14"/>
      <c r="H3240" s="14"/>
      <c r="I3240" s="11"/>
      <c r="J3240" s="14"/>
      <c r="K3240" s="16"/>
      <c r="L3240" s="15"/>
      <c r="M3240" s="14"/>
      <c r="P3240" s="23"/>
      <c r="Q3240" s="14"/>
      <c r="R3240" s="14"/>
    </row>
    <row r="3241" spans="1:18">
      <c r="B3241" s="60"/>
      <c r="C3241" s="62"/>
      <c r="F3241" s="14"/>
      <c r="G3241" s="14"/>
      <c r="H3241" s="14"/>
      <c r="I3241" s="11"/>
      <c r="J3241" s="14"/>
      <c r="K3241" s="16"/>
      <c r="L3241" s="15"/>
      <c r="M3241" s="14"/>
      <c r="P3241" s="23"/>
      <c r="Q3241" s="14"/>
      <c r="R3241" s="14"/>
    </row>
    <row r="3242" spans="1:18">
      <c r="B3242" s="60"/>
      <c r="C3242" s="62"/>
      <c r="F3242" s="14"/>
      <c r="G3242" s="14"/>
      <c r="H3242" s="14"/>
      <c r="I3242" s="11"/>
      <c r="J3242" s="14"/>
      <c r="K3242" s="16"/>
      <c r="L3242" s="15"/>
      <c r="M3242" s="14"/>
      <c r="P3242" s="23"/>
      <c r="Q3242" s="14"/>
      <c r="R3242" s="14"/>
    </row>
    <row r="3243" spans="1:18">
      <c r="B3243" s="60"/>
      <c r="C3243" s="62"/>
      <c r="F3243" s="14"/>
      <c r="G3243" s="14"/>
      <c r="H3243" s="14"/>
      <c r="I3243" s="11"/>
      <c r="J3243" s="14"/>
      <c r="K3243" s="16"/>
      <c r="L3243" s="15"/>
      <c r="M3243" s="14"/>
      <c r="P3243" s="23"/>
      <c r="Q3243" s="14"/>
      <c r="R3243" s="14"/>
    </row>
    <row r="3244" spans="1:18">
      <c r="B3244" s="60"/>
      <c r="C3244" s="62"/>
      <c r="F3244" s="14"/>
      <c r="G3244" s="14"/>
      <c r="H3244" s="14"/>
      <c r="I3244" s="11"/>
      <c r="J3244" s="14"/>
      <c r="K3244" s="16"/>
      <c r="L3244" s="15"/>
      <c r="M3244" s="14"/>
      <c r="P3244" s="23"/>
      <c r="Q3244" s="14"/>
      <c r="R3244" s="14"/>
    </row>
    <row r="3245" spans="1:18">
      <c r="B3245" s="60"/>
      <c r="C3245" s="62"/>
      <c r="F3245" s="14"/>
      <c r="G3245" s="14"/>
      <c r="H3245" s="14"/>
      <c r="I3245" s="11"/>
      <c r="J3245" s="14"/>
      <c r="K3245" s="16"/>
      <c r="L3245" s="15"/>
      <c r="M3245" s="14"/>
      <c r="P3245" s="23"/>
      <c r="Q3245" s="14"/>
      <c r="R3245" s="14"/>
    </row>
    <row r="3246" spans="1:18">
      <c r="B3246" s="60"/>
      <c r="C3246" s="62"/>
      <c r="F3246" s="14"/>
      <c r="G3246" s="14"/>
      <c r="H3246" s="14"/>
      <c r="I3246" s="11"/>
      <c r="J3246" s="14"/>
      <c r="K3246" s="16"/>
      <c r="L3246" s="15"/>
      <c r="M3246" s="14"/>
      <c r="N3246" s="62"/>
      <c r="O3246" s="60"/>
      <c r="P3246" s="23"/>
      <c r="Q3246" s="14"/>
      <c r="R3246" s="14"/>
    </row>
    <row r="3247" spans="1:18">
      <c r="B3247" s="66"/>
      <c r="C3247" s="64"/>
      <c r="F3247" s="14"/>
      <c r="G3247" s="14"/>
      <c r="H3247" s="14"/>
      <c r="I3247" s="11"/>
      <c r="J3247" s="14"/>
      <c r="K3247" s="76"/>
      <c r="L3247" s="15"/>
      <c r="M3247" s="14"/>
      <c r="N3247" s="62"/>
      <c r="O3247" s="60"/>
      <c r="P3247" s="23"/>
      <c r="Q3247" s="14"/>
      <c r="R3247" s="14"/>
    </row>
    <row r="3248" spans="1:18">
      <c r="B3248" s="66"/>
      <c r="C3248" s="64"/>
      <c r="F3248" s="14"/>
      <c r="G3248" s="14"/>
      <c r="H3248" s="14"/>
      <c r="I3248" s="11"/>
      <c r="J3248" s="14"/>
      <c r="K3248" s="76"/>
      <c r="L3248" s="15"/>
      <c r="M3248" s="14"/>
      <c r="N3248" s="62"/>
      <c r="O3248" s="60"/>
      <c r="P3248" s="23"/>
      <c r="Q3248" s="14"/>
      <c r="R3248" s="14"/>
    </row>
    <row r="3249" spans="1:18">
      <c r="B3249" s="66"/>
      <c r="C3249" s="64"/>
      <c r="F3249" s="14"/>
      <c r="G3249" s="14"/>
      <c r="H3249" s="14"/>
      <c r="I3249" s="11"/>
      <c r="J3249" s="14"/>
      <c r="K3249" s="76"/>
      <c r="L3249" s="15"/>
      <c r="M3249" s="14"/>
      <c r="N3249" s="62"/>
      <c r="O3249" s="60"/>
      <c r="P3249" s="23"/>
      <c r="Q3249" s="14"/>
      <c r="R3249" s="14"/>
    </row>
    <row r="3250" spans="1:18">
      <c r="B3250" s="66"/>
      <c r="C3250" s="64"/>
      <c r="F3250" s="14"/>
      <c r="G3250" s="14"/>
      <c r="H3250" s="14"/>
      <c r="I3250" s="11"/>
      <c r="J3250" s="14"/>
      <c r="K3250" s="76"/>
      <c r="L3250" s="15"/>
      <c r="M3250" s="14"/>
      <c r="N3250" s="62"/>
      <c r="O3250" s="60"/>
      <c r="P3250" s="23"/>
      <c r="Q3250" s="14"/>
      <c r="R3250" s="14"/>
    </row>
    <row r="3251" spans="1:18" s="62" customFormat="1">
      <c r="I3251" s="22"/>
      <c r="K3251" s="32"/>
      <c r="L3251" s="76"/>
    </row>
    <row r="3252" spans="1:18">
      <c r="A3252" s="62" t="s">
        <v>2329</v>
      </c>
      <c r="B3252" s="66" t="s">
        <v>2331</v>
      </c>
      <c r="C3252" s="64" t="s">
        <v>494</v>
      </c>
      <c r="E3252" s="62" t="s">
        <v>476</v>
      </c>
      <c r="F3252" s="14">
        <v>21</v>
      </c>
      <c r="G3252" s="14">
        <v>2127</v>
      </c>
      <c r="H3252" s="47" t="s">
        <v>2421</v>
      </c>
      <c r="I3252" s="48" t="s">
        <v>2422</v>
      </c>
      <c r="J3252" s="47">
        <v>2101</v>
      </c>
      <c r="K3252" s="57">
        <v>1</v>
      </c>
      <c r="L3252" s="15">
        <v>6</v>
      </c>
      <c r="M3252" s="14"/>
      <c r="N3252" s="62"/>
      <c r="O3252" s="60"/>
      <c r="P3252" s="23"/>
      <c r="Q3252" s="14"/>
      <c r="R3252" s="14"/>
    </row>
    <row r="3253" spans="1:18">
      <c r="A3253" s="62"/>
      <c r="B3253" s="66" t="s">
        <v>2330</v>
      </c>
      <c r="C3253" s="64" t="s">
        <v>494</v>
      </c>
      <c r="F3253" s="14"/>
      <c r="G3253" s="14"/>
      <c r="H3253" s="14"/>
      <c r="I3253" s="11"/>
      <c r="J3253" s="14"/>
      <c r="K3253" s="76">
        <v>2</v>
      </c>
      <c r="L3253" s="15">
        <v>6</v>
      </c>
      <c r="M3253" s="14"/>
      <c r="N3253" s="62"/>
      <c r="O3253" s="60"/>
      <c r="P3253" s="23"/>
      <c r="Q3253" s="14"/>
      <c r="R3253" s="14"/>
    </row>
    <row r="3254" spans="1:18">
      <c r="A3254" s="62"/>
      <c r="B3254" s="66" t="s">
        <v>2332</v>
      </c>
      <c r="C3254" s="64" t="s">
        <v>493</v>
      </c>
      <c r="D3254" s="1">
        <v>1</v>
      </c>
      <c r="F3254" s="14"/>
      <c r="G3254" s="14"/>
      <c r="H3254" s="14"/>
      <c r="I3254" s="11"/>
      <c r="J3254" s="14"/>
      <c r="K3254" s="76">
        <v>3</v>
      </c>
      <c r="L3254" s="15">
        <v>30</v>
      </c>
      <c r="M3254" s="14"/>
      <c r="N3254" s="62"/>
      <c r="O3254" s="60"/>
      <c r="P3254" s="23"/>
      <c r="Q3254" s="14"/>
      <c r="R3254" s="14"/>
    </row>
    <row r="3255" spans="1:18">
      <c r="A3255" s="62"/>
      <c r="B3255" s="66" t="s">
        <v>2333</v>
      </c>
      <c r="C3255" s="64" t="s">
        <v>494</v>
      </c>
      <c r="F3255" s="14"/>
      <c r="G3255" s="14"/>
      <c r="H3255" s="14"/>
      <c r="I3255" s="11"/>
      <c r="J3255" s="14"/>
      <c r="K3255" s="76">
        <v>4</v>
      </c>
      <c r="L3255" s="62">
        <v>3</v>
      </c>
      <c r="M3255" s="62">
        <v>3</v>
      </c>
      <c r="N3255" s="64" t="s">
        <v>506</v>
      </c>
      <c r="O3255" s="64" t="s">
        <v>514</v>
      </c>
      <c r="P3255" s="1" t="s">
        <v>515</v>
      </c>
      <c r="Q3255" s="14"/>
      <c r="R3255" s="14"/>
    </row>
    <row r="3256" spans="1:18">
      <c r="A3256" s="62"/>
      <c r="B3256" s="66" t="s">
        <v>2334</v>
      </c>
      <c r="C3256" s="64" t="s">
        <v>494</v>
      </c>
      <c r="F3256" s="14"/>
      <c r="G3256" s="14"/>
      <c r="H3256" s="14"/>
      <c r="I3256" s="11"/>
      <c r="J3256" s="14"/>
      <c r="K3256" s="76">
        <v>5</v>
      </c>
      <c r="L3256" s="62">
        <v>9</v>
      </c>
      <c r="M3256" s="62">
        <v>3</v>
      </c>
      <c r="N3256" s="62" t="s">
        <v>1038</v>
      </c>
      <c r="O3256" s="23" t="s">
        <v>1040</v>
      </c>
      <c r="P3256" s="60" t="s">
        <v>1041</v>
      </c>
      <c r="Q3256" s="23" t="s">
        <v>1040</v>
      </c>
      <c r="R3256" s="14">
        <v>140</v>
      </c>
    </row>
    <row r="3257" spans="1:18">
      <c r="A3257" s="62"/>
      <c r="B3257" s="66" t="s">
        <v>2335</v>
      </c>
      <c r="C3257" s="64" t="s">
        <v>494</v>
      </c>
      <c r="F3257" s="14"/>
      <c r="G3257" s="14"/>
      <c r="H3257" s="14"/>
      <c r="I3257" s="11"/>
      <c r="J3257" s="14"/>
      <c r="K3257" s="76">
        <v>6</v>
      </c>
      <c r="L3257" s="15">
        <v>8</v>
      </c>
      <c r="M3257" s="14"/>
      <c r="N3257" s="62"/>
      <c r="O3257" s="60"/>
      <c r="P3257" s="23"/>
      <c r="Q3257" s="14"/>
      <c r="R3257" s="14"/>
    </row>
    <row r="3258" spans="1:18">
      <c r="A3258" s="62"/>
      <c r="B3258" s="66" t="s">
        <v>2336</v>
      </c>
      <c r="C3258" s="64" t="s">
        <v>494</v>
      </c>
      <c r="F3258" s="14"/>
      <c r="G3258" s="14"/>
      <c r="H3258" s="14"/>
      <c r="I3258" s="11"/>
      <c r="J3258" s="14"/>
      <c r="K3258" s="76">
        <v>7</v>
      </c>
      <c r="L3258" s="15">
        <v>3</v>
      </c>
      <c r="M3258" s="1">
        <v>31</v>
      </c>
      <c r="N3258" s="1" t="s">
        <v>1977</v>
      </c>
      <c r="O3258" s="62" t="s">
        <v>1978</v>
      </c>
      <c r="P3258" s="62" t="s">
        <v>1979</v>
      </c>
      <c r="Q3258" s="62" t="s">
        <v>1993</v>
      </c>
      <c r="R3258" s="1">
        <v>6</v>
      </c>
    </row>
    <row r="3259" spans="1:18">
      <c r="A3259" s="62"/>
      <c r="B3259" s="66" t="s">
        <v>2352</v>
      </c>
      <c r="C3259" s="64" t="s">
        <v>702</v>
      </c>
      <c r="F3259" s="14"/>
      <c r="G3259" s="14"/>
      <c r="H3259" s="14"/>
      <c r="I3259" s="11"/>
      <c r="J3259" s="14"/>
      <c r="K3259" s="76">
        <v>8</v>
      </c>
      <c r="L3259" s="15"/>
      <c r="M3259" s="14">
        <v>1</v>
      </c>
      <c r="N3259" s="62"/>
      <c r="O3259" s="60"/>
      <c r="P3259" s="23"/>
      <c r="Q3259" s="14"/>
      <c r="R3259" s="14"/>
    </row>
    <row r="3260" spans="1:18">
      <c r="A3260" s="62"/>
      <c r="B3260" s="66" t="s">
        <v>2337</v>
      </c>
      <c r="C3260" s="64" t="s">
        <v>702</v>
      </c>
      <c r="F3260" s="14"/>
      <c r="G3260" s="14"/>
      <c r="H3260" s="14"/>
      <c r="I3260" s="11"/>
      <c r="J3260" s="14"/>
      <c r="K3260" s="76">
        <v>9</v>
      </c>
      <c r="L3260" s="15"/>
      <c r="M3260" s="14"/>
      <c r="N3260" s="62"/>
      <c r="O3260" s="60"/>
      <c r="P3260" s="23"/>
      <c r="Q3260" s="14"/>
      <c r="R3260" s="14"/>
    </row>
    <row r="3261" spans="1:18">
      <c r="A3261" s="62"/>
      <c r="B3261" s="66" t="s">
        <v>2351</v>
      </c>
      <c r="C3261" s="64" t="s">
        <v>494</v>
      </c>
      <c r="F3261" s="14"/>
      <c r="G3261" s="14"/>
      <c r="H3261" s="14"/>
      <c r="I3261" s="11"/>
      <c r="J3261" s="14"/>
      <c r="K3261" s="76">
        <v>10</v>
      </c>
      <c r="L3261" s="15"/>
      <c r="M3261" s="14">
        <v>1</v>
      </c>
      <c r="N3261" s="62"/>
      <c r="O3261" s="60"/>
      <c r="P3261" s="23"/>
      <c r="Q3261" s="14"/>
      <c r="R3261" s="14"/>
    </row>
    <row r="3262" spans="1:18">
      <c r="A3262" s="62"/>
      <c r="B3262" s="66" t="s">
        <v>2338</v>
      </c>
      <c r="C3262" s="64" t="s">
        <v>520</v>
      </c>
      <c r="F3262" s="14"/>
      <c r="G3262" s="14"/>
      <c r="H3262" s="14"/>
      <c r="I3262" s="11"/>
      <c r="J3262" s="14"/>
      <c r="K3262" s="76">
        <v>11</v>
      </c>
      <c r="L3262" s="15"/>
      <c r="M3262" s="14"/>
      <c r="N3262" s="62"/>
      <c r="O3262" s="60"/>
      <c r="P3262" s="23"/>
      <c r="Q3262" s="14"/>
      <c r="R3262" s="14"/>
    </row>
    <row r="3263" spans="1:18">
      <c r="A3263" s="62"/>
      <c r="B3263" s="66" t="s">
        <v>2339</v>
      </c>
      <c r="C3263" s="64" t="s">
        <v>494</v>
      </c>
      <c r="F3263" s="14"/>
      <c r="G3263" s="14"/>
      <c r="H3263" s="14"/>
      <c r="I3263" s="11"/>
      <c r="J3263" s="14"/>
      <c r="K3263" s="76">
        <v>12</v>
      </c>
      <c r="L3263" s="15">
        <v>8</v>
      </c>
      <c r="M3263" s="14"/>
      <c r="N3263" s="62"/>
      <c r="O3263" s="60"/>
      <c r="P3263" s="23"/>
      <c r="Q3263" s="14"/>
      <c r="R3263" s="14"/>
    </row>
    <row r="3264" spans="1:18">
      <c r="A3264" s="62"/>
      <c r="B3264" s="66" t="s">
        <v>2340</v>
      </c>
      <c r="C3264" s="64" t="s">
        <v>493</v>
      </c>
      <c r="D3264" s="1">
        <v>10</v>
      </c>
      <c r="F3264" s="14"/>
      <c r="G3264" s="14"/>
      <c r="H3264" s="14"/>
      <c r="I3264" s="11"/>
      <c r="J3264" s="14"/>
      <c r="K3264" s="76">
        <v>13</v>
      </c>
      <c r="L3264" s="15">
        <v>7</v>
      </c>
      <c r="M3264" s="14"/>
      <c r="N3264" s="62"/>
      <c r="O3264" s="60"/>
      <c r="P3264" s="23"/>
      <c r="Q3264" s="14"/>
      <c r="R3264" s="14"/>
    </row>
    <row r="3265" spans="1:18">
      <c r="A3265" s="62"/>
      <c r="B3265" s="66" t="s">
        <v>2341</v>
      </c>
      <c r="C3265" s="64" t="s">
        <v>494</v>
      </c>
      <c r="F3265" s="14"/>
      <c r="G3265" s="14"/>
      <c r="H3265" s="14"/>
      <c r="I3265" s="11"/>
      <c r="J3265" s="14"/>
      <c r="K3265" s="76">
        <v>14</v>
      </c>
      <c r="L3265" s="15"/>
      <c r="M3265" s="14">
        <v>71</v>
      </c>
      <c r="N3265" s="62"/>
      <c r="O3265" s="60"/>
      <c r="P3265" s="23"/>
      <c r="Q3265" s="14"/>
      <c r="R3265" s="14"/>
    </row>
    <row r="3266" spans="1:18">
      <c r="A3266" s="62"/>
      <c r="B3266" s="66" t="s">
        <v>2342</v>
      </c>
      <c r="C3266" s="64" t="s">
        <v>494</v>
      </c>
      <c r="F3266" s="14"/>
      <c r="G3266" s="14"/>
      <c r="H3266" s="14"/>
      <c r="I3266" s="11"/>
      <c r="J3266" s="14"/>
      <c r="K3266" s="76">
        <v>15</v>
      </c>
      <c r="L3266" s="15"/>
      <c r="M3266" s="14">
        <v>72</v>
      </c>
      <c r="N3266" s="62"/>
      <c r="O3266" s="60"/>
      <c r="P3266" s="23"/>
      <c r="Q3266" s="14"/>
      <c r="R3266" s="14"/>
    </row>
    <row r="3267" spans="1:18">
      <c r="A3267" s="62"/>
      <c r="B3267" s="66" t="s">
        <v>2343</v>
      </c>
      <c r="C3267" s="64" t="s">
        <v>494</v>
      </c>
      <c r="F3267" s="14"/>
      <c r="G3267" s="14"/>
      <c r="H3267" s="14"/>
      <c r="I3267" s="11"/>
      <c r="J3267" s="14"/>
      <c r="K3267" s="76">
        <v>16</v>
      </c>
      <c r="L3267" s="15">
        <v>8</v>
      </c>
      <c r="M3267" s="14"/>
      <c r="N3267" s="62"/>
      <c r="O3267" s="60"/>
      <c r="P3267" s="23"/>
      <c r="Q3267" s="14"/>
      <c r="R3267" s="14"/>
    </row>
    <row r="3268" spans="1:18">
      <c r="A3268" s="62"/>
      <c r="B3268" s="66" t="s">
        <v>2344</v>
      </c>
      <c r="C3268" s="64" t="s">
        <v>493</v>
      </c>
      <c r="D3268" s="1">
        <v>10</v>
      </c>
      <c r="F3268" s="14"/>
      <c r="G3268" s="14"/>
      <c r="H3268" s="14"/>
      <c r="I3268" s="11"/>
      <c r="J3268" s="14"/>
      <c r="K3268" s="76">
        <v>17</v>
      </c>
      <c r="L3268" s="15">
        <v>7</v>
      </c>
      <c r="M3268" s="14"/>
      <c r="N3268" s="62"/>
      <c r="O3268" s="60"/>
      <c r="P3268" s="23"/>
      <c r="Q3268" s="14"/>
      <c r="R3268" s="14"/>
    </row>
    <row r="3269" spans="1:18">
      <c r="A3269" s="62"/>
      <c r="B3269" s="66" t="s">
        <v>2345</v>
      </c>
      <c r="C3269" s="64" t="s">
        <v>494</v>
      </c>
      <c r="F3269" s="14"/>
      <c r="G3269" s="14"/>
      <c r="H3269" s="14"/>
      <c r="I3269" s="11"/>
      <c r="J3269" s="14"/>
      <c r="K3269" s="76">
        <v>18</v>
      </c>
      <c r="L3269" s="15"/>
      <c r="M3269" s="14">
        <v>71</v>
      </c>
      <c r="N3269" s="62"/>
      <c r="O3269" s="60"/>
      <c r="P3269" s="23"/>
      <c r="Q3269" s="14"/>
      <c r="R3269" s="14"/>
    </row>
    <row r="3270" spans="1:18">
      <c r="A3270" s="62"/>
      <c r="B3270" s="66" t="s">
        <v>2347</v>
      </c>
      <c r="C3270" s="64" t="s">
        <v>494</v>
      </c>
      <c r="F3270" s="14"/>
      <c r="G3270" s="14"/>
      <c r="H3270" s="14"/>
      <c r="I3270" s="11"/>
      <c r="J3270" s="14"/>
      <c r="K3270" s="76">
        <v>19</v>
      </c>
      <c r="L3270" s="15"/>
      <c r="M3270" s="14">
        <v>72</v>
      </c>
      <c r="N3270" s="62"/>
      <c r="O3270" s="60"/>
      <c r="P3270" s="23"/>
      <c r="Q3270" s="14"/>
      <c r="R3270" s="14"/>
    </row>
    <row r="3271" spans="1:18">
      <c r="A3271" s="62"/>
      <c r="B3271" s="66" t="s">
        <v>2346</v>
      </c>
      <c r="C3271" s="64" t="s">
        <v>520</v>
      </c>
      <c r="F3271" s="14"/>
      <c r="G3271" s="14"/>
      <c r="H3271" s="14"/>
      <c r="I3271" s="11"/>
      <c r="J3271" s="14"/>
      <c r="K3271" s="76">
        <v>20</v>
      </c>
      <c r="L3271" s="15"/>
      <c r="M3271" s="14"/>
      <c r="N3271" s="62"/>
      <c r="O3271" s="60"/>
      <c r="P3271" s="23"/>
      <c r="Q3271" s="14"/>
      <c r="R3271" s="14"/>
    </row>
    <row r="3272" spans="1:18">
      <c r="A3272" s="62"/>
      <c r="B3272" s="66" t="s">
        <v>2348</v>
      </c>
      <c r="C3272" s="64" t="s">
        <v>493</v>
      </c>
      <c r="D3272" s="1">
        <v>1</v>
      </c>
      <c r="F3272" s="14"/>
      <c r="G3272" s="14"/>
      <c r="H3272" s="14"/>
      <c r="I3272" s="11"/>
      <c r="J3272" s="14"/>
      <c r="K3272" s="76">
        <v>21</v>
      </c>
      <c r="L3272" s="15">
        <v>3</v>
      </c>
      <c r="M3272" s="14"/>
      <c r="N3272" s="62"/>
      <c r="O3272" s="60"/>
      <c r="P3272" s="23"/>
      <c r="Q3272" s="14"/>
      <c r="R3272" s="14"/>
    </row>
    <row r="3273" spans="1:18">
      <c r="A3273" s="62"/>
      <c r="B3273" s="66" t="s">
        <v>2349</v>
      </c>
      <c r="C3273" s="64" t="s">
        <v>493</v>
      </c>
      <c r="D3273" s="1">
        <v>10</v>
      </c>
      <c r="F3273" s="14"/>
      <c r="G3273" s="14"/>
      <c r="H3273" s="14"/>
      <c r="I3273" s="11"/>
      <c r="J3273" s="14"/>
      <c r="K3273" s="76">
        <v>22</v>
      </c>
      <c r="L3273" s="15">
        <v>7</v>
      </c>
      <c r="M3273" s="14"/>
      <c r="N3273" s="62"/>
      <c r="O3273" s="60"/>
      <c r="P3273" s="23"/>
      <c r="Q3273" s="14"/>
      <c r="R3273" s="14"/>
    </row>
    <row r="3274" spans="1:18">
      <c r="A3274" s="62"/>
      <c r="B3274" s="66" t="s">
        <v>2350</v>
      </c>
      <c r="C3274" s="64" t="s">
        <v>494</v>
      </c>
      <c r="F3274" s="14"/>
      <c r="G3274" s="14"/>
      <c r="H3274" s="14"/>
      <c r="I3274" s="11"/>
      <c r="J3274" s="14"/>
      <c r="K3274" s="76">
        <v>23</v>
      </c>
      <c r="L3274" s="15">
        <v>8</v>
      </c>
      <c r="M3274" s="14"/>
      <c r="N3274" s="62"/>
      <c r="O3274" s="60"/>
      <c r="P3274" s="23"/>
      <c r="Q3274" s="14"/>
      <c r="R3274" s="14"/>
    </row>
    <row r="3275" spans="1:18">
      <c r="A3275" s="62"/>
      <c r="B3275" s="66" t="s">
        <v>2427</v>
      </c>
      <c r="C3275" s="64" t="s">
        <v>493</v>
      </c>
      <c r="D3275" s="1">
        <v>1</v>
      </c>
      <c r="F3275" s="14"/>
      <c r="G3275" s="14"/>
      <c r="H3275" s="14"/>
      <c r="I3275" s="11"/>
      <c r="J3275" s="14"/>
      <c r="K3275" s="76">
        <v>24</v>
      </c>
      <c r="L3275" s="15">
        <v>1</v>
      </c>
      <c r="M3275" s="14"/>
      <c r="N3275" s="62"/>
      <c r="O3275" s="60"/>
      <c r="P3275" s="23"/>
      <c r="Q3275" s="14"/>
      <c r="R3275" s="14"/>
    </row>
    <row r="3276" spans="1:18">
      <c r="A3276" s="62"/>
      <c r="B3276" s="66"/>
      <c r="C3276" s="64"/>
      <c r="F3276" s="14"/>
      <c r="G3276" s="14"/>
      <c r="H3276" s="14"/>
      <c r="I3276" s="11"/>
      <c r="J3276" s="14"/>
      <c r="K3276" s="76"/>
      <c r="L3276" s="15"/>
      <c r="M3276" s="14"/>
      <c r="N3276" s="62"/>
      <c r="O3276" s="60"/>
      <c r="P3276" s="23"/>
      <c r="Q3276" s="14"/>
      <c r="R3276" s="14"/>
    </row>
    <row r="3277" spans="1:18">
      <c r="A3277" s="62"/>
      <c r="B3277" s="66"/>
      <c r="C3277" s="64"/>
      <c r="F3277" s="14"/>
      <c r="G3277" s="14"/>
      <c r="H3277" s="14"/>
      <c r="I3277" s="11"/>
      <c r="J3277" s="14"/>
      <c r="K3277" s="76"/>
      <c r="L3277" s="15"/>
      <c r="M3277" s="14"/>
      <c r="N3277" s="62"/>
      <c r="O3277" s="60"/>
      <c r="P3277" s="23"/>
      <c r="Q3277" s="14"/>
      <c r="R3277" s="14"/>
    </row>
    <row r="3278" spans="1:18">
      <c r="B3278" s="43"/>
      <c r="C3278" s="45"/>
      <c r="D3278" s="10"/>
      <c r="F3278" s="14"/>
      <c r="G3278" s="14"/>
      <c r="H3278" s="14"/>
      <c r="I3278" s="11"/>
      <c r="J3278" s="14"/>
      <c r="K3278" s="16"/>
      <c r="L3278" s="15"/>
      <c r="M3278" s="14"/>
      <c r="N3278" s="14"/>
      <c r="O3278" s="14"/>
      <c r="P3278" s="14"/>
      <c r="Q3278" s="14"/>
      <c r="R3278" s="14"/>
    </row>
    <row r="3279" spans="1:18">
      <c r="B3279" s="29"/>
      <c r="F3279" s="14"/>
      <c r="G3279" s="14"/>
      <c r="H3279" s="14"/>
      <c r="I3279" s="11"/>
      <c r="J3279" s="14"/>
      <c r="K3279" s="16"/>
      <c r="L3279" s="15"/>
      <c r="M3279" s="14"/>
      <c r="O3279" s="23"/>
      <c r="P3279" s="23"/>
      <c r="Q3279" s="14"/>
      <c r="R3279" s="14"/>
    </row>
    <row r="3280" spans="1:18">
      <c r="A3280" s="10"/>
      <c r="B3280" s="10"/>
      <c r="C3280" s="10"/>
      <c r="D3280" s="10"/>
      <c r="E3280" s="10"/>
      <c r="F3280" s="10"/>
      <c r="G3280" s="10"/>
      <c r="H3280" s="10"/>
      <c r="I3280" s="10"/>
      <c r="J3280" s="10"/>
      <c r="K3280" s="16"/>
      <c r="L3280" s="31"/>
      <c r="M3280" s="10"/>
      <c r="N3280" s="10"/>
      <c r="O3280" s="10"/>
      <c r="P3280" s="10"/>
      <c r="Q3280" s="10"/>
      <c r="R3280" s="10"/>
    </row>
    <row r="3282" spans="1:16" s="62" customFormat="1">
      <c r="A3282" s="62" t="s">
        <v>2129</v>
      </c>
      <c r="B3282" s="64" t="s">
        <v>2130</v>
      </c>
      <c r="C3282" s="62" t="s">
        <v>494</v>
      </c>
      <c r="E3282" s="62" t="s">
        <v>476</v>
      </c>
      <c r="F3282" s="62">
        <v>21</v>
      </c>
      <c r="G3282" s="62">
        <v>2118</v>
      </c>
      <c r="H3282" s="62" t="s">
        <v>2131</v>
      </c>
      <c r="I3282" s="22"/>
      <c r="J3282" s="62">
        <v>2101</v>
      </c>
      <c r="K3282" s="57">
        <v>1</v>
      </c>
      <c r="L3282" s="62">
        <v>52</v>
      </c>
      <c r="N3282" s="62">
        <v>2108</v>
      </c>
      <c r="O3282" s="62" t="s">
        <v>1964</v>
      </c>
    </row>
    <row r="3283" spans="1:16" s="62" customFormat="1">
      <c r="B3283" s="64" t="s">
        <v>2132</v>
      </c>
      <c r="C3283" s="62" t="s">
        <v>494</v>
      </c>
      <c r="E3283" s="62" t="s">
        <v>476</v>
      </c>
      <c r="I3283" s="22"/>
      <c r="K3283" s="57">
        <v>2</v>
      </c>
      <c r="L3283" s="76">
        <v>6</v>
      </c>
    </row>
    <row r="3284" spans="1:16" s="62" customFormat="1">
      <c r="B3284" s="64" t="s">
        <v>2133</v>
      </c>
      <c r="C3284" s="62" t="s">
        <v>494</v>
      </c>
      <c r="I3284" s="22"/>
      <c r="K3284" s="57">
        <v>3</v>
      </c>
      <c r="L3284" s="76">
        <v>6</v>
      </c>
    </row>
    <row r="3285" spans="1:16" s="62" customFormat="1">
      <c r="B3285" s="64" t="s">
        <v>2134</v>
      </c>
      <c r="C3285" s="62" t="s">
        <v>493</v>
      </c>
      <c r="D3285" s="62">
        <v>10</v>
      </c>
      <c r="I3285" s="22"/>
      <c r="K3285" s="57">
        <v>4</v>
      </c>
      <c r="L3285" s="76">
        <v>7</v>
      </c>
    </row>
    <row r="3286" spans="1:16" s="62" customFormat="1">
      <c r="B3286" s="64" t="s">
        <v>2135</v>
      </c>
      <c r="C3286" s="62" t="s">
        <v>494</v>
      </c>
      <c r="I3286" s="22"/>
      <c r="K3286" s="57">
        <v>5</v>
      </c>
      <c r="L3286" s="76">
        <v>8</v>
      </c>
    </row>
    <row r="3287" spans="1:16" s="62" customFormat="1">
      <c r="B3287" s="64" t="s">
        <v>2136</v>
      </c>
      <c r="C3287" s="62" t="s">
        <v>493</v>
      </c>
      <c r="D3287" s="62">
        <v>1</v>
      </c>
      <c r="I3287" s="22"/>
      <c r="K3287" s="57">
        <v>6</v>
      </c>
      <c r="L3287" s="76">
        <v>3</v>
      </c>
    </row>
    <row r="3288" spans="1:16" s="62" customFormat="1">
      <c r="B3288" s="64" t="s">
        <v>2137</v>
      </c>
      <c r="C3288" s="62" t="s">
        <v>520</v>
      </c>
      <c r="I3288" s="22"/>
      <c r="K3288" s="57">
        <v>7</v>
      </c>
      <c r="L3288" s="76"/>
    </row>
    <row r="3289" spans="1:16" s="62" customFormat="1">
      <c r="B3289" s="64" t="s">
        <v>2138</v>
      </c>
      <c r="C3289" s="62" t="s">
        <v>494</v>
      </c>
      <c r="I3289" s="22"/>
      <c r="K3289" s="57">
        <v>8</v>
      </c>
      <c r="L3289" s="76">
        <v>8</v>
      </c>
      <c r="M3289" s="62">
        <v>1</v>
      </c>
    </row>
    <row r="3290" spans="1:16" s="62" customFormat="1">
      <c r="B3290" s="64"/>
      <c r="I3290" s="22"/>
      <c r="K3290" s="57"/>
      <c r="L3290" s="76"/>
    </row>
    <row r="3291" spans="1:16" s="62" customFormat="1">
      <c r="A3291" s="62" t="s">
        <v>2141</v>
      </c>
      <c r="B3291" s="64" t="s">
        <v>2142</v>
      </c>
      <c r="C3291" s="62" t="s">
        <v>494</v>
      </c>
      <c r="E3291" s="62" t="s">
        <v>476</v>
      </c>
      <c r="F3291" s="62">
        <v>21</v>
      </c>
      <c r="G3291" s="62">
        <v>2119</v>
      </c>
      <c r="H3291" s="62" t="s">
        <v>2154</v>
      </c>
      <c r="I3291" s="22"/>
      <c r="J3291" s="62">
        <v>2101</v>
      </c>
      <c r="K3291" s="57">
        <v>1</v>
      </c>
      <c r="L3291" s="76">
        <v>52</v>
      </c>
      <c r="N3291" s="62">
        <v>2108</v>
      </c>
      <c r="O3291" s="62" t="s">
        <v>1964</v>
      </c>
    </row>
    <row r="3292" spans="1:16" s="62" customFormat="1">
      <c r="B3292" s="64" t="s">
        <v>2143</v>
      </c>
      <c r="C3292" s="62" t="s">
        <v>494</v>
      </c>
      <c r="E3292" s="62" t="s">
        <v>476</v>
      </c>
      <c r="I3292" s="22"/>
      <c r="K3292" s="57">
        <v>2</v>
      </c>
      <c r="L3292" s="76">
        <v>3</v>
      </c>
      <c r="N3292" s="62" t="s">
        <v>1969</v>
      </c>
      <c r="O3292" s="62" t="s">
        <v>1971</v>
      </c>
      <c r="P3292" s="62" t="s">
        <v>1970</v>
      </c>
    </row>
    <row r="3293" spans="1:16" s="62" customFormat="1">
      <c r="B3293" s="64" t="s">
        <v>2144</v>
      </c>
      <c r="C3293" s="62" t="s">
        <v>494</v>
      </c>
      <c r="E3293" s="62" t="s">
        <v>476</v>
      </c>
      <c r="I3293" s="22"/>
      <c r="K3293" s="57">
        <v>3</v>
      </c>
      <c r="L3293" s="76">
        <v>6</v>
      </c>
    </row>
    <row r="3294" spans="1:16" s="62" customFormat="1">
      <c r="B3294" s="64" t="s">
        <v>2145</v>
      </c>
      <c r="C3294" s="62" t="s">
        <v>494</v>
      </c>
      <c r="I3294" s="22"/>
      <c r="K3294" s="57">
        <v>4</v>
      </c>
      <c r="L3294" s="76">
        <v>6</v>
      </c>
    </row>
    <row r="3295" spans="1:16" s="62" customFormat="1">
      <c r="B3295" s="64" t="s">
        <v>2146</v>
      </c>
      <c r="C3295" s="62" t="s">
        <v>493</v>
      </c>
      <c r="D3295" s="62">
        <v>10</v>
      </c>
      <c r="I3295" s="22"/>
      <c r="K3295" s="57">
        <v>5</v>
      </c>
      <c r="L3295" s="76">
        <v>7</v>
      </c>
      <c r="M3295" s="62">
        <v>1</v>
      </c>
    </row>
    <row r="3296" spans="1:16" s="62" customFormat="1">
      <c r="B3296" s="64" t="s">
        <v>2147</v>
      </c>
      <c r="C3296" s="62" t="s">
        <v>494</v>
      </c>
      <c r="I3296" s="22"/>
      <c r="K3296" s="57">
        <v>6</v>
      </c>
      <c r="L3296" s="76"/>
      <c r="M3296" s="62">
        <v>37</v>
      </c>
    </row>
    <row r="3297" spans="1:18" s="62" customFormat="1">
      <c r="B3297" s="64" t="s">
        <v>2148</v>
      </c>
      <c r="C3297" s="62" t="s">
        <v>494</v>
      </c>
      <c r="I3297" s="22"/>
      <c r="K3297" s="57">
        <v>7</v>
      </c>
      <c r="L3297" s="76"/>
      <c r="M3297" s="62">
        <v>74</v>
      </c>
    </row>
    <row r="3298" spans="1:18" s="3" customFormat="1">
      <c r="A3298" s="62"/>
      <c r="B3298" s="62" t="s">
        <v>2149</v>
      </c>
      <c r="C3298" s="62" t="s">
        <v>493</v>
      </c>
      <c r="D3298" s="62">
        <v>10</v>
      </c>
      <c r="E3298" s="62"/>
      <c r="F3298" s="62"/>
      <c r="G3298" s="62"/>
      <c r="H3298" s="62"/>
      <c r="I3298" s="62"/>
      <c r="J3298" s="62"/>
      <c r="K3298" s="57">
        <v>8</v>
      </c>
      <c r="L3298" s="62">
        <v>7</v>
      </c>
      <c r="M3298" s="62"/>
      <c r="N3298" s="62"/>
      <c r="O3298" s="62"/>
      <c r="P3298" s="62"/>
      <c r="Q3298" s="12"/>
      <c r="R3298" s="12"/>
    </row>
    <row r="3299" spans="1:18" s="3" customFormat="1">
      <c r="A3299" s="62"/>
      <c r="B3299" s="62" t="s">
        <v>2150</v>
      </c>
      <c r="C3299" s="62" t="s">
        <v>494</v>
      </c>
      <c r="D3299" s="62"/>
      <c r="E3299" s="62"/>
      <c r="F3299" s="62"/>
      <c r="G3299" s="62"/>
      <c r="H3299" s="62"/>
      <c r="I3299" s="62"/>
      <c r="J3299" s="62"/>
      <c r="K3299" s="57">
        <v>9</v>
      </c>
      <c r="L3299" s="62"/>
      <c r="M3299" s="62">
        <v>71</v>
      </c>
      <c r="N3299" s="62"/>
      <c r="O3299" s="62"/>
      <c r="P3299" s="62"/>
      <c r="Q3299" s="12"/>
      <c r="R3299" s="12"/>
    </row>
    <row r="3300" spans="1:18" s="3" customFormat="1">
      <c r="A3300" s="62"/>
      <c r="B3300" s="62" t="s">
        <v>2151</v>
      </c>
      <c r="C3300" s="62" t="s">
        <v>494</v>
      </c>
      <c r="D3300" s="62"/>
      <c r="E3300" s="62"/>
      <c r="F3300" s="62"/>
      <c r="G3300" s="62"/>
      <c r="H3300" s="62"/>
      <c r="I3300" s="62"/>
      <c r="J3300" s="62"/>
      <c r="K3300" s="57">
        <v>10</v>
      </c>
      <c r="L3300" s="62"/>
      <c r="M3300" s="62">
        <v>72</v>
      </c>
      <c r="N3300" s="62"/>
      <c r="O3300" s="62"/>
      <c r="P3300" s="62"/>
      <c r="Q3300" s="12"/>
      <c r="R3300" s="12"/>
    </row>
    <row r="3301" spans="1:18" s="3" customFormat="1">
      <c r="A3301" s="62"/>
      <c r="B3301" s="62" t="s">
        <v>2152</v>
      </c>
      <c r="C3301" s="62" t="s">
        <v>494</v>
      </c>
      <c r="D3301" s="62"/>
      <c r="E3301" s="62"/>
      <c r="F3301" s="62"/>
      <c r="G3301" s="62"/>
      <c r="H3301" s="62"/>
      <c r="I3301" s="62"/>
      <c r="J3301" s="62"/>
      <c r="K3301" s="57">
        <v>11</v>
      </c>
      <c r="L3301" s="62"/>
      <c r="M3301" s="62">
        <v>71</v>
      </c>
      <c r="N3301" s="62"/>
      <c r="O3301" s="62"/>
      <c r="P3301" s="62"/>
      <c r="Q3301" s="12"/>
      <c r="R3301" s="12"/>
    </row>
    <row r="3302" spans="1:18" s="3" customFormat="1">
      <c r="A3302" s="62"/>
      <c r="B3302" s="62" t="s">
        <v>2153</v>
      </c>
      <c r="C3302" s="62" t="s">
        <v>494</v>
      </c>
      <c r="D3302" s="62"/>
      <c r="E3302" s="62"/>
      <c r="F3302" s="62"/>
      <c r="G3302" s="62"/>
      <c r="H3302" s="62"/>
      <c r="I3302" s="62"/>
      <c r="J3302" s="62"/>
      <c r="K3302" s="57">
        <v>12</v>
      </c>
      <c r="L3302" s="62"/>
      <c r="M3302" s="62">
        <v>72</v>
      </c>
      <c r="N3302" s="62"/>
      <c r="O3302" s="62"/>
      <c r="P3302" s="62"/>
      <c r="Q3302" s="12"/>
      <c r="R3302" s="12"/>
    </row>
    <row r="3303" spans="1:18" s="3" customFormat="1">
      <c r="A3303" s="62"/>
      <c r="B3303" s="62" t="s">
        <v>2159</v>
      </c>
      <c r="C3303" s="62" t="s">
        <v>493</v>
      </c>
      <c r="D3303" s="62">
        <v>1</v>
      </c>
      <c r="E3303" s="62"/>
      <c r="F3303" s="62"/>
      <c r="G3303" s="62"/>
      <c r="H3303" s="62"/>
      <c r="I3303" s="62"/>
      <c r="J3303" s="62"/>
      <c r="K3303" s="57">
        <v>13</v>
      </c>
      <c r="L3303" s="62">
        <v>3</v>
      </c>
      <c r="M3303" s="62"/>
      <c r="N3303" s="62"/>
      <c r="O3303" s="62"/>
      <c r="P3303" s="62"/>
      <c r="Q3303" s="12"/>
      <c r="R3303" s="12"/>
    </row>
    <row r="3304" spans="1:18" s="3" customFormat="1">
      <c r="A3304" s="62"/>
      <c r="B3304" s="62" t="s">
        <v>2167</v>
      </c>
      <c r="C3304" s="62" t="s">
        <v>520</v>
      </c>
      <c r="D3304" s="62"/>
      <c r="E3304" s="62"/>
      <c r="F3304" s="62"/>
      <c r="G3304" s="62"/>
      <c r="H3304" s="62"/>
      <c r="I3304" s="62"/>
      <c r="J3304" s="62"/>
      <c r="K3304" s="57">
        <v>14</v>
      </c>
      <c r="L3304" s="62"/>
      <c r="M3304" s="62"/>
      <c r="N3304" s="62"/>
      <c r="O3304" s="62"/>
      <c r="P3304" s="62"/>
      <c r="Q3304" s="12"/>
      <c r="R3304" s="12"/>
    </row>
    <row r="3305" spans="1:18" s="62" customFormat="1">
      <c r="B3305" s="64" t="s">
        <v>2894</v>
      </c>
      <c r="C3305" s="62" t="s">
        <v>494</v>
      </c>
      <c r="I3305" s="22"/>
      <c r="K3305" s="57">
        <v>15</v>
      </c>
      <c r="L3305" s="76">
        <v>3</v>
      </c>
      <c r="N3305" s="62" t="s">
        <v>1906</v>
      </c>
      <c r="O3305" s="62" t="s">
        <v>1908</v>
      </c>
      <c r="P3305" s="62" t="s">
        <v>1909</v>
      </c>
      <c r="Q3305" s="62" t="s">
        <v>1911</v>
      </c>
    </row>
    <row r="3306" spans="1:18" s="62" customFormat="1">
      <c r="B3306" s="64" t="s">
        <v>2895</v>
      </c>
      <c r="C3306" s="62" t="s">
        <v>494</v>
      </c>
      <c r="I3306" s="22"/>
      <c r="K3306" s="57">
        <v>16</v>
      </c>
      <c r="L3306" s="76"/>
      <c r="M3306" s="62">
        <v>2</v>
      </c>
    </row>
    <row r="3307" spans="1:18" s="62" customFormat="1">
      <c r="B3307" s="64"/>
      <c r="I3307" s="22"/>
      <c r="K3307" s="57"/>
      <c r="L3307" s="76"/>
    </row>
    <row r="3308" spans="1:18">
      <c r="B3308" s="66"/>
      <c r="C3308" s="64"/>
      <c r="D3308" s="16"/>
      <c r="F3308" s="14"/>
      <c r="G3308" s="14"/>
      <c r="H3308" s="47"/>
      <c r="I3308" s="11"/>
      <c r="J3308" s="14"/>
      <c r="K3308" s="16"/>
      <c r="L3308" s="15"/>
      <c r="M3308" s="14"/>
      <c r="O3308" s="23"/>
      <c r="P3308" s="23"/>
      <c r="Q3308" s="14"/>
      <c r="R3308" s="14"/>
    </row>
    <row r="3309" spans="1:18">
      <c r="B3309" s="60"/>
      <c r="F3309" s="14"/>
      <c r="G3309" s="14"/>
      <c r="H3309" s="14"/>
      <c r="I3309" s="11"/>
      <c r="J3309" s="14"/>
      <c r="K3309" s="16"/>
      <c r="L3309" s="15"/>
      <c r="M3309" s="14"/>
      <c r="P3309" s="14"/>
      <c r="Q3309" s="14"/>
      <c r="R3309" s="14"/>
    </row>
    <row r="3310" spans="1:18">
      <c r="A3310" s="62" t="s">
        <v>288</v>
      </c>
      <c r="B3310" s="60" t="s">
        <v>289</v>
      </c>
      <c r="C3310" s="1" t="s">
        <v>494</v>
      </c>
      <c r="E3310" s="1" t="s">
        <v>476</v>
      </c>
      <c r="F3310" s="14">
        <v>17</v>
      </c>
      <c r="G3310" s="14">
        <v>1711</v>
      </c>
      <c r="H3310" s="14" t="s">
        <v>994</v>
      </c>
      <c r="I3310" s="11" t="s">
        <v>295</v>
      </c>
      <c r="J3310" s="14">
        <v>1701</v>
      </c>
      <c r="K3310" s="16">
        <v>1</v>
      </c>
      <c r="L3310" s="15">
        <v>3</v>
      </c>
      <c r="M3310" s="14"/>
      <c r="N3310" s="64" t="s">
        <v>506</v>
      </c>
      <c r="O3310" s="64" t="s">
        <v>514</v>
      </c>
      <c r="P3310" s="1" t="s">
        <v>515</v>
      </c>
      <c r="Q3310" s="14"/>
      <c r="R3310" s="14"/>
    </row>
    <row r="3311" spans="1:18">
      <c r="B3311" s="49" t="s">
        <v>279</v>
      </c>
      <c r="C3311" s="1" t="s">
        <v>494</v>
      </c>
      <c r="E3311" s="1" t="s">
        <v>476</v>
      </c>
      <c r="F3311" s="14"/>
      <c r="G3311" s="14"/>
      <c r="H3311" s="14"/>
      <c r="I3311" s="11"/>
      <c r="J3311" s="14"/>
      <c r="K3311" s="16">
        <v>2</v>
      </c>
      <c r="L3311" s="15">
        <v>3</v>
      </c>
      <c r="M3311" s="14"/>
      <c r="N3311" s="1" t="s">
        <v>995</v>
      </c>
      <c r="O3311" s="23" t="s">
        <v>997</v>
      </c>
      <c r="P3311" s="23" t="s">
        <v>996</v>
      </c>
      <c r="Q3311" s="14"/>
      <c r="R3311" s="14"/>
    </row>
    <row r="3312" spans="1:18">
      <c r="B3312" s="66" t="s">
        <v>290</v>
      </c>
      <c r="C3312" s="1" t="s">
        <v>494</v>
      </c>
      <c r="E3312" s="1" t="s">
        <v>476</v>
      </c>
      <c r="F3312" s="14"/>
      <c r="G3312" s="14"/>
      <c r="H3312" s="14"/>
      <c r="I3312" s="11"/>
      <c r="J3312" s="14"/>
      <c r="K3312" s="16">
        <v>3</v>
      </c>
      <c r="L3312" s="15">
        <v>9</v>
      </c>
      <c r="M3312" s="14"/>
      <c r="N3312" s="1" t="s">
        <v>1038</v>
      </c>
      <c r="O3312" s="23" t="s">
        <v>1040</v>
      </c>
      <c r="P3312" s="23" t="s">
        <v>1041</v>
      </c>
      <c r="Q3312" s="23" t="s">
        <v>1040</v>
      </c>
      <c r="R3312" s="14">
        <v>140</v>
      </c>
    </row>
    <row r="3313" spans="1:18">
      <c r="B3313" s="60" t="s">
        <v>291</v>
      </c>
      <c r="C3313" s="1" t="s">
        <v>494</v>
      </c>
      <c r="E3313" s="1" t="s">
        <v>476</v>
      </c>
      <c r="F3313" s="14"/>
      <c r="G3313" s="14"/>
      <c r="H3313" s="14"/>
      <c r="I3313" s="11"/>
      <c r="J3313" s="14"/>
      <c r="K3313" s="16">
        <v>4</v>
      </c>
      <c r="L3313" s="15">
        <v>3</v>
      </c>
      <c r="M3313" s="14"/>
      <c r="N3313" s="62" t="s">
        <v>285</v>
      </c>
      <c r="O3313" s="60" t="s">
        <v>992</v>
      </c>
      <c r="P3313" s="60" t="s">
        <v>993</v>
      </c>
      <c r="Q3313" s="14"/>
      <c r="R3313" s="14"/>
    </row>
    <row r="3314" spans="1:18">
      <c r="B3314" s="23" t="s">
        <v>292</v>
      </c>
      <c r="C3314" s="1" t="s">
        <v>494</v>
      </c>
      <c r="F3314" s="14"/>
      <c r="G3314" s="14"/>
      <c r="H3314" s="14"/>
      <c r="I3314" s="11"/>
      <c r="J3314" s="14"/>
      <c r="K3314" s="16">
        <v>5</v>
      </c>
      <c r="L3314" s="15">
        <v>6</v>
      </c>
      <c r="M3314" s="14"/>
      <c r="P3314" s="23"/>
      <c r="Q3314" s="14"/>
      <c r="R3314" s="14"/>
    </row>
    <row r="3315" spans="1:18">
      <c r="B3315" s="60" t="s">
        <v>293</v>
      </c>
      <c r="C3315" s="1" t="s">
        <v>494</v>
      </c>
      <c r="F3315" s="14"/>
      <c r="G3315" s="14"/>
      <c r="H3315" s="14"/>
      <c r="I3315" s="11"/>
      <c r="J3315" s="14"/>
      <c r="K3315" s="16">
        <v>6</v>
      </c>
      <c r="L3315" s="15">
        <v>8</v>
      </c>
      <c r="M3315" s="14"/>
      <c r="P3315" s="14"/>
      <c r="Q3315" s="14"/>
      <c r="R3315" s="14"/>
    </row>
    <row r="3316" spans="1:18">
      <c r="B3316" s="23" t="s">
        <v>294</v>
      </c>
      <c r="C3316" s="1" t="s">
        <v>520</v>
      </c>
      <c r="F3316" s="14"/>
      <c r="G3316" s="14"/>
      <c r="H3316" s="14"/>
      <c r="I3316" s="11"/>
      <c r="J3316" s="14"/>
      <c r="K3316" s="16">
        <v>7</v>
      </c>
      <c r="L3316" s="15"/>
      <c r="M3316" s="14"/>
      <c r="P3316" s="14"/>
      <c r="Q3316" s="14"/>
      <c r="R3316" s="14"/>
    </row>
    <row r="3317" spans="1:18">
      <c r="B3317" s="29" t="s">
        <v>1110</v>
      </c>
      <c r="C3317" s="1" t="s">
        <v>493</v>
      </c>
      <c r="D3317" s="1">
        <v>10</v>
      </c>
      <c r="F3317" s="14"/>
      <c r="G3317" s="14"/>
      <c r="H3317" s="14"/>
      <c r="I3317" s="11"/>
      <c r="J3317" s="14"/>
      <c r="K3317" s="16">
        <v>8</v>
      </c>
      <c r="L3317" s="15">
        <v>7</v>
      </c>
      <c r="M3317" s="14">
        <v>2</v>
      </c>
      <c r="P3317" s="14"/>
      <c r="Q3317" s="14"/>
      <c r="R3317" s="14"/>
    </row>
    <row r="3318" spans="1:18">
      <c r="B3318" s="67" t="s">
        <v>2846</v>
      </c>
      <c r="C3318" s="1" t="s">
        <v>493</v>
      </c>
      <c r="D3318" s="1">
        <v>10</v>
      </c>
      <c r="F3318" s="14"/>
      <c r="G3318" s="14"/>
      <c r="H3318" s="14"/>
      <c r="I3318" s="11"/>
      <c r="J3318" s="14"/>
      <c r="K3318" s="16">
        <v>9</v>
      </c>
      <c r="L3318" s="15">
        <v>7</v>
      </c>
      <c r="M3318" s="14">
        <v>2</v>
      </c>
      <c r="P3318" s="14"/>
      <c r="Q3318" s="14"/>
      <c r="R3318" s="14"/>
    </row>
    <row r="3319" spans="1:18">
      <c r="B3319" s="66"/>
      <c r="F3319" s="14"/>
      <c r="G3319" s="14"/>
      <c r="H3319" s="14"/>
      <c r="I3319" s="11"/>
      <c r="J3319" s="14"/>
      <c r="K3319" s="16"/>
      <c r="L3319" s="15"/>
      <c r="M3319" s="14"/>
      <c r="P3319" s="14"/>
      <c r="Q3319" s="14"/>
      <c r="R3319" s="14"/>
    </row>
    <row r="3320" spans="1:18">
      <c r="B3320" s="29"/>
      <c r="F3320" s="14"/>
      <c r="G3320" s="14"/>
      <c r="H3320" s="14"/>
      <c r="I3320" s="11"/>
      <c r="J3320" s="14"/>
      <c r="K3320" s="16"/>
      <c r="L3320" s="15"/>
      <c r="M3320" s="14"/>
      <c r="P3320" s="14"/>
      <c r="Q3320" s="14"/>
      <c r="R3320" s="14"/>
    </row>
    <row r="3321" spans="1:18">
      <c r="A3321" s="70" t="s">
        <v>975</v>
      </c>
      <c r="B3321" s="67" t="s">
        <v>976</v>
      </c>
      <c r="C3321" s="1" t="s">
        <v>494</v>
      </c>
      <c r="E3321" s="1" t="s">
        <v>476</v>
      </c>
      <c r="F3321" s="14">
        <v>17</v>
      </c>
      <c r="G3321" s="14">
        <v>1715</v>
      </c>
      <c r="H3321" s="47" t="s">
        <v>2844</v>
      </c>
      <c r="I3321" s="48" t="s">
        <v>2845</v>
      </c>
      <c r="J3321" s="14">
        <v>1701</v>
      </c>
      <c r="K3321" s="16">
        <v>1</v>
      </c>
      <c r="L3321" s="15">
        <v>3</v>
      </c>
      <c r="M3321" s="14"/>
      <c r="N3321" s="64" t="s">
        <v>506</v>
      </c>
      <c r="O3321" s="64" t="s">
        <v>514</v>
      </c>
      <c r="P3321" s="1" t="s">
        <v>515</v>
      </c>
      <c r="Q3321" s="14"/>
      <c r="R3321" s="14"/>
    </row>
    <row r="3322" spans="1:18">
      <c r="A3322" s="39"/>
      <c r="B3322" s="67" t="s">
        <v>977</v>
      </c>
      <c r="C3322" s="1" t="s">
        <v>494</v>
      </c>
      <c r="E3322" s="1" t="s">
        <v>476</v>
      </c>
      <c r="F3322" s="14"/>
      <c r="G3322" s="14"/>
      <c r="H3322" s="14"/>
      <c r="I3322" s="11"/>
      <c r="J3322" s="14"/>
      <c r="K3322" s="16">
        <v>2</v>
      </c>
      <c r="L3322" s="15">
        <v>9</v>
      </c>
      <c r="M3322" s="14"/>
      <c r="N3322" s="62" t="s">
        <v>1038</v>
      </c>
      <c r="O3322" s="23" t="s">
        <v>1040</v>
      </c>
      <c r="P3322" s="23" t="s">
        <v>1041</v>
      </c>
      <c r="Q3322" s="23" t="s">
        <v>1040</v>
      </c>
      <c r="R3322" s="14">
        <v>140</v>
      </c>
    </row>
    <row r="3323" spans="1:18">
      <c r="A3323" s="39"/>
      <c r="B3323" s="67" t="s">
        <v>978</v>
      </c>
      <c r="C3323" s="1" t="s">
        <v>494</v>
      </c>
      <c r="E3323" s="1" t="s">
        <v>476</v>
      </c>
      <c r="F3323" s="14"/>
      <c r="G3323" s="14"/>
      <c r="H3323" s="14"/>
      <c r="I3323" s="11"/>
      <c r="J3323" s="14"/>
      <c r="K3323" s="16">
        <v>3</v>
      </c>
      <c r="L3323" s="15">
        <v>3</v>
      </c>
      <c r="M3323" s="14"/>
      <c r="N3323" s="1" t="s">
        <v>379</v>
      </c>
      <c r="O3323" s="62" t="s">
        <v>698</v>
      </c>
      <c r="P3323" s="62" t="s">
        <v>699</v>
      </c>
      <c r="Q3323" s="14"/>
      <c r="R3323" s="14"/>
    </row>
    <row r="3324" spans="1:18">
      <c r="A3324" s="39"/>
      <c r="B3324" s="67" t="s">
        <v>979</v>
      </c>
      <c r="C3324" s="1" t="s">
        <v>494</v>
      </c>
      <c r="F3324" s="14"/>
      <c r="G3324" s="14"/>
      <c r="H3324" s="14"/>
      <c r="I3324" s="11"/>
      <c r="J3324" s="14"/>
      <c r="K3324" s="16">
        <v>4</v>
      </c>
      <c r="L3324" s="15">
        <v>6</v>
      </c>
      <c r="M3324" s="14"/>
      <c r="P3324" s="14"/>
      <c r="Q3324" s="14"/>
      <c r="R3324" s="14"/>
    </row>
    <row r="3325" spans="1:18">
      <c r="A3325" s="39"/>
      <c r="B3325" s="67" t="s">
        <v>280</v>
      </c>
      <c r="C3325" s="1" t="s">
        <v>494</v>
      </c>
      <c r="F3325" s="14"/>
      <c r="G3325" s="14"/>
      <c r="H3325" s="14"/>
      <c r="I3325" s="11"/>
      <c r="J3325" s="14"/>
      <c r="K3325" s="16">
        <v>5</v>
      </c>
      <c r="L3325" s="15">
        <v>3</v>
      </c>
      <c r="M3325" s="14">
        <v>3</v>
      </c>
      <c r="N3325" s="62" t="s">
        <v>995</v>
      </c>
      <c r="O3325" s="23" t="s">
        <v>997</v>
      </c>
      <c r="P3325" s="60" t="s">
        <v>996</v>
      </c>
      <c r="Q3325" s="14"/>
      <c r="R3325" s="14"/>
    </row>
    <row r="3326" spans="1:18">
      <c r="A3326" s="39"/>
      <c r="B3326" s="67" t="s">
        <v>980</v>
      </c>
      <c r="C3326" s="1" t="s">
        <v>494</v>
      </c>
      <c r="F3326" s="14"/>
      <c r="G3326" s="14"/>
      <c r="H3326" s="14"/>
      <c r="I3326" s="11"/>
      <c r="J3326" s="14"/>
      <c r="K3326" s="16">
        <v>6</v>
      </c>
      <c r="L3326" s="15">
        <v>3</v>
      </c>
      <c r="M3326" s="14">
        <v>1</v>
      </c>
      <c r="N3326" s="62" t="s">
        <v>974</v>
      </c>
      <c r="O3326" s="60" t="s">
        <v>954</v>
      </c>
      <c r="P3326" s="23" t="s">
        <v>984</v>
      </c>
      <c r="Q3326" s="14"/>
      <c r="R3326" s="14"/>
    </row>
    <row r="3327" spans="1:18">
      <c r="A3327" s="39"/>
      <c r="B3327" s="67" t="s">
        <v>981</v>
      </c>
      <c r="C3327" s="1" t="s">
        <v>494</v>
      </c>
      <c r="F3327" s="14"/>
      <c r="G3327" s="14"/>
      <c r="H3327" s="14"/>
      <c r="I3327" s="11"/>
      <c r="J3327" s="14"/>
      <c r="K3327" s="16">
        <v>7</v>
      </c>
      <c r="L3327" s="15">
        <v>3</v>
      </c>
      <c r="M3327" s="14"/>
      <c r="N3327" s="1" t="s">
        <v>956</v>
      </c>
      <c r="O3327" s="23" t="s">
        <v>957</v>
      </c>
      <c r="P3327" s="23" t="s">
        <v>958</v>
      </c>
      <c r="Q3327" s="14"/>
      <c r="R3327" s="14"/>
    </row>
    <row r="3328" spans="1:18">
      <c r="A3328" s="39"/>
      <c r="B3328" s="88" t="s">
        <v>982</v>
      </c>
      <c r="C3328" s="1" t="s">
        <v>494</v>
      </c>
      <c r="F3328" s="14"/>
      <c r="G3328" s="14"/>
      <c r="H3328" s="14"/>
      <c r="I3328" s="11"/>
      <c r="J3328" s="14"/>
      <c r="K3328" s="16">
        <v>8</v>
      </c>
      <c r="L3328" s="15"/>
      <c r="M3328" s="14"/>
      <c r="N3328" s="23"/>
      <c r="O3328" s="14"/>
      <c r="P3328" s="14"/>
      <c r="Q3328" s="14"/>
      <c r="R3328" s="14"/>
    </row>
    <row r="3329" spans="1:18">
      <c r="A3329" s="39"/>
      <c r="B3329" s="87" t="s">
        <v>983</v>
      </c>
      <c r="C3329" s="1" t="s">
        <v>494</v>
      </c>
      <c r="F3329" s="14"/>
      <c r="G3329" s="14"/>
      <c r="H3329" s="14"/>
      <c r="I3329" s="11"/>
      <c r="J3329" s="14"/>
      <c r="K3329" s="16">
        <v>9</v>
      </c>
      <c r="L3329" s="15"/>
      <c r="M3329" s="14"/>
      <c r="N3329" s="23"/>
      <c r="P3329" s="14"/>
      <c r="Q3329" s="14"/>
      <c r="R3329" s="14"/>
    </row>
    <row r="3330" spans="1:18">
      <c r="A3330" s="39"/>
      <c r="B3330" s="67" t="s">
        <v>209</v>
      </c>
      <c r="C3330" s="1" t="s">
        <v>494</v>
      </c>
      <c r="F3330" s="14"/>
      <c r="G3330" s="14"/>
      <c r="H3330" s="14"/>
      <c r="I3330" s="11"/>
      <c r="J3330" s="14"/>
      <c r="K3330" s="16">
        <v>10</v>
      </c>
      <c r="L3330" s="15"/>
      <c r="M3330" s="14"/>
      <c r="N3330" s="23"/>
      <c r="O3330" s="14"/>
      <c r="P3330" s="14"/>
      <c r="Q3330" s="14"/>
      <c r="R3330" s="14"/>
    </row>
    <row r="3331" spans="1:18">
      <c r="A3331" s="39"/>
      <c r="B3331" s="87" t="s">
        <v>296</v>
      </c>
      <c r="C3331" s="1" t="s">
        <v>493</v>
      </c>
      <c r="D3331" s="1">
        <v>10</v>
      </c>
      <c r="F3331" s="14"/>
      <c r="G3331" s="14"/>
      <c r="H3331" s="14"/>
      <c r="I3331" s="11"/>
      <c r="J3331" s="14"/>
      <c r="K3331" s="16">
        <v>11</v>
      </c>
      <c r="L3331" s="15">
        <v>7</v>
      </c>
      <c r="M3331" s="14">
        <v>1</v>
      </c>
      <c r="N3331" s="23"/>
      <c r="O3331" s="14"/>
      <c r="P3331" s="14"/>
      <c r="Q3331" s="14"/>
      <c r="R3331" s="14"/>
    </row>
    <row r="3332" spans="1:18">
      <c r="A3332" s="39"/>
      <c r="B3332" s="67" t="s">
        <v>297</v>
      </c>
      <c r="C3332" s="1" t="s">
        <v>493</v>
      </c>
      <c r="D3332" s="1">
        <v>10</v>
      </c>
      <c r="F3332" s="14"/>
      <c r="G3332" s="14"/>
      <c r="H3332" s="14"/>
      <c r="I3332" s="11"/>
      <c r="J3332" s="14"/>
      <c r="K3332" s="16">
        <v>12</v>
      </c>
      <c r="L3332" s="15">
        <v>7</v>
      </c>
      <c r="M3332" s="14">
        <v>1</v>
      </c>
      <c r="N3332" s="23"/>
      <c r="O3332" s="14"/>
      <c r="P3332" s="14"/>
      <c r="Q3332" s="14"/>
      <c r="R3332" s="14">
        <v>-1</v>
      </c>
    </row>
    <row r="3333" spans="1:18">
      <c r="A3333" s="39"/>
      <c r="B3333" s="67" t="s">
        <v>268</v>
      </c>
      <c r="C3333" s="1" t="s">
        <v>494</v>
      </c>
      <c r="F3333" s="14"/>
      <c r="G3333" s="14"/>
      <c r="H3333" s="14"/>
      <c r="I3333" s="11"/>
      <c r="J3333" s="14"/>
      <c r="K3333" s="16">
        <v>13</v>
      </c>
      <c r="L3333" s="15">
        <v>3</v>
      </c>
      <c r="M3333" s="14">
        <v>1</v>
      </c>
      <c r="N3333" s="62" t="s">
        <v>269</v>
      </c>
      <c r="O3333" s="23" t="s">
        <v>270</v>
      </c>
      <c r="P3333" s="23" t="s">
        <v>271</v>
      </c>
      <c r="Q3333" s="14"/>
      <c r="R3333" s="14"/>
    </row>
    <row r="3334" spans="1:18">
      <c r="B3334" s="60"/>
      <c r="F3334" s="14"/>
      <c r="G3334" s="14"/>
      <c r="H3334" s="14"/>
      <c r="I3334" s="11"/>
      <c r="J3334" s="14"/>
      <c r="K3334" s="16"/>
      <c r="L3334" s="15"/>
      <c r="M3334" s="14"/>
      <c r="N3334" s="62"/>
      <c r="O3334" s="23"/>
      <c r="P3334" s="23"/>
      <c r="Q3334" s="14"/>
      <c r="R3334" s="14"/>
    </row>
    <row r="3335" spans="1:18">
      <c r="B3335" s="60"/>
      <c r="F3335" s="14"/>
      <c r="G3335" s="14"/>
      <c r="H3335" s="14"/>
      <c r="I3335" s="11"/>
      <c r="J3335" s="14"/>
      <c r="K3335" s="16"/>
      <c r="L3335" s="15"/>
      <c r="M3335" s="14"/>
      <c r="P3335" s="14"/>
      <c r="Q3335" s="14"/>
      <c r="R3335" s="14"/>
    </row>
    <row r="3336" spans="1:18">
      <c r="B3336" s="66"/>
      <c r="C3336" s="64"/>
      <c r="F3336" s="14"/>
      <c r="G3336" s="14"/>
      <c r="H3336" s="14"/>
      <c r="I3336" s="11"/>
      <c r="J3336" s="14"/>
      <c r="K3336" s="76"/>
      <c r="L3336" s="15"/>
      <c r="M3336" s="14"/>
      <c r="N3336" s="62"/>
      <c r="O3336" s="60"/>
      <c r="P3336" s="23"/>
      <c r="Q3336" s="14"/>
      <c r="R3336" s="14"/>
    </row>
    <row r="3337" spans="1:18">
      <c r="B3337" s="66"/>
      <c r="C3337" s="64"/>
      <c r="F3337" s="14"/>
      <c r="G3337" s="14"/>
      <c r="H3337" s="14"/>
      <c r="I3337" s="11"/>
      <c r="J3337" s="14"/>
      <c r="K3337" s="76"/>
      <c r="L3337" s="15"/>
      <c r="M3337" s="14"/>
      <c r="N3337" s="62"/>
      <c r="O3337" s="60"/>
      <c r="P3337" s="23"/>
      <c r="Q3337" s="14"/>
      <c r="R3337" s="14"/>
    </row>
    <row r="3338" spans="1:18">
      <c r="B3338" s="66"/>
      <c r="C3338" s="64"/>
      <c r="F3338" s="14"/>
      <c r="G3338" s="14"/>
      <c r="H3338" s="14"/>
      <c r="I3338" s="11"/>
      <c r="J3338" s="14"/>
      <c r="K3338" s="76"/>
      <c r="L3338" s="15"/>
      <c r="M3338" s="14"/>
      <c r="N3338" s="62"/>
      <c r="O3338" s="60"/>
      <c r="P3338" s="23"/>
      <c r="Q3338" s="14"/>
      <c r="R3338" s="14"/>
    </row>
    <row r="3339" spans="1:18">
      <c r="A3339" s="10"/>
      <c r="B3339" s="66"/>
      <c r="C3339" s="62"/>
      <c r="D3339" s="10"/>
      <c r="E3339" s="10"/>
      <c r="F3339" s="10"/>
      <c r="G3339" s="10"/>
      <c r="H3339" s="10"/>
      <c r="I3339" s="10"/>
      <c r="J3339" s="10"/>
      <c r="K3339" s="16"/>
      <c r="L3339" s="15"/>
      <c r="M3339" s="14"/>
      <c r="O3339" s="23"/>
      <c r="P3339" s="23"/>
      <c r="Q3339" s="10"/>
      <c r="R3339" s="10"/>
    </row>
    <row r="3340" spans="1:18" s="62" customFormat="1">
      <c r="A3340" s="62" t="s">
        <v>2120</v>
      </c>
      <c r="B3340" s="64" t="s">
        <v>2121</v>
      </c>
      <c r="C3340" s="62" t="s">
        <v>494</v>
      </c>
      <c r="E3340" s="62" t="s">
        <v>476</v>
      </c>
      <c r="F3340" s="62">
        <v>21</v>
      </c>
      <c r="G3340" s="62">
        <v>2117</v>
      </c>
      <c r="H3340" s="62" t="s">
        <v>994</v>
      </c>
      <c r="I3340" s="22" t="s">
        <v>2126</v>
      </c>
      <c r="J3340" s="62">
        <v>1</v>
      </c>
      <c r="K3340" s="57">
        <v>1</v>
      </c>
      <c r="L3340" s="76">
        <v>8</v>
      </c>
    </row>
    <row r="3341" spans="1:18" s="62" customFormat="1">
      <c r="B3341" s="64" t="s">
        <v>2122</v>
      </c>
      <c r="C3341" s="62" t="s">
        <v>494</v>
      </c>
      <c r="E3341" s="62" t="s">
        <v>476</v>
      </c>
      <c r="I3341" s="22"/>
      <c r="K3341" s="57">
        <v>2</v>
      </c>
      <c r="L3341" s="76">
        <v>3</v>
      </c>
      <c r="N3341" s="62" t="s">
        <v>1938</v>
      </c>
      <c r="O3341" s="64" t="s">
        <v>1940</v>
      </c>
      <c r="P3341" s="64" t="s">
        <v>1941</v>
      </c>
    </row>
    <row r="3342" spans="1:18" s="62" customFormat="1">
      <c r="B3342" s="64" t="s">
        <v>2123</v>
      </c>
      <c r="C3342" s="62" t="s">
        <v>494</v>
      </c>
      <c r="I3342" s="22"/>
      <c r="K3342" s="57">
        <v>3</v>
      </c>
      <c r="L3342" s="76">
        <v>6</v>
      </c>
    </row>
    <row r="3343" spans="1:18" s="62" customFormat="1">
      <c r="B3343" s="64" t="s">
        <v>2124</v>
      </c>
      <c r="C3343" s="62" t="s">
        <v>493</v>
      </c>
      <c r="D3343" s="62">
        <v>1</v>
      </c>
      <c r="I3343" s="22"/>
      <c r="K3343" s="57">
        <v>4</v>
      </c>
      <c r="L3343" s="76">
        <v>3</v>
      </c>
    </row>
    <row r="3344" spans="1:18" s="62" customFormat="1">
      <c r="B3344" s="64" t="s">
        <v>2125</v>
      </c>
      <c r="C3344" s="62" t="s">
        <v>493</v>
      </c>
      <c r="D3344" s="62">
        <v>250</v>
      </c>
      <c r="I3344" s="22"/>
      <c r="K3344" s="57">
        <v>5</v>
      </c>
      <c r="L3344" s="76"/>
    </row>
    <row r="3345" spans="1:19" s="62" customFormat="1">
      <c r="B3345" s="64" t="s">
        <v>2127</v>
      </c>
      <c r="C3345" s="62" t="s">
        <v>494</v>
      </c>
      <c r="I3345" s="22"/>
      <c r="K3345" s="57">
        <v>6</v>
      </c>
      <c r="L3345" s="76">
        <v>3</v>
      </c>
      <c r="N3345" s="1" t="s">
        <v>693</v>
      </c>
      <c r="O3345" s="1" t="s">
        <v>695</v>
      </c>
      <c r="P3345" s="1" t="s">
        <v>696</v>
      </c>
    </row>
    <row r="3346" spans="1:19" s="62" customFormat="1">
      <c r="B3346" s="64" t="s">
        <v>2750</v>
      </c>
      <c r="C3346" s="62" t="s">
        <v>494</v>
      </c>
      <c r="I3346" s="22"/>
      <c r="K3346" s="57">
        <v>7</v>
      </c>
      <c r="L3346" s="76">
        <v>3</v>
      </c>
      <c r="N3346" s="64" t="s">
        <v>506</v>
      </c>
      <c r="O3346" s="64" t="s">
        <v>514</v>
      </c>
      <c r="P3346" s="1" t="s">
        <v>515</v>
      </c>
    </row>
    <row r="3347" spans="1:19" s="62" customFormat="1">
      <c r="B3347" s="64"/>
      <c r="I3347" s="22"/>
      <c r="K3347" s="57"/>
      <c r="L3347" s="76"/>
      <c r="N3347" s="1"/>
      <c r="O3347" s="1"/>
      <c r="P3347" s="1"/>
    </row>
    <row r="3348" spans="1:19" s="62" customFormat="1">
      <c r="B3348" s="64"/>
      <c r="I3348" s="22"/>
      <c r="K3348" s="57"/>
      <c r="L3348" s="76"/>
    </row>
    <row r="3349" spans="1:19">
      <c r="B3349" s="66"/>
      <c r="C3349" s="64"/>
      <c r="F3349" s="14"/>
      <c r="G3349" s="14"/>
      <c r="H3349" s="14"/>
      <c r="I3349" s="11"/>
      <c r="J3349" s="14"/>
      <c r="K3349" s="76"/>
      <c r="L3349" s="15"/>
      <c r="M3349" s="14"/>
      <c r="N3349" s="62"/>
      <c r="O3349" s="60"/>
      <c r="P3349" s="23"/>
      <c r="Q3349" s="14"/>
      <c r="R3349" s="14"/>
    </row>
    <row r="3350" spans="1:19">
      <c r="B3350" s="66"/>
      <c r="C3350" s="64"/>
      <c r="F3350" s="14"/>
      <c r="G3350" s="14"/>
      <c r="H3350" s="14"/>
      <c r="I3350" s="11"/>
      <c r="J3350" s="14"/>
      <c r="K3350" s="76"/>
      <c r="L3350" s="15"/>
      <c r="M3350" s="14"/>
      <c r="N3350" s="62"/>
      <c r="O3350" s="60"/>
      <c r="P3350" s="23"/>
      <c r="Q3350" s="14"/>
      <c r="R3350" s="14"/>
    </row>
    <row r="3351" spans="1:19">
      <c r="B3351" s="66"/>
      <c r="C3351" s="64"/>
      <c r="F3351" s="14"/>
      <c r="G3351" s="14"/>
      <c r="H3351" s="14"/>
      <c r="I3351" s="11"/>
      <c r="J3351" s="14"/>
      <c r="K3351" s="76"/>
      <c r="L3351" s="15"/>
      <c r="M3351" s="14"/>
      <c r="N3351" s="62"/>
      <c r="O3351" s="60"/>
      <c r="P3351" s="23"/>
      <c r="Q3351" s="14"/>
      <c r="R3351" s="14"/>
    </row>
    <row r="3352" spans="1:19">
      <c r="B3352" s="66"/>
      <c r="C3352" s="64"/>
      <c r="F3352" s="14"/>
      <c r="G3352" s="14"/>
      <c r="H3352" s="14"/>
      <c r="I3352" s="11"/>
      <c r="J3352" s="14"/>
      <c r="K3352" s="76"/>
      <c r="L3352" s="15"/>
      <c r="M3352" s="14"/>
      <c r="N3352" s="62"/>
      <c r="O3352" s="60"/>
      <c r="P3352" s="23"/>
      <c r="Q3352" s="14"/>
      <c r="R3352" s="14"/>
    </row>
    <row r="3353" spans="1:19">
      <c r="B3353" s="66"/>
      <c r="C3353" s="64"/>
      <c r="F3353" s="14"/>
      <c r="G3353" s="14"/>
      <c r="H3353" s="14"/>
      <c r="I3353" s="11"/>
      <c r="J3353" s="14"/>
      <c r="K3353" s="76"/>
      <c r="L3353" s="15"/>
      <c r="M3353" s="14"/>
      <c r="N3353" s="62"/>
      <c r="O3353" s="60"/>
      <c r="P3353" s="23"/>
      <c r="Q3353" s="14"/>
      <c r="R3353" s="14"/>
    </row>
    <row r="3354" spans="1:19" s="62" customFormat="1" ht="12.75" customHeight="1">
      <c r="A3354" s="62" t="s">
        <v>2695</v>
      </c>
      <c r="B3354" s="62" t="s">
        <v>2696</v>
      </c>
      <c r="C3354" s="62" t="s">
        <v>494</v>
      </c>
      <c r="E3354" s="62" t="s">
        <v>476</v>
      </c>
      <c r="F3354" s="47">
        <v>15</v>
      </c>
      <c r="G3354" s="47">
        <v>1577</v>
      </c>
      <c r="H3354" s="47" t="s">
        <v>2667</v>
      </c>
      <c r="I3354" s="48" t="s">
        <v>2741</v>
      </c>
      <c r="J3354" s="47">
        <v>1501</v>
      </c>
      <c r="K3354" s="55">
        <v>1</v>
      </c>
      <c r="L3354" s="57">
        <v>6</v>
      </c>
      <c r="M3354" s="47"/>
      <c r="N3354" s="47"/>
      <c r="O3354" s="47"/>
      <c r="P3354" s="47"/>
    </row>
    <row r="3355" spans="1:19" s="62" customFormat="1" ht="12.75" customHeight="1">
      <c r="B3355" s="62" t="s">
        <v>2681</v>
      </c>
      <c r="C3355" s="62" t="s">
        <v>494</v>
      </c>
      <c r="F3355" s="47"/>
      <c r="G3355" s="47"/>
      <c r="H3355" s="47"/>
      <c r="I3355" s="48"/>
      <c r="J3355" s="47"/>
      <c r="K3355" s="55">
        <v>2</v>
      </c>
      <c r="L3355" s="57">
        <v>6</v>
      </c>
      <c r="M3355" s="47"/>
      <c r="N3355" s="47"/>
      <c r="O3355" s="47"/>
      <c r="P3355" s="47"/>
    </row>
    <row r="3356" spans="1:19" s="62" customFormat="1" ht="12.75" customHeight="1">
      <c r="A3356" s="64"/>
      <c r="B3356" s="64" t="s">
        <v>2697</v>
      </c>
      <c r="C3356" s="64" t="s">
        <v>493</v>
      </c>
      <c r="D3356" s="64">
        <v>1</v>
      </c>
      <c r="E3356" s="64"/>
      <c r="F3356" s="64"/>
      <c r="G3356" s="64"/>
      <c r="H3356" s="64"/>
      <c r="I3356" s="64"/>
      <c r="J3356" s="64"/>
      <c r="K3356" s="55">
        <v>3</v>
      </c>
      <c r="L3356" s="85">
        <v>3</v>
      </c>
      <c r="M3356" s="64"/>
      <c r="N3356" s="64"/>
      <c r="O3356" s="64"/>
      <c r="P3356" s="64"/>
      <c r="Q3356" s="64"/>
      <c r="R3356" s="64"/>
      <c r="S3356" s="64"/>
    </row>
    <row r="3357" spans="1:19" s="62" customFormat="1" ht="12.75" customHeight="1">
      <c r="A3357" s="64"/>
      <c r="B3357" s="64" t="s">
        <v>2698</v>
      </c>
      <c r="C3357" s="64" t="s">
        <v>493</v>
      </c>
      <c r="D3357" s="64">
        <v>1</v>
      </c>
      <c r="E3357" s="64"/>
      <c r="F3357" s="64"/>
      <c r="G3357" s="64"/>
      <c r="H3357" s="64"/>
      <c r="I3357" s="64"/>
      <c r="J3357" s="64"/>
      <c r="K3357" s="55">
        <v>4</v>
      </c>
      <c r="L3357" s="85">
        <v>3</v>
      </c>
      <c r="M3357" s="64"/>
      <c r="N3357" s="64"/>
      <c r="O3357" s="64"/>
      <c r="P3357" s="64"/>
      <c r="Q3357" s="64"/>
      <c r="R3357" s="64"/>
      <c r="S3357" s="64"/>
    </row>
    <row r="3358" spans="1:19" s="62" customFormat="1" ht="12.75" customHeight="1">
      <c r="A3358" s="64"/>
      <c r="B3358" s="64" t="s">
        <v>2699</v>
      </c>
      <c r="C3358" s="64" t="s">
        <v>493</v>
      </c>
      <c r="D3358" s="64">
        <v>1</v>
      </c>
      <c r="E3358" s="64"/>
      <c r="F3358" s="64"/>
      <c r="G3358" s="64"/>
      <c r="H3358" s="64"/>
      <c r="I3358" s="64"/>
      <c r="J3358" s="64"/>
      <c r="K3358" s="55">
        <v>5</v>
      </c>
      <c r="L3358" s="85">
        <v>3</v>
      </c>
      <c r="M3358" s="64"/>
      <c r="N3358" s="64"/>
      <c r="O3358" s="64"/>
      <c r="P3358" s="64"/>
      <c r="Q3358" s="64"/>
      <c r="R3358" s="64"/>
      <c r="S3358" s="64"/>
    </row>
    <row r="3359" spans="1:19" s="62" customFormat="1" ht="12.75" customHeight="1">
      <c r="A3359" s="64"/>
      <c r="B3359" s="64" t="s">
        <v>2670</v>
      </c>
      <c r="C3359" s="64" t="s">
        <v>493</v>
      </c>
      <c r="D3359" s="64">
        <v>1</v>
      </c>
      <c r="E3359" s="64"/>
      <c r="F3359" s="64"/>
      <c r="G3359" s="64"/>
      <c r="H3359" s="64"/>
      <c r="I3359" s="64"/>
      <c r="J3359" s="64"/>
      <c r="K3359" s="55">
        <v>6</v>
      </c>
      <c r="L3359" s="85">
        <v>3</v>
      </c>
      <c r="M3359" s="64"/>
      <c r="N3359" s="64"/>
      <c r="O3359" s="64"/>
      <c r="P3359" s="64"/>
      <c r="Q3359" s="64"/>
      <c r="R3359" s="64"/>
      <c r="S3359" s="64"/>
    </row>
    <row r="3360" spans="1:19" s="62" customFormat="1" ht="12.75" customHeight="1">
      <c r="A3360" s="64"/>
      <c r="B3360" s="64" t="s">
        <v>2671</v>
      </c>
      <c r="C3360" s="64" t="s">
        <v>493</v>
      </c>
      <c r="D3360" s="64">
        <v>1</v>
      </c>
      <c r="E3360" s="64"/>
      <c r="F3360" s="64"/>
      <c r="G3360" s="64"/>
      <c r="H3360" s="64"/>
      <c r="I3360" s="64"/>
      <c r="J3360" s="64"/>
      <c r="K3360" s="55">
        <v>7</v>
      </c>
      <c r="L3360" s="85">
        <v>3</v>
      </c>
      <c r="M3360" s="64"/>
      <c r="N3360" s="64"/>
      <c r="O3360" s="64"/>
      <c r="P3360" s="64"/>
      <c r="Q3360" s="64"/>
      <c r="R3360" s="64"/>
      <c r="S3360" s="64"/>
    </row>
    <row r="3361" spans="1:19" s="62" customFormat="1" ht="12.75" customHeight="1">
      <c r="A3361" s="64"/>
      <c r="B3361" s="64" t="s">
        <v>2672</v>
      </c>
      <c r="C3361" s="64" t="s">
        <v>493</v>
      </c>
      <c r="D3361" s="64">
        <v>1</v>
      </c>
      <c r="E3361" s="64"/>
      <c r="F3361" s="64"/>
      <c r="G3361" s="64"/>
      <c r="H3361" s="64"/>
      <c r="I3361" s="64"/>
      <c r="J3361" s="64"/>
      <c r="K3361" s="55">
        <v>8</v>
      </c>
      <c r="L3361" s="85">
        <v>3</v>
      </c>
      <c r="M3361" s="64"/>
      <c r="N3361" s="64"/>
      <c r="O3361" s="64"/>
      <c r="P3361" s="64"/>
      <c r="Q3361" s="64"/>
      <c r="R3361" s="64"/>
      <c r="S3361" s="64"/>
    </row>
    <row r="3362" spans="1:19" s="62" customFormat="1" ht="12.75" customHeight="1">
      <c r="A3362" s="64"/>
      <c r="B3362" s="64" t="s">
        <v>2673</v>
      </c>
      <c r="C3362" s="64" t="s">
        <v>493</v>
      </c>
      <c r="D3362" s="64">
        <v>1</v>
      </c>
      <c r="E3362" s="64"/>
      <c r="F3362" s="64"/>
      <c r="G3362" s="64"/>
      <c r="H3362" s="64"/>
      <c r="I3362" s="64"/>
      <c r="J3362" s="64"/>
      <c r="K3362" s="55">
        <v>9</v>
      </c>
      <c r="L3362" s="85">
        <v>3</v>
      </c>
      <c r="M3362" s="64"/>
      <c r="N3362" s="64"/>
      <c r="O3362" s="64"/>
      <c r="P3362" s="64"/>
      <c r="Q3362" s="64"/>
      <c r="R3362" s="64"/>
      <c r="S3362" s="64"/>
    </row>
    <row r="3363" spans="1:19" s="62" customFormat="1" ht="12.75" customHeight="1">
      <c r="A3363" s="64"/>
      <c r="B3363" s="64" t="s">
        <v>2674</v>
      </c>
      <c r="C3363" s="64" t="s">
        <v>493</v>
      </c>
      <c r="D3363" s="64">
        <v>1</v>
      </c>
      <c r="E3363" s="64"/>
      <c r="F3363" s="64"/>
      <c r="G3363" s="64"/>
      <c r="H3363" s="64"/>
      <c r="I3363" s="64"/>
      <c r="J3363" s="64"/>
      <c r="K3363" s="55">
        <v>10</v>
      </c>
      <c r="L3363" s="85">
        <v>3</v>
      </c>
      <c r="M3363" s="64"/>
      <c r="N3363" s="64"/>
      <c r="O3363" s="64"/>
      <c r="P3363" s="64"/>
      <c r="Q3363" s="64"/>
      <c r="R3363" s="64"/>
      <c r="S3363" s="64"/>
    </row>
    <row r="3364" spans="1:19" s="62" customFormat="1" ht="12.75" customHeight="1">
      <c r="A3364" s="64"/>
      <c r="B3364" s="64" t="s">
        <v>2675</v>
      </c>
      <c r="C3364" s="64" t="s">
        <v>493</v>
      </c>
      <c r="D3364" s="64">
        <v>100</v>
      </c>
      <c r="E3364" s="64"/>
      <c r="F3364" s="64"/>
      <c r="G3364" s="64"/>
      <c r="H3364" s="64"/>
      <c r="I3364" s="64"/>
      <c r="J3364" s="64"/>
      <c r="K3364" s="55">
        <v>11</v>
      </c>
      <c r="L3364" s="85"/>
      <c r="M3364" s="64"/>
      <c r="N3364" s="64"/>
      <c r="O3364" s="64"/>
      <c r="P3364" s="64"/>
      <c r="Q3364" s="64"/>
      <c r="R3364" s="64"/>
      <c r="S3364" s="64"/>
    </row>
    <row r="3365" spans="1:19" s="62" customFormat="1" ht="12.75" customHeight="1">
      <c r="A3365" s="64"/>
      <c r="B3365" s="64" t="s">
        <v>2676</v>
      </c>
      <c r="C3365" s="64" t="s">
        <v>520</v>
      </c>
      <c r="D3365" s="64"/>
      <c r="E3365" s="64"/>
      <c r="F3365" s="64"/>
      <c r="G3365" s="64"/>
      <c r="H3365" s="64"/>
      <c r="I3365" s="64"/>
      <c r="J3365" s="64"/>
      <c r="K3365" s="55">
        <v>12</v>
      </c>
      <c r="L3365" s="85"/>
      <c r="M3365" s="64"/>
      <c r="N3365" s="64"/>
      <c r="O3365" s="64"/>
      <c r="P3365" s="64"/>
      <c r="Q3365" s="64"/>
      <c r="R3365" s="64"/>
      <c r="S3365" s="64"/>
    </row>
    <row r="3366" spans="1:19" s="62" customFormat="1" ht="12.75" customHeight="1">
      <c r="A3366" s="64"/>
      <c r="B3366" s="64" t="s">
        <v>2677</v>
      </c>
      <c r="C3366" s="64" t="s">
        <v>494</v>
      </c>
      <c r="D3366" s="64"/>
      <c r="E3366" s="64"/>
      <c r="F3366" s="64"/>
      <c r="G3366" s="64"/>
      <c r="H3366" s="64"/>
      <c r="I3366" s="64"/>
      <c r="J3366" s="64"/>
      <c r="K3366" s="55">
        <v>13</v>
      </c>
      <c r="L3366" s="85">
        <v>3</v>
      </c>
      <c r="M3366" s="64">
        <v>3</v>
      </c>
      <c r="N3366" s="62" t="s">
        <v>2678</v>
      </c>
      <c r="O3366" s="62" t="s">
        <v>333</v>
      </c>
      <c r="P3366" s="62" t="s">
        <v>334</v>
      </c>
      <c r="R3366" s="64"/>
      <c r="S3366" s="64"/>
    </row>
    <row r="3367" spans="1:19" s="62" customFormat="1" ht="12.75" customHeight="1">
      <c r="A3367" s="64"/>
      <c r="B3367" s="64" t="s">
        <v>2700</v>
      </c>
      <c r="C3367" s="64" t="s">
        <v>494</v>
      </c>
      <c r="D3367" s="64"/>
      <c r="E3367" s="64"/>
      <c r="F3367" s="64"/>
      <c r="G3367" s="64"/>
      <c r="H3367" s="64"/>
      <c r="I3367" s="64"/>
      <c r="J3367" s="64"/>
      <c r="K3367" s="55">
        <v>14</v>
      </c>
      <c r="L3367" s="85">
        <v>3</v>
      </c>
      <c r="M3367" s="64">
        <v>3</v>
      </c>
      <c r="N3367" s="62" t="s">
        <v>2692</v>
      </c>
      <c r="O3367" s="62" t="s">
        <v>2693</v>
      </c>
      <c r="P3367" s="62" t="s">
        <v>2694</v>
      </c>
      <c r="R3367" s="64"/>
      <c r="S3367" s="64"/>
    </row>
    <row r="3368" spans="1:19" s="62" customFormat="1" ht="12.75" customHeight="1">
      <c r="A3368" s="64"/>
      <c r="B3368" s="64" t="s">
        <v>2701</v>
      </c>
      <c r="C3368" s="64" t="s">
        <v>494</v>
      </c>
      <c r="D3368" s="64"/>
      <c r="E3368" s="64"/>
      <c r="F3368" s="64"/>
      <c r="G3368" s="64"/>
      <c r="H3368" s="64"/>
      <c r="I3368" s="64"/>
      <c r="J3368" s="64"/>
      <c r="K3368" s="55">
        <v>15</v>
      </c>
      <c r="L3368" s="85">
        <v>3</v>
      </c>
      <c r="M3368" s="64"/>
      <c r="N3368" s="62" t="s">
        <v>2495</v>
      </c>
      <c r="O3368" s="62" t="s">
        <v>2497</v>
      </c>
      <c r="P3368" s="62" t="s">
        <v>2500</v>
      </c>
      <c r="R3368" s="64"/>
      <c r="S3368" s="64"/>
    </row>
    <row r="3369" spans="1:19" s="62" customFormat="1" ht="12.75" customHeight="1">
      <c r="A3369" s="64"/>
      <c r="B3369" s="64" t="s">
        <v>2702</v>
      </c>
      <c r="C3369" s="64" t="s">
        <v>494</v>
      </c>
      <c r="D3369" s="64"/>
      <c r="E3369" s="64"/>
      <c r="F3369" s="64"/>
      <c r="G3369" s="64"/>
      <c r="H3369" s="64"/>
      <c r="I3369" s="64"/>
      <c r="J3369" s="64"/>
      <c r="K3369" s="55">
        <v>16</v>
      </c>
      <c r="L3369" s="85">
        <v>3</v>
      </c>
      <c r="M3369" s="64"/>
      <c r="N3369" s="62" t="s">
        <v>2712</v>
      </c>
      <c r="O3369" s="62" t="s">
        <v>2715</v>
      </c>
      <c r="P3369" s="62" t="s">
        <v>2717</v>
      </c>
      <c r="R3369" s="64"/>
      <c r="S3369" s="64"/>
    </row>
    <row r="3370" spans="1:19" s="62" customFormat="1" ht="12.75" customHeight="1">
      <c r="A3370" s="64"/>
      <c r="B3370" s="64" t="s">
        <v>2709</v>
      </c>
      <c r="C3370" s="64" t="s">
        <v>493</v>
      </c>
      <c r="D3370" s="64">
        <v>255</v>
      </c>
      <c r="E3370" s="64"/>
      <c r="F3370" s="64"/>
      <c r="G3370" s="64"/>
      <c r="H3370" s="64"/>
      <c r="I3370" s="64"/>
      <c r="J3370" s="64"/>
      <c r="K3370" s="55">
        <v>17</v>
      </c>
      <c r="L3370" s="85"/>
      <c r="M3370" s="64"/>
      <c r="R3370" s="64"/>
      <c r="S3370" s="64"/>
    </row>
    <row r="3371" spans="1:19" s="62" customFormat="1" ht="12.75" customHeight="1">
      <c r="A3371" s="64"/>
      <c r="B3371" s="64"/>
      <c r="C3371" s="64"/>
      <c r="D3371" s="64"/>
      <c r="E3371" s="64"/>
      <c r="F3371" s="64"/>
      <c r="G3371" s="64"/>
      <c r="H3371" s="64"/>
      <c r="I3371" s="64"/>
      <c r="J3371" s="64"/>
      <c r="K3371" s="48"/>
      <c r="L3371" s="85"/>
      <c r="M3371" s="64"/>
      <c r="P3371" s="64"/>
      <c r="Q3371" s="64"/>
      <c r="R3371" s="64"/>
      <c r="S3371" s="64"/>
    </row>
    <row r="3372" spans="1:19" s="62" customFormat="1" ht="12.75" customHeight="1">
      <c r="A3372" s="64" t="s">
        <v>2679</v>
      </c>
      <c r="B3372" s="64" t="s">
        <v>2680</v>
      </c>
      <c r="C3372" s="64" t="s">
        <v>494</v>
      </c>
      <c r="D3372" s="64"/>
      <c r="E3372" s="64" t="s">
        <v>476</v>
      </c>
      <c r="F3372" s="64">
        <v>15</v>
      </c>
      <c r="G3372" s="64">
        <v>1578</v>
      </c>
      <c r="H3372" s="64" t="s">
        <v>2668</v>
      </c>
      <c r="I3372" s="64"/>
      <c r="J3372" s="64">
        <v>1501</v>
      </c>
      <c r="K3372" s="48">
        <v>1</v>
      </c>
      <c r="L3372" s="85">
        <v>52</v>
      </c>
      <c r="M3372" s="64"/>
      <c r="N3372" s="64">
        <v>1577</v>
      </c>
      <c r="O3372" s="64" t="s">
        <v>2681</v>
      </c>
      <c r="P3372" s="64"/>
      <c r="Q3372" s="64"/>
      <c r="R3372" s="64"/>
      <c r="S3372" s="64"/>
    </row>
    <row r="3373" spans="1:19" s="62" customFormat="1" ht="12.75" customHeight="1">
      <c r="A3373" s="64"/>
      <c r="B3373" s="64" t="s">
        <v>2703</v>
      </c>
      <c r="C3373" s="64" t="s">
        <v>494</v>
      </c>
      <c r="D3373" s="64"/>
      <c r="E3373" s="64" t="s">
        <v>476</v>
      </c>
      <c r="F3373" s="64"/>
      <c r="G3373" s="64"/>
      <c r="H3373" s="64"/>
      <c r="I3373" s="64"/>
      <c r="J3373" s="64"/>
      <c r="K3373" s="48">
        <v>2</v>
      </c>
      <c r="L3373" s="85">
        <v>6</v>
      </c>
      <c r="M3373" s="64"/>
      <c r="N3373" s="64"/>
      <c r="O3373" s="64"/>
      <c r="P3373" s="64"/>
      <c r="Q3373" s="64"/>
      <c r="R3373" s="64"/>
      <c r="S3373" s="64"/>
    </row>
    <row r="3374" spans="1:19" s="62" customFormat="1" ht="12.75" customHeight="1">
      <c r="A3374" s="64"/>
      <c r="B3374" s="64" t="s">
        <v>2704</v>
      </c>
      <c r="C3374" s="64" t="s">
        <v>494</v>
      </c>
      <c r="D3374" s="64"/>
      <c r="E3374" s="64"/>
      <c r="F3374" s="64"/>
      <c r="G3374" s="64"/>
      <c r="H3374" s="64"/>
      <c r="I3374" s="64"/>
      <c r="J3374" s="64"/>
      <c r="K3374" s="48">
        <v>3</v>
      </c>
      <c r="L3374" s="85">
        <v>6</v>
      </c>
      <c r="M3374" s="64"/>
      <c r="N3374" s="64"/>
      <c r="O3374" s="64"/>
      <c r="P3374" s="64"/>
      <c r="Q3374" s="64"/>
      <c r="R3374" s="64"/>
      <c r="S3374" s="64"/>
    </row>
    <row r="3375" spans="1:19" s="62" customFormat="1" ht="12.75" customHeight="1">
      <c r="A3375" s="64"/>
      <c r="B3375" s="64" t="s">
        <v>2705</v>
      </c>
      <c r="C3375" s="64" t="s">
        <v>493</v>
      </c>
      <c r="D3375" s="64">
        <v>100</v>
      </c>
      <c r="E3375" s="64"/>
      <c r="F3375" s="64"/>
      <c r="G3375" s="64"/>
      <c r="H3375" s="64"/>
      <c r="I3375" s="64"/>
      <c r="J3375" s="64"/>
      <c r="K3375" s="48">
        <v>4</v>
      </c>
      <c r="L3375" s="85"/>
      <c r="M3375" s="64"/>
      <c r="N3375" s="64"/>
      <c r="O3375" s="64"/>
      <c r="P3375" s="64"/>
      <c r="Q3375" s="64"/>
      <c r="R3375" s="64"/>
      <c r="S3375" s="64"/>
    </row>
    <row r="3376" spans="1:19" s="62" customFormat="1" ht="12.75" customHeight="1">
      <c r="A3376" s="64"/>
      <c r="B3376" s="64" t="s">
        <v>2706</v>
      </c>
      <c r="C3376" s="64" t="s">
        <v>494</v>
      </c>
      <c r="D3376" s="64"/>
      <c r="E3376" s="64"/>
      <c r="F3376" s="64"/>
      <c r="G3376" s="64"/>
      <c r="H3376" s="64"/>
      <c r="I3376" s="64"/>
      <c r="J3376" s="64"/>
      <c r="K3376" s="48">
        <v>5</v>
      </c>
      <c r="L3376" s="85">
        <v>3</v>
      </c>
      <c r="M3376" s="64"/>
      <c r="N3376" s="64" t="s">
        <v>2689</v>
      </c>
      <c r="O3376" s="64" t="s">
        <v>2690</v>
      </c>
      <c r="P3376" s="64" t="s">
        <v>2691</v>
      </c>
      <c r="Q3376" s="64"/>
      <c r="R3376" s="64"/>
      <c r="S3376" s="64"/>
    </row>
    <row r="3377" spans="1:19" s="62" customFormat="1" ht="12.75" customHeight="1">
      <c r="A3377" s="64"/>
      <c r="B3377" s="64"/>
      <c r="C3377" s="64"/>
      <c r="D3377" s="64"/>
      <c r="E3377" s="64"/>
      <c r="F3377" s="64"/>
      <c r="G3377" s="64"/>
      <c r="H3377" s="64"/>
      <c r="I3377" s="64"/>
      <c r="J3377" s="64"/>
      <c r="K3377" s="48"/>
      <c r="L3377" s="85"/>
      <c r="M3377" s="64"/>
      <c r="N3377" s="64"/>
      <c r="O3377" s="64"/>
      <c r="P3377" s="64"/>
      <c r="Q3377" s="64"/>
      <c r="R3377" s="64"/>
      <c r="S3377" s="64"/>
    </row>
    <row r="3378" spans="1:19" s="62" customFormat="1" ht="12.75" customHeight="1">
      <c r="A3378" s="64" t="s">
        <v>2707</v>
      </c>
      <c r="B3378" s="64" t="s">
        <v>2708</v>
      </c>
      <c r="C3378" s="64" t="s">
        <v>494</v>
      </c>
      <c r="D3378" s="64"/>
      <c r="E3378" s="64" t="s">
        <v>476</v>
      </c>
      <c r="F3378" s="64">
        <v>15</v>
      </c>
      <c r="G3378" s="64">
        <v>1579</v>
      </c>
      <c r="H3378" s="64" t="s">
        <v>2669</v>
      </c>
      <c r="I3378" s="64"/>
      <c r="J3378" s="64">
        <v>1501</v>
      </c>
      <c r="K3378" s="48">
        <v>1</v>
      </c>
      <c r="L3378" s="85">
        <v>52</v>
      </c>
      <c r="M3378" s="64"/>
      <c r="N3378" s="64">
        <v>1577</v>
      </c>
      <c r="O3378" s="64" t="s">
        <v>2681</v>
      </c>
      <c r="P3378" s="64"/>
      <c r="Q3378" s="64"/>
      <c r="R3378" s="64"/>
      <c r="S3378" s="64"/>
    </row>
    <row r="3379" spans="1:19" s="62" customFormat="1" ht="12.75" customHeight="1">
      <c r="A3379" s="64"/>
      <c r="B3379" s="64" t="s">
        <v>2682</v>
      </c>
      <c r="C3379" s="64" t="s">
        <v>494</v>
      </c>
      <c r="D3379" s="64"/>
      <c r="E3379" s="64" t="s">
        <v>476</v>
      </c>
      <c r="F3379" s="64"/>
      <c r="G3379" s="64"/>
      <c r="H3379" s="64"/>
      <c r="I3379" s="64"/>
      <c r="J3379" s="64"/>
      <c r="K3379" s="48">
        <v>2</v>
      </c>
      <c r="L3379" s="85">
        <v>6</v>
      </c>
      <c r="M3379" s="64"/>
      <c r="N3379" s="64"/>
      <c r="O3379" s="64"/>
      <c r="P3379" s="64"/>
      <c r="Q3379" s="64"/>
      <c r="R3379" s="64"/>
      <c r="S3379" s="64"/>
    </row>
    <row r="3380" spans="1:19" s="62" customFormat="1" ht="12.75" customHeight="1">
      <c r="A3380" s="64"/>
      <c r="B3380" s="64" t="s">
        <v>2683</v>
      </c>
      <c r="C3380" s="64" t="s">
        <v>494</v>
      </c>
      <c r="D3380" s="64"/>
      <c r="E3380" s="64"/>
      <c r="F3380" s="64"/>
      <c r="G3380" s="64"/>
      <c r="H3380" s="64"/>
      <c r="I3380" s="64"/>
      <c r="J3380" s="64"/>
      <c r="K3380" s="48">
        <v>3</v>
      </c>
      <c r="L3380" s="85">
        <v>6</v>
      </c>
      <c r="M3380" s="64"/>
      <c r="N3380" s="64"/>
      <c r="O3380" s="64"/>
      <c r="P3380" s="64"/>
      <c r="Q3380" s="64"/>
      <c r="R3380" s="64"/>
      <c r="S3380" s="64"/>
    </row>
    <row r="3381" spans="1:19" s="62" customFormat="1" ht="12.75" customHeight="1">
      <c r="A3381" s="64"/>
      <c r="B3381" s="64" t="s">
        <v>2684</v>
      </c>
      <c r="C3381" s="64" t="s">
        <v>493</v>
      </c>
      <c r="D3381" s="64">
        <v>10</v>
      </c>
      <c r="E3381" s="64"/>
      <c r="F3381" s="64"/>
      <c r="G3381" s="64"/>
      <c r="H3381" s="64"/>
      <c r="I3381" s="64"/>
      <c r="J3381" s="64"/>
      <c r="K3381" s="48">
        <v>4</v>
      </c>
      <c r="L3381" s="85">
        <v>7</v>
      </c>
      <c r="M3381" s="64"/>
      <c r="N3381" s="64"/>
      <c r="O3381" s="64"/>
      <c r="P3381" s="64"/>
      <c r="Q3381" s="64"/>
      <c r="R3381" s="64"/>
      <c r="S3381" s="64"/>
    </row>
    <row r="3382" spans="1:19" s="62" customFormat="1" ht="12.75" customHeight="1">
      <c r="A3382" s="64"/>
      <c r="B3382" s="64" t="s">
        <v>2685</v>
      </c>
      <c r="C3382" s="64" t="s">
        <v>494</v>
      </c>
      <c r="D3382" s="64"/>
      <c r="E3382" s="64"/>
      <c r="F3382" s="64"/>
      <c r="G3382" s="64"/>
      <c r="H3382" s="64"/>
      <c r="I3382" s="64"/>
      <c r="J3382" s="64"/>
      <c r="K3382" s="48">
        <v>5</v>
      </c>
      <c r="L3382" s="85"/>
      <c r="M3382" s="64">
        <v>73</v>
      </c>
      <c r="N3382" s="64"/>
      <c r="O3382" s="64"/>
      <c r="P3382" s="64"/>
      <c r="Q3382" s="64"/>
      <c r="R3382" s="64"/>
      <c r="S3382" s="64"/>
    </row>
    <row r="3383" spans="1:19" s="62" customFormat="1" ht="12.75" customHeight="1">
      <c r="A3383" s="64"/>
      <c r="B3383" s="64" t="s">
        <v>2686</v>
      </c>
      <c r="C3383" s="64" t="s">
        <v>494</v>
      </c>
      <c r="D3383" s="64"/>
      <c r="E3383" s="64"/>
      <c r="F3383" s="64"/>
      <c r="G3383" s="64"/>
      <c r="H3383" s="64"/>
      <c r="I3383" s="64"/>
      <c r="J3383" s="64"/>
      <c r="K3383" s="48">
        <v>6</v>
      </c>
      <c r="L3383" s="85"/>
      <c r="M3383" s="64">
        <v>74</v>
      </c>
      <c r="N3383" s="64"/>
      <c r="O3383" s="64"/>
      <c r="P3383" s="64"/>
      <c r="Q3383" s="64"/>
      <c r="R3383" s="64"/>
      <c r="S3383" s="64"/>
    </row>
    <row r="3384" spans="1:19" s="62" customFormat="1" ht="12.75" customHeight="1">
      <c r="A3384" s="64"/>
      <c r="B3384" s="64" t="s">
        <v>2687</v>
      </c>
      <c r="C3384" s="64" t="s">
        <v>493</v>
      </c>
      <c r="D3384" s="64">
        <v>100</v>
      </c>
      <c r="E3384" s="64"/>
      <c r="F3384" s="64"/>
      <c r="G3384" s="64"/>
      <c r="H3384" s="64"/>
      <c r="I3384" s="64"/>
      <c r="J3384" s="64"/>
      <c r="K3384" s="48">
        <v>7</v>
      </c>
      <c r="L3384" s="85"/>
      <c r="M3384" s="64"/>
      <c r="N3384" s="64"/>
      <c r="O3384" s="64"/>
      <c r="P3384" s="64"/>
      <c r="Q3384" s="64"/>
      <c r="R3384" s="64"/>
      <c r="S3384" s="64"/>
    </row>
    <row r="3385" spans="1:19" s="62" customFormat="1" ht="12.75" customHeight="1">
      <c r="A3385" s="64"/>
      <c r="B3385" s="64" t="s">
        <v>2688</v>
      </c>
      <c r="C3385" s="64" t="s">
        <v>520</v>
      </c>
      <c r="D3385" s="64"/>
      <c r="E3385" s="64"/>
      <c r="F3385" s="64"/>
      <c r="G3385" s="64"/>
      <c r="H3385" s="64"/>
      <c r="I3385" s="64"/>
      <c r="J3385" s="64"/>
      <c r="K3385" s="48">
        <v>8</v>
      </c>
      <c r="L3385" s="85"/>
      <c r="M3385" s="64"/>
      <c r="N3385" s="64"/>
      <c r="O3385" s="64"/>
      <c r="P3385" s="64"/>
      <c r="Q3385" s="64"/>
      <c r="R3385" s="64"/>
      <c r="S3385" s="64"/>
    </row>
    <row r="3386" spans="1:19" s="62" customFormat="1" ht="12.75" customHeight="1">
      <c r="A3386" s="64"/>
      <c r="B3386" s="64"/>
      <c r="C3386" s="64"/>
      <c r="D3386" s="64"/>
      <c r="E3386" s="64"/>
      <c r="F3386" s="64"/>
      <c r="G3386" s="64"/>
      <c r="H3386" s="64"/>
      <c r="I3386" s="64"/>
      <c r="J3386" s="64"/>
      <c r="K3386" s="48"/>
      <c r="L3386" s="85"/>
      <c r="M3386" s="64"/>
      <c r="N3386" s="64"/>
      <c r="O3386" s="64"/>
      <c r="P3386" s="64"/>
      <c r="Q3386" s="64"/>
      <c r="R3386" s="64"/>
      <c r="S3386" s="64"/>
    </row>
    <row r="3387" spans="1:19" s="62" customFormat="1">
      <c r="A3387" s="62" t="s">
        <v>2712</v>
      </c>
      <c r="B3387" s="62" t="s">
        <v>2713</v>
      </c>
      <c r="C3387" s="62" t="s">
        <v>494</v>
      </c>
      <c r="E3387" s="62" t="s">
        <v>476</v>
      </c>
      <c r="F3387" s="62">
        <v>15</v>
      </c>
      <c r="G3387" s="62">
        <v>1572</v>
      </c>
      <c r="H3387" s="62" t="s">
        <v>2710</v>
      </c>
      <c r="I3387" s="22" t="s">
        <v>2742</v>
      </c>
      <c r="J3387" s="62">
        <v>1</v>
      </c>
      <c r="K3387" s="32">
        <v>1</v>
      </c>
      <c r="L3387" s="76">
        <v>51</v>
      </c>
    </row>
    <row r="3388" spans="1:19" s="62" customFormat="1">
      <c r="B3388" s="62" t="s">
        <v>2714</v>
      </c>
      <c r="C3388" s="62" t="s">
        <v>494</v>
      </c>
      <c r="E3388" s="62" t="s">
        <v>476</v>
      </c>
      <c r="I3388" s="22"/>
      <c r="K3388" s="32">
        <v>2</v>
      </c>
      <c r="L3388" s="76">
        <v>6</v>
      </c>
    </row>
    <row r="3389" spans="1:19" s="62" customFormat="1">
      <c r="B3389" s="62" t="s">
        <v>2715</v>
      </c>
      <c r="C3389" s="62" t="s">
        <v>494</v>
      </c>
      <c r="I3389" s="22"/>
      <c r="K3389" s="32">
        <v>3</v>
      </c>
      <c r="L3389" s="76">
        <v>6</v>
      </c>
    </row>
    <row r="3390" spans="1:19" s="62" customFormat="1">
      <c r="B3390" s="62" t="s">
        <v>2716</v>
      </c>
      <c r="C3390" s="62" t="s">
        <v>493</v>
      </c>
      <c r="D3390" s="62">
        <v>1</v>
      </c>
      <c r="I3390" s="22"/>
      <c r="K3390" s="32">
        <v>4</v>
      </c>
      <c r="L3390" s="76">
        <v>3</v>
      </c>
    </row>
    <row r="3391" spans="1:19" s="62" customFormat="1">
      <c r="B3391" s="62" t="s">
        <v>2717</v>
      </c>
      <c r="C3391" s="62" t="s">
        <v>493</v>
      </c>
      <c r="D3391" s="62">
        <v>100</v>
      </c>
      <c r="I3391" s="22"/>
      <c r="K3391" s="32">
        <v>5</v>
      </c>
      <c r="L3391" s="76"/>
    </row>
    <row r="3392" spans="1:19" s="62" customFormat="1">
      <c r="B3392" s="62" t="s">
        <v>2718</v>
      </c>
      <c r="C3392" s="62" t="s">
        <v>493</v>
      </c>
      <c r="D3392" s="62">
        <v>1</v>
      </c>
      <c r="I3392" s="22"/>
      <c r="K3392" s="32">
        <v>6</v>
      </c>
      <c r="L3392" s="76">
        <v>3</v>
      </c>
      <c r="N3392" s="62" t="s">
        <v>2738</v>
      </c>
      <c r="O3392" s="62" t="s">
        <v>2739</v>
      </c>
      <c r="P3392" s="62" t="s">
        <v>2740</v>
      </c>
    </row>
    <row r="3393" spans="1:15" s="62" customFormat="1">
      <c r="B3393" s="62" t="s">
        <v>2719</v>
      </c>
      <c r="C3393" s="62" t="s">
        <v>493</v>
      </c>
      <c r="D3393" s="62">
        <v>1</v>
      </c>
      <c r="I3393" s="22"/>
      <c r="K3393" s="32">
        <v>7</v>
      </c>
      <c r="L3393" s="76">
        <v>3</v>
      </c>
    </row>
    <row r="3394" spans="1:15" s="62" customFormat="1">
      <c r="B3394" s="62" t="s">
        <v>2720</v>
      </c>
      <c r="C3394" s="62" t="s">
        <v>493</v>
      </c>
      <c r="D3394" s="62">
        <v>50</v>
      </c>
      <c r="I3394" s="22"/>
      <c r="K3394" s="32">
        <v>8</v>
      </c>
      <c r="L3394" s="76"/>
    </row>
    <row r="3395" spans="1:15" s="62" customFormat="1">
      <c r="B3395" s="62" t="s">
        <v>2721</v>
      </c>
      <c r="C3395" s="62" t="s">
        <v>493</v>
      </c>
      <c r="D3395" s="62">
        <v>50</v>
      </c>
      <c r="I3395" s="22"/>
      <c r="K3395" s="32">
        <v>9</v>
      </c>
      <c r="L3395" s="76"/>
    </row>
    <row r="3396" spans="1:15" s="62" customFormat="1">
      <c r="B3396" s="62" t="s">
        <v>2722</v>
      </c>
      <c r="C3396" s="62" t="s">
        <v>493</v>
      </c>
      <c r="D3396" s="62">
        <v>30</v>
      </c>
      <c r="I3396" s="22"/>
      <c r="K3396" s="32">
        <v>10</v>
      </c>
      <c r="L3396" s="76"/>
    </row>
    <row r="3397" spans="1:15" s="62" customFormat="1">
      <c r="B3397" s="62" t="s">
        <v>2723</v>
      </c>
      <c r="C3397" s="62" t="s">
        <v>494</v>
      </c>
      <c r="I3397" s="22"/>
      <c r="K3397" s="32">
        <v>11</v>
      </c>
      <c r="L3397" s="76"/>
    </row>
    <row r="3398" spans="1:15" s="62" customFormat="1">
      <c r="B3398" s="62" t="s">
        <v>2724</v>
      </c>
      <c r="C3398" s="62" t="s">
        <v>493</v>
      </c>
      <c r="D3398" s="62">
        <v>100</v>
      </c>
      <c r="I3398" s="22"/>
      <c r="K3398" s="32">
        <v>12</v>
      </c>
      <c r="L3398" s="76"/>
    </row>
    <row r="3399" spans="1:15" s="62" customFormat="1">
      <c r="I3399" s="22"/>
      <c r="K3399" s="32"/>
      <c r="L3399" s="76"/>
    </row>
    <row r="3400" spans="1:15" s="62" customFormat="1">
      <c r="A3400" s="62" t="s">
        <v>2725</v>
      </c>
      <c r="B3400" s="62" t="s">
        <v>2726</v>
      </c>
      <c r="C3400" s="62" t="s">
        <v>494</v>
      </c>
      <c r="E3400" s="62" t="s">
        <v>476</v>
      </c>
      <c r="F3400" s="62">
        <v>15</v>
      </c>
      <c r="G3400" s="62">
        <v>1573</v>
      </c>
      <c r="H3400" s="62" t="s">
        <v>2711</v>
      </c>
      <c r="I3400" s="22"/>
      <c r="J3400" s="62">
        <v>1</v>
      </c>
      <c r="K3400" s="32">
        <v>1</v>
      </c>
      <c r="L3400" s="76">
        <v>51</v>
      </c>
    </row>
    <row r="3401" spans="1:15" s="62" customFormat="1">
      <c r="B3401" s="62" t="s">
        <v>2727</v>
      </c>
      <c r="C3401" s="62" t="s">
        <v>494</v>
      </c>
      <c r="E3401" s="62" t="s">
        <v>476</v>
      </c>
      <c r="I3401" s="22"/>
      <c r="K3401" s="32">
        <v>2</v>
      </c>
      <c r="L3401" s="76">
        <v>52</v>
      </c>
      <c r="N3401" s="62">
        <v>1572</v>
      </c>
      <c r="O3401" s="62" t="s">
        <v>2715</v>
      </c>
    </row>
    <row r="3402" spans="1:15" s="62" customFormat="1">
      <c r="B3402" s="62" t="s">
        <v>2728</v>
      </c>
      <c r="C3402" s="62" t="s">
        <v>494</v>
      </c>
      <c r="E3402" s="62" t="s">
        <v>476</v>
      </c>
      <c r="I3402" s="22"/>
      <c r="K3402" s="32">
        <v>3</v>
      </c>
      <c r="L3402" s="76">
        <v>6</v>
      </c>
    </row>
    <row r="3403" spans="1:15" s="62" customFormat="1">
      <c r="B3403" s="62" t="s">
        <v>2729</v>
      </c>
      <c r="C3403" s="62" t="s">
        <v>494</v>
      </c>
      <c r="I3403" s="22"/>
      <c r="K3403" s="32">
        <v>4</v>
      </c>
      <c r="L3403" s="76">
        <v>6</v>
      </c>
    </row>
    <row r="3404" spans="1:15" s="62" customFormat="1">
      <c r="B3404" s="62" t="s">
        <v>2730</v>
      </c>
      <c r="C3404" s="62" t="s">
        <v>493</v>
      </c>
      <c r="D3404" s="62">
        <v>100</v>
      </c>
      <c r="I3404" s="22"/>
      <c r="K3404" s="32">
        <v>5</v>
      </c>
      <c r="L3404" s="76"/>
      <c r="M3404" s="62">
        <v>1</v>
      </c>
    </row>
    <row r="3405" spans="1:15" s="62" customFormat="1">
      <c r="B3405" s="62" t="s">
        <v>2731</v>
      </c>
      <c r="C3405" s="62" t="s">
        <v>493</v>
      </c>
      <c r="D3405" s="62">
        <v>100</v>
      </c>
      <c r="I3405" s="22"/>
      <c r="K3405" s="32">
        <v>6</v>
      </c>
      <c r="L3405" s="76"/>
      <c r="M3405" s="62">
        <v>1</v>
      </c>
    </row>
    <row r="3406" spans="1:15" s="62" customFormat="1">
      <c r="B3406" s="62" t="s">
        <v>2732</v>
      </c>
      <c r="C3406" s="62" t="s">
        <v>493</v>
      </c>
      <c r="D3406" s="62">
        <v>10</v>
      </c>
      <c r="I3406" s="22"/>
      <c r="K3406" s="32">
        <v>7</v>
      </c>
      <c r="L3406" s="76">
        <v>7</v>
      </c>
      <c r="M3406" s="62">
        <v>1</v>
      </c>
    </row>
    <row r="3407" spans="1:15" s="62" customFormat="1">
      <c r="B3407" s="62" t="s">
        <v>2733</v>
      </c>
      <c r="C3407" s="62" t="s">
        <v>494</v>
      </c>
      <c r="I3407" s="22"/>
      <c r="K3407" s="32">
        <v>8</v>
      </c>
      <c r="L3407" s="76"/>
      <c r="M3407" s="62">
        <v>73</v>
      </c>
    </row>
    <row r="3408" spans="1:15" s="62" customFormat="1">
      <c r="B3408" s="62" t="s">
        <v>2734</v>
      </c>
      <c r="C3408" s="62" t="s">
        <v>494</v>
      </c>
      <c r="I3408" s="22"/>
      <c r="K3408" s="32">
        <v>9</v>
      </c>
      <c r="L3408" s="76"/>
      <c r="M3408" s="62">
        <v>74</v>
      </c>
    </row>
    <row r="3409" spans="1:18" s="62" customFormat="1">
      <c r="B3409" s="62" t="s">
        <v>2735</v>
      </c>
      <c r="C3409" s="62" t="s">
        <v>494</v>
      </c>
      <c r="I3409" s="22"/>
      <c r="K3409" s="32">
        <v>10</v>
      </c>
      <c r="L3409" s="76"/>
      <c r="M3409" s="62">
        <v>73</v>
      </c>
    </row>
    <row r="3410" spans="1:18" s="62" customFormat="1">
      <c r="B3410" s="62" t="s">
        <v>2736</v>
      </c>
      <c r="C3410" s="62" t="s">
        <v>494</v>
      </c>
      <c r="I3410" s="22"/>
      <c r="K3410" s="32">
        <v>11</v>
      </c>
      <c r="L3410" s="76"/>
      <c r="M3410" s="62">
        <v>74</v>
      </c>
    </row>
    <row r="3411" spans="1:18" s="62" customFormat="1">
      <c r="B3411" s="62" t="s">
        <v>2737</v>
      </c>
      <c r="C3411" s="62" t="s">
        <v>520</v>
      </c>
      <c r="I3411" s="22"/>
      <c r="K3411" s="32">
        <v>12</v>
      </c>
      <c r="L3411" s="76"/>
    </row>
    <row r="3412" spans="1:18" s="62" customFormat="1">
      <c r="I3412" s="22"/>
      <c r="K3412" s="32"/>
      <c r="L3412" s="76"/>
    </row>
    <row r="3413" spans="1:18" s="62" customFormat="1">
      <c r="I3413" s="22"/>
      <c r="K3413" s="32"/>
      <c r="L3413" s="76"/>
    </row>
    <row r="3414" spans="1:18" s="62" customFormat="1">
      <c r="A3414" s="62" t="s">
        <v>2738</v>
      </c>
      <c r="B3414" s="62" t="s">
        <v>2739</v>
      </c>
      <c r="C3414" s="62" t="s">
        <v>494</v>
      </c>
      <c r="E3414" s="62" t="s">
        <v>476</v>
      </c>
      <c r="I3414" s="22"/>
      <c r="K3414" s="32"/>
      <c r="L3414" s="76"/>
    </row>
    <row r="3415" spans="1:18" s="62" customFormat="1">
      <c r="B3415" s="62" t="s">
        <v>2740</v>
      </c>
      <c r="C3415" s="62" t="s">
        <v>493</v>
      </c>
      <c r="D3415" s="62">
        <v>30</v>
      </c>
      <c r="I3415" s="22"/>
      <c r="K3415" s="32"/>
      <c r="L3415" s="76"/>
    </row>
    <row r="3416" spans="1:18" s="62" customFormat="1">
      <c r="I3416" s="22"/>
      <c r="K3416" s="32"/>
      <c r="L3416" s="76"/>
    </row>
    <row r="3417" spans="1:18" s="62" customFormat="1">
      <c r="A3417" s="62" t="s">
        <v>2692</v>
      </c>
      <c r="B3417" s="62" t="s">
        <v>2693</v>
      </c>
      <c r="C3417" s="62" t="s">
        <v>494</v>
      </c>
      <c r="E3417" s="62" t="s">
        <v>476</v>
      </c>
      <c r="I3417" s="22"/>
      <c r="K3417" s="32"/>
      <c r="L3417" s="76"/>
    </row>
    <row r="3418" spans="1:18" s="62" customFormat="1">
      <c r="B3418" s="62" t="s">
        <v>2694</v>
      </c>
      <c r="C3418" s="62" t="s">
        <v>493</v>
      </c>
      <c r="D3418" s="62">
        <v>50</v>
      </c>
      <c r="I3418" s="22"/>
      <c r="K3418" s="32"/>
      <c r="L3418" s="76"/>
    </row>
    <row r="3419" spans="1:18" s="62" customFormat="1">
      <c r="I3419" s="22"/>
      <c r="K3419" s="32"/>
      <c r="L3419" s="76"/>
    </row>
    <row r="3420" spans="1:18" s="62" customFormat="1">
      <c r="A3420" s="64" t="s">
        <v>2689</v>
      </c>
      <c r="B3420" s="64" t="s">
        <v>2690</v>
      </c>
      <c r="C3420" s="62" t="s">
        <v>494</v>
      </c>
      <c r="E3420" s="62" t="s">
        <v>476</v>
      </c>
      <c r="I3420" s="22"/>
      <c r="K3420" s="32"/>
      <c r="L3420" s="76"/>
    </row>
    <row r="3421" spans="1:18" s="62" customFormat="1">
      <c r="B3421" s="64" t="s">
        <v>2691</v>
      </c>
      <c r="C3421" s="62" t="s">
        <v>493</v>
      </c>
      <c r="D3421" s="62">
        <v>30</v>
      </c>
      <c r="I3421" s="22"/>
      <c r="K3421" s="32"/>
      <c r="L3421" s="76"/>
    </row>
    <row r="3422" spans="1:18" s="62" customFormat="1">
      <c r="I3422" s="22"/>
      <c r="K3422" s="32"/>
      <c r="L3422" s="76"/>
    </row>
    <row r="3423" spans="1:18" s="62" customFormat="1">
      <c r="I3423" s="22"/>
      <c r="K3423" s="32"/>
      <c r="L3423" s="76"/>
    </row>
    <row r="3424" spans="1:18">
      <c r="A3424" s="10"/>
      <c r="B3424" s="10"/>
      <c r="C3424" s="10"/>
      <c r="D3424" s="10"/>
      <c r="E3424" s="10"/>
      <c r="F3424" s="10"/>
      <c r="G3424" s="10"/>
      <c r="H3424" s="10"/>
      <c r="I3424" s="10"/>
      <c r="J3424" s="10"/>
      <c r="K3424" s="16"/>
      <c r="L3424" s="31"/>
      <c r="M3424" s="10"/>
      <c r="N3424" s="10"/>
      <c r="O3424" s="10"/>
      <c r="P3424" s="10"/>
      <c r="Q3424" s="10"/>
      <c r="R3424" s="10"/>
    </row>
    <row r="3425" spans="1:18">
      <c r="A3425" s="62" t="s">
        <v>2665</v>
      </c>
      <c r="B3425" s="66" t="s">
        <v>2666</v>
      </c>
      <c r="C3425" s="64" t="s">
        <v>494</v>
      </c>
      <c r="D3425" s="16"/>
      <c r="E3425" s="62" t="s">
        <v>476</v>
      </c>
      <c r="F3425" s="14">
        <v>21</v>
      </c>
      <c r="G3425" s="14">
        <v>2131</v>
      </c>
      <c r="H3425" s="47" t="s">
        <v>2663</v>
      </c>
      <c r="I3425" s="48" t="s">
        <v>2664</v>
      </c>
      <c r="J3425" s="14">
        <v>11</v>
      </c>
      <c r="K3425" s="16">
        <v>1</v>
      </c>
      <c r="L3425" s="15">
        <v>3</v>
      </c>
      <c r="M3425" s="14"/>
      <c r="N3425" s="64" t="s">
        <v>506</v>
      </c>
      <c r="O3425" s="64" t="s">
        <v>514</v>
      </c>
      <c r="P3425" s="1" t="s">
        <v>515</v>
      </c>
      <c r="Q3425" s="14"/>
      <c r="R3425" s="14"/>
    </row>
    <row r="3426" spans="1:18">
      <c r="B3426" s="66"/>
      <c r="C3426" s="64"/>
      <c r="D3426" s="16"/>
      <c r="F3426" s="14"/>
      <c r="G3426" s="14"/>
      <c r="H3426" s="47"/>
      <c r="I3426" s="11"/>
      <c r="J3426" s="14"/>
      <c r="K3426" s="16"/>
      <c r="L3426" s="15"/>
      <c r="M3426" s="14"/>
      <c r="O3426" s="23"/>
      <c r="P3426" s="23"/>
      <c r="Q3426" s="14"/>
      <c r="R3426" s="14"/>
    </row>
    <row r="3427" spans="1:18" s="62" customFormat="1">
      <c r="I3427" s="22"/>
      <c r="K3427" s="32"/>
      <c r="L3427" s="76"/>
    </row>
    <row r="3428" spans="1:18">
      <c r="B3428" s="66"/>
      <c r="C3428" s="64"/>
      <c r="D3428" s="16"/>
      <c r="F3428" s="14"/>
      <c r="G3428" s="14"/>
      <c r="H3428" s="47"/>
      <c r="I3428" s="11"/>
      <c r="J3428" s="14"/>
      <c r="K3428" s="16"/>
      <c r="L3428" s="15"/>
      <c r="M3428" s="14"/>
      <c r="O3428" s="23"/>
      <c r="P3428" s="23"/>
      <c r="Q3428" s="14"/>
      <c r="R3428" s="14"/>
    </row>
    <row r="3429" spans="1:18">
      <c r="A3429" s="1" t="s">
        <v>1146</v>
      </c>
      <c r="B3429" s="29" t="s">
        <v>1147</v>
      </c>
      <c r="C3429" s="1" t="s">
        <v>494</v>
      </c>
      <c r="E3429" s="1" t="s">
        <v>476</v>
      </c>
      <c r="F3429" s="14"/>
      <c r="G3429" s="14"/>
      <c r="H3429" s="14"/>
      <c r="I3429" s="11"/>
      <c r="J3429" s="14"/>
      <c r="K3429" s="16"/>
      <c r="L3429" s="15"/>
      <c r="M3429" s="14"/>
      <c r="O3429" s="23"/>
      <c r="P3429" s="23"/>
      <c r="Q3429" s="14"/>
      <c r="R3429" s="14"/>
    </row>
    <row r="3430" spans="1:18">
      <c r="B3430" s="29" t="s">
        <v>1148</v>
      </c>
      <c r="C3430" s="1" t="s">
        <v>493</v>
      </c>
      <c r="D3430" s="1">
        <v>50</v>
      </c>
      <c r="F3430" s="14"/>
      <c r="G3430" s="14"/>
      <c r="H3430" s="14"/>
      <c r="I3430" s="11"/>
      <c r="J3430" s="14"/>
      <c r="K3430" s="16"/>
      <c r="L3430" s="15"/>
      <c r="M3430" s="14"/>
      <c r="O3430" s="23"/>
      <c r="P3430" s="23"/>
      <c r="Q3430" s="14"/>
      <c r="R3430" s="14"/>
    </row>
    <row r="3431" spans="1:18">
      <c r="B3431" s="66" t="s">
        <v>2631</v>
      </c>
      <c r="C3431" s="62" t="s">
        <v>493</v>
      </c>
      <c r="D3431" s="62">
        <v>1</v>
      </c>
      <c r="F3431" s="14"/>
      <c r="G3431" s="14"/>
      <c r="H3431" s="14"/>
      <c r="I3431" s="11"/>
      <c r="J3431" s="14"/>
      <c r="K3431" s="16"/>
      <c r="L3431" s="15"/>
      <c r="M3431" s="14"/>
      <c r="O3431" s="23"/>
      <c r="P3431" s="23"/>
      <c r="Q3431" s="14"/>
      <c r="R3431" s="14"/>
    </row>
    <row r="3432" spans="1:18">
      <c r="B3432" s="66"/>
      <c r="C3432" s="62"/>
      <c r="D3432" s="62"/>
      <c r="F3432" s="14"/>
      <c r="G3432" s="14"/>
      <c r="H3432" s="14"/>
      <c r="I3432" s="11"/>
      <c r="J3432" s="14"/>
      <c r="K3432" s="16"/>
      <c r="L3432" s="15"/>
      <c r="M3432" s="14"/>
      <c r="O3432" s="23"/>
      <c r="P3432" s="23"/>
      <c r="Q3432" s="14"/>
      <c r="R3432" s="14"/>
    </row>
    <row r="3433" spans="1:18">
      <c r="B3433" s="29"/>
      <c r="F3433" s="14"/>
      <c r="G3433" s="14"/>
      <c r="H3433" s="14"/>
      <c r="I3433" s="11"/>
      <c r="J3433" s="14"/>
      <c r="K3433" s="16"/>
      <c r="L3433" s="15"/>
      <c r="M3433" s="14"/>
      <c r="O3433" s="23"/>
      <c r="P3433" s="23"/>
      <c r="Q3433" s="14"/>
      <c r="R3433" s="14"/>
    </row>
    <row r="3434" spans="1:18">
      <c r="A3434" s="10"/>
      <c r="B3434" s="10"/>
      <c r="C3434" s="10"/>
      <c r="D3434" s="10"/>
      <c r="E3434" s="10"/>
      <c r="F3434" s="10"/>
      <c r="G3434" s="10"/>
      <c r="H3434" s="10"/>
      <c r="I3434" s="10"/>
      <c r="J3434" s="10"/>
      <c r="K3434" s="16"/>
      <c r="L3434" s="31"/>
      <c r="M3434" s="10"/>
      <c r="N3434" s="10"/>
      <c r="O3434" s="10"/>
      <c r="P3434" s="10"/>
      <c r="Q3434" s="10"/>
      <c r="R3434" s="10"/>
    </row>
    <row r="3435" spans="1:18">
      <c r="F3435" s="14"/>
      <c r="G3435" s="14"/>
      <c r="H3435" s="14"/>
      <c r="I3435" s="11"/>
      <c r="J3435" s="14"/>
      <c r="K3435" s="16"/>
      <c r="L3435" s="15"/>
      <c r="M3435" s="14"/>
      <c r="N3435" s="14"/>
      <c r="P3435" s="14"/>
      <c r="Q3435" s="14"/>
      <c r="R3435" s="14"/>
    </row>
    <row r="3436" spans="1:18">
      <c r="B3436" s="66"/>
      <c r="C3436" s="64"/>
      <c r="F3436" s="14"/>
      <c r="G3436" s="14"/>
      <c r="H3436" s="14"/>
      <c r="I3436" s="11"/>
      <c r="J3436" s="14"/>
      <c r="K3436" s="76"/>
      <c r="L3436" s="15"/>
      <c r="M3436" s="14"/>
      <c r="N3436" s="62"/>
      <c r="O3436" s="60"/>
      <c r="P3436" s="23"/>
      <c r="Q3436" s="14"/>
      <c r="R3436" s="14"/>
    </row>
    <row r="3437" spans="1:18">
      <c r="B3437" s="66"/>
      <c r="C3437" s="64"/>
      <c r="F3437" s="14"/>
      <c r="G3437" s="14"/>
      <c r="H3437" s="14"/>
      <c r="I3437" s="11"/>
      <c r="J3437" s="14"/>
      <c r="K3437" s="76"/>
      <c r="L3437" s="15"/>
      <c r="M3437" s="14"/>
      <c r="P3437" s="23"/>
      <c r="Q3437" s="14"/>
      <c r="R3437" s="14"/>
    </row>
    <row r="3438" spans="1:18">
      <c r="B3438" s="66"/>
      <c r="C3438" s="64"/>
      <c r="F3438" s="14"/>
      <c r="G3438" s="14"/>
      <c r="H3438" s="14"/>
      <c r="I3438" s="11"/>
      <c r="J3438" s="14"/>
      <c r="K3438" s="76"/>
      <c r="L3438" s="15"/>
      <c r="M3438" s="14"/>
      <c r="N3438" s="62"/>
      <c r="O3438" s="60"/>
      <c r="P3438" s="23"/>
      <c r="Q3438" s="14"/>
      <c r="R3438" s="14"/>
    </row>
    <row r="3439" spans="1:18">
      <c r="A3439" s="70" t="s">
        <v>2368</v>
      </c>
      <c r="B3439" s="67" t="s">
        <v>2369</v>
      </c>
      <c r="C3439" s="70" t="s">
        <v>494</v>
      </c>
      <c r="D3439" s="39"/>
      <c r="E3439" s="62" t="s">
        <v>476</v>
      </c>
      <c r="F3439" s="14">
        <v>19</v>
      </c>
      <c r="G3439" s="14">
        <v>1918</v>
      </c>
      <c r="H3439" s="47" t="s">
        <v>1228</v>
      </c>
      <c r="I3439" s="48" t="s">
        <v>2586</v>
      </c>
      <c r="J3439" s="14">
        <v>1902</v>
      </c>
      <c r="K3439" s="76">
        <v>1</v>
      </c>
      <c r="L3439" s="15"/>
      <c r="M3439" s="14"/>
      <c r="N3439" s="62"/>
      <c r="O3439" s="60"/>
      <c r="P3439" s="23"/>
      <c r="Q3439" s="14"/>
      <c r="R3439" s="14"/>
    </row>
    <row r="3440" spans="1:18">
      <c r="A3440" s="39"/>
      <c r="B3440" s="67" t="s">
        <v>2370</v>
      </c>
      <c r="C3440" s="70" t="s">
        <v>494</v>
      </c>
      <c r="D3440" s="39"/>
      <c r="E3440" s="62" t="s">
        <v>476</v>
      </c>
      <c r="F3440" s="14"/>
      <c r="G3440" s="14"/>
      <c r="H3440" s="14"/>
      <c r="I3440" s="11"/>
      <c r="J3440" s="14"/>
      <c r="K3440" s="76">
        <v>2</v>
      </c>
      <c r="L3440" s="15">
        <v>6</v>
      </c>
      <c r="M3440" s="14"/>
      <c r="N3440" s="62"/>
      <c r="O3440" s="60"/>
      <c r="P3440" s="23"/>
      <c r="Q3440" s="14"/>
      <c r="R3440" s="14"/>
    </row>
    <row r="3441" spans="1:18">
      <c r="A3441" s="39"/>
      <c r="B3441" s="67" t="s">
        <v>2371</v>
      </c>
      <c r="C3441" s="70" t="s">
        <v>494</v>
      </c>
      <c r="D3441" s="39"/>
      <c r="F3441" s="14"/>
      <c r="G3441" s="14"/>
      <c r="H3441" s="14"/>
      <c r="I3441" s="11"/>
      <c r="J3441" s="14"/>
      <c r="K3441" s="76">
        <v>3</v>
      </c>
      <c r="L3441" s="15">
        <v>6</v>
      </c>
      <c r="M3441" s="14"/>
      <c r="N3441" s="62"/>
      <c r="O3441" s="60"/>
      <c r="P3441" s="23"/>
      <c r="Q3441" s="14"/>
      <c r="R3441" s="14"/>
    </row>
    <row r="3442" spans="1:18">
      <c r="A3442" s="39"/>
      <c r="B3442" s="67" t="s">
        <v>2372</v>
      </c>
      <c r="C3442" s="70" t="s">
        <v>494</v>
      </c>
      <c r="D3442" s="39"/>
      <c r="F3442" s="14"/>
      <c r="G3442" s="14"/>
      <c r="H3442" s="14"/>
      <c r="I3442" s="11"/>
      <c r="J3442" s="14"/>
      <c r="K3442" s="76">
        <v>4</v>
      </c>
      <c r="L3442" s="15">
        <v>3</v>
      </c>
      <c r="M3442" s="14">
        <v>3</v>
      </c>
      <c r="N3442" s="62" t="s">
        <v>2373</v>
      </c>
      <c r="O3442" s="66" t="s">
        <v>2376</v>
      </c>
      <c r="P3442" s="66" t="s">
        <v>2377</v>
      </c>
      <c r="Q3442" s="14"/>
      <c r="R3442" s="14"/>
    </row>
    <row r="3443" spans="1:18">
      <c r="A3443" s="39"/>
      <c r="B3443" s="67" t="s">
        <v>2378</v>
      </c>
      <c r="C3443" s="70" t="s">
        <v>520</v>
      </c>
      <c r="D3443" s="39"/>
      <c r="F3443" s="14"/>
      <c r="G3443" s="14"/>
      <c r="H3443" s="14"/>
      <c r="I3443" s="11"/>
      <c r="J3443" s="14"/>
      <c r="K3443" s="76">
        <v>5</v>
      </c>
      <c r="L3443" s="15"/>
      <c r="M3443" s="14"/>
      <c r="N3443" s="62"/>
      <c r="O3443" s="60"/>
      <c r="P3443" s="23"/>
      <c r="Q3443" s="14"/>
      <c r="R3443" s="14"/>
    </row>
    <row r="3444" spans="1:18">
      <c r="A3444" s="39"/>
      <c r="B3444" s="67" t="s">
        <v>2383</v>
      </c>
      <c r="C3444" s="70" t="s">
        <v>494</v>
      </c>
      <c r="D3444" s="39"/>
      <c r="F3444" s="14"/>
      <c r="G3444" s="14"/>
      <c r="H3444" s="14"/>
      <c r="I3444" s="11"/>
      <c r="J3444" s="14"/>
      <c r="K3444" s="76">
        <v>6</v>
      </c>
      <c r="L3444" s="15">
        <v>3</v>
      </c>
      <c r="M3444" s="14"/>
      <c r="N3444" s="62" t="s">
        <v>2379</v>
      </c>
      <c r="O3444" s="66" t="s">
        <v>2380</v>
      </c>
      <c r="P3444" s="66" t="s">
        <v>2381</v>
      </c>
      <c r="Q3444" s="14"/>
      <c r="R3444" s="14"/>
    </row>
    <row r="3445" spans="1:18">
      <c r="A3445" s="39"/>
      <c r="B3445" s="67" t="s">
        <v>2382</v>
      </c>
      <c r="C3445" s="70" t="s">
        <v>493</v>
      </c>
      <c r="D3445" s="39">
        <v>1</v>
      </c>
      <c r="F3445" s="14"/>
      <c r="G3445" s="14"/>
      <c r="H3445" s="14"/>
      <c r="I3445" s="11"/>
      <c r="J3445" s="14"/>
      <c r="K3445" s="76">
        <v>7</v>
      </c>
      <c r="L3445" s="15">
        <v>3</v>
      </c>
      <c r="M3445" s="14"/>
      <c r="P3445" s="23"/>
      <c r="Q3445" s="14"/>
      <c r="R3445" s="14"/>
    </row>
    <row r="3446" spans="1:18">
      <c r="A3446" s="39"/>
      <c r="B3446" s="67" t="s">
        <v>2401</v>
      </c>
      <c r="C3446" s="70" t="s">
        <v>493</v>
      </c>
      <c r="D3446" s="39">
        <v>1</v>
      </c>
      <c r="F3446" s="14"/>
      <c r="G3446" s="14"/>
      <c r="H3446" s="14"/>
      <c r="I3446" s="11"/>
      <c r="J3446" s="14"/>
      <c r="K3446" s="76">
        <v>8</v>
      </c>
      <c r="L3446" s="15">
        <v>3</v>
      </c>
      <c r="M3446" s="14"/>
      <c r="P3446" s="23"/>
      <c r="Q3446" s="14"/>
      <c r="R3446" s="14"/>
    </row>
    <row r="3447" spans="1:18">
      <c r="B3447" s="66"/>
      <c r="C3447" s="64"/>
      <c r="F3447" s="14"/>
      <c r="G3447" s="14"/>
      <c r="H3447" s="14"/>
      <c r="I3447" s="11"/>
      <c r="J3447" s="14"/>
      <c r="K3447" s="76"/>
      <c r="L3447" s="15"/>
      <c r="M3447" s="14"/>
      <c r="P3447" s="23"/>
      <c r="Q3447" s="14"/>
      <c r="R3447" s="14"/>
    </row>
    <row r="3448" spans="1:18">
      <c r="A3448" s="62" t="s">
        <v>2585</v>
      </c>
      <c r="B3448" s="66" t="s">
        <v>2593</v>
      </c>
      <c r="C3448" s="64" t="s">
        <v>494</v>
      </c>
      <c r="E3448" s="62" t="s">
        <v>476</v>
      </c>
      <c r="F3448" s="14">
        <v>19</v>
      </c>
      <c r="G3448" s="14">
        <v>1929</v>
      </c>
      <c r="H3448" s="47" t="s">
        <v>2420</v>
      </c>
      <c r="I3448" s="11"/>
      <c r="J3448" s="14">
        <v>1902</v>
      </c>
      <c r="K3448" s="57">
        <v>1</v>
      </c>
      <c r="L3448" s="15">
        <v>52</v>
      </c>
      <c r="M3448" s="14"/>
      <c r="N3448" s="1">
        <v>1918</v>
      </c>
      <c r="O3448" s="62" t="s">
        <v>2371</v>
      </c>
      <c r="P3448" s="23"/>
      <c r="Q3448" s="14"/>
      <c r="R3448" s="14"/>
    </row>
    <row r="3449" spans="1:18">
      <c r="B3449" s="66" t="s">
        <v>2594</v>
      </c>
      <c r="C3449" s="64" t="s">
        <v>494</v>
      </c>
      <c r="E3449" s="62" t="s">
        <v>476</v>
      </c>
      <c r="F3449" s="14"/>
      <c r="G3449" s="14"/>
      <c r="H3449" s="14"/>
      <c r="I3449" s="11"/>
      <c r="J3449" s="14"/>
      <c r="K3449" s="76">
        <v>2</v>
      </c>
      <c r="L3449" s="15">
        <v>6</v>
      </c>
      <c r="M3449" s="14"/>
      <c r="P3449" s="23"/>
      <c r="Q3449" s="14"/>
      <c r="R3449" s="14"/>
    </row>
    <row r="3450" spans="1:18">
      <c r="B3450" s="66" t="s">
        <v>2595</v>
      </c>
      <c r="C3450" s="64" t="s">
        <v>494</v>
      </c>
      <c r="F3450" s="14"/>
      <c r="G3450" s="14"/>
      <c r="H3450" s="14"/>
      <c r="I3450" s="11"/>
      <c r="J3450" s="14"/>
      <c r="K3450" s="76">
        <v>3</v>
      </c>
      <c r="L3450" s="15">
        <v>6</v>
      </c>
      <c r="M3450" s="14"/>
      <c r="P3450" s="23"/>
      <c r="Q3450" s="14"/>
      <c r="R3450" s="14"/>
    </row>
    <row r="3451" spans="1:18">
      <c r="B3451" s="66" t="s">
        <v>2596</v>
      </c>
      <c r="C3451" s="64" t="s">
        <v>520</v>
      </c>
      <c r="F3451" s="14"/>
      <c r="G3451" s="14"/>
      <c r="H3451" s="14"/>
      <c r="I3451" s="11"/>
      <c r="J3451" s="14"/>
      <c r="K3451" s="76">
        <v>4</v>
      </c>
      <c r="L3451" s="15"/>
      <c r="M3451" s="14"/>
      <c r="P3451" s="23"/>
      <c r="Q3451" s="14"/>
      <c r="R3451" s="14"/>
    </row>
    <row r="3452" spans="1:18">
      <c r="B3452" s="66" t="s">
        <v>2597</v>
      </c>
      <c r="C3452" s="64" t="s">
        <v>520</v>
      </c>
      <c r="F3452" s="14"/>
      <c r="G3452" s="14"/>
      <c r="H3452" s="14"/>
      <c r="I3452" s="11"/>
      <c r="J3452" s="14"/>
      <c r="K3452" s="76">
        <v>5</v>
      </c>
      <c r="L3452" s="15"/>
      <c r="M3452" s="14"/>
      <c r="P3452" s="23"/>
      <c r="Q3452" s="14"/>
      <c r="R3452" s="14"/>
    </row>
    <row r="3453" spans="1:18">
      <c r="B3453" s="66"/>
      <c r="C3453" s="64"/>
      <c r="F3453" s="14"/>
      <c r="G3453" s="14"/>
      <c r="H3453" s="14"/>
      <c r="I3453" s="11"/>
      <c r="J3453" s="14"/>
      <c r="K3453" s="76"/>
      <c r="L3453" s="15"/>
      <c r="M3453" s="14"/>
      <c r="P3453" s="23"/>
      <c r="Q3453" s="14"/>
      <c r="R3453" s="14"/>
    </row>
    <row r="3454" spans="1:18">
      <c r="A3454" s="62"/>
      <c r="B3454" s="66"/>
      <c r="C3454" s="64"/>
      <c r="F3454" s="14"/>
      <c r="G3454" s="14"/>
      <c r="H3454" s="14"/>
      <c r="I3454" s="11"/>
      <c r="J3454" s="14"/>
      <c r="K3454" s="76"/>
      <c r="L3454" s="15"/>
      <c r="M3454" s="14"/>
      <c r="N3454" s="62"/>
      <c r="O3454" s="60"/>
      <c r="P3454" s="23"/>
      <c r="Q3454" s="14"/>
      <c r="R3454" s="14"/>
    </row>
    <row r="3455" spans="1:18">
      <c r="A3455" s="62"/>
      <c r="B3455" s="66"/>
      <c r="C3455" s="64"/>
      <c r="F3455" s="14"/>
      <c r="G3455" s="14"/>
      <c r="H3455" s="14"/>
      <c r="I3455" s="11"/>
      <c r="J3455" s="14"/>
      <c r="K3455" s="76"/>
      <c r="L3455" s="15"/>
      <c r="M3455" s="14"/>
      <c r="N3455" s="62"/>
      <c r="O3455" s="60"/>
      <c r="P3455" s="23"/>
      <c r="Q3455" s="14"/>
      <c r="R3455" s="14"/>
    </row>
    <row r="3456" spans="1:18">
      <c r="A3456" s="62"/>
      <c r="B3456" s="66"/>
      <c r="C3456" s="64"/>
      <c r="F3456" s="14"/>
      <c r="G3456" s="14"/>
      <c r="H3456" s="14"/>
      <c r="I3456" s="11"/>
      <c r="J3456" s="14"/>
      <c r="K3456" s="76"/>
      <c r="L3456" s="15"/>
      <c r="M3456" s="14"/>
      <c r="N3456" s="62"/>
      <c r="O3456" s="60"/>
      <c r="P3456" s="23"/>
      <c r="Q3456" s="14"/>
      <c r="R3456" s="14"/>
    </row>
    <row r="3457" spans="1:18">
      <c r="B3457" s="66"/>
      <c r="C3457" s="64"/>
      <c r="F3457" s="14"/>
      <c r="G3457" s="14"/>
      <c r="H3457" s="14"/>
      <c r="I3457" s="11"/>
      <c r="J3457" s="14"/>
      <c r="K3457" s="76"/>
      <c r="L3457" s="15"/>
      <c r="M3457" s="14"/>
      <c r="N3457" s="62"/>
      <c r="O3457" s="60"/>
      <c r="P3457" s="23"/>
      <c r="Q3457" s="14"/>
      <c r="R3457" s="14"/>
    </row>
    <row r="3458" spans="1:18">
      <c r="B3458" s="66"/>
      <c r="C3458" s="64"/>
      <c r="F3458" s="14"/>
      <c r="G3458" s="14"/>
      <c r="H3458" s="14"/>
      <c r="I3458" s="11"/>
      <c r="J3458" s="14"/>
      <c r="K3458" s="76"/>
      <c r="L3458" s="15"/>
      <c r="M3458" s="14"/>
      <c r="N3458" s="62"/>
      <c r="O3458" s="60"/>
      <c r="P3458" s="23"/>
      <c r="Q3458" s="14"/>
      <c r="R3458" s="14"/>
    </row>
    <row r="3459" spans="1:18">
      <c r="B3459" s="66"/>
      <c r="C3459" s="64"/>
      <c r="F3459" s="14"/>
      <c r="G3459" s="14"/>
      <c r="H3459" s="14"/>
      <c r="I3459" s="11"/>
      <c r="J3459" s="14"/>
      <c r="K3459" s="76"/>
      <c r="L3459" s="15"/>
      <c r="M3459" s="14"/>
      <c r="N3459" s="62"/>
      <c r="O3459" s="60"/>
      <c r="P3459" s="23"/>
      <c r="Q3459" s="14"/>
      <c r="R3459" s="14"/>
    </row>
    <row r="3460" spans="1:18">
      <c r="B3460" s="66"/>
      <c r="C3460" s="64"/>
      <c r="F3460" s="14"/>
      <c r="G3460" s="14"/>
      <c r="H3460" s="14"/>
      <c r="I3460" s="11"/>
      <c r="J3460" s="14"/>
      <c r="K3460" s="76"/>
      <c r="L3460" s="15"/>
      <c r="M3460" s="14"/>
      <c r="N3460" s="62"/>
      <c r="O3460" s="60"/>
      <c r="P3460" s="23"/>
      <c r="Q3460" s="14"/>
      <c r="R3460" s="14"/>
    </row>
    <row r="3461" spans="1:18">
      <c r="B3461" s="66"/>
      <c r="C3461" s="64"/>
      <c r="F3461" s="14"/>
      <c r="G3461" s="14"/>
      <c r="H3461" s="14"/>
      <c r="I3461" s="11"/>
      <c r="J3461" s="14"/>
      <c r="K3461" s="76"/>
      <c r="L3461" s="15"/>
      <c r="M3461" s="14"/>
      <c r="N3461" s="62"/>
      <c r="O3461" s="60"/>
      <c r="P3461" s="23"/>
      <c r="Q3461" s="14"/>
      <c r="R3461" s="14"/>
    </row>
    <row r="3462" spans="1:18" s="62" customFormat="1" ht="12.75" customHeight="1">
      <c r="F3462" s="47"/>
      <c r="G3462" s="47"/>
      <c r="H3462" s="47"/>
      <c r="I3462" s="48"/>
      <c r="J3462" s="47"/>
      <c r="K3462" s="57"/>
      <c r="L3462" s="57"/>
      <c r="M3462" s="47"/>
      <c r="N3462" s="47"/>
      <c r="O3462" s="47"/>
      <c r="P3462" s="47"/>
    </row>
    <row r="3463" spans="1:18">
      <c r="B3463" s="29"/>
      <c r="F3463" s="14"/>
      <c r="G3463" s="14"/>
      <c r="H3463" s="14"/>
      <c r="I3463" s="11"/>
      <c r="J3463" s="14"/>
      <c r="K3463" s="16"/>
      <c r="L3463" s="15"/>
      <c r="M3463" s="14"/>
      <c r="N3463" s="23"/>
      <c r="O3463" s="14"/>
      <c r="P3463" s="14"/>
      <c r="Q3463" s="14"/>
      <c r="R3463" s="14"/>
    </row>
    <row r="3464" spans="1:18">
      <c r="B3464" s="64"/>
      <c r="F3464" s="14"/>
      <c r="G3464" s="14"/>
      <c r="H3464" s="14"/>
      <c r="I3464" s="11"/>
      <c r="J3464" s="14"/>
      <c r="K3464" s="16"/>
      <c r="L3464" s="15"/>
      <c r="M3464" s="14"/>
      <c r="N3464" s="14"/>
      <c r="O3464" s="14"/>
      <c r="P3464" s="14"/>
      <c r="Q3464" s="14"/>
      <c r="R3464" s="14"/>
    </row>
    <row r="3465" spans="1:18">
      <c r="B3465" s="29"/>
      <c r="F3465" s="14"/>
      <c r="G3465" s="14"/>
      <c r="H3465" s="14"/>
      <c r="I3465" s="11"/>
      <c r="J3465" s="14"/>
      <c r="K3465" s="16"/>
      <c r="L3465" s="15"/>
      <c r="M3465" s="14"/>
      <c r="O3465" s="23"/>
      <c r="P3465" s="23"/>
      <c r="Q3465" s="14"/>
      <c r="R3465" s="14"/>
    </row>
    <row r="3466" spans="1:18">
      <c r="B3466" s="29"/>
      <c r="F3466" s="14"/>
      <c r="G3466" s="14"/>
      <c r="H3466" s="14"/>
      <c r="I3466" s="11"/>
      <c r="J3466" s="14"/>
      <c r="K3466" s="16"/>
      <c r="L3466" s="15"/>
      <c r="M3466" s="14"/>
      <c r="O3466" s="23"/>
      <c r="P3466" s="23"/>
      <c r="Q3466" s="14"/>
      <c r="R3466" s="14"/>
    </row>
    <row r="3467" spans="1:18">
      <c r="A3467" s="62" t="s">
        <v>2415</v>
      </c>
      <c r="B3467" s="66" t="s">
        <v>2416</v>
      </c>
      <c r="C3467" s="64" t="s">
        <v>494</v>
      </c>
      <c r="E3467" s="62" t="s">
        <v>476</v>
      </c>
      <c r="F3467" s="14">
        <v>19</v>
      </c>
      <c r="G3467" s="14">
        <v>1923</v>
      </c>
      <c r="H3467" s="47" t="s">
        <v>2420</v>
      </c>
      <c r="I3467" s="11"/>
      <c r="J3467" s="14">
        <v>1902</v>
      </c>
      <c r="K3467" s="57">
        <v>1</v>
      </c>
      <c r="L3467" s="15">
        <v>52</v>
      </c>
      <c r="M3467" s="14"/>
      <c r="N3467" s="47">
        <v>1918</v>
      </c>
      <c r="O3467" s="60" t="s">
        <v>2371</v>
      </c>
      <c r="P3467" s="23"/>
      <c r="Q3467" s="14"/>
      <c r="R3467" s="14"/>
    </row>
    <row r="3468" spans="1:18">
      <c r="B3468" s="66" t="s">
        <v>2417</v>
      </c>
      <c r="C3468" s="64" t="s">
        <v>494</v>
      </c>
      <c r="E3468" s="62" t="s">
        <v>476</v>
      </c>
      <c r="F3468" s="14"/>
      <c r="G3468" s="14"/>
      <c r="H3468" s="14"/>
      <c r="I3468" s="11"/>
      <c r="J3468" s="14"/>
      <c r="K3468" s="76">
        <v>2</v>
      </c>
      <c r="L3468" s="15">
        <v>6</v>
      </c>
      <c r="M3468" s="14"/>
      <c r="N3468" s="62"/>
      <c r="O3468" s="60"/>
      <c r="P3468" s="23"/>
      <c r="Q3468" s="14"/>
      <c r="R3468" s="14"/>
    </row>
    <row r="3469" spans="1:18">
      <c r="B3469" s="66" t="s">
        <v>2418</v>
      </c>
      <c r="C3469" s="64" t="s">
        <v>494</v>
      </c>
      <c r="F3469" s="14"/>
      <c r="G3469" s="14"/>
      <c r="H3469" s="14"/>
      <c r="I3469" s="11"/>
      <c r="J3469" s="14"/>
      <c r="K3469" s="76">
        <v>3</v>
      </c>
      <c r="L3469" s="15">
        <v>6</v>
      </c>
      <c r="M3469" s="14"/>
      <c r="N3469" s="62"/>
      <c r="O3469" s="60"/>
      <c r="P3469" s="23"/>
      <c r="Q3469" s="14"/>
      <c r="R3469" s="14"/>
    </row>
    <row r="3470" spans="1:18">
      <c r="B3470" s="66" t="s">
        <v>2419</v>
      </c>
      <c r="C3470" s="64" t="s">
        <v>494</v>
      </c>
      <c r="F3470" s="14"/>
      <c r="G3470" s="14"/>
      <c r="H3470" s="14"/>
      <c r="I3470" s="11"/>
      <c r="J3470" s="14"/>
      <c r="K3470" s="76">
        <v>4</v>
      </c>
      <c r="L3470" s="15"/>
      <c r="M3470" s="14"/>
      <c r="N3470" s="62"/>
      <c r="O3470" s="60"/>
      <c r="P3470" s="23"/>
      <c r="Q3470" s="14"/>
      <c r="R3470" s="14"/>
    </row>
    <row r="3471" spans="1:18">
      <c r="B3471" s="66"/>
      <c r="C3471" s="64"/>
      <c r="F3471" s="14"/>
      <c r="G3471" s="14"/>
      <c r="H3471" s="14"/>
      <c r="I3471" s="11"/>
      <c r="J3471" s="14"/>
      <c r="K3471" s="76"/>
      <c r="L3471" s="15"/>
      <c r="M3471" s="14"/>
      <c r="N3471" s="62"/>
      <c r="O3471" s="60"/>
      <c r="P3471" s="23"/>
      <c r="Q3471" s="14"/>
      <c r="R3471" s="14"/>
    </row>
    <row r="3472" spans="1:18">
      <c r="B3472" s="66"/>
      <c r="C3472" s="64"/>
      <c r="F3472" s="14"/>
      <c r="G3472" s="14"/>
      <c r="H3472" s="14"/>
      <c r="I3472" s="11"/>
      <c r="J3472" s="14"/>
      <c r="K3472" s="76"/>
      <c r="L3472" s="15"/>
      <c r="M3472" s="14"/>
      <c r="N3472" s="62"/>
      <c r="O3472" s="60"/>
      <c r="P3472" s="23"/>
      <c r="Q3472" s="14"/>
      <c r="R3472" s="14"/>
    </row>
    <row r="3473" spans="1:18">
      <c r="B3473" s="66"/>
      <c r="C3473" s="64"/>
      <c r="F3473" s="14"/>
      <c r="G3473" s="14"/>
      <c r="H3473" s="14"/>
      <c r="I3473" s="11"/>
      <c r="J3473" s="14"/>
      <c r="K3473" s="76"/>
      <c r="L3473" s="15"/>
      <c r="M3473" s="14"/>
      <c r="N3473" s="62"/>
      <c r="O3473" s="60"/>
      <c r="P3473" s="23"/>
      <c r="Q3473" s="14"/>
      <c r="R3473" s="14"/>
    </row>
    <row r="3474" spans="1:18">
      <c r="A3474" s="62" t="s">
        <v>2357</v>
      </c>
      <c r="B3474" s="66" t="s">
        <v>2358</v>
      </c>
      <c r="C3474" s="64" t="s">
        <v>494</v>
      </c>
      <c r="E3474" s="62" t="s">
        <v>476</v>
      </c>
      <c r="F3474" s="14"/>
      <c r="G3474" s="14"/>
      <c r="H3474" s="14"/>
      <c r="I3474" s="11"/>
      <c r="J3474" s="14"/>
      <c r="K3474" s="76"/>
      <c r="L3474" s="15"/>
      <c r="M3474" s="14"/>
      <c r="N3474" s="62"/>
      <c r="O3474" s="60"/>
      <c r="P3474" s="23"/>
      <c r="Q3474" s="14"/>
      <c r="R3474" s="14"/>
    </row>
    <row r="3475" spans="1:18">
      <c r="B3475" s="66" t="s">
        <v>2359</v>
      </c>
      <c r="C3475" s="64" t="s">
        <v>493</v>
      </c>
      <c r="D3475" s="1">
        <v>50</v>
      </c>
      <c r="F3475" s="14"/>
      <c r="G3475" s="14"/>
      <c r="H3475" s="14"/>
      <c r="I3475" s="11"/>
      <c r="J3475" s="14"/>
      <c r="K3475" s="76"/>
      <c r="L3475" s="15"/>
      <c r="M3475" s="14"/>
      <c r="N3475" s="62"/>
      <c r="O3475" s="60"/>
      <c r="P3475" s="23"/>
      <c r="Q3475" s="14"/>
      <c r="R3475" s="14"/>
    </row>
    <row r="3476" spans="1:18">
      <c r="B3476" s="66"/>
      <c r="C3476" s="64"/>
      <c r="F3476" s="14"/>
      <c r="G3476" s="14"/>
      <c r="H3476" s="14"/>
      <c r="I3476" s="11"/>
      <c r="J3476" s="14"/>
      <c r="K3476" s="76"/>
      <c r="L3476" s="15"/>
      <c r="M3476" s="14"/>
      <c r="N3476" s="62"/>
      <c r="O3476" s="60"/>
      <c r="P3476" s="23"/>
      <c r="Q3476" s="14"/>
      <c r="R3476" s="14"/>
    </row>
    <row r="3477" spans="1:18">
      <c r="A3477" s="62" t="s">
        <v>2379</v>
      </c>
      <c r="B3477" s="66" t="s">
        <v>2380</v>
      </c>
      <c r="C3477" s="64" t="s">
        <v>494</v>
      </c>
      <c r="E3477" s="62" t="s">
        <v>476</v>
      </c>
      <c r="F3477" s="14"/>
      <c r="G3477" s="14"/>
      <c r="H3477" s="14"/>
      <c r="I3477" s="11"/>
      <c r="J3477" s="14"/>
      <c r="K3477" s="76"/>
      <c r="L3477" s="15"/>
      <c r="M3477" s="14"/>
      <c r="N3477" s="62"/>
      <c r="O3477" s="60"/>
      <c r="P3477" s="23"/>
      <c r="Q3477" s="14"/>
      <c r="R3477" s="14"/>
    </row>
    <row r="3478" spans="1:18">
      <c r="B3478" s="66" t="s">
        <v>2381</v>
      </c>
      <c r="C3478" s="64" t="s">
        <v>493</v>
      </c>
      <c r="D3478" s="1">
        <v>50</v>
      </c>
      <c r="F3478" s="14"/>
      <c r="G3478" s="14"/>
      <c r="H3478" s="14"/>
      <c r="I3478" s="11"/>
      <c r="J3478" s="14"/>
      <c r="K3478" s="76"/>
      <c r="L3478" s="15"/>
      <c r="M3478" s="14"/>
      <c r="N3478" s="62"/>
      <c r="O3478" s="60"/>
      <c r="P3478" s="23"/>
      <c r="Q3478" s="14"/>
      <c r="R3478" s="14"/>
    </row>
    <row r="3479" spans="1:18">
      <c r="B3479" s="66"/>
      <c r="C3479" s="64"/>
      <c r="F3479" s="14"/>
      <c r="G3479" s="14"/>
      <c r="H3479" s="14"/>
      <c r="I3479" s="11"/>
      <c r="J3479" s="14"/>
      <c r="K3479" s="76"/>
      <c r="L3479" s="15"/>
      <c r="M3479" s="14"/>
      <c r="N3479" s="62"/>
      <c r="O3479" s="60"/>
      <c r="P3479" s="23"/>
      <c r="Q3479" s="14"/>
      <c r="R3479" s="14"/>
    </row>
    <row r="3480" spans="1:18">
      <c r="B3480" s="66"/>
      <c r="C3480" s="64"/>
      <c r="F3480" s="14"/>
      <c r="G3480" s="14"/>
      <c r="H3480" s="14"/>
      <c r="I3480" s="11"/>
      <c r="J3480" s="14"/>
      <c r="K3480" s="76"/>
      <c r="L3480" s="15"/>
      <c r="M3480" s="14"/>
      <c r="N3480" s="62"/>
      <c r="O3480" s="60"/>
      <c r="P3480" s="23"/>
      <c r="Q3480" s="14"/>
      <c r="R3480" s="14"/>
    </row>
    <row r="3481" spans="1:18">
      <c r="B3481" s="66"/>
      <c r="C3481" s="64"/>
      <c r="F3481" s="14"/>
      <c r="G3481" s="14"/>
      <c r="H3481" s="14"/>
      <c r="I3481" s="11"/>
      <c r="J3481" s="14"/>
      <c r="K3481" s="76"/>
      <c r="L3481" s="15"/>
      <c r="M3481" s="14"/>
      <c r="N3481" s="62"/>
      <c r="O3481" s="60"/>
      <c r="P3481" s="23"/>
      <c r="Q3481" s="14"/>
      <c r="R3481" s="14"/>
    </row>
    <row r="3482" spans="1:18">
      <c r="B3482" s="66"/>
      <c r="C3482" s="64"/>
      <c r="F3482" s="14"/>
      <c r="G3482" s="14"/>
      <c r="H3482" s="14"/>
      <c r="I3482" s="11"/>
      <c r="J3482" s="14"/>
      <c r="K3482" s="76"/>
      <c r="L3482" s="15"/>
      <c r="M3482" s="14"/>
      <c r="N3482" s="62"/>
      <c r="O3482" s="60"/>
      <c r="P3482" s="23"/>
      <c r="Q3482" s="14"/>
      <c r="R3482" s="14"/>
    </row>
    <row r="3483" spans="1:18">
      <c r="B3483" s="66"/>
      <c r="C3483" s="64"/>
      <c r="F3483" s="14"/>
      <c r="G3483" s="14"/>
      <c r="H3483" s="14"/>
      <c r="I3483" s="11"/>
      <c r="J3483" s="14"/>
      <c r="K3483" s="76"/>
      <c r="L3483" s="15"/>
      <c r="M3483" s="14"/>
      <c r="N3483" s="62"/>
      <c r="O3483" s="60"/>
      <c r="P3483" s="23"/>
      <c r="Q3483" s="14"/>
      <c r="R3483" s="14"/>
    </row>
    <row r="3484" spans="1:18">
      <c r="B3484" s="66"/>
      <c r="C3484" s="64"/>
      <c r="F3484" s="14"/>
      <c r="G3484" s="14"/>
      <c r="H3484" s="14"/>
      <c r="I3484" s="11"/>
      <c r="J3484" s="14"/>
      <c r="K3484" s="76"/>
      <c r="L3484" s="15"/>
      <c r="M3484" s="14"/>
      <c r="N3484" s="62"/>
      <c r="O3484" s="60"/>
      <c r="P3484" s="23"/>
      <c r="Q3484" s="14"/>
      <c r="R3484" s="14"/>
    </row>
    <row r="3485" spans="1:18">
      <c r="B3485" s="66"/>
      <c r="C3485" s="64"/>
      <c r="F3485" s="14"/>
      <c r="G3485" s="14"/>
      <c r="H3485" s="14"/>
      <c r="I3485" s="11"/>
      <c r="J3485" s="14"/>
      <c r="K3485" s="76"/>
      <c r="L3485" s="15"/>
      <c r="M3485" s="14"/>
      <c r="N3485" s="62"/>
      <c r="O3485" s="60"/>
      <c r="P3485" s="23"/>
      <c r="Q3485" s="14"/>
      <c r="R3485" s="14"/>
    </row>
    <row r="3486" spans="1:18">
      <c r="F3486" s="14"/>
      <c r="G3486" s="14"/>
      <c r="H3486" s="14"/>
      <c r="I3486" s="11"/>
      <c r="J3486" s="14"/>
      <c r="K3486" s="16"/>
      <c r="L3486" s="15"/>
      <c r="M3486" s="14"/>
      <c r="N3486" s="14"/>
      <c r="O3486" s="14"/>
      <c r="P3486" s="14"/>
    </row>
    <row r="3487" spans="1:18">
      <c r="B3487" s="60"/>
      <c r="F3487" s="14"/>
      <c r="G3487" s="14"/>
      <c r="H3487" s="14"/>
      <c r="I3487" s="11"/>
      <c r="J3487" s="14"/>
      <c r="K3487" s="16"/>
      <c r="L3487" s="15"/>
      <c r="M3487" s="14"/>
      <c r="N3487" s="62"/>
      <c r="O3487" s="60"/>
      <c r="P3487" s="23"/>
      <c r="Q3487" s="14"/>
      <c r="R3487" s="14"/>
    </row>
    <row r="3488" spans="1:18">
      <c r="A3488" s="1" t="s">
        <v>1229</v>
      </c>
      <c r="B3488" s="29" t="s">
        <v>1230</v>
      </c>
      <c r="C3488" s="1" t="s">
        <v>494</v>
      </c>
      <c r="E3488" s="1" t="s">
        <v>476</v>
      </c>
      <c r="F3488" s="14">
        <v>19</v>
      </c>
      <c r="G3488" s="14">
        <v>1909</v>
      </c>
      <c r="H3488" s="14" t="s">
        <v>1237</v>
      </c>
      <c r="I3488" s="11" t="s">
        <v>1238</v>
      </c>
      <c r="J3488" s="14">
        <v>1</v>
      </c>
      <c r="K3488" s="16">
        <v>1</v>
      </c>
      <c r="L3488" s="15">
        <v>6</v>
      </c>
      <c r="M3488" s="14"/>
      <c r="P3488" s="14"/>
      <c r="Q3488" s="14"/>
      <c r="R3488" s="14"/>
    </row>
    <row r="3489" spans="1:18">
      <c r="B3489" s="29" t="s">
        <v>1231</v>
      </c>
      <c r="C3489" s="1" t="s">
        <v>494</v>
      </c>
      <c r="F3489" s="14"/>
      <c r="G3489" s="14"/>
      <c r="H3489" s="14"/>
      <c r="I3489" s="11"/>
      <c r="J3489" s="14"/>
      <c r="K3489" s="16">
        <v>2</v>
      </c>
      <c r="L3489" s="15">
        <v>6</v>
      </c>
      <c r="M3489" s="14"/>
      <c r="P3489" s="14"/>
      <c r="Q3489" s="14"/>
      <c r="R3489" s="14"/>
    </row>
    <row r="3490" spans="1:18">
      <c r="B3490" s="29" t="s">
        <v>1233</v>
      </c>
      <c r="C3490" s="1" t="s">
        <v>493</v>
      </c>
      <c r="D3490" s="1">
        <v>1</v>
      </c>
      <c r="F3490" s="14"/>
      <c r="G3490" s="14"/>
      <c r="H3490" s="14"/>
      <c r="I3490" s="11"/>
      <c r="J3490" s="14"/>
      <c r="K3490" s="16">
        <v>3</v>
      </c>
      <c r="L3490" s="15">
        <v>3</v>
      </c>
      <c r="M3490" s="14"/>
      <c r="P3490" s="14"/>
      <c r="Q3490" s="14"/>
      <c r="R3490" s="14"/>
    </row>
    <row r="3491" spans="1:18">
      <c r="B3491" s="66" t="s">
        <v>2314</v>
      </c>
      <c r="C3491" s="62" t="s">
        <v>494</v>
      </c>
      <c r="F3491" s="14"/>
      <c r="G3491" s="14"/>
      <c r="H3491" s="14"/>
      <c r="I3491" s="11"/>
      <c r="J3491" s="14"/>
      <c r="K3491" s="16">
        <v>4</v>
      </c>
      <c r="L3491" s="15">
        <v>3</v>
      </c>
      <c r="M3491" s="14">
        <v>3</v>
      </c>
      <c r="N3491" s="62" t="s">
        <v>2315</v>
      </c>
      <c r="O3491" s="66" t="s">
        <v>1226</v>
      </c>
      <c r="P3491" s="66" t="s">
        <v>2316</v>
      </c>
      <c r="Q3491" s="14"/>
      <c r="R3491" s="14"/>
    </row>
    <row r="3492" spans="1:18">
      <c r="B3492" s="29" t="s">
        <v>1232</v>
      </c>
      <c r="C3492" s="1" t="s">
        <v>493</v>
      </c>
      <c r="D3492" s="1">
        <v>100</v>
      </c>
      <c r="F3492" s="14"/>
      <c r="G3492" s="14"/>
      <c r="H3492" s="14"/>
      <c r="I3492" s="11"/>
      <c r="J3492" s="14"/>
      <c r="K3492" s="16">
        <v>5</v>
      </c>
      <c r="L3492" s="15"/>
      <c r="M3492" s="14"/>
      <c r="P3492" s="14"/>
      <c r="Q3492" s="14"/>
      <c r="R3492" s="14"/>
    </row>
    <row r="3493" spans="1:18">
      <c r="B3493" s="29"/>
      <c r="F3493" s="14"/>
      <c r="G3493" s="14"/>
      <c r="H3493" s="14"/>
      <c r="I3493" s="11"/>
      <c r="J3493" s="14"/>
      <c r="K3493" s="16"/>
      <c r="L3493" s="15"/>
      <c r="M3493" s="14"/>
      <c r="P3493" s="14"/>
      <c r="Q3493" s="14"/>
      <c r="R3493" s="14"/>
    </row>
    <row r="3494" spans="1:18">
      <c r="A3494" s="62" t="s">
        <v>2317</v>
      </c>
      <c r="B3494" s="66" t="s">
        <v>1234</v>
      </c>
      <c r="C3494" s="62" t="s">
        <v>494</v>
      </c>
      <c r="E3494" s="62" t="s">
        <v>476</v>
      </c>
      <c r="F3494" s="14">
        <v>19</v>
      </c>
      <c r="G3494" s="14">
        <v>1910</v>
      </c>
      <c r="H3494" s="47" t="s">
        <v>1228</v>
      </c>
      <c r="I3494" s="48" t="s">
        <v>2321</v>
      </c>
      <c r="J3494" s="14">
        <v>1</v>
      </c>
      <c r="K3494" s="16">
        <v>1</v>
      </c>
      <c r="L3494" s="15">
        <v>52</v>
      </c>
      <c r="M3494" s="14"/>
      <c r="N3494" s="1">
        <v>1909</v>
      </c>
      <c r="O3494" s="62" t="s">
        <v>1231</v>
      </c>
      <c r="P3494" s="14"/>
      <c r="Q3494" s="14"/>
      <c r="R3494" s="14"/>
    </row>
    <row r="3495" spans="1:18">
      <c r="B3495" s="66" t="s">
        <v>2318</v>
      </c>
      <c r="C3495" s="62" t="s">
        <v>494</v>
      </c>
      <c r="E3495" s="62" t="s">
        <v>476</v>
      </c>
      <c r="F3495" s="14"/>
      <c r="G3495" s="14"/>
      <c r="H3495" s="14"/>
      <c r="I3495" s="11"/>
      <c r="J3495" s="14"/>
      <c r="K3495" s="16">
        <v>2</v>
      </c>
      <c r="L3495" s="15">
        <v>6</v>
      </c>
      <c r="M3495" s="14"/>
      <c r="P3495" s="14"/>
      <c r="Q3495" s="14"/>
      <c r="R3495" s="14"/>
    </row>
    <row r="3496" spans="1:18">
      <c r="B3496" s="66" t="s">
        <v>1235</v>
      </c>
      <c r="C3496" s="62" t="s">
        <v>494</v>
      </c>
      <c r="F3496" s="14"/>
      <c r="G3496" s="14"/>
      <c r="H3496" s="14"/>
      <c r="I3496" s="11"/>
      <c r="J3496" s="14"/>
      <c r="K3496" s="16">
        <v>3</v>
      </c>
      <c r="L3496" s="15">
        <v>6</v>
      </c>
      <c r="M3496" s="14"/>
      <c r="P3496" s="14"/>
      <c r="Q3496" s="14"/>
      <c r="R3496" s="14"/>
    </row>
    <row r="3497" spans="1:18">
      <c r="B3497" s="66" t="s">
        <v>2320</v>
      </c>
      <c r="C3497" s="1" t="s">
        <v>520</v>
      </c>
      <c r="F3497" s="14"/>
      <c r="G3497" s="14"/>
      <c r="H3497" s="14"/>
      <c r="I3497" s="11"/>
      <c r="J3497" s="14"/>
      <c r="K3497" s="16">
        <v>4</v>
      </c>
      <c r="L3497" s="15"/>
      <c r="M3497" s="14"/>
      <c r="P3497" s="14"/>
      <c r="Q3497" s="14"/>
      <c r="R3497" s="14"/>
    </row>
    <row r="3498" spans="1:18">
      <c r="B3498" s="66" t="s">
        <v>2319</v>
      </c>
      <c r="C3498" s="1" t="s">
        <v>494</v>
      </c>
      <c r="F3498" s="14"/>
      <c r="G3498" s="14"/>
      <c r="H3498" s="14"/>
      <c r="I3498" s="11"/>
      <c r="J3498" s="14"/>
      <c r="K3498" s="16">
        <v>5</v>
      </c>
      <c r="L3498" s="15">
        <v>3</v>
      </c>
      <c r="M3498" s="14"/>
      <c r="P3498" s="14"/>
      <c r="Q3498" s="14"/>
      <c r="R3498" s="14"/>
    </row>
    <row r="3499" spans="1:18">
      <c r="B3499" s="29" t="s">
        <v>1236</v>
      </c>
      <c r="C3499" s="1" t="s">
        <v>494</v>
      </c>
      <c r="F3499" s="14"/>
      <c r="G3499" s="14"/>
      <c r="H3499" s="14"/>
      <c r="I3499" s="11"/>
      <c r="J3499" s="14"/>
      <c r="K3499" s="16">
        <v>6</v>
      </c>
      <c r="L3499" s="15"/>
      <c r="M3499" s="14"/>
      <c r="P3499" s="14"/>
      <c r="Q3499" s="14"/>
      <c r="R3499" s="14"/>
    </row>
    <row r="3500" spans="1:18">
      <c r="B3500" s="29"/>
      <c r="F3500" s="14"/>
      <c r="G3500" s="14"/>
      <c r="H3500" s="14"/>
      <c r="I3500" s="11"/>
      <c r="J3500" s="14"/>
      <c r="K3500" s="16"/>
      <c r="L3500" s="15"/>
      <c r="M3500" s="14"/>
      <c r="P3500" s="14"/>
      <c r="Q3500" s="14"/>
      <c r="R3500" s="14"/>
    </row>
    <row r="3501" spans="1:18">
      <c r="A3501" s="62" t="s">
        <v>2315</v>
      </c>
      <c r="B3501" s="66" t="s">
        <v>1226</v>
      </c>
      <c r="C3501" s="62" t="s">
        <v>494</v>
      </c>
      <c r="E3501" s="62" t="s">
        <v>476</v>
      </c>
      <c r="F3501" s="14"/>
      <c r="G3501" s="14"/>
      <c r="H3501" s="14"/>
      <c r="I3501" s="11"/>
      <c r="J3501" s="14"/>
      <c r="K3501" s="16"/>
      <c r="L3501" s="15"/>
      <c r="M3501" s="14"/>
      <c r="P3501" s="14"/>
      <c r="Q3501" s="14"/>
      <c r="R3501" s="14"/>
    </row>
    <row r="3502" spans="1:18">
      <c r="B3502" s="66" t="s">
        <v>2316</v>
      </c>
      <c r="C3502" s="62" t="s">
        <v>493</v>
      </c>
      <c r="D3502" s="1">
        <v>250</v>
      </c>
      <c r="F3502" s="14"/>
      <c r="G3502" s="14"/>
      <c r="H3502" s="14"/>
      <c r="I3502" s="11"/>
      <c r="J3502" s="14"/>
      <c r="K3502" s="16"/>
      <c r="L3502" s="15"/>
      <c r="M3502" s="14"/>
      <c r="P3502" s="14"/>
      <c r="Q3502" s="14"/>
      <c r="R3502" s="14"/>
    </row>
    <row r="3503" spans="1:18">
      <c r="B3503" s="66"/>
      <c r="F3503" s="14"/>
      <c r="G3503" s="14"/>
      <c r="H3503" s="14"/>
      <c r="I3503" s="11"/>
      <c r="J3503" s="14"/>
      <c r="K3503" s="16"/>
      <c r="L3503" s="15"/>
      <c r="M3503" s="14"/>
      <c r="P3503" s="14"/>
      <c r="Q3503" s="14"/>
      <c r="R3503" s="14"/>
    </row>
    <row r="3504" spans="1:18">
      <c r="B3504" s="29"/>
      <c r="F3504" s="14"/>
      <c r="G3504" s="14"/>
      <c r="H3504" s="14"/>
      <c r="I3504" s="11"/>
      <c r="J3504" s="14"/>
      <c r="K3504" s="16"/>
      <c r="L3504" s="15"/>
      <c r="M3504" s="14"/>
      <c r="P3504" s="14"/>
      <c r="Q3504" s="14"/>
      <c r="R3504" s="14"/>
    </row>
    <row r="3505" spans="1:18">
      <c r="B3505" s="29"/>
      <c r="F3505" s="14"/>
      <c r="G3505" s="14"/>
      <c r="H3505" s="14"/>
      <c r="I3505" s="11"/>
      <c r="J3505" s="14"/>
      <c r="K3505" s="16"/>
      <c r="L3505" s="15"/>
      <c r="M3505" s="14"/>
      <c r="P3505" s="14"/>
      <c r="Q3505" s="14"/>
      <c r="R3505" s="14"/>
    </row>
    <row r="3506" spans="1:18">
      <c r="A3506" s="1" t="s">
        <v>1239</v>
      </c>
      <c r="B3506" s="29" t="s">
        <v>1240</v>
      </c>
      <c r="C3506" s="1" t="s">
        <v>494</v>
      </c>
      <c r="E3506" s="1" t="s">
        <v>476</v>
      </c>
      <c r="F3506" s="14">
        <v>19</v>
      </c>
      <c r="G3506" s="14">
        <v>1911</v>
      </c>
      <c r="H3506" s="14" t="s">
        <v>29</v>
      </c>
      <c r="I3506" s="11" t="s">
        <v>1247</v>
      </c>
      <c r="J3506" s="14">
        <v>1901</v>
      </c>
      <c r="K3506" s="16">
        <v>1</v>
      </c>
      <c r="L3506" s="15">
        <v>3</v>
      </c>
      <c r="M3506" s="14"/>
      <c r="P3506" s="14"/>
      <c r="Q3506" s="14"/>
      <c r="R3506" s="14"/>
    </row>
    <row r="3507" spans="1:18">
      <c r="B3507" s="29" t="s">
        <v>1241</v>
      </c>
      <c r="C3507" s="1" t="s">
        <v>494</v>
      </c>
      <c r="E3507" s="1" t="s">
        <v>476</v>
      </c>
      <c r="F3507" s="14"/>
      <c r="G3507" s="14"/>
      <c r="H3507" s="14"/>
      <c r="I3507" s="11"/>
      <c r="J3507" s="14"/>
      <c r="K3507" s="16">
        <v>2</v>
      </c>
      <c r="L3507" s="15">
        <v>3</v>
      </c>
      <c r="M3507" s="14"/>
      <c r="P3507" s="14"/>
      <c r="Q3507" s="14"/>
      <c r="R3507" s="14"/>
    </row>
    <row r="3508" spans="1:18">
      <c r="B3508" s="29" t="s">
        <v>1242</v>
      </c>
      <c r="C3508" s="1" t="s">
        <v>494</v>
      </c>
      <c r="E3508" s="1" t="s">
        <v>476</v>
      </c>
      <c r="F3508" s="14"/>
      <c r="G3508" s="14"/>
      <c r="H3508" s="14"/>
      <c r="I3508" s="11"/>
      <c r="J3508" s="14"/>
      <c r="K3508" s="16">
        <v>3</v>
      </c>
      <c r="L3508" s="15">
        <v>8</v>
      </c>
      <c r="M3508" s="14"/>
      <c r="P3508" s="14"/>
      <c r="Q3508" s="14"/>
      <c r="R3508" s="14"/>
    </row>
    <row r="3509" spans="1:18">
      <c r="B3509" s="29" t="s">
        <v>1243</v>
      </c>
      <c r="C3509" s="1" t="s">
        <v>494</v>
      </c>
      <c r="F3509" s="14"/>
      <c r="G3509" s="14"/>
      <c r="H3509" s="14"/>
      <c r="I3509" s="11"/>
      <c r="J3509" s="14"/>
      <c r="K3509" s="16">
        <v>4</v>
      </c>
      <c r="L3509" s="15">
        <v>6</v>
      </c>
      <c r="M3509" s="14"/>
      <c r="P3509" s="14"/>
      <c r="Q3509" s="14"/>
      <c r="R3509" s="14"/>
    </row>
    <row r="3510" spans="1:18">
      <c r="B3510" s="29" t="s">
        <v>1244</v>
      </c>
      <c r="C3510" s="1" t="s">
        <v>493</v>
      </c>
      <c r="D3510" s="1">
        <v>10</v>
      </c>
      <c r="F3510" s="14"/>
      <c r="G3510" s="14"/>
      <c r="H3510" s="14"/>
      <c r="I3510" s="11"/>
      <c r="J3510" s="14"/>
      <c r="K3510" s="16">
        <v>5</v>
      </c>
      <c r="L3510" s="15">
        <v>7</v>
      </c>
      <c r="M3510" s="14">
        <v>1</v>
      </c>
      <c r="P3510" s="14"/>
      <c r="Q3510" s="14"/>
      <c r="R3510" s="14"/>
    </row>
    <row r="3511" spans="1:18">
      <c r="B3511" s="29" t="s">
        <v>1245</v>
      </c>
      <c r="C3511" s="1" t="s">
        <v>494</v>
      </c>
      <c r="F3511" s="14"/>
      <c r="G3511" s="14"/>
      <c r="H3511" s="14"/>
      <c r="I3511" s="11"/>
      <c r="J3511" s="14"/>
      <c r="K3511" s="16">
        <v>6</v>
      </c>
      <c r="L3511" s="15"/>
      <c r="M3511" s="14">
        <v>73</v>
      </c>
      <c r="P3511" s="14"/>
      <c r="Q3511" s="14"/>
      <c r="R3511" s="14"/>
    </row>
    <row r="3512" spans="1:18">
      <c r="B3512" s="29" t="s">
        <v>1246</v>
      </c>
      <c r="C3512" s="1" t="s">
        <v>494</v>
      </c>
      <c r="F3512" s="14"/>
      <c r="G3512" s="14"/>
      <c r="H3512" s="14"/>
      <c r="I3512" s="11"/>
      <c r="J3512" s="14"/>
      <c r="K3512" s="16">
        <v>7</v>
      </c>
      <c r="L3512" s="15"/>
      <c r="M3512" s="14">
        <v>74</v>
      </c>
      <c r="P3512" s="14"/>
      <c r="Q3512" s="14"/>
      <c r="R3512" s="14"/>
    </row>
    <row r="3513" spans="1:18">
      <c r="B3513" s="29"/>
      <c r="F3513" s="14"/>
      <c r="G3513" s="14"/>
      <c r="H3513" s="14"/>
      <c r="I3513" s="11"/>
      <c r="J3513" s="14"/>
      <c r="K3513" s="16"/>
      <c r="L3513" s="15"/>
      <c r="M3513" s="14"/>
      <c r="P3513" s="14"/>
      <c r="Q3513" s="14"/>
      <c r="R3513" s="14"/>
    </row>
    <row r="3514" spans="1:18">
      <c r="A3514" s="1" t="s">
        <v>1248</v>
      </c>
      <c r="B3514" s="29" t="s">
        <v>1249</v>
      </c>
      <c r="C3514" s="1" t="s">
        <v>494</v>
      </c>
      <c r="E3514" s="1" t="s">
        <v>476</v>
      </c>
      <c r="F3514" s="14">
        <v>19</v>
      </c>
      <c r="G3514" s="14">
        <v>1912</v>
      </c>
      <c r="H3514" s="14" t="s">
        <v>36</v>
      </c>
      <c r="I3514" s="11" t="s">
        <v>1254</v>
      </c>
      <c r="J3514" s="14">
        <v>1901</v>
      </c>
      <c r="K3514" s="16">
        <v>1</v>
      </c>
      <c r="L3514" s="15">
        <v>52</v>
      </c>
      <c r="M3514" s="14"/>
      <c r="N3514" s="1">
        <v>1911</v>
      </c>
      <c r="O3514" s="1" t="s">
        <v>1243</v>
      </c>
      <c r="P3514" s="14"/>
      <c r="Q3514" s="14"/>
      <c r="R3514" s="14"/>
    </row>
    <row r="3515" spans="1:18">
      <c r="B3515" s="29" t="s">
        <v>1250</v>
      </c>
      <c r="C3515" s="1" t="s">
        <v>494</v>
      </c>
      <c r="E3515" s="1" t="s">
        <v>476</v>
      </c>
      <c r="F3515" s="14"/>
      <c r="G3515" s="14"/>
      <c r="H3515" s="14"/>
      <c r="I3515" s="11"/>
      <c r="J3515" s="14"/>
      <c r="K3515" s="16">
        <v>2</v>
      </c>
      <c r="L3515" s="15">
        <v>3</v>
      </c>
      <c r="M3515" s="14"/>
      <c r="N3515" s="1" t="s">
        <v>1225</v>
      </c>
      <c r="O3515" s="29" t="s">
        <v>1226</v>
      </c>
      <c r="P3515" s="29" t="s">
        <v>1227</v>
      </c>
      <c r="Q3515" s="14"/>
      <c r="R3515" s="14"/>
    </row>
    <row r="3516" spans="1:18">
      <c r="B3516" s="29" t="s">
        <v>1251</v>
      </c>
      <c r="C3516" s="1" t="s">
        <v>494</v>
      </c>
      <c r="F3516" s="14"/>
      <c r="G3516" s="14"/>
      <c r="H3516" s="14"/>
      <c r="I3516" s="11"/>
      <c r="J3516" s="14"/>
      <c r="K3516" s="16">
        <v>3</v>
      </c>
      <c r="L3516" s="15">
        <v>6</v>
      </c>
      <c r="M3516" s="14"/>
      <c r="P3516" s="14"/>
      <c r="Q3516" s="14"/>
      <c r="R3516" s="14"/>
    </row>
    <row r="3517" spans="1:18">
      <c r="B3517" s="29" t="s">
        <v>1252</v>
      </c>
      <c r="C3517" s="1" t="s">
        <v>494</v>
      </c>
      <c r="F3517" s="14"/>
      <c r="G3517" s="14"/>
      <c r="H3517" s="14"/>
      <c r="I3517" s="11"/>
      <c r="J3517" s="14"/>
      <c r="K3517" s="16">
        <v>4</v>
      </c>
      <c r="L3517" s="15"/>
      <c r="M3517" s="14"/>
      <c r="P3517" s="14"/>
      <c r="Q3517" s="14"/>
      <c r="R3517" s="14"/>
    </row>
    <row r="3518" spans="1:18">
      <c r="B3518" s="29" t="s">
        <v>1253</v>
      </c>
      <c r="C3518" s="1" t="s">
        <v>494</v>
      </c>
      <c r="F3518" s="14"/>
      <c r="G3518" s="14"/>
      <c r="H3518" s="14"/>
      <c r="I3518" s="11"/>
      <c r="J3518" s="14"/>
      <c r="K3518" s="16">
        <v>5</v>
      </c>
      <c r="L3518" s="15">
        <v>3</v>
      </c>
      <c r="M3518" s="14"/>
      <c r="P3518" s="14"/>
      <c r="Q3518" s="14"/>
      <c r="R3518" s="14"/>
    </row>
    <row r="3519" spans="1:18">
      <c r="B3519" s="29"/>
      <c r="F3519" s="14"/>
      <c r="G3519" s="14"/>
      <c r="H3519" s="14"/>
      <c r="I3519" s="11"/>
      <c r="J3519" s="14"/>
      <c r="K3519" s="16"/>
      <c r="L3519" s="15"/>
      <c r="M3519" s="14"/>
      <c r="P3519" s="14"/>
      <c r="Q3519" s="14"/>
      <c r="R3519" s="14"/>
    </row>
    <row r="3520" spans="1:18">
      <c r="B3520" s="29"/>
      <c r="F3520" s="14"/>
      <c r="G3520" s="14"/>
      <c r="H3520" s="14"/>
      <c r="I3520" s="11"/>
      <c r="J3520" s="14"/>
      <c r="K3520" s="16"/>
      <c r="L3520" s="15"/>
      <c r="M3520" s="14"/>
      <c r="P3520" s="14"/>
      <c r="Q3520" s="14"/>
      <c r="R3520" s="14"/>
    </row>
    <row r="3521" spans="1:18">
      <c r="B3521" s="29"/>
      <c r="F3521" s="14"/>
      <c r="G3521" s="14"/>
      <c r="H3521" s="14"/>
      <c r="I3521" s="11"/>
      <c r="J3521" s="14"/>
      <c r="K3521" s="16"/>
      <c r="L3521" s="15"/>
      <c r="M3521" s="14"/>
      <c r="P3521" s="14"/>
      <c r="Q3521" s="14"/>
      <c r="R3521" s="14"/>
    </row>
    <row r="3522" spans="1:18">
      <c r="B3522" s="29"/>
      <c r="F3522" s="14"/>
      <c r="G3522" s="14"/>
      <c r="H3522" s="14"/>
      <c r="I3522" s="11"/>
      <c r="J3522" s="14"/>
      <c r="K3522" s="16"/>
      <c r="L3522" s="15"/>
      <c r="M3522" s="14"/>
      <c r="P3522" s="14"/>
      <c r="Q3522" s="14"/>
      <c r="R3522" s="14"/>
    </row>
    <row r="3523" spans="1:18">
      <c r="B3523" s="29"/>
      <c r="F3523" s="14"/>
      <c r="G3523" s="14"/>
      <c r="H3523" s="14"/>
      <c r="I3523" s="11"/>
      <c r="J3523" s="14"/>
      <c r="K3523" s="16"/>
      <c r="L3523" s="15"/>
      <c r="M3523" s="14"/>
      <c r="P3523" s="14"/>
      <c r="Q3523" s="14"/>
      <c r="R3523" s="14"/>
    </row>
    <row r="3524" spans="1:18">
      <c r="B3524" s="29"/>
      <c r="F3524" s="14"/>
      <c r="G3524" s="14"/>
      <c r="H3524" s="14"/>
      <c r="I3524" s="11"/>
      <c r="J3524" s="14"/>
      <c r="K3524" s="16"/>
      <c r="L3524" s="15"/>
      <c r="M3524" s="14"/>
      <c r="P3524" s="14"/>
      <c r="Q3524" s="14"/>
      <c r="R3524" s="14"/>
    </row>
    <row r="3525" spans="1:18">
      <c r="B3525" s="29"/>
      <c r="F3525" s="14"/>
      <c r="G3525" s="14"/>
      <c r="H3525" s="14"/>
      <c r="I3525" s="11"/>
      <c r="J3525" s="14"/>
      <c r="K3525" s="16"/>
      <c r="L3525" s="15"/>
      <c r="M3525" s="14"/>
      <c r="P3525" s="14"/>
      <c r="Q3525" s="14"/>
      <c r="R3525" s="14"/>
    </row>
    <row r="3526" spans="1:18">
      <c r="B3526" s="29"/>
      <c r="F3526" s="14"/>
      <c r="G3526" s="14"/>
      <c r="H3526" s="14"/>
      <c r="I3526" s="11"/>
      <c r="J3526" s="14"/>
      <c r="K3526" s="16"/>
      <c r="L3526" s="15"/>
      <c r="M3526" s="14"/>
      <c r="P3526" s="14"/>
      <c r="Q3526" s="14"/>
      <c r="R3526" s="14"/>
    </row>
    <row r="3527" spans="1:18">
      <c r="A3527" s="62" t="s">
        <v>2310</v>
      </c>
      <c r="B3527" s="60" t="s">
        <v>2311</v>
      </c>
      <c r="C3527" s="62" t="s">
        <v>493</v>
      </c>
      <c r="D3527" s="62">
        <v>1</v>
      </c>
      <c r="E3527" s="62" t="s">
        <v>476</v>
      </c>
      <c r="F3527" s="14"/>
      <c r="G3527" s="14"/>
      <c r="H3527" s="14"/>
      <c r="I3527" s="11"/>
      <c r="J3527" s="14"/>
      <c r="K3527" s="16"/>
      <c r="L3527" s="15"/>
      <c r="M3527" s="14"/>
      <c r="N3527" s="62"/>
      <c r="O3527" s="60"/>
      <c r="P3527" s="23"/>
      <c r="Q3527" s="14"/>
      <c r="R3527" s="14"/>
    </row>
    <row r="3528" spans="1:18">
      <c r="B3528" s="60" t="s">
        <v>2312</v>
      </c>
      <c r="C3528" s="62" t="s">
        <v>493</v>
      </c>
      <c r="D3528" s="1">
        <v>50</v>
      </c>
      <c r="F3528" s="14"/>
      <c r="G3528" s="14"/>
      <c r="H3528" s="14"/>
      <c r="I3528" s="11"/>
      <c r="J3528" s="14"/>
      <c r="K3528" s="16"/>
      <c r="L3528" s="15"/>
      <c r="M3528" s="14"/>
      <c r="N3528" s="62"/>
      <c r="O3528" s="60"/>
      <c r="P3528" s="23"/>
      <c r="Q3528" s="14"/>
      <c r="R3528" s="14"/>
    </row>
    <row r="3529" spans="1:18">
      <c r="B3529" s="60" t="s">
        <v>2313</v>
      </c>
      <c r="C3529" s="62" t="s">
        <v>494</v>
      </c>
      <c r="F3529" s="14"/>
      <c r="G3529" s="14"/>
      <c r="H3529" s="14"/>
      <c r="I3529" s="11"/>
      <c r="J3529" s="14"/>
      <c r="K3529" s="16"/>
      <c r="L3529" s="15"/>
      <c r="M3529" s="14"/>
      <c r="N3529" s="62"/>
      <c r="O3529" s="60"/>
      <c r="P3529" s="23"/>
      <c r="Q3529" s="14"/>
      <c r="R3529" s="14"/>
    </row>
    <row r="3530" spans="1:18">
      <c r="B3530" s="60"/>
      <c r="F3530" s="14"/>
      <c r="G3530" s="14"/>
      <c r="H3530" s="14"/>
      <c r="I3530" s="11"/>
      <c r="J3530" s="14"/>
      <c r="K3530" s="16"/>
      <c r="L3530" s="15"/>
      <c r="M3530" s="14"/>
      <c r="N3530" s="62"/>
      <c r="O3530" s="60"/>
      <c r="P3530" s="23"/>
      <c r="Q3530" s="14"/>
      <c r="R3530" s="14"/>
    </row>
    <row r="3531" spans="1:18">
      <c r="B3531" s="60"/>
      <c r="F3531" s="14"/>
      <c r="G3531" s="14"/>
      <c r="H3531" s="14"/>
      <c r="I3531" s="11"/>
      <c r="J3531" s="14"/>
      <c r="K3531" s="16"/>
      <c r="L3531" s="15"/>
      <c r="M3531" s="14"/>
      <c r="N3531" s="62"/>
      <c r="O3531" s="60"/>
      <c r="P3531" s="23"/>
      <c r="Q3531" s="14"/>
      <c r="R3531" s="14"/>
    </row>
    <row r="3532" spans="1:18">
      <c r="B3532" s="60"/>
      <c r="C3532" s="62"/>
      <c r="F3532" s="14"/>
      <c r="G3532" s="14"/>
      <c r="H3532" s="14"/>
      <c r="I3532" s="11"/>
      <c r="J3532" s="14"/>
      <c r="K3532" s="16"/>
      <c r="L3532" s="15"/>
      <c r="M3532" s="14"/>
      <c r="N3532" s="62"/>
      <c r="O3532" s="60"/>
      <c r="P3532" s="23"/>
      <c r="Q3532" s="14"/>
      <c r="R3532" s="14"/>
    </row>
    <row r="3533" spans="1:18">
      <c r="B3533" s="60"/>
      <c r="C3533" s="62"/>
      <c r="F3533" s="14"/>
      <c r="G3533" s="14"/>
      <c r="H3533" s="14"/>
      <c r="I3533" s="11"/>
      <c r="J3533" s="14"/>
      <c r="K3533" s="16"/>
      <c r="L3533" s="15"/>
      <c r="M3533" s="14"/>
      <c r="N3533" s="62"/>
      <c r="O3533" s="60"/>
      <c r="P3533" s="23"/>
      <c r="Q3533" s="14"/>
      <c r="R3533" s="14"/>
    </row>
    <row r="3534" spans="1:18">
      <c r="B3534" s="60"/>
      <c r="F3534" s="14"/>
      <c r="G3534" s="14"/>
      <c r="H3534" s="14"/>
      <c r="I3534" s="11"/>
      <c r="J3534" s="14"/>
      <c r="K3534" s="16"/>
      <c r="L3534" s="15"/>
      <c r="M3534" s="14"/>
      <c r="N3534" s="62"/>
      <c r="O3534" s="60"/>
      <c r="P3534" s="23"/>
      <c r="Q3534" s="14"/>
      <c r="R3534" s="14"/>
    </row>
    <row r="3538" spans="1:18" s="62" customFormat="1">
      <c r="A3538" s="62" t="s">
        <v>2155</v>
      </c>
      <c r="B3538" s="64" t="s">
        <v>2157</v>
      </c>
      <c r="C3538" s="62" t="s">
        <v>494</v>
      </c>
      <c r="E3538" s="62" t="s">
        <v>476</v>
      </c>
      <c r="F3538" s="62">
        <v>21</v>
      </c>
      <c r="G3538" s="62">
        <v>2120</v>
      </c>
      <c r="H3538" s="62" t="s">
        <v>2165</v>
      </c>
      <c r="I3538" s="22" t="s">
        <v>2166</v>
      </c>
      <c r="J3538" s="62">
        <v>2101</v>
      </c>
      <c r="K3538" s="57">
        <v>1</v>
      </c>
      <c r="L3538" s="76">
        <v>52</v>
      </c>
      <c r="N3538" s="62">
        <v>2119</v>
      </c>
      <c r="O3538" s="62" t="s">
        <v>2145</v>
      </c>
    </row>
    <row r="3539" spans="1:18" s="62" customFormat="1">
      <c r="B3539" s="64" t="s">
        <v>2156</v>
      </c>
      <c r="C3539" s="62" t="s">
        <v>494</v>
      </c>
      <c r="E3539" s="62" t="s">
        <v>476</v>
      </c>
      <c r="I3539" s="22"/>
      <c r="K3539" s="57">
        <v>2</v>
      </c>
      <c r="L3539" s="76">
        <v>8</v>
      </c>
    </row>
    <row r="3540" spans="1:18" s="62" customFormat="1">
      <c r="B3540" s="64" t="s">
        <v>2158</v>
      </c>
      <c r="C3540" s="62" t="s">
        <v>494</v>
      </c>
      <c r="I3540" s="22"/>
      <c r="K3540" s="57">
        <v>3</v>
      </c>
      <c r="L3540" s="76">
        <v>6</v>
      </c>
    </row>
    <row r="3541" spans="1:18" s="62" customFormat="1">
      <c r="B3541" s="64" t="s">
        <v>2168</v>
      </c>
      <c r="C3541" s="62" t="s">
        <v>494</v>
      </c>
      <c r="I3541" s="22"/>
      <c r="K3541" s="57">
        <v>4</v>
      </c>
      <c r="L3541" s="76"/>
    </row>
    <row r="3542" spans="1:18" s="62" customFormat="1">
      <c r="B3542" s="64" t="s">
        <v>2161</v>
      </c>
      <c r="C3542" s="62" t="s">
        <v>493</v>
      </c>
      <c r="D3542" s="62">
        <v>10</v>
      </c>
      <c r="I3542" s="22"/>
      <c r="K3542" s="57">
        <v>5</v>
      </c>
      <c r="L3542" s="76">
        <v>7</v>
      </c>
    </row>
    <row r="3543" spans="1:18" s="62" customFormat="1">
      <c r="B3543" s="64" t="s">
        <v>2163</v>
      </c>
      <c r="C3543" s="62" t="s">
        <v>494</v>
      </c>
      <c r="I3543" s="22"/>
      <c r="K3543" s="57">
        <v>6</v>
      </c>
      <c r="L3543" s="76"/>
      <c r="M3543" s="62">
        <v>71</v>
      </c>
    </row>
    <row r="3544" spans="1:18" s="62" customFormat="1">
      <c r="B3544" s="64" t="s">
        <v>2162</v>
      </c>
      <c r="C3544" s="62" t="s">
        <v>494</v>
      </c>
      <c r="I3544" s="22"/>
      <c r="K3544" s="57">
        <v>7</v>
      </c>
      <c r="L3544" s="76"/>
      <c r="M3544" s="62">
        <v>72</v>
      </c>
    </row>
    <row r="3545" spans="1:18" s="62" customFormat="1">
      <c r="B3545" s="64" t="s">
        <v>2164</v>
      </c>
      <c r="C3545" s="62" t="s">
        <v>493</v>
      </c>
      <c r="D3545" s="62">
        <v>100</v>
      </c>
      <c r="I3545" s="22"/>
      <c r="K3545" s="57">
        <v>8</v>
      </c>
      <c r="L3545" s="76"/>
    </row>
    <row r="3546" spans="1:18" s="62" customFormat="1">
      <c r="B3546" s="64"/>
      <c r="I3546" s="22"/>
      <c r="K3546" s="57"/>
      <c r="L3546" s="76"/>
    </row>
    <row r="3547" spans="1:18">
      <c r="A3547" s="10"/>
      <c r="B3547" s="66"/>
      <c r="C3547" s="62"/>
      <c r="D3547" s="10"/>
      <c r="E3547" s="10"/>
      <c r="F3547" s="10"/>
      <c r="G3547" s="10"/>
      <c r="H3547" s="10"/>
      <c r="I3547" s="10"/>
      <c r="J3547" s="10"/>
      <c r="K3547" s="16"/>
      <c r="L3547" s="15"/>
      <c r="M3547" s="14"/>
      <c r="O3547" s="23"/>
      <c r="P3547" s="23"/>
      <c r="Q3547" s="10"/>
      <c r="R3547" s="10"/>
    </row>
    <row r="3548" spans="1:18" s="62" customFormat="1">
      <c r="A3548" s="62" t="s">
        <v>2093</v>
      </c>
      <c r="B3548" s="64" t="s">
        <v>2084</v>
      </c>
      <c r="C3548" s="62" t="s">
        <v>494</v>
      </c>
      <c r="E3548" s="62" t="s">
        <v>476</v>
      </c>
      <c r="F3548" s="62">
        <v>23</v>
      </c>
      <c r="G3548" s="62">
        <v>2301</v>
      </c>
      <c r="H3548" s="62" t="s">
        <v>962</v>
      </c>
      <c r="I3548" s="22" t="s">
        <v>2114</v>
      </c>
      <c r="J3548" s="62">
        <v>2301</v>
      </c>
      <c r="K3548" s="57">
        <v>1</v>
      </c>
      <c r="L3548" s="76">
        <v>8</v>
      </c>
    </row>
    <row r="3549" spans="1:18" s="62" customFormat="1">
      <c r="B3549" s="64" t="s">
        <v>2085</v>
      </c>
      <c r="C3549" s="62" t="s">
        <v>494</v>
      </c>
      <c r="E3549" s="62" t="s">
        <v>476</v>
      </c>
      <c r="I3549" s="22"/>
      <c r="K3549" s="57">
        <v>2</v>
      </c>
      <c r="L3549" s="76">
        <v>6</v>
      </c>
    </row>
    <row r="3550" spans="1:18" s="62" customFormat="1">
      <c r="B3550" s="64" t="s">
        <v>2086</v>
      </c>
      <c r="C3550" s="62" t="s">
        <v>494</v>
      </c>
      <c r="I3550" s="22"/>
      <c r="K3550" s="57">
        <v>3</v>
      </c>
      <c r="L3550" s="76">
        <v>6</v>
      </c>
    </row>
    <row r="3551" spans="1:18" s="62" customFormat="1">
      <c r="B3551" s="64" t="s">
        <v>2087</v>
      </c>
      <c r="C3551" s="62" t="s">
        <v>494</v>
      </c>
      <c r="I3551" s="22"/>
      <c r="K3551" s="57">
        <v>4</v>
      </c>
      <c r="L3551" s="76">
        <v>3</v>
      </c>
      <c r="N3551" s="62" t="s">
        <v>2088</v>
      </c>
      <c r="O3551" s="64" t="s">
        <v>2089</v>
      </c>
      <c r="P3551" s="64" t="s">
        <v>2090</v>
      </c>
    </row>
    <row r="3552" spans="1:18" s="62" customFormat="1">
      <c r="B3552" s="64" t="s">
        <v>2094</v>
      </c>
      <c r="C3552" s="62" t="s">
        <v>494</v>
      </c>
      <c r="I3552" s="22"/>
      <c r="K3552" s="57">
        <v>5</v>
      </c>
      <c r="L3552" s="76"/>
    </row>
    <row r="3553" spans="1:12" s="62" customFormat="1">
      <c r="B3553" s="64" t="s">
        <v>2095</v>
      </c>
      <c r="C3553" s="62" t="s">
        <v>494</v>
      </c>
      <c r="I3553" s="22"/>
      <c r="K3553" s="57">
        <v>6</v>
      </c>
      <c r="L3553" s="76"/>
    </row>
    <row r="3554" spans="1:12" s="62" customFormat="1">
      <c r="B3554" s="64" t="s">
        <v>2096</v>
      </c>
      <c r="C3554" s="62" t="s">
        <v>494</v>
      </c>
      <c r="I3554" s="22"/>
      <c r="K3554" s="57">
        <v>7</v>
      </c>
      <c r="L3554" s="76"/>
    </row>
    <row r="3555" spans="1:12" s="62" customFormat="1">
      <c r="B3555" s="64" t="s">
        <v>2097</v>
      </c>
      <c r="C3555" s="62" t="s">
        <v>494</v>
      </c>
      <c r="I3555" s="22"/>
      <c r="K3555" s="57">
        <v>8</v>
      </c>
      <c r="L3555" s="76"/>
    </row>
    <row r="3556" spans="1:12" s="62" customFormat="1">
      <c r="B3556" s="64" t="s">
        <v>2100</v>
      </c>
      <c r="C3556" s="62" t="s">
        <v>494</v>
      </c>
      <c r="I3556" s="22"/>
      <c r="K3556" s="57">
        <v>9</v>
      </c>
      <c r="L3556" s="76"/>
    </row>
    <row r="3557" spans="1:12" s="62" customFormat="1">
      <c r="B3557" s="64" t="s">
        <v>2099</v>
      </c>
      <c r="C3557" s="62" t="s">
        <v>494</v>
      </c>
      <c r="I3557" s="22"/>
      <c r="K3557" s="57">
        <v>10</v>
      </c>
      <c r="L3557" s="76"/>
    </row>
    <row r="3558" spans="1:12" s="62" customFormat="1">
      <c r="B3558" s="64" t="s">
        <v>2098</v>
      </c>
      <c r="C3558" s="62" t="s">
        <v>494</v>
      </c>
      <c r="I3558" s="22"/>
      <c r="K3558" s="57">
        <v>11</v>
      </c>
      <c r="L3558" s="76"/>
    </row>
    <row r="3559" spans="1:12" s="62" customFormat="1">
      <c r="B3559" s="64" t="s">
        <v>2101</v>
      </c>
      <c r="C3559" s="62" t="s">
        <v>520</v>
      </c>
      <c r="I3559" s="22"/>
      <c r="K3559" s="57">
        <v>12</v>
      </c>
      <c r="L3559" s="76"/>
    </row>
    <row r="3560" spans="1:12" s="62" customFormat="1">
      <c r="B3560" s="64" t="s">
        <v>2102</v>
      </c>
      <c r="C3560" s="62" t="s">
        <v>494</v>
      </c>
      <c r="I3560" s="22"/>
      <c r="K3560" s="57">
        <v>13</v>
      </c>
      <c r="L3560" s="76"/>
    </row>
    <row r="3561" spans="1:12" s="62" customFormat="1">
      <c r="B3561" s="64" t="s">
        <v>2103</v>
      </c>
      <c r="C3561" s="62" t="s">
        <v>494</v>
      </c>
      <c r="I3561" s="22"/>
      <c r="K3561" s="57">
        <v>14</v>
      </c>
      <c r="L3561" s="76"/>
    </row>
    <row r="3562" spans="1:12" s="62" customFormat="1">
      <c r="B3562" s="64" t="s">
        <v>2104</v>
      </c>
      <c r="C3562" s="62" t="s">
        <v>494</v>
      </c>
      <c r="I3562" s="22"/>
      <c r="K3562" s="57">
        <v>15</v>
      </c>
      <c r="L3562" s="76"/>
    </row>
    <row r="3563" spans="1:12" s="62" customFormat="1">
      <c r="B3563" s="64" t="s">
        <v>2105</v>
      </c>
      <c r="C3563" s="62" t="s">
        <v>494</v>
      </c>
      <c r="H3563" s="62" t="s">
        <v>2106</v>
      </c>
      <c r="I3563" s="22"/>
      <c r="K3563" s="57">
        <v>16</v>
      </c>
      <c r="L3563" s="76"/>
    </row>
    <row r="3564" spans="1:12" s="62" customFormat="1">
      <c r="B3564" s="64" t="s">
        <v>2118</v>
      </c>
      <c r="C3564" s="62" t="s">
        <v>702</v>
      </c>
      <c r="I3564" s="22"/>
      <c r="K3564" s="57">
        <v>17</v>
      </c>
      <c r="L3564" s="76"/>
    </row>
    <row r="3565" spans="1:12" s="62" customFormat="1">
      <c r="B3565" s="64" t="s">
        <v>2117</v>
      </c>
      <c r="C3565" s="62" t="s">
        <v>494</v>
      </c>
      <c r="I3565" s="22"/>
      <c r="K3565" s="57">
        <v>18</v>
      </c>
      <c r="L3565" s="76">
        <v>75</v>
      </c>
    </row>
    <row r="3566" spans="1:12" s="62" customFormat="1">
      <c r="B3566" s="64" t="s">
        <v>2119</v>
      </c>
      <c r="C3566" s="62" t="s">
        <v>494</v>
      </c>
      <c r="I3566" s="22"/>
      <c r="K3566" s="57">
        <v>19</v>
      </c>
      <c r="L3566" s="76">
        <v>76</v>
      </c>
    </row>
    <row r="3567" spans="1:12" s="62" customFormat="1">
      <c r="B3567" s="64"/>
      <c r="I3567" s="22"/>
      <c r="K3567" s="57"/>
      <c r="L3567" s="76"/>
    </row>
    <row r="3568" spans="1:12" s="62" customFormat="1">
      <c r="A3568" s="62" t="s">
        <v>2088</v>
      </c>
      <c r="B3568" s="64" t="s">
        <v>2089</v>
      </c>
      <c r="C3568" s="62" t="s">
        <v>494</v>
      </c>
      <c r="E3568" s="62" t="s">
        <v>476</v>
      </c>
      <c r="I3568" s="22"/>
      <c r="K3568" s="57">
        <v>1</v>
      </c>
      <c r="L3568" s="76"/>
    </row>
    <row r="3569" spans="1:18" s="62" customFormat="1">
      <c r="B3569" s="64" t="s">
        <v>2090</v>
      </c>
      <c r="C3569" s="62" t="s">
        <v>493</v>
      </c>
      <c r="D3569" s="62">
        <v>50</v>
      </c>
      <c r="I3569" s="22"/>
      <c r="K3569" s="57">
        <v>2</v>
      </c>
      <c r="L3569" s="76"/>
    </row>
    <row r="3570" spans="1:18" s="62" customFormat="1">
      <c r="B3570" s="64"/>
      <c r="I3570" s="22"/>
      <c r="K3570" s="57"/>
      <c r="L3570" s="76"/>
    </row>
    <row r="3571" spans="1:18" s="62" customFormat="1">
      <c r="A3571" s="62" t="s">
        <v>2091</v>
      </c>
      <c r="B3571" s="64" t="s">
        <v>2092</v>
      </c>
      <c r="C3571" s="62" t="s">
        <v>494</v>
      </c>
      <c r="E3571" s="62" t="s">
        <v>476</v>
      </c>
      <c r="F3571" s="62">
        <v>23</v>
      </c>
      <c r="G3571" s="62">
        <v>2303</v>
      </c>
      <c r="H3571" s="62" t="s">
        <v>2115</v>
      </c>
      <c r="I3571" s="22" t="s">
        <v>2116</v>
      </c>
      <c r="J3571" s="62">
        <v>2303</v>
      </c>
      <c r="K3571" s="57">
        <v>1</v>
      </c>
      <c r="L3571" s="76">
        <v>52</v>
      </c>
    </row>
    <row r="3572" spans="1:18" s="62" customFormat="1">
      <c r="B3572" s="64" t="s">
        <v>2107</v>
      </c>
      <c r="C3572" s="62" t="s">
        <v>494</v>
      </c>
      <c r="E3572" s="62" t="s">
        <v>476</v>
      </c>
      <c r="I3572" s="22"/>
      <c r="K3572" s="57">
        <v>2</v>
      </c>
      <c r="L3572" s="76">
        <v>6</v>
      </c>
    </row>
    <row r="3573" spans="1:18" s="62" customFormat="1">
      <c r="B3573" s="64" t="s">
        <v>2108</v>
      </c>
      <c r="C3573" s="62" t="s">
        <v>494</v>
      </c>
      <c r="I3573" s="22"/>
      <c r="K3573" s="57">
        <v>3</v>
      </c>
      <c r="L3573" s="76">
        <v>6</v>
      </c>
    </row>
    <row r="3574" spans="1:18" s="62" customFormat="1">
      <c r="B3574" s="64" t="s">
        <v>2091</v>
      </c>
      <c r="C3574" s="62" t="s">
        <v>520</v>
      </c>
      <c r="I3574" s="22"/>
      <c r="K3574" s="57">
        <v>4</v>
      </c>
      <c r="L3574" s="76"/>
    </row>
    <row r="3575" spans="1:18" s="62" customFormat="1">
      <c r="B3575" s="64" t="s">
        <v>2112</v>
      </c>
      <c r="C3575" s="62" t="s">
        <v>494</v>
      </c>
      <c r="I3575" s="22"/>
      <c r="K3575" s="57">
        <v>5</v>
      </c>
      <c r="L3575" s="76"/>
    </row>
    <row r="3576" spans="1:18" s="62" customFormat="1">
      <c r="B3576" s="64" t="s">
        <v>2109</v>
      </c>
      <c r="C3576" s="62" t="s">
        <v>493</v>
      </c>
      <c r="D3576" s="62">
        <v>1</v>
      </c>
      <c r="I3576" s="22"/>
      <c r="K3576" s="57">
        <v>6</v>
      </c>
      <c r="L3576" s="76">
        <v>7</v>
      </c>
    </row>
    <row r="3577" spans="1:18" s="62" customFormat="1">
      <c r="B3577" s="64" t="s">
        <v>2110</v>
      </c>
      <c r="C3577" s="62" t="s">
        <v>494</v>
      </c>
      <c r="I3577" s="22"/>
      <c r="K3577" s="57">
        <v>7</v>
      </c>
      <c r="L3577" s="76"/>
      <c r="M3577" s="62">
        <v>73</v>
      </c>
    </row>
    <row r="3578" spans="1:18" s="62" customFormat="1">
      <c r="B3578" s="64" t="s">
        <v>2111</v>
      </c>
      <c r="C3578" s="62" t="s">
        <v>494</v>
      </c>
      <c r="I3578" s="22"/>
      <c r="K3578" s="57">
        <v>8</v>
      </c>
      <c r="L3578" s="76"/>
      <c r="M3578" s="62">
        <v>74</v>
      </c>
    </row>
    <row r="3579" spans="1:18" s="62" customFormat="1">
      <c r="B3579" s="64" t="s">
        <v>2113</v>
      </c>
      <c r="C3579" s="62" t="s">
        <v>493</v>
      </c>
      <c r="D3579" s="62">
        <v>1</v>
      </c>
      <c r="I3579" s="22"/>
      <c r="K3579" s="57">
        <v>9</v>
      </c>
      <c r="L3579" s="76">
        <v>3</v>
      </c>
    </row>
    <row r="3580" spans="1:18" s="62" customFormat="1">
      <c r="B3580" s="64"/>
      <c r="I3580" s="22"/>
      <c r="K3580" s="57"/>
      <c r="L3580" s="76"/>
    </row>
    <row r="3581" spans="1:18" s="62" customFormat="1">
      <c r="B3581" s="64"/>
      <c r="I3581" s="22"/>
      <c r="K3581" s="57"/>
      <c r="L3581" s="76"/>
    </row>
    <row r="3582" spans="1:18" s="62" customFormat="1">
      <c r="B3582" s="64"/>
      <c r="I3582" s="22"/>
      <c r="K3582" s="57"/>
      <c r="L3582" s="76"/>
    </row>
    <row r="3583" spans="1:18">
      <c r="A3583" s="10"/>
      <c r="B3583" s="66"/>
      <c r="C3583" s="62"/>
      <c r="D3583" s="10"/>
      <c r="E3583" s="10"/>
      <c r="F3583" s="10"/>
      <c r="G3583" s="10"/>
      <c r="H3583" s="10"/>
      <c r="I3583" s="10"/>
      <c r="J3583" s="10"/>
      <c r="K3583" s="16"/>
      <c r="L3583" s="15"/>
      <c r="M3583" s="14"/>
      <c r="O3583" s="23"/>
      <c r="P3583" s="23"/>
      <c r="Q3583" s="10"/>
      <c r="R3583" s="10"/>
    </row>
    <row r="3584" spans="1:18" s="62" customFormat="1">
      <c r="A3584" s="92" t="s">
        <v>2027</v>
      </c>
      <c r="B3584" s="93" t="s">
        <v>2028</v>
      </c>
      <c r="C3584" s="62" t="s">
        <v>494</v>
      </c>
      <c r="E3584" s="62" t="s">
        <v>476</v>
      </c>
      <c r="F3584" s="62">
        <v>22</v>
      </c>
      <c r="G3584" s="62">
        <v>2201</v>
      </c>
      <c r="H3584" s="62" t="s">
        <v>2034</v>
      </c>
      <c r="I3584" s="22" t="s">
        <v>2035</v>
      </c>
      <c r="J3584" s="62">
        <v>2201</v>
      </c>
      <c r="K3584" s="57">
        <v>1</v>
      </c>
      <c r="L3584" s="76">
        <v>3</v>
      </c>
      <c r="N3584" s="64" t="s">
        <v>506</v>
      </c>
      <c r="O3584" s="64" t="s">
        <v>514</v>
      </c>
      <c r="P3584" s="1" t="s">
        <v>515</v>
      </c>
    </row>
    <row r="3585" spans="1:18" s="62" customFormat="1">
      <c r="A3585" s="92"/>
      <c r="B3585" s="93" t="s">
        <v>2029</v>
      </c>
      <c r="C3585" s="62" t="s">
        <v>494</v>
      </c>
      <c r="E3585" s="62" t="s">
        <v>476</v>
      </c>
      <c r="I3585" s="22"/>
      <c r="K3585" s="57">
        <v>2</v>
      </c>
      <c r="L3585" s="76">
        <v>3</v>
      </c>
      <c r="N3585" s="62" t="s">
        <v>54</v>
      </c>
      <c r="O3585" s="62" t="s">
        <v>56</v>
      </c>
      <c r="P3585" s="62" t="s">
        <v>57</v>
      </c>
    </row>
    <row r="3586" spans="1:18" s="62" customFormat="1">
      <c r="A3586" s="92"/>
      <c r="B3586" s="93" t="s">
        <v>2030</v>
      </c>
      <c r="C3586" s="62" t="s">
        <v>494</v>
      </c>
      <c r="E3586" s="62" t="s">
        <v>476</v>
      </c>
      <c r="I3586" s="22"/>
      <c r="K3586" s="57">
        <v>3</v>
      </c>
      <c r="L3586" s="76">
        <v>8</v>
      </c>
    </row>
    <row r="3587" spans="1:18" s="62" customFormat="1">
      <c r="A3587" s="92"/>
      <c r="B3587" s="93" t="s">
        <v>2031</v>
      </c>
      <c r="C3587" s="62" t="s">
        <v>494</v>
      </c>
      <c r="H3587" s="62" t="s">
        <v>3414</v>
      </c>
      <c r="I3587" s="22"/>
      <c r="K3587" s="57">
        <v>4</v>
      </c>
      <c r="L3587" s="76">
        <v>6</v>
      </c>
    </row>
    <row r="3588" spans="1:18" s="62" customFormat="1">
      <c r="A3588" s="92"/>
      <c r="B3588" s="93" t="s">
        <v>2033</v>
      </c>
      <c r="C3588" s="62" t="s">
        <v>494</v>
      </c>
      <c r="I3588" s="22"/>
      <c r="K3588" s="57">
        <v>5</v>
      </c>
      <c r="L3588" s="76">
        <v>3</v>
      </c>
      <c r="N3588" s="1" t="s">
        <v>379</v>
      </c>
      <c r="O3588" s="62" t="s">
        <v>698</v>
      </c>
      <c r="P3588" s="62" t="s">
        <v>699</v>
      </c>
    </row>
    <row r="3589" spans="1:18" s="62" customFormat="1">
      <c r="A3589" s="92"/>
      <c r="B3589" s="93" t="s">
        <v>2063</v>
      </c>
      <c r="C3589" s="62" t="s">
        <v>494</v>
      </c>
      <c r="I3589" s="22"/>
      <c r="K3589" s="57">
        <v>6</v>
      </c>
      <c r="L3589" s="76">
        <v>3</v>
      </c>
      <c r="N3589" s="1" t="s">
        <v>693</v>
      </c>
      <c r="O3589" s="1" t="s">
        <v>695</v>
      </c>
      <c r="P3589" s="1" t="s">
        <v>696</v>
      </c>
    </row>
    <row r="3590" spans="1:18" s="62" customFormat="1">
      <c r="A3590" s="92"/>
      <c r="B3590" s="93" t="s">
        <v>2032</v>
      </c>
      <c r="C3590" s="62" t="s">
        <v>494</v>
      </c>
      <c r="I3590" s="22"/>
      <c r="K3590" s="57">
        <v>7</v>
      </c>
      <c r="L3590" s="76">
        <v>3</v>
      </c>
      <c r="M3590" s="62">
        <v>31</v>
      </c>
      <c r="N3590" s="1" t="s">
        <v>379</v>
      </c>
      <c r="O3590" s="62" t="s">
        <v>698</v>
      </c>
      <c r="P3590" s="62" t="s">
        <v>699</v>
      </c>
      <c r="Q3590" s="62" t="s">
        <v>383</v>
      </c>
      <c r="R3590" s="62">
        <v>6</v>
      </c>
    </row>
    <row r="3591" spans="1:18" s="62" customFormat="1">
      <c r="B3591" s="64"/>
      <c r="I3591" s="22"/>
      <c r="K3591" s="57"/>
      <c r="L3591" s="76"/>
      <c r="N3591" s="1"/>
    </row>
    <row r="3592" spans="1:18" s="62" customFormat="1">
      <c r="B3592" s="64"/>
      <c r="I3592" s="22"/>
      <c r="K3592" s="57"/>
      <c r="L3592" s="76"/>
      <c r="O3592" s="3"/>
    </row>
    <row r="3593" spans="1:18" s="62" customFormat="1">
      <c r="F3593" s="47"/>
      <c r="G3593" s="47"/>
      <c r="H3593" s="47"/>
      <c r="I3593" s="48"/>
      <c r="J3593" s="47"/>
      <c r="K3593" s="57"/>
      <c r="L3593" s="57"/>
      <c r="M3593" s="47"/>
      <c r="N3593" s="47"/>
      <c r="O3593" s="47"/>
      <c r="P3593" s="47"/>
    </row>
    <row r="3594" spans="1:18">
      <c r="A3594" s="10"/>
      <c r="B3594" s="66"/>
      <c r="C3594" s="62"/>
      <c r="D3594" s="10"/>
      <c r="E3594" s="10"/>
      <c r="F3594" s="10"/>
      <c r="G3594" s="10"/>
      <c r="H3594" s="10"/>
      <c r="I3594" s="10"/>
      <c r="J3594" s="10"/>
      <c r="K3594" s="16"/>
      <c r="L3594" s="15"/>
      <c r="M3594" s="14"/>
      <c r="O3594" s="23"/>
      <c r="P3594" s="23"/>
      <c r="Q3594" s="10"/>
      <c r="R3594" s="10"/>
    </row>
    <row r="3595" spans="1:18" s="62" customFormat="1">
      <c r="B3595" s="64"/>
      <c r="I3595" s="22"/>
      <c r="K3595" s="57"/>
      <c r="L3595" s="76"/>
    </row>
    <row r="3596" spans="1:18" s="62" customFormat="1">
      <c r="B3596" s="64"/>
      <c r="I3596" s="22"/>
      <c r="K3596" s="57"/>
      <c r="L3596" s="76"/>
    </row>
    <row r="3597" spans="1:18" s="62" customFormat="1">
      <c r="B3597" s="64"/>
      <c r="I3597" s="22"/>
      <c r="K3597" s="57"/>
      <c r="L3597" s="76"/>
    </row>
    <row r="3598" spans="1:18" s="62" customFormat="1">
      <c r="B3598" s="64"/>
      <c r="I3598" s="22"/>
      <c r="K3598" s="57"/>
      <c r="L3598" s="76"/>
    </row>
    <row r="3599" spans="1:18" s="62" customFormat="1">
      <c r="B3599" s="64"/>
      <c r="I3599" s="22"/>
      <c r="K3599" s="57"/>
      <c r="L3599" s="76"/>
    </row>
    <row r="3600" spans="1:18" s="62" customFormat="1">
      <c r="B3600" s="64"/>
      <c r="I3600" s="22"/>
      <c r="K3600" s="57"/>
      <c r="L3600" s="76"/>
    </row>
    <row r="3602" spans="1:18" s="3" customFormat="1">
      <c r="A3602" s="62"/>
      <c r="B3602" s="62"/>
      <c r="C3602" s="62"/>
      <c r="D3602" s="62"/>
      <c r="E3602" s="62"/>
      <c r="F3602" s="62"/>
      <c r="G3602" s="62"/>
      <c r="H3602" s="62"/>
      <c r="I3602" s="62"/>
      <c r="J3602" s="62"/>
      <c r="K3602" s="76"/>
      <c r="L3602" s="62"/>
      <c r="M3602" s="62"/>
      <c r="N3602" s="62"/>
      <c r="O3602" s="62"/>
      <c r="P3602" s="62"/>
      <c r="Q3602" s="12"/>
      <c r="R3602" s="12"/>
    </row>
    <row r="3603" spans="1:18">
      <c r="A3603" s="10"/>
      <c r="B3603" s="66"/>
      <c r="C3603" s="62"/>
      <c r="D3603" s="10"/>
      <c r="E3603" s="10"/>
      <c r="F3603" s="10"/>
      <c r="G3603" s="10"/>
      <c r="H3603" s="10"/>
      <c r="I3603" s="10"/>
      <c r="J3603" s="10"/>
      <c r="K3603" s="16"/>
      <c r="L3603" s="15"/>
      <c r="M3603" s="14"/>
      <c r="O3603" s="23"/>
      <c r="P3603" s="23"/>
      <c r="Q3603" s="10"/>
      <c r="R3603" s="10"/>
    </row>
    <row r="3604" spans="1:18">
      <c r="A3604" s="10"/>
      <c r="B3604" s="66"/>
      <c r="C3604" s="62"/>
      <c r="D3604" s="10"/>
      <c r="E3604" s="10"/>
      <c r="F3604" s="10"/>
      <c r="G3604" s="10"/>
      <c r="H3604" s="10"/>
      <c r="I3604" s="10"/>
      <c r="J3604" s="10"/>
      <c r="K3604" s="16"/>
      <c r="L3604" s="15"/>
      <c r="M3604" s="14"/>
      <c r="O3604" s="23"/>
      <c r="P3604" s="23"/>
      <c r="Q3604" s="10"/>
      <c r="R3604" s="10"/>
    </row>
    <row r="3605" spans="1:18" s="3" customFormat="1">
      <c r="A3605" s="62"/>
      <c r="B3605" s="62"/>
      <c r="C3605" s="62"/>
      <c r="D3605" s="62"/>
      <c r="E3605" s="62"/>
      <c r="F3605" s="62"/>
      <c r="G3605" s="62"/>
      <c r="H3605" s="62"/>
      <c r="I3605" s="62"/>
      <c r="J3605" s="62"/>
      <c r="K3605" s="76"/>
      <c r="L3605" s="62"/>
      <c r="M3605" s="62"/>
      <c r="N3605" s="62"/>
      <c r="O3605" s="62"/>
      <c r="P3605" s="62"/>
      <c r="Q3605" s="12"/>
      <c r="R3605" s="12"/>
    </row>
    <row r="3606" spans="1:18">
      <c r="A3606" s="62"/>
      <c r="B3606" s="62"/>
      <c r="C3606" s="62"/>
      <c r="D3606" s="62"/>
      <c r="E3606" s="62"/>
      <c r="F3606" s="62"/>
      <c r="G3606" s="62"/>
      <c r="H3606" s="62"/>
      <c r="I3606" s="62"/>
      <c r="J3606" s="62"/>
      <c r="K3606" s="76"/>
      <c r="L3606" s="62"/>
      <c r="M3606" s="62"/>
      <c r="N3606" s="62"/>
      <c r="O3606" s="62"/>
      <c r="P3606" s="62"/>
      <c r="Q3606" s="14"/>
      <c r="R3606" s="14"/>
    </row>
    <row r="3607" spans="1:18">
      <c r="A3607" s="64" t="s">
        <v>1887</v>
      </c>
      <c r="B3607" s="66" t="s">
        <v>1889</v>
      </c>
      <c r="C3607" s="62" t="s">
        <v>494</v>
      </c>
      <c r="D3607" s="10"/>
      <c r="E3607" s="64" t="s">
        <v>476</v>
      </c>
      <c r="F3607" s="10">
        <v>17</v>
      </c>
      <c r="G3607" s="10">
        <v>1735</v>
      </c>
      <c r="H3607" s="64" t="s">
        <v>1901</v>
      </c>
      <c r="I3607" s="64" t="s">
        <v>1903</v>
      </c>
      <c r="J3607" s="10">
        <v>1703</v>
      </c>
      <c r="K3607" s="16">
        <v>1</v>
      </c>
      <c r="L3607" s="15">
        <v>6</v>
      </c>
      <c r="M3607" s="14"/>
      <c r="O3607" s="23"/>
      <c r="P3607" s="23"/>
      <c r="Q3607" s="10"/>
      <c r="R3607" s="10"/>
    </row>
    <row r="3608" spans="1:18">
      <c r="B3608" s="62" t="s">
        <v>1890</v>
      </c>
      <c r="C3608" s="62" t="s">
        <v>494</v>
      </c>
      <c r="F3608" s="14"/>
      <c r="G3608" s="14"/>
      <c r="H3608" s="14"/>
      <c r="I3608" s="11"/>
      <c r="J3608" s="14"/>
      <c r="K3608" s="16">
        <v>2</v>
      </c>
      <c r="L3608" s="15">
        <v>6</v>
      </c>
      <c r="M3608" s="14"/>
      <c r="N3608" s="14"/>
      <c r="O3608" s="14"/>
      <c r="P3608" s="14"/>
    </row>
    <row r="3609" spans="1:18">
      <c r="B3609" s="66" t="s">
        <v>1888</v>
      </c>
      <c r="C3609" s="62" t="s">
        <v>494</v>
      </c>
      <c r="F3609" s="14"/>
      <c r="G3609" s="14"/>
      <c r="H3609" s="14"/>
      <c r="I3609" s="11"/>
      <c r="J3609" s="14"/>
      <c r="K3609" s="16">
        <v>3</v>
      </c>
      <c r="L3609" s="15">
        <v>3</v>
      </c>
      <c r="M3609" s="14">
        <v>3</v>
      </c>
      <c r="N3609" s="64" t="s">
        <v>506</v>
      </c>
      <c r="O3609" s="64" t="s">
        <v>514</v>
      </c>
      <c r="P3609" s="1" t="s">
        <v>515</v>
      </c>
      <c r="Q3609" s="14"/>
      <c r="R3609" s="14"/>
    </row>
    <row r="3610" spans="1:18">
      <c r="B3610" s="66" t="s">
        <v>1891</v>
      </c>
      <c r="C3610" s="62" t="s">
        <v>494</v>
      </c>
      <c r="F3610" s="14"/>
      <c r="G3610" s="14"/>
      <c r="H3610" s="14"/>
      <c r="I3610" s="11"/>
      <c r="J3610" s="14"/>
      <c r="K3610" s="16">
        <v>4</v>
      </c>
      <c r="L3610" s="15">
        <v>3</v>
      </c>
      <c r="M3610" s="14">
        <v>3</v>
      </c>
      <c r="N3610" s="62" t="s">
        <v>269</v>
      </c>
      <c r="O3610" s="23" t="s">
        <v>270</v>
      </c>
      <c r="P3610" s="23" t="s">
        <v>271</v>
      </c>
      <c r="Q3610" s="14"/>
      <c r="R3610" s="14"/>
    </row>
    <row r="3611" spans="1:18">
      <c r="B3611" s="66" t="s">
        <v>1892</v>
      </c>
      <c r="C3611" s="62" t="s">
        <v>494</v>
      </c>
      <c r="F3611" s="14"/>
      <c r="G3611" s="14"/>
      <c r="H3611" s="14"/>
      <c r="I3611" s="11"/>
      <c r="J3611" s="14"/>
      <c r="K3611" s="16">
        <v>5</v>
      </c>
      <c r="L3611" s="15">
        <v>3</v>
      </c>
      <c r="M3611" s="14">
        <v>31</v>
      </c>
      <c r="N3611" s="62" t="s">
        <v>269</v>
      </c>
      <c r="O3611" s="23" t="s">
        <v>270</v>
      </c>
      <c r="P3611" s="23" t="s">
        <v>271</v>
      </c>
      <c r="Q3611" s="47" t="s">
        <v>270</v>
      </c>
      <c r="R3611" s="14">
        <v>4</v>
      </c>
    </row>
    <row r="3612" spans="1:18">
      <c r="B3612" s="66" t="s">
        <v>1893</v>
      </c>
      <c r="C3612" s="62" t="s">
        <v>520</v>
      </c>
      <c r="F3612" s="14"/>
      <c r="G3612" s="14"/>
      <c r="H3612" s="14"/>
      <c r="I3612" s="11"/>
      <c r="J3612" s="14"/>
      <c r="K3612" s="16">
        <v>6</v>
      </c>
      <c r="L3612" s="15"/>
      <c r="M3612" s="14"/>
      <c r="N3612" s="44"/>
      <c r="O3612" s="49"/>
      <c r="P3612" s="14"/>
      <c r="Q3612" s="14"/>
      <c r="R3612" s="14"/>
    </row>
    <row r="3613" spans="1:18">
      <c r="B3613" s="66" t="s">
        <v>1894</v>
      </c>
      <c r="C3613" s="62" t="s">
        <v>494</v>
      </c>
      <c r="F3613" s="14"/>
      <c r="G3613" s="14"/>
      <c r="H3613" s="14"/>
      <c r="I3613" s="11"/>
      <c r="J3613" s="14"/>
      <c r="K3613" s="16">
        <v>7</v>
      </c>
      <c r="L3613" s="15">
        <v>8</v>
      </c>
      <c r="M3613" s="14">
        <v>1</v>
      </c>
      <c r="N3613" s="44"/>
      <c r="O3613" s="49"/>
      <c r="P3613" s="14"/>
      <c r="Q3613" s="14"/>
      <c r="R3613" s="14"/>
    </row>
    <row r="3614" spans="1:18">
      <c r="B3614" s="66" t="s">
        <v>1895</v>
      </c>
      <c r="C3614" s="62" t="s">
        <v>493</v>
      </c>
      <c r="D3614" s="1">
        <v>1</v>
      </c>
      <c r="F3614" s="14"/>
      <c r="G3614" s="14"/>
      <c r="H3614" s="14"/>
      <c r="I3614" s="11"/>
      <c r="J3614" s="14"/>
      <c r="K3614" s="16">
        <v>8</v>
      </c>
      <c r="L3614" s="15">
        <v>30</v>
      </c>
      <c r="M3614" s="14"/>
      <c r="N3614" s="44"/>
      <c r="O3614" s="49"/>
      <c r="P3614" s="14"/>
      <c r="Q3614" s="14"/>
      <c r="R3614" s="14"/>
    </row>
    <row r="3615" spans="1:18">
      <c r="B3615" s="66" t="s">
        <v>1896</v>
      </c>
      <c r="C3615" s="62" t="s">
        <v>493</v>
      </c>
      <c r="D3615" s="1">
        <v>10</v>
      </c>
      <c r="F3615" s="14"/>
      <c r="G3615" s="14"/>
      <c r="H3615" s="14"/>
      <c r="I3615" s="11"/>
      <c r="J3615" s="14"/>
      <c r="K3615" s="16">
        <v>9</v>
      </c>
      <c r="L3615" s="15">
        <v>7</v>
      </c>
      <c r="M3615" s="14">
        <v>1</v>
      </c>
      <c r="N3615" s="44"/>
      <c r="O3615" s="49"/>
      <c r="P3615" s="14"/>
      <c r="Q3615" s="14"/>
      <c r="R3615" s="14"/>
    </row>
    <row r="3616" spans="1:18">
      <c r="B3616" s="66"/>
      <c r="C3616" s="44"/>
      <c r="F3616" s="14"/>
      <c r="G3616" s="14"/>
      <c r="H3616" s="14"/>
      <c r="I3616" s="11"/>
      <c r="J3616" s="14"/>
      <c r="K3616" s="16"/>
      <c r="L3616" s="15"/>
      <c r="M3616" s="14"/>
      <c r="N3616" s="44"/>
      <c r="O3616" s="49"/>
      <c r="P3616" s="14"/>
      <c r="Q3616" s="14"/>
      <c r="R3616" s="14"/>
    </row>
    <row r="3617" spans="1:18">
      <c r="A3617" s="62" t="s">
        <v>1897</v>
      </c>
      <c r="B3617" s="66" t="s">
        <v>1898</v>
      </c>
      <c r="C3617" s="62" t="s">
        <v>494</v>
      </c>
      <c r="E3617" s="62" t="s">
        <v>476</v>
      </c>
      <c r="F3617" s="14">
        <v>17</v>
      </c>
      <c r="G3617" s="14">
        <v>1736</v>
      </c>
      <c r="H3617" s="47" t="s">
        <v>1902</v>
      </c>
      <c r="I3617" s="48" t="s">
        <v>1904</v>
      </c>
      <c r="J3617" s="14">
        <v>1703</v>
      </c>
      <c r="K3617" s="16">
        <v>1</v>
      </c>
      <c r="L3617" s="15">
        <v>52</v>
      </c>
      <c r="M3617" s="14"/>
      <c r="N3617" s="44">
        <v>1735</v>
      </c>
      <c r="O3617" s="66" t="s">
        <v>1890</v>
      </c>
      <c r="P3617" s="14"/>
      <c r="Q3617" s="14"/>
      <c r="R3617" s="14"/>
    </row>
    <row r="3618" spans="1:18">
      <c r="B3618" s="66" t="s">
        <v>1900</v>
      </c>
      <c r="C3618" s="62" t="s">
        <v>494</v>
      </c>
      <c r="E3618" s="62" t="s">
        <v>476</v>
      </c>
      <c r="F3618" s="14"/>
      <c r="G3618" s="14"/>
      <c r="H3618" s="14"/>
      <c r="I3618" s="11"/>
      <c r="J3618" s="14"/>
      <c r="K3618" s="16">
        <v>2</v>
      </c>
      <c r="L3618" s="15">
        <v>3</v>
      </c>
      <c r="M3618" s="14"/>
      <c r="N3618" s="1" t="s">
        <v>1038</v>
      </c>
      <c r="O3618" s="23" t="s">
        <v>1040</v>
      </c>
      <c r="P3618" s="23" t="s">
        <v>1041</v>
      </c>
      <c r="Q3618" s="14"/>
      <c r="R3618" s="14"/>
    </row>
    <row r="3619" spans="1:18">
      <c r="B3619" s="66" t="s">
        <v>1899</v>
      </c>
      <c r="C3619" s="62" t="s">
        <v>494</v>
      </c>
      <c r="F3619" s="14"/>
      <c r="G3619" s="14"/>
      <c r="H3619" s="14"/>
      <c r="I3619" s="11"/>
      <c r="J3619" s="14"/>
      <c r="K3619" s="16">
        <v>3</v>
      </c>
      <c r="L3619" s="15">
        <v>6</v>
      </c>
      <c r="M3619" s="14"/>
      <c r="O3619" s="23"/>
      <c r="P3619" s="23"/>
      <c r="Q3619" s="14"/>
      <c r="R3619" s="14"/>
    </row>
    <row r="3620" spans="1:18">
      <c r="B3620" s="66"/>
      <c r="C3620" s="44"/>
      <c r="F3620" s="14"/>
      <c r="G3620" s="14"/>
      <c r="H3620" s="14"/>
      <c r="I3620" s="11"/>
      <c r="J3620" s="14"/>
      <c r="K3620" s="16"/>
      <c r="L3620" s="15"/>
      <c r="M3620" s="14"/>
      <c r="N3620" s="44"/>
      <c r="O3620" s="49"/>
      <c r="P3620" s="14"/>
      <c r="Q3620" s="14"/>
      <c r="R3620" s="14"/>
    </row>
    <row r="3621" spans="1:18">
      <c r="A3621" s="62" t="s">
        <v>2005</v>
      </c>
      <c r="B3621" s="49"/>
      <c r="F3621" s="14"/>
      <c r="G3621" s="14">
        <v>1737</v>
      </c>
      <c r="H3621" s="47" t="s">
        <v>2006</v>
      </c>
      <c r="I3621" s="48" t="s">
        <v>2007</v>
      </c>
      <c r="J3621" s="14"/>
      <c r="K3621" s="16"/>
      <c r="L3621" s="15"/>
      <c r="M3621" s="14"/>
      <c r="P3621" s="14"/>
      <c r="Q3621" s="14"/>
      <c r="R3621" s="14"/>
    </row>
    <row r="3622" spans="1:18">
      <c r="A3622" s="10"/>
      <c r="B3622" s="45"/>
      <c r="C3622" s="45"/>
      <c r="D3622" s="10"/>
      <c r="E3622" s="10"/>
      <c r="F3622" s="10"/>
      <c r="G3622" s="10"/>
      <c r="H3622" s="10"/>
      <c r="I3622" s="10"/>
      <c r="J3622" s="10"/>
      <c r="K3622" s="16"/>
      <c r="L3622" s="31"/>
      <c r="M3622" s="10"/>
      <c r="O3622" s="23"/>
      <c r="P3622" s="23"/>
      <c r="Q3622" s="10"/>
      <c r="R3622" s="10"/>
    </row>
    <row r="3623" spans="1:18" s="62" customFormat="1">
      <c r="A3623" s="62" t="s">
        <v>1834</v>
      </c>
      <c r="B3623" s="66" t="s">
        <v>1836</v>
      </c>
      <c r="C3623" s="62" t="s">
        <v>494</v>
      </c>
      <c r="E3623" s="62" t="s">
        <v>476</v>
      </c>
      <c r="F3623" s="47">
        <v>15</v>
      </c>
      <c r="G3623" s="47">
        <v>1561</v>
      </c>
      <c r="H3623" s="47" t="s">
        <v>1823</v>
      </c>
      <c r="I3623" s="48" t="s">
        <v>1824</v>
      </c>
      <c r="J3623" s="47">
        <v>2</v>
      </c>
      <c r="K3623" s="57">
        <v>1</v>
      </c>
      <c r="L3623" s="57">
        <v>51</v>
      </c>
      <c r="M3623" s="47"/>
      <c r="N3623" s="47"/>
      <c r="O3623" s="47"/>
      <c r="P3623" s="47"/>
    </row>
    <row r="3624" spans="1:18" s="62" customFormat="1">
      <c r="B3624" s="66" t="s">
        <v>1837</v>
      </c>
      <c r="C3624" s="62" t="s">
        <v>494</v>
      </c>
      <c r="E3624" s="62" t="s">
        <v>476</v>
      </c>
      <c r="F3624" s="47"/>
      <c r="G3624" s="47"/>
      <c r="H3624" s="47"/>
      <c r="I3624" s="48"/>
      <c r="J3624" s="47"/>
      <c r="K3624" s="57">
        <v>2</v>
      </c>
      <c r="L3624" s="57">
        <v>6</v>
      </c>
      <c r="M3624" s="47"/>
      <c r="N3624" s="47"/>
      <c r="O3624" s="47"/>
      <c r="P3624" s="47"/>
    </row>
    <row r="3625" spans="1:18" s="62" customFormat="1">
      <c r="B3625" s="66" t="s">
        <v>1835</v>
      </c>
      <c r="C3625" s="62" t="s">
        <v>494</v>
      </c>
      <c r="F3625" s="47"/>
      <c r="G3625" s="47"/>
      <c r="H3625" s="47"/>
      <c r="I3625" s="48"/>
      <c r="J3625" s="47"/>
      <c r="K3625" s="57">
        <v>3</v>
      </c>
      <c r="L3625" s="57">
        <v>6</v>
      </c>
      <c r="M3625" s="47"/>
      <c r="N3625" s="47"/>
      <c r="O3625" s="47"/>
      <c r="P3625" s="47"/>
    </row>
    <row r="3626" spans="1:18" s="62" customFormat="1">
      <c r="B3626" s="66" t="s">
        <v>1830</v>
      </c>
      <c r="C3626" s="62" t="s">
        <v>493</v>
      </c>
      <c r="D3626" s="62">
        <v>1</v>
      </c>
      <c r="F3626" s="47"/>
      <c r="G3626" s="47"/>
      <c r="H3626" s="47"/>
      <c r="I3626" s="48"/>
      <c r="J3626" s="47"/>
      <c r="K3626" s="57">
        <v>4</v>
      </c>
      <c r="L3626" s="57">
        <v>3</v>
      </c>
      <c r="M3626" s="47"/>
      <c r="N3626" s="47"/>
      <c r="O3626" s="47"/>
      <c r="P3626" s="47"/>
    </row>
    <row r="3627" spans="1:18" s="62" customFormat="1">
      <c r="B3627" s="66" t="s">
        <v>1831</v>
      </c>
      <c r="C3627" s="62" t="s">
        <v>493</v>
      </c>
      <c r="D3627" s="62">
        <v>250</v>
      </c>
      <c r="F3627" s="47"/>
      <c r="G3627" s="47"/>
      <c r="H3627" s="47"/>
      <c r="I3627" s="48"/>
      <c r="J3627" s="47"/>
      <c r="K3627" s="57">
        <v>5</v>
      </c>
      <c r="L3627" s="57"/>
      <c r="M3627" s="47"/>
      <c r="N3627" s="47"/>
      <c r="O3627" s="47"/>
      <c r="P3627" s="47"/>
    </row>
    <row r="3628" spans="1:18" s="62" customFormat="1">
      <c r="A3628" s="64"/>
      <c r="B3628" s="66" t="s">
        <v>1832</v>
      </c>
      <c r="C3628" s="62" t="s">
        <v>494</v>
      </c>
      <c r="D3628" s="64"/>
      <c r="E3628" s="64"/>
      <c r="F3628" s="64"/>
      <c r="G3628" s="64"/>
      <c r="H3628" s="64"/>
      <c r="I3628" s="64"/>
      <c r="J3628" s="64"/>
      <c r="K3628" s="57">
        <v>6</v>
      </c>
      <c r="L3628" s="55">
        <v>8</v>
      </c>
      <c r="M3628" s="47"/>
      <c r="O3628" s="23"/>
      <c r="P3628" s="23"/>
      <c r="Q3628" s="64"/>
      <c r="R3628" s="64"/>
    </row>
    <row r="3629" spans="1:18" s="62" customFormat="1">
      <c r="A3629" s="64"/>
      <c r="B3629" s="66" t="s">
        <v>1833</v>
      </c>
      <c r="C3629" s="62" t="s">
        <v>520</v>
      </c>
      <c r="D3629" s="64"/>
      <c r="E3629" s="64"/>
      <c r="F3629" s="64"/>
      <c r="G3629" s="64"/>
      <c r="H3629" s="64"/>
      <c r="I3629" s="64"/>
      <c r="J3629" s="64"/>
      <c r="K3629" s="57">
        <v>7</v>
      </c>
      <c r="L3629" s="55"/>
      <c r="M3629" s="47"/>
      <c r="O3629" s="23"/>
      <c r="P3629" s="23"/>
      <c r="Q3629" s="64"/>
      <c r="R3629" s="64"/>
    </row>
    <row r="3630" spans="1:18" s="62" customFormat="1">
      <c r="A3630" s="64"/>
      <c r="B3630" s="66"/>
      <c r="D3630" s="64"/>
      <c r="E3630" s="64"/>
      <c r="F3630" s="64"/>
      <c r="G3630" s="64"/>
      <c r="H3630" s="64"/>
      <c r="I3630" s="64"/>
      <c r="J3630" s="64"/>
      <c r="K3630" s="57"/>
      <c r="L3630" s="55"/>
      <c r="M3630" s="47"/>
      <c r="O3630" s="23"/>
      <c r="P3630" s="23"/>
      <c r="Q3630" s="64"/>
      <c r="R3630" s="64"/>
    </row>
    <row r="3631" spans="1:18" s="62" customFormat="1">
      <c r="A3631" s="64" t="s">
        <v>1838</v>
      </c>
      <c r="B3631" s="66" t="s">
        <v>1839</v>
      </c>
      <c r="C3631" s="62" t="s">
        <v>494</v>
      </c>
      <c r="D3631" s="64"/>
      <c r="E3631" s="64" t="s">
        <v>476</v>
      </c>
      <c r="F3631" s="64">
        <v>15</v>
      </c>
      <c r="G3631" s="64">
        <v>1562</v>
      </c>
      <c r="H3631" s="64" t="s">
        <v>1825</v>
      </c>
      <c r="I3631" s="64" t="s">
        <v>1826</v>
      </c>
      <c r="J3631" s="64">
        <v>1501</v>
      </c>
      <c r="K3631" s="57">
        <v>1</v>
      </c>
      <c r="L3631" s="55">
        <v>51</v>
      </c>
      <c r="M3631" s="47"/>
      <c r="O3631" s="66"/>
      <c r="P3631" s="23"/>
      <c r="Q3631" s="64"/>
      <c r="R3631" s="64"/>
    </row>
    <row r="3632" spans="1:18" s="62" customFormat="1">
      <c r="A3632" s="64"/>
      <c r="B3632" s="66" t="s">
        <v>1840</v>
      </c>
      <c r="C3632" s="62" t="s">
        <v>494</v>
      </c>
      <c r="D3632" s="64"/>
      <c r="E3632" s="64" t="s">
        <v>476</v>
      </c>
      <c r="F3632" s="64"/>
      <c r="G3632" s="64"/>
      <c r="H3632" s="64"/>
      <c r="I3632" s="64"/>
      <c r="J3632" s="64"/>
      <c r="K3632" s="57">
        <v>2</v>
      </c>
      <c r="L3632" s="55">
        <v>6</v>
      </c>
      <c r="M3632" s="47"/>
      <c r="O3632" s="23"/>
      <c r="P3632" s="23"/>
      <c r="Q3632" s="64"/>
      <c r="R3632" s="64"/>
    </row>
    <row r="3633" spans="1:18" s="62" customFormat="1">
      <c r="A3633" s="64"/>
      <c r="B3633" s="66" t="s">
        <v>1841</v>
      </c>
      <c r="C3633" s="62" t="s">
        <v>494</v>
      </c>
      <c r="D3633" s="64"/>
      <c r="E3633" s="64"/>
      <c r="F3633" s="64"/>
      <c r="G3633" s="64"/>
      <c r="H3633" s="64"/>
      <c r="I3633" s="64"/>
      <c r="J3633" s="64"/>
      <c r="K3633" s="57">
        <v>3</v>
      </c>
      <c r="L3633" s="55">
        <v>6</v>
      </c>
      <c r="M3633" s="47"/>
      <c r="O3633" s="23"/>
      <c r="P3633" s="23"/>
      <c r="Q3633" s="64"/>
      <c r="R3633" s="64"/>
    </row>
    <row r="3634" spans="1:18" s="62" customFormat="1">
      <c r="A3634" s="64"/>
      <c r="B3634" s="66" t="s">
        <v>1842</v>
      </c>
      <c r="C3634" s="62" t="s">
        <v>493</v>
      </c>
      <c r="D3634" s="64">
        <v>10</v>
      </c>
      <c r="E3634" s="64"/>
      <c r="F3634" s="64"/>
      <c r="G3634" s="64"/>
      <c r="H3634" s="64"/>
      <c r="I3634" s="64"/>
      <c r="J3634" s="64"/>
      <c r="K3634" s="57">
        <v>4</v>
      </c>
      <c r="L3634" s="55">
        <v>7</v>
      </c>
      <c r="M3634" s="47">
        <v>3</v>
      </c>
      <c r="O3634" s="23"/>
      <c r="P3634" s="23"/>
      <c r="Q3634" s="64"/>
      <c r="R3634" s="64"/>
    </row>
    <row r="3635" spans="1:18" s="62" customFormat="1">
      <c r="A3635" s="64"/>
      <c r="B3635" s="66" t="s">
        <v>1843</v>
      </c>
      <c r="C3635" s="62" t="s">
        <v>494</v>
      </c>
      <c r="D3635" s="64"/>
      <c r="E3635" s="64"/>
      <c r="F3635" s="64"/>
      <c r="G3635" s="64"/>
      <c r="H3635" s="64"/>
      <c r="I3635" s="64"/>
      <c r="J3635" s="64"/>
      <c r="K3635" s="57">
        <v>5</v>
      </c>
      <c r="L3635" s="55"/>
      <c r="M3635" s="47">
        <v>73</v>
      </c>
      <c r="O3635" s="23"/>
      <c r="P3635" s="23"/>
      <c r="Q3635" s="64"/>
      <c r="R3635" s="64"/>
    </row>
    <row r="3636" spans="1:18" s="62" customFormat="1">
      <c r="A3636" s="64"/>
      <c r="B3636" s="66" t="s">
        <v>1844</v>
      </c>
      <c r="C3636" s="62" t="s">
        <v>494</v>
      </c>
      <c r="D3636" s="64"/>
      <c r="E3636" s="64"/>
      <c r="F3636" s="64"/>
      <c r="G3636" s="64"/>
      <c r="H3636" s="64"/>
      <c r="I3636" s="64"/>
      <c r="J3636" s="64"/>
      <c r="K3636" s="57">
        <v>6</v>
      </c>
      <c r="L3636" s="55"/>
      <c r="M3636" s="47">
        <v>74</v>
      </c>
      <c r="O3636" s="23"/>
      <c r="P3636" s="23"/>
      <c r="Q3636" s="64"/>
      <c r="R3636" s="64"/>
    </row>
    <row r="3637" spans="1:18" s="62" customFormat="1">
      <c r="A3637" s="64"/>
      <c r="B3637" s="67" t="s">
        <v>1845</v>
      </c>
      <c r="C3637" s="70" t="s">
        <v>493</v>
      </c>
      <c r="D3637" s="64">
        <v>1</v>
      </c>
      <c r="E3637" s="64"/>
      <c r="F3637" s="64"/>
      <c r="G3637" s="64">
        <v>1560</v>
      </c>
      <c r="H3637" s="64" t="s">
        <v>1825</v>
      </c>
      <c r="I3637" s="64" t="s">
        <v>1827</v>
      </c>
      <c r="J3637" s="64"/>
      <c r="K3637" s="57">
        <v>7</v>
      </c>
      <c r="L3637" s="55">
        <v>30</v>
      </c>
      <c r="M3637" s="47"/>
      <c r="O3637" s="23"/>
      <c r="P3637" s="23"/>
      <c r="Q3637" s="64"/>
      <c r="R3637" s="64"/>
    </row>
    <row r="3638" spans="1:18" s="62" customFormat="1" ht="12.75" customHeight="1">
      <c r="A3638" s="64"/>
      <c r="B3638" s="66" t="s">
        <v>1846</v>
      </c>
      <c r="C3638" s="62" t="s">
        <v>494</v>
      </c>
      <c r="D3638" s="64"/>
      <c r="E3638" s="64"/>
      <c r="F3638" s="64"/>
      <c r="G3638" s="64"/>
      <c r="H3638" s="64"/>
      <c r="I3638" s="64"/>
      <c r="J3638" s="64"/>
      <c r="K3638" s="57">
        <v>8</v>
      </c>
      <c r="L3638" s="55">
        <v>3</v>
      </c>
      <c r="M3638" s="47">
        <v>3</v>
      </c>
      <c r="N3638" s="62" t="s">
        <v>1834</v>
      </c>
      <c r="O3638" s="66" t="s">
        <v>1835</v>
      </c>
      <c r="P3638" s="66" t="s">
        <v>1831</v>
      </c>
      <c r="Q3638" s="66" t="s">
        <v>1836</v>
      </c>
      <c r="R3638" s="64"/>
    </row>
    <row r="3639" spans="1:18" s="62" customFormat="1">
      <c r="A3639" s="64"/>
      <c r="B3639" s="66" t="s">
        <v>1847</v>
      </c>
      <c r="C3639" s="62" t="s">
        <v>494</v>
      </c>
      <c r="D3639" s="64"/>
      <c r="E3639" s="64"/>
      <c r="F3639" s="64"/>
      <c r="G3639" s="64"/>
      <c r="H3639" s="64"/>
      <c r="I3639" s="64"/>
      <c r="J3639" s="64"/>
      <c r="K3639" s="57">
        <v>9</v>
      </c>
      <c r="L3639" s="55">
        <v>8</v>
      </c>
      <c r="M3639" s="47"/>
      <c r="O3639" s="23"/>
      <c r="P3639" s="23"/>
      <c r="Q3639" s="64"/>
      <c r="R3639" s="64"/>
    </row>
    <row r="3640" spans="1:18" s="62" customFormat="1">
      <c r="A3640" s="64"/>
      <c r="B3640" s="66" t="s">
        <v>1848</v>
      </c>
      <c r="C3640" s="62" t="s">
        <v>520</v>
      </c>
      <c r="D3640" s="64"/>
      <c r="E3640" s="64"/>
      <c r="F3640" s="64"/>
      <c r="G3640" s="64"/>
      <c r="H3640" s="64"/>
      <c r="I3640" s="64"/>
      <c r="J3640" s="64"/>
      <c r="K3640" s="57">
        <v>10</v>
      </c>
      <c r="L3640" s="55"/>
      <c r="M3640" s="47">
        <v>3</v>
      </c>
      <c r="O3640" s="23"/>
      <c r="P3640" s="23"/>
      <c r="Q3640" s="64"/>
      <c r="R3640" s="64"/>
    </row>
    <row r="3641" spans="1:18" s="62" customFormat="1">
      <c r="A3641" s="64"/>
      <c r="B3641" s="66" t="s">
        <v>1849</v>
      </c>
      <c r="C3641" s="62" t="s">
        <v>494</v>
      </c>
      <c r="D3641" s="64"/>
      <c r="E3641" s="64"/>
      <c r="F3641" s="64"/>
      <c r="G3641" s="64"/>
      <c r="H3641" s="64"/>
      <c r="I3641" s="64"/>
      <c r="J3641" s="64"/>
      <c r="K3641" s="57">
        <v>11</v>
      </c>
      <c r="L3641" s="55"/>
      <c r="M3641" s="47"/>
      <c r="O3641" s="23"/>
      <c r="P3641" s="23"/>
      <c r="Q3641" s="64"/>
      <c r="R3641" s="64"/>
    </row>
    <row r="3642" spans="1:18" s="62" customFormat="1">
      <c r="A3642" s="64"/>
      <c r="B3642" s="66" t="s">
        <v>1850</v>
      </c>
      <c r="C3642" s="62" t="s">
        <v>493</v>
      </c>
      <c r="D3642" s="64">
        <v>1</v>
      </c>
      <c r="E3642" s="64"/>
      <c r="F3642" s="64"/>
      <c r="G3642" s="64"/>
      <c r="H3642" s="64"/>
      <c r="I3642" s="64"/>
      <c r="J3642" s="64"/>
      <c r="K3642" s="57">
        <v>12</v>
      </c>
      <c r="L3642" s="55">
        <v>3</v>
      </c>
      <c r="M3642" s="47"/>
      <c r="O3642" s="23"/>
      <c r="P3642" s="23"/>
      <c r="Q3642" s="64"/>
      <c r="R3642" s="64"/>
    </row>
    <row r="3643" spans="1:18" s="62" customFormat="1">
      <c r="A3643" s="64"/>
      <c r="B3643" s="66" t="s">
        <v>1851</v>
      </c>
      <c r="C3643" s="62" t="s">
        <v>493</v>
      </c>
      <c r="D3643" s="64">
        <v>1</v>
      </c>
      <c r="E3643" s="64"/>
      <c r="F3643" s="64"/>
      <c r="G3643" s="64"/>
      <c r="H3643" s="64"/>
      <c r="I3643" s="64"/>
      <c r="J3643" s="64"/>
      <c r="K3643" s="57">
        <v>13</v>
      </c>
      <c r="L3643" s="55">
        <v>3</v>
      </c>
      <c r="M3643" s="47"/>
      <c r="O3643" s="23"/>
      <c r="P3643" s="23"/>
      <c r="Q3643" s="64"/>
      <c r="R3643" s="64"/>
    </row>
    <row r="3644" spans="1:18" s="62" customFormat="1">
      <c r="A3644" s="64"/>
      <c r="B3644" s="67" t="s">
        <v>1852</v>
      </c>
      <c r="C3644" s="62" t="s">
        <v>494</v>
      </c>
      <c r="D3644" s="64"/>
      <c r="E3644" s="64"/>
      <c r="F3644" s="64"/>
      <c r="G3644" s="64"/>
      <c r="H3644" s="64"/>
      <c r="I3644" s="64"/>
      <c r="J3644" s="64"/>
      <c r="K3644" s="57">
        <v>14</v>
      </c>
      <c r="L3644" s="55">
        <v>8</v>
      </c>
      <c r="M3644" s="47"/>
      <c r="O3644" s="23"/>
      <c r="P3644" s="23"/>
      <c r="Q3644" s="64"/>
      <c r="R3644" s="64"/>
    </row>
    <row r="3645" spans="1:18" s="62" customFormat="1">
      <c r="A3645" s="64"/>
      <c r="B3645" s="67" t="s">
        <v>1853</v>
      </c>
      <c r="C3645" s="62" t="s">
        <v>493</v>
      </c>
      <c r="D3645" s="64">
        <v>10</v>
      </c>
      <c r="E3645" s="64"/>
      <c r="F3645" s="64"/>
      <c r="G3645" s="64"/>
      <c r="H3645" s="64"/>
      <c r="I3645" s="64"/>
      <c r="J3645" s="64"/>
      <c r="K3645" s="57">
        <v>15</v>
      </c>
      <c r="L3645" s="55">
        <v>7</v>
      </c>
      <c r="M3645" s="47"/>
      <c r="O3645" s="23"/>
      <c r="P3645" s="23"/>
      <c r="Q3645" s="64"/>
      <c r="R3645" s="64"/>
    </row>
    <row r="3646" spans="1:18" s="62" customFormat="1">
      <c r="A3646" s="64"/>
      <c r="B3646" s="67" t="s">
        <v>1854</v>
      </c>
      <c r="C3646" s="62" t="s">
        <v>494</v>
      </c>
      <c r="D3646" s="64"/>
      <c r="E3646" s="64"/>
      <c r="F3646" s="64"/>
      <c r="G3646" s="64"/>
      <c r="H3646" s="64"/>
      <c r="I3646" s="64"/>
      <c r="J3646" s="64"/>
      <c r="K3646" s="57">
        <v>16</v>
      </c>
      <c r="L3646" s="55"/>
      <c r="M3646" s="47">
        <v>73</v>
      </c>
      <c r="O3646" s="23"/>
      <c r="P3646" s="23"/>
      <c r="Q3646" s="64"/>
      <c r="R3646" s="64"/>
    </row>
    <row r="3647" spans="1:18" s="62" customFormat="1">
      <c r="A3647" s="64"/>
      <c r="B3647" s="67" t="s">
        <v>1855</v>
      </c>
      <c r="C3647" s="62" t="s">
        <v>494</v>
      </c>
      <c r="D3647" s="64"/>
      <c r="E3647" s="64"/>
      <c r="F3647" s="64"/>
      <c r="G3647" s="64"/>
      <c r="H3647" s="64"/>
      <c r="I3647" s="64"/>
      <c r="J3647" s="64"/>
      <c r="K3647" s="57">
        <v>17</v>
      </c>
      <c r="L3647" s="55"/>
      <c r="M3647" s="47">
        <v>74</v>
      </c>
      <c r="O3647" s="23"/>
      <c r="P3647" s="23"/>
      <c r="Q3647" s="64"/>
      <c r="R3647" s="64"/>
    </row>
    <row r="3648" spans="1:18" s="62" customFormat="1">
      <c r="A3648" s="64"/>
      <c r="B3648" s="66"/>
      <c r="D3648" s="64"/>
      <c r="E3648" s="64"/>
      <c r="F3648" s="64"/>
      <c r="G3648" s="64"/>
      <c r="H3648" s="64"/>
      <c r="I3648" s="64"/>
      <c r="J3648" s="64"/>
      <c r="K3648" s="57"/>
      <c r="L3648" s="55"/>
      <c r="M3648" s="47"/>
      <c r="O3648" s="23"/>
      <c r="P3648" s="23"/>
      <c r="Q3648" s="64"/>
      <c r="R3648" s="64"/>
    </row>
    <row r="3649" spans="1:18" s="62" customFormat="1">
      <c r="A3649" s="64" t="s">
        <v>1863</v>
      </c>
      <c r="B3649" s="66" t="s">
        <v>1864</v>
      </c>
      <c r="C3649" s="62" t="s">
        <v>494</v>
      </c>
      <c r="D3649" s="64"/>
      <c r="E3649" s="64" t="s">
        <v>476</v>
      </c>
      <c r="F3649" s="64">
        <v>15</v>
      </c>
      <c r="G3649" s="64">
        <v>1563</v>
      </c>
      <c r="H3649" s="64" t="s">
        <v>1828</v>
      </c>
      <c r="I3649" s="64" t="s">
        <v>1829</v>
      </c>
      <c r="J3649" s="64">
        <v>1501</v>
      </c>
      <c r="K3649" s="57">
        <v>1</v>
      </c>
      <c r="L3649" s="55">
        <v>51</v>
      </c>
      <c r="M3649" s="47"/>
      <c r="O3649" s="23"/>
      <c r="P3649" s="23"/>
      <c r="Q3649" s="64"/>
      <c r="R3649" s="64"/>
    </row>
    <row r="3650" spans="1:18" s="62" customFormat="1">
      <c r="A3650" s="64"/>
      <c r="B3650" s="66" t="s">
        <v>1865</v>
      </c>
      <c r="C3650" s="62" t="s">
        <v>494</v>
      </c>
      <c r="D3650" s="64"/>
      <c r="E3650" s="64" t="s">
        <v>476</v>
      </c>
      <c r="F3650" s="64"/>
      <c r="G3650" s="64"/>
      <c r="H3650" s="64"/>
      <c r="I3650" s="64"/>
      <c r="J3650" s="64"/>
      <c r="K3650" s="57">
        <v>2</v>
      </c>
      <c r="L3650" s="55">
        <v>52</v>
      </c>
      <c r="M3650" s="47"/>
      <c r="N3650" s="62">
        <v>1562</v>
      </c>
      <c r="O3650" s="60" t="s">
        <v>1841</v>
      </c>
      <c r="P3650" s="23"/>
      <c r="Q3650" s="64"/>
      <c r="R3650" s="64"/>
    </row>
    <row r="3651" spans="1:18" s="62" customFormat="1">
      <c r="A3651" s="64"/>
      <c r="B3651" s="66" t="s">
        <v>1856</v>
      </c>
      <c r="C3651" s="62" t="s">
        <v>494</v>
      </c>
      <c r="D3651" s="64"/>
      <c r="E3651" s="64" t="s">
        <v>476</v>
      </c>
      <c r="F3651" s="64"/>
      <c r="G3651" s="64"/>
      <c r="H3651" s="64"/>
      <c r="I3651" s="64"/>
      <c r="J3651" s="64"/>
      <c r="K3651" s="57">
        <v>3</v>
      </c>
      <c r="L3651" s="55">
        <v>6</v>
      </c>
      <c r="M3651" s="47"/>
      <c r="O3651" s="23"/>
      <c r="P3651" s="23"/>
      <c r="Q3651" s="64"/>
      <c r="R3651" s="64"/>
    </row>
    <row r="3652" spans="1:18" s="62" customFormat="1">
      <c r="A3652" s="64"/>
      <c r="B3652" s="66" t="s">
        <v>1857</v>
      </c>
      <c r="C3652" s="62" t="s">
        <v>494</v>
      </c>
      <c r="D3652" s="64"/>
      <c r="E3652" s="64"/>
      <c r="F3652" s="64"/>
      <c r="G3652" s="64"/>
      <c r="H3652" s="64"/>
      <c r="I3652" s="64"/>
      <c r="J3652" s="64"/>
      <c r="K3652" s="57">
        <v>4</v>
      </c>
      <c r="L3652" s="55">
        <v>6</v>
      </c>
      <c r="M3652" s="47"/>
      <c r="O3652" s="23"/>
      <c r="P3652" s="23"/>
      <c r="Q3652" s="64"/>
      <c r="R3652" s="64"/>
    </row>
    <row r="3653" spans="1:18" s="62" customFormat="1">
      <c r="A3653" s="64"/>
      <c r="B3653" s="66" t="s">
        <v>1858</v>
      </c>
      <c r="C3653" s="62" t="s">
        <v>520</v>
      </c>
      <c r="D3653" s="64"/>
      <c r="E3653" s="64"/>
      <c r="F3653" s="64"/>
      <c r="G3653" s="64"/>
      <c r="H3653" s="64"/>
      <c r="I3653" s="64"/>
      <c r="J3653" s="64"/>
      <c r="K3653" s="57">
        <v>5</v>
      </c>
      <c r="L3653" s="55"/>
      <c r="M3653" s="47"/>
      <c r="O3653" s="23"/>
      <c r="P3653" s="23"/>
      <c r="Q3653" s="64"/>
      <c r="R3653" s="64"/>
    </row>
    <row r="3654" spans="1:18" s="62" customFormat="1">
      <c r="A3654" s="64"/>
      <c r="B3654" s="66" t="s">
        <v>1859</v>
      </c>
      <c r="C3654" s="62" t="s">
        <v>494</v>
      </c>
      <c r="D3654" s="64"/>
      <c r="E3654" s="64"/>
      <c r="F3654" s="64"/>
      <c r="G3654" s="64"/>
      <c r="H3654" s="64"/>
      <c r="I3654" s="64"/>
      <c r="J3654" s="64"/>
      <c r="K3654" s="57">
        <v>6</v>
      </c>
      <c r="L3654" s="55">
        <v>8</v>
      </c>
      <c r="M3654" s="47"/>
      <c r="O3654" s="23"/>
      <c r="P3654" s="23"/>
      <c r="Q3654" s="64"/>
      <c r="R3654" s="64"/>
    </row>
    <row r="3655" spans="1:18" s="62" customFormat="1">
      <c r="A3655" s="64"/>
      <c r="B3655" s="66" t="s">
        <v>1860</v>
      </c>
      <c r="C3655" s="62" t="s">
        <v>493</v>
      </c>
      <c r="D3655" s="64">
        <v>10</v>
      </c>
      <c r="E3655" s="64"/>
      <c r="F3655" s="64"/>
      <c r="G3655" s="64"/>
      <c r="H3655" s="64"/>
      <c r="I3655" s="64"/>
      <c r="J3655" s="64"/>
      <c r="K3655" s="57">
        <v>7</v>
      </c>
      <c r="L3655" s="55">
        <v>7</v>
      </c>
      <c r="M3655" s="47"/>
      <c r="O3655" s="23"/>
      <c r="P3655" s="23"/>
      <c r="Q3655" s="64"/>
      <c r="R3655" s="64"/>
    </row>
    <row r="3656" spans="1:18" s="62" customFormat="1">
      <c r="A3656" s="64"/>
      <c r="B3656" s="66" t="s">
        <v>1861</v>
      </c>
      <c r="C3656" s="62" t="s">
        <v>494</v>
      </c>
      <c r="D3656" s="64"/>
      <c r="E3656" s="64"/>
      <c r="F3656" s="64"/>
      <c r="G3656" s="64"/>
      <c r="H3656" s="64"/>
      <c r="I3656" s="64"/>
      <c r="J3656" s="64"/>
      <c r="K3656" s="57">
        <v>8</v>
      </c>
      <c r="L3656" s="55"/>
      <c r="M3656" s="47">
        <v>73</v>
      </c>
      <c r="O3656" s="23"/>
      <c r="P3656" s="23"/>
      <c r="Q3656" s="64"/>
      <c r="R3656" s="64"/>
    </row>
    <row r="3657" spans="1:18" s="62" customFormat="1">
      <c r="A3657" s="64"/>
      <c r="B3657" s="66" t="s">
        <v>1862</v>
      </c>
      <c r="C3657" s="62" t="s">
        <v>494</v>
      </c>
      <c r="D3657" s="64"/>
      <c r="E3657" s="64"/>
      <c r="F3657" s="64"/>
      <c r="G3657" s="64"/>
      <c r="H3657" s="64"/>
      <c r="I3657" s="64"/>
      <c r="J3657" s="64"/>
      <c r="K3657" s="57">
        <v>9</v>
      </c>
      <c r="L3657" s="55"/>
      <c r="M3657" s="47">
        <v>74</v>
      </c>
      <c r="O3657" s="23"/>
      <c r="P3657" s="23"/>
      <c r="Q3657" s="64"/>
      <c r="R3657" s="64"/>
    </row>
    <row r="3658" spans="1:18" s="62" customFormat="1">
      <c r="A3658" s="64"/>
      <c r="B3658" s="66"/>
      <c r="D3658" s="64"/>
      <c r="E3658" s="64"/>
      <c r="F3658" s="64"/>
      <c r="G3658" s="64"/>
      <c r="H3658" s="64"/>
      <c r="I3658" s="64"/>
      <c r="J3658" s="64"/>
      <c r="K3658" s="57"/>
      <c r="L3658" s="55"/>
      <c r="M3658" s="47"/>
      <c r="O3658" s="23"/>
      <c r="P3658" s="23"/>
      <c r="Q3658" s="64"/>
      <c r="R3658" s="64"/>
    </row>
    <row r="3659" spans="1:18" customFormat="1" ht="12.75" customHeight="1">
      <c r="A3659" s="62" t="s">
        <v>1866</v>
      </c>
      <c r="B3659" s="62" t="s">
        <v>1867</v>
      </c>
      <c r="C3659" s="62" t="s">
        <v>493</v>
      </c>
      <c r="D3659">
        <v>1</v>
      </c>
      <c r="E3659" s="62" t="s">
        <v>476</v>
      </c>
      <c r="F3659" s="72">
        <v>15</v>
      </c>
      <c r="G3659" s="72"/>
      <c r="H3659" s="72"/>
      <c r="I3659" s="73"/>
      <c r="J3659" s="72"/>
      <c r="K3659" s="30"/>
      <c r="L3659" s="30"/>
      <c r="M3659" s="74"/>
      <c r="N3659" s="74"/>
      <c r="O3659" s="74"/>
      <c r="P3659" s="74"/>
    </row>
    <row r="3660" spans="1:18" customFormat="1" ht="12.75" customHeight="1">
      <c r="A3660" s="62"/>
      <c r="B3660" s="62" t="s">
        <v>1868</v>
      </c>
      <c r="C3660" s="62" t="s">
        <v>493</v>
      </c>
      <c r="D3660">
        <v>50</v>
      </c>
      <c r="F3660" s="72"/>
      <c r="G3660" s="72"/>
      <c r="H3660" s="72"/>
      <c r="I3660" s="73"/>
      <c r="J3660" s="72"/>
      <c r="K3660" s="30"/>
      <c r="L3660" s="30"/>
      <c r="M3660" s="74"/>
      <c r="N3660" s="74"/>
      <c r="O3660" s="74"/>
      <c r="P3660" s="74"/>
    </row>
    <row r="3661" spans="1:18" customFormat="1" ht="12.75" customHeight="1">
      <c r="A3661" s="62"/>
      <c r="B3661" s="62" t="s">
        <v>1869</v>
      </c>
      <c r="C3661" s="62" t="s">
        <v>494</v>
      </c>
      <c r="F3661" s="72"/>
      <c r="G3661" s="72"/>
      <c r="H3661" s="72"/>
      <c r="I3661" s="73"/>
      <c r="J3661" s="72"/>
      <c r="K3661" s="30"/>
      <c r="L3661" s="30"/>
      <c r="M3661" s="74"/>
      <c r="N3661" s="74"/>
      <c r="O3661" s="74"/>
      <c r="P3661" s="74"/>
    </row>
    <row r="3662" spans="1:18" customFormat="1" ht="12.75" customHeight="1">
      <c r="A3662" s="62"/>
      <c r="B3662" s="62" t="s">
        <v>1870</v>
      </c>
      <c r="C3662" s="62" t="s">
        <v>493</v>
      </c>
      <c r="D3662">
        <v>6</v>
      </c>
      <c r="F3662" s="72"/>
      <c r="G3662" s="72"/>
      <c r="H3662" s="72"/>
      <c r="I3662" s="73"/>
      <c r="J3662" s="72"/>
      <c r="K3662" s="30"/>
      <c r="L3662" s="30"/>
      <c r="M3662" s="74"/>
      <c r="N3662" s="74"/>
      <c r="O3662" s="74"/>
      <c r="P3662" s="74"/>
    </row>
    <row r="3663" spans="1:18" customFormat="1" ht="12.75" customHeight="1">
      <c r="A3663" s="62"/>
      <c r="B3663" s="62"/>
      <c r="C3663" s="62"/>
      <c r="F3663" s="72"/>
      <c r="G3663" s="72"/>
      <c r="H3663" s="72"/>
      <c r="I3663" s="73"/>
      <c r="J3663" s="72"/>
      <c r="K3663" s="30"/>
      <c r="L3663" s="30"/>
      <c r="M3663" s="74"/>
      <c r="N3663" s="74"/>
      <c r="O3663" s="74"/>
      <c r="P3663" s="74"/>
    </row>
    <row r="3664" spans="1:18" s="3" customFormat="1">
      <c r="F3664" s="12"/>
      <c r="G3664" s="12"/>
      <c r="H3664" s="12"/>
      <c r="I3664" s="13"/>
      <c r="J3664" s="12"/>
      <c r="K3664" s="83"/>
      <c r="L3664" s="71"/>
      <c r="M3664" s="12"/>
      <c r="N3664" s="12"/>
      <c r="O3664" s="12"/>
      <c r="P3664" s="12"/>
      <c r="Q3664" s="12"/>
      <c r="R3664" s="12"/>
    </row>
    <row r="3665" spans="1:18">
      <c r="B3665" s="23"/>
      <c r="C3665" s="23"/>
      <c r="D3665"/>
      <c r="F3665" s="14"/>
      <c r="G3665" s="14"/>
      <c r="H3665" s="14"/>
      <c r="I3665" s="11"/>
      <c r="J3665" s="14"/>
      <c r="K3665" s="16"/>
      <c r="L3665" s="15"/>
      <c r="M3665" s="14"/>
      <c r="N3665" s="23"/>
      <c r="O3665" s="14"/>
      <c r="P3665" s="14"/>
      <c r="Q3665" s="14"/>
      <c r="R3665" s="14"/>
    </row>
    <row r="3666" spans="1:18">
      <c r="B3666" s="60"/>
      <c r="C3666" s="60"/>
      <c r="F3666" s="14"/>
      <c r="G3666" s="14"/>
      <c r="H3666" s="14"/>
      <c r="I3666" s="11"/>
      <c r="J3666" s="14"/>
      <c r="K3666" s="16"/>
      <c r="L3666" s="15"/>
      <c r="M3666" s="14"/>
      <c r="N3666" s="23"/>
      <c r="O3666" s="14"/>
      <c r="P3666" s="14"/>
      <c r="Q3666" s="14"/>
      <c r="R3666" s="14"/>
    </row>
    <row r="3667" spans="1:18">
      <c r="A3667" s="10"/>
      <c r="B3667" s="66"/>
      <c r="C3667" s="62"/>
      <c r="D3667" s="10"/>
      <c r="E3667" s="10"/>
      <c r="F3667" s="10"/>
      <c r="G3667" s="10"/>
      <c r="H3667" s="10"/>
      <c r="I3667" s="10"/>
      <c r="J3667" s="10"/>
      <c r="K3667" s="16"/>
      <c r="L3667" s="15"/>
      <c r="M3667" s="14"/>
      <c r="O3667" s="23"/>
      <c r="P3667" s="23"/>
      <c r="Q3667" s="10"/>
      <c r="R3667" s="10"/>
    </row>
    <row r="3668" spans="1:18">
      <c r="A3668" s="10"/>
      <c r="B3668" s="66"/>
      <c r="C3668" s="62"/>
      <c r="D3668" s="10"/>
      <c r="E3668" s="10"/>
      <c r="F3668" s="10"/>
      <c r="G3668" s="10"/>
      <c r="H3668" s="10"/>
      <c r="I3668" s="10"/>
      <c r="J3668" s="10"/>
      <c r="K3668" s="16"/>
      <c r="L3668" s="15"/>
      <c r="M3668" s="14"/>
      <c r="O3668" s="23"/>
      <c r="P3668" s="23"/>
      <c r="Q3668" s="10"/>
      <c r="R3668" s="10"/>
    </row>
    <row r="3669" spans="1:18">
      <c r="A3669" s="10"/>
      <c r="B3669" s="29"/>
      <c r="D3669" s="10"/>
      <c r="E3669" s="10"/>
      <c r="F3669" s="10"/>
      <c r="G3669" s="10"/>
      <c r="H3669" s="10"/>
      <c r="I3669" s="10"/>
      <c r="J3669" s="10"/>
      <c r="K3669" s="16"/>
      <c r="L3669" s="15"/>
      <c r="M3669" s="10"/>
      <c r="N3669" s="10"/>
      <c r="O3669" s="29"/>
      <c r="P3669" s="29"/>
      <c r="Q3669" s="10"/>
      <c r="R3669" s="10"/>
    </row>
    <row r="3670" spans="1:18">
      <c r="A3670" s="10"/>
      <c r="B3670" s="45"/>
      <c r="C3670" s="10"/>
      <c r="D3670" s="10"/>
      <c r="E3670" s="10"/>
      <c r="F3670" s="10"/>
      <c r="G3670" s="10"/>
      <c r="H3670" s="10"/>
      <c r="I3670" s="10"/>
      <c r="J3670" s="10"/>
      <c r="K3670" s="16"/>
      <c r="L3670" s="31"/>
      <c r="M3670" s="10"/>
      <c r="N3670" s="10"/>
      <c r="O3670" s="10"/>
      <c r="P3670" s="10"/>
      <c r="Q3670" s="10"/>
      <c r="R3670" s="10"/>
    </row>
    <row r="3671" spans="1:18">
      <c r="B3671" s="23"/>
      <c r="F3671" s="14"/>
      <c r="G3671" s="14"/>
      <c r="H3671" s="14"/>
      <c r="I3671" s="11"/>
      <c r="J3671" s="14"/>
      <c r="K3671" s="16"/>
      <c r="L3671" s="15"/>
      <c r="M3671" s="14"/>
      <c r="P3671" s="14"/>
      <c r="Q3671" s="14"/>
      <c r="R3671" s="14"/>
    </row>
    <row r="3672" spans="1:18">
      <c r="F3672" s="14"/>
      <c r="G3672" s="14"/>
      <c r="H3672" s="14"/>
      <c r="I3672" s="11"/>
      <c r="J3672" s="14"/>
      <c r="K3672" s="16"/>
      <c r="L3672" s="15"/>
      <c r="M3672" s="14"/>
    </row>
    <row r="3673" spans="1:18">
      <c r="A3673" s="1" t="s">
        <v>721</v>
      </c>
      <c r="B3673" s="1" t="s">
        <v>722</v>
      </c>
      <c r="C3673" s="1" t="s">
        <v>494</v>
      </c>
      <c r="E3673" s="1" t="s">
        <v>476</v>
      </c>
      <c r="F3673" s="14">
        <v>3</v>
      </c>
      <c r="G3673" s="14">
        <v>301</v>
      </c>
      <c r="H3673" s="14" t="s">
        <v>759</v>
      </c>
      <c r="I3673" s="11" t="s">
        <v>760</v>
      </c>
      <c r="J3673" s="14">
        <v>301</v>
      </c>
      <c r="K3673" s="16">
        <v>1</v>
      </c>
      <c r="L3673" s="15">
        <v>6</v>
      </c>
      <c r="M3673" s="14"/>
      <c r="N3673" s="14"/>
      <c r="O3673" s="14"/>
      <c r="P3673" s="14"/>
      <c r="Q3673" s="14"/>
      <c r="R3673" s="14"/>
    </row>
    <row r="3674" spans="1:18">
      <c r="B3674" s="1" t="s">
        <v>723</v>
      </c>
      <c r="C3674" s="1" t="s">
        <v>494</v>
      </c>
      <c r="F3674" s="14"/>
      <c r="G3674" s="14"/>
      <c r="H3674" s="14"/>
      <c r="I3674" s="11"/>
      <c r="J3674" s="14"/>
      <c r="K3674" s="16">
        <v>2</v>
      </c>
      <c r="L3674" s="15">
        <v>6</v>
      </c>
      <c r="M3674" s="14"/>
      <c r="N3674" s="14"/>
      <c r="O3674" s="14"/>
      <c r="P3674" s="14"/>
      <c r="Q3674" s="14"/>
      <c r="R3674" s="14"/>
    </row>
    <row r="3675" spans="1:18">
      <c r="B3675" s="1" t="s">
        <v>726</v>
      </c>
      <c r="C3675" s="1" t="s">
        <v>493</v>
      </c>
      <c r="D3675" s="1">
        <v>1</v>
      </c>
      <c r="F3675" s="14"/>
      <c r="G3675" s="14"/>
      <c r="H3675" s="14"/>
      <c r="I3675" s="11"/>
      <c r="J3675" s="14"/>
      <c r="K3675" s="16">
        <v>3</v>
      </c>
      <c r="L3675" s="15">
        <v>3</v>
      </c>
      <c r="M3675" s="14"/>
      <c r="N3675" s="14"/>
      <c r="O3675" s="14"/>
      <c r="P3675" s="14"/>
      <c r="Q3675" s="14"/>
      <c r="R3675" s="14"/>
    </row>
    <row r="3676" spans="1:18">
      <c r="B3676" s="1" t="s">
        <v>367</v>
      </c>
      <c r="C3676" s="1" t="s">
        <v>494</v>
      </c>
      <c r="F3676" s="14"/>
      <c r="G3676" s="14"/>
      <c r="H3676" s="14"/>
      <c r="I3676" s="11"/>
      <c r="J3676" s="14"/>
      <c r="K3676" s="16">
        <v>4</v>
      </c>
      <c r="L3676" s="15"/>
      <c r="M3676" s="14"/>
      <c r="N3676" s="14"/>
      <c r="O3676" s="14"/>
      <c r="P3676" s="14"/>
      <c r="Q3676" s="14"/>
      <c r="R3676" s="14"/>
    </row>
    <row r="3677" spans="1:18">
      <c r="B3677" s="1" t="s">
        <v>724</v>
      </c>
      <c r="C3677" s="1" t="s">
        <v>493</v>
      </c>
      <c r="D3677" s="1">
        <v>100</v>
      </c>
      <c r="F3677" s="14"/>
      <c r="G3677" s="14"/>
      <c r="H3677" s="14"/>
      <c r="I3677" s="11"/>
      <c r="J3677" s="14"/>
      <c r="K3677" s="16">
        <v>5</v>
      </c>
      <c r="L3677" s="15"/>
      <c r="M3677" s="14"/>
      <c r="N3677" s="14"/>
      <c r="O3677" s="14"/>
      <c r="P3677" s="14"/>
      <c r="Q3677" s="14"/>
      <c r="R3677" s="14"/>
    </row>
    <row r="3678" spans="1:18">
      <c r="B3678" s="1" t="s">
        <v>725</v>
      </c>
      <c r="C3678" s="1" t="s">
        <v>493</v>
      </c>
      <c r="D3678" s="1">
        <v>100</v>
      </c>
      <c r="F3678" s="14"/>
      <c r="G3678" s="14"/>
      <c r="H3678" s="14"/>
      <c r="I3678" s="11"/>
      <c r="J3678" s="14"/>
      <c r="K3678" s="16">
        <v>6</v>
      </c>
      <c r="L3678" s="15"/>
      <c r="M3678" s="14"/>
      <c r="N3678" s="14"/>
      <c r="O3678" s="14"/>
      <c r="P3678" s="14"/>
      <c r="Q3678" s="14"/>
      <c r="R3678" s="14"/>
    </row>
    <row r="3679" spans="1:18">
      <c r="B3679" s="1" t="s">
        <v>727</v>
      </c>
      <c r="C3679" s="1" t="s">
        <v>493</v>
      </c>
      <c r="D3679" s="1">
        <v>250</v>
      </c>
      <c r="F3679" s="14"/>
      <c r="G3679" s="14"/>
      <c r="H3679" s="14"/>
      <c r="I3679" s="11"/>
      <c r="J3679" s="14"/>
      <c r="K3679" s="16">
        <v>7</v>
      </c>
      <c r="L3679" s="15"/>
      <c r="M3679" s="14"/>
      <c r="N3679" s="14"/>
      <c r="O3679" s="14"/>
      <c r="P3679" s="14"/>
      <c r="Q3679" s="14"/>
      <c r="R3679" s="14"/>
    </row>
    <row r="3680" spans="1:18">
      <c r="B3680" s="1" t="s">
        <v>362</v>
      </c>
      <c r="C3680" s="1" t="s">
        <v>494</v>
      </c>
      <c r="F3680" s="14"/>
      <c r="G3680" s="14"/>
      <c r="H3680" s="14"/>
      <c r="I3680" s="11"/>
      <c r="J3680" s="14"/>
      <c r="K3680" s="16">
        <v>8</v>
      </c>
      <c r="L3680" s="15"/>
      <c r="M3680" s="14"/>
      <c r="N3680" s="14"/>
      <c r="O3680" s="14"/>
      <c r="P3680" s="14"/>
      <c r="Q3680" s="14"/>
      <c r="R3680" s="14"/>
    </row>
    <row r="3681" spans="1:18">
      <c r="B3681" s="1" t="s">
        <v>788</v>
      </c>
      <c r="C3681" s="1" t="s">
        <v>493</v>
      </c>
      <c r="D3681" s="1">
        <v>20</v>
      </c>
      <c r="F3681" s="14"/>
      <c r="G3681" s="14"/>
      <c r="H3681" s="14"/>
      <c r="I3681" s="11"/>
      <c r="J3681" s="14"/>
      <c r="K3681" s="16">
        <v>9</v>
      </c>
      <c r="L3681" s="15"/>
      <c r="M3681" s="14"/>
      <c r="N3681" s="14"/>
      <c r="O3681" s="14"/>
      <c r="P3681" s="14"/>
      <c r="Q3681" s="14"/>
      <c r="R3681" s="14"/>
    </row>
    <row r="3682" spans="1:18">
      <c r="B3682" s="1" t="s">
        <v>366</v>
      </c>
      <c r="C3682" s="1" t="s">
        <v>494</v>
      </c>
      <c r="F3682" s="14"/>
      <c r="G3682" s="14"/>
      <c r="H3682" s="14"/>
      <c r="I3682" s="11"/>
      <c r="J3682" s="14"/>
      <c r="K3682" s="16">
        <v>10</v>
      </c>
      <c r="L3682" s="15"/>
      <c r="M3682" s="14"/>
      <c r="N3682" s="14"/>
      <c r="O3682" s="14"/>
      <c r="P3682" s="14"/>
      <c r="Q3682" s="14"/>
      <c r="R3682" s="14"/>
    </row>
    <row r="3683" spans="1:18">
      <c r="B3683" s="1" t="s">
        <v>789</v>
      </c>
      <c r="C3683" s="1" t="s">
        <v>493</v>
      </c>
      <c r="D3683" s="1">
        <v>20</v>
      </c>
      <c r="F3683" s="14"/>
      <c r="G3683" s="14"/>
      <c r="H3683" s="14"/>
      <c r="I3683" s="11"/>
      <c r="J3683" s="14"/>
      <c r="K3683" s="16">
        <v>11</v>
      </c>
      <c r="L3683" s="15"/>
      <c r="M3683" s="14"/>
      <c r="N3683" s="14"/>
      <c r="O3683" s="14"/>
      <c r="P3683" s="14"/>
      <c r="Q3683" s="14"/>
      <c r="R3683" s="14"/>
    </row>
    <row r="3684" spans="1:18">
      <c r="B3684" s="1" t="s">
        <v>365</v>
      </c>
      <c r="C3684" s="1" t="s">
        <v>494</v>
      </c>
      <c r="F3684" s="14"/>
      <c r="G3684" s="14"/>
      <c r="H3684" s="14"/>
      <c r="I3684" s="11"/>
      <c r="J3684" s="14"/>
      <c r="K3684" s="16">
        <v>12</v>
      </c>
      <c r="L3684" s="15"/>
      <c r="M3684" s="14"/>
      <c r="N3684" s="14"/>
      <c r="O3684" s="14"/>
      <c r="P3684" s="14"/>
      <c r="Q3684" s="14"/>
      <c r="R3684" s="14"/>
    </row>
    <row r="3685" spans="1:18">
      <c r="B3685" s="1" t="s">
        <v>790</v>
      </c>
      <c r="C3685" s="1" t="s">
        <v>493</v>
      </c>
      <c r="D3685" s="1">
        <v>20</v>
      </c>
      <c r="F3685" s="14"/>
      <c r="G3685" s="14"/>
      <c r="H3685" s="14"/>
      <c r="I3685" s="11"/>
      <c r="J3685" s="14"/>
      <c r="K3685" s="16">
        <v>13</v>
      </c>
      <c r="L3685" s="15"/>
      <c r="M3685" s="14"/>
      <c r="N3685" s="14"/>
      <c r="O3685" s="14"/>
      <c r="P3685" s="14"/>
      <c r="Q3685" s="14"/>
      <c r="R3685" s="14"/>
    </row>
    <row r="3686" spans="1:18">
      <c r="B3686" s="1" t="s">
        <v>364</v>
      </c>
      <c r="C3686" s="1" t="s">
        <v>494</v>
      </c>
      <c r="F3686" s="14"/>
      <c r="G3686" s="14"/>
      <c r="H3686" s="14"/>
      <c r="I3686" s="11"/>
      <c r="J3686" s="14"/>
      <c r="K3686" s="16">
        <v>14</v>
      </c>
      <c r="L3686" s="15"/>
      <c r="M3686" s="14"/>
      <c r="N3686" s="14"/>
      <c r="O3686" s="14"/>
      <c r="P3686" s="14"/>
      <c r="Q3686" s="14"/>
      <c r="R3686" s="14"/>
    </row>
    <row r="3687" spans="1:18">
      <c r="B3687" s="1" t="s">
        <v>791</v>
      </c>
      <c r="C3687" s="1" t="s">
        <v>493</v>
      </c>
      <c r="D3687" s="1">
        <v>20</v>
      </c>
      <c r="F3687" s="14"/>
      <c r="G3687" s="14"/>
      <c r="H3687" s="14"/>
      <c r="I3687" s="11"/>
      <c r="J3687" s="14"/>
      <c r="K3687" s="16">
        <v>15</v>
      </c>
      <c r="L3687" s="15"/>
      <c r="M3687" s="14"/>
      <c r="N3687" s="14"/>
      <c r="O3687" s="14"/>
      <c r="P3687" s="14"/>
      <c r="Q3687" s="14"/>
      <c r="R3687" s="14"/>
    </row>
    <row r="3688" spans="1:18">
      <c r="B3688" s="1" t="s">
        <v>363</v>
      </c>
      <c r="C3688" s="1" t="s">
        <v>494</v>
      </c>
      <c r="F3688" s="14"/>
      <c r="G3688" s="14"/>
      <c r="H3688" s="14"/>
      <c r="I3688" s="11"/>
      <c r="J3688" s="14"/>
      <c r="K3688" s="16">
        <v>16</v>
      </c>
      <c r="L3688" s="15"/>
      <c r="M3688" s="14"/>
      <c r="N3688" s="14"/>
      <c r="O3688" s="14"/>
      <c r="P3688" s="14"/>
      <c r="Q3688" s="14"/>
      <c r="R3688" s="14"/>
    </row>
    <row r="3689" spans="1:18">
      <c r="B3689" s="1" t="s">
        <v>728</v>
      </c>
      <c r="C3689" s="1" t="s">
        <v>520</v>
      </c>
      <c r="F3689" s="14"/>
      <c r="G3689" s="14"/>
      <c r="H3689" s="14"/>
      <c r="I3689" s="11"/>
      <c r="J3689" s="14"/>
      <c r="K3689" s="16">
        <v>17</v>
      </c>
      <c r="L3689" s="15"/>
      <c r="M3689" s="14"/>
      <c r="N3689" s="14"/>
      <c r="O3689" s="14"/>
      <c r="P3689" s="14"/>
      <c r="Q3689" s="14"/>
      <c r="R3689" s="14"/>
    </row>
    <row r="3690" spans="1:18">
      <c r="F3690" s="14"/>
      <c r="G3690" s="14"/>
      <c r="H3690" s="14"/>
      <c r="I3690" s="11"/>
      <c r="J3690" s="14"/>
      <c r="K3690" s="16"/>
      <c r="L3690" s="15"/>
      <c r="M3690" s="14"/>
      <c r="N3690" s="14"/>
      <c r="O3690" s="14"/>
      <c r="P3690" s="14"/>
      <c r="Q3690" s="14"/>
      <c r="R3690" s="14"/>
    </row>
    <row r="3691" spans="1:18">
      <c r="A3691" s="1" t="s">
        <v>729</v>
      </c>
      <c r="B3691" s="1" t="s">
        <v>731</v>
      </c>
      <c r="C3691" s="1" t="s">
        <v>494</v>
      </c>
      <c r="E3691" s="1" t="s">
        <v>476</v>
      </c>
      <c r="F3691" s="14">
        <v>3</v>
      </c>
      <c r="G3691" s="14">
        <v>302</v>
      </c>
      <c r="H3691" s="14" t="s">
        <v>521</v>
      </c>
      <c r="I3691" s="11" t="s">
        <v>761</v>
      </c>
      <c r="J3691" s="14">
        <v>301</v>
      </c>
      <c r="K3691" s="16">
        <v>1</v>
      </c>
      <c r="L3691" s="15">
        <v>52</v>
      </c>
      <c r="M3691" s="14"/>
      <c r="N3691" s="14">
        <v>301</v>
      </c>
      <c r="O3691" s="1" t="s">
        <v>723</v>
      </c>
      <c r="P3691" s="14"/>
      <c r="Q3691" s="14"/>
      <c r="R3691" s="14"/>
    </row>
    <row r="3692" spans="1:18">
      <c r="B3692" s="1" t="s">
        <v>732</v>
      </c>
      <c r="C3692" s="1" t="s">
        <v>494</v>
      </c>
      <c r="E3692" s="1" t="s">
        <v>476</v>
      </c>
      <c r="F3692" s="14"/>
      <c r="G3692" s="14"/>
      <c r="H3692" s="14"/>
      <c r="I3692" s="11"/>
      <c r="J3692" s="14"/>
      <c r="K3692" s="16">
        <v>2</v>
      </c>
      <c r="L3692" s="15">
        <v>6</v>
      </c>
      <c r="M3692" s="14"/>
      <c r="N3692" s="14"/>
      <c r="O3692" s="14"/>
      <c r="P3692" s="14"/>
      <c r="Q3692" s="14"/>
      <c r="R3692" s="14"/>
    </row>
    <row r="3693" spans="1:18">
      <c r="B3693" s="1" t="s">
        <v>733</v>
      </c>
      <c r="C3693" s="1" t="s">
        <v>494</v>
      </c>
      <c r="F3693" s="14"/>
      <c r="G3693" s="14"/>
      <c r="H3693" s="14"/>
      <c r="I3693" s="11"/>
      <c r="J3693" s="14"/>
      <c r="K3693" s="16">
        <v>3</v>
      </c>
      <c r="L3693" s="15">
        <v>6</v>
      </c>
      <c r="M3693" s="14"/>
      <c r="N3693" s="14"/>
      <c r="O3693" s="14"/>
      <c r="P3693" s="14"/>
      <c r="Q3693" s="14"/>
      <c r="R3693" s="14"/>
    </row>
    <row r="3694" spans="1:18">
      <c r="B3694" s="1" t="s">
        <v>735</v>
      </c>
      <c r="C3694" s="1" t="s">
        <v>494</v>
      </c>
      <c r="F3694" s="14"/>
      <c r="G3694" s="14"/>
      <c r="H3694" s="14"/>
      <c r="I3694" s="11"/>
      <c r="J3694" s="14"/>
      <c r="K3694" s="16">
        <v>4</v>
      </c>
      <c r="L3694" s="15">
        <v>8</v>
      </c>
      <c r="M3694" s="14"/>
      <c r="N3694" s="14"/>
      <c r="O3694" s="14"/>
      <c r="P3694" s="14"/>
      <c r="Q3694" s="14"/>
      <c r="R3694" s="14"/>
    </row>
    <row r="3695" spans="1:18">
      <c r="B3695" s="1" t="s">
        <v>734</v>
      </c>
      <c r="C3695" s="1" t="s">
        <v>493</v>
      </c>
      <c r="D3695" s="1">
        <v>10</v>
      </c>
      <c r="F3695" s="14"/>
      <c r="G3695" s="14"/>
      <c r="H3695" s="14"/>
      <c r="I3695" s="11"/>
      <c r="J3695" s="14"/>
      <c r="K3695" s="16">
        <v>5</v>
      </c>
      <c r="L3695" s="15">
        <v>7</v>
      </c>
      <c r="M3695" s="14"/>
      <c r="N3695" s="14"/>
      <c r="O3695" s="14"/>
      <c r="P3695" s="14"/>
      <c r="Q3695" s="14"/>
      <c r="R3695" s="14"/>
    </row>
    <row r="3696" spans="1:18">
      <c r="B3696" s="1" t="s">
        <v>736</v>
      </c>
      <c r="C3696" s="1" t="s">
        <v>494</v>
      </c>
      <c r="F3696" s="14"/>
      <c r="G3696" s="14"/>
      <c r="H3696" s="14"/>
      <c r="I3696" s="11"/>
      <c r="J3696" s="14"/>
      <c r="K3696" s="16">
        <v>6</v>
      </c>
      <c r="L3696" s="15"/>
      <c r="M3696" s="14">
        <v>71</v>
      </c>
      <c r="N3696" s="14"/>
      <c r="O3696" s="14"/>
      <c r="P3696" s="14"/>
      <c r="Q3696" s="14"/>
      <c r="R3696" s="14"/>
    </row>
    <row r="3697" spans="1:18">
      <c r="B3697" s="1" t="s">
        <v>737</v>
      </c>
      <c r="C3697" s="1" t="s">
        <v>494</v>
      </c>
      <c r="F3697" s="14"/>
      <c r="G3697" s="14"/>
      <c r="H3697" s="14"/>
      <c r="I3697" s="11"/>
      <c r="J3697" s="14"/>
      <c r="K3697" s="16">
        <v>7</v>
      </c>
      <c r="L3697" s="15"/>
      <c r="M3697" s="14">
        <v>72</v>
      </c>
      <c r="N3697" s="14"/>
      <c r="O3697" s="14"/>
      <c r="P3697" s="14"/>
      <c r="Q3697" s="14"/>
      <c r="R3697" s="14"/>
    </row>
    <row r="3698" spans="1:18">
      <c r="B3698" s="1" t="s">
        <v>738</v>
      </c>
      <c r="C3698" s="1" t="s">
        <v>520</v>
      </c>
      <c r="F3698" s="14"/>
      <c r="G3698" s="14"/>
      <c r="H3698" s="14"/>
      <c r="I3698" s="11"/>
      <c r="J3698" s="14"/>
      <c r="K3698" s="16">
        <v>8</v>
      </c>
      <c r="L3698" s="15"/>
      <c r="M3698" s="14"/>
      <c r="N3698" s="14"/>
      <c r="O3698" s="14"/>
      <c r="P3698" s="14"/>
      <c r="Q3698" s="14"/>
      <c r="R3698" s="14"/>
    </row>
    <row r="3699" spans="1:18">
      <c r="F3699" s="14"/>
      <c r="G3699" s="14"/>
      <c r="H3699" s="14"/>
      <c r="I3699" s="11"/>
      <c r="J3699" s="14"/>
      <c r="K3699" s="16"/>
      <c r="L3699" s="15"/>
      <c r="M3699" s="14"/>
      <c r="N3699" s="14"/>
      <c r="O3699" s="14"/>
      <c r="P3699" s="14"/>
      <c r="Q3699" s="14"/>
      <c r="R3699" s="14"/>
    </row>
    <row r="3700" spans="1:18">
      <c r="A3700" s="1" t="s">
        <v>739</v>
      </c>
      <c r="B3700" s="1" t="s">
        <v>741</v>
      </c>
      <c r="C3700" s="1" t="s">
        <v>494</v>
      </c>
      <c r="E3700" s="1" t="s">
        <v>476</v>
      </c>
      <c r="F3700" s="14">
        <v>3</v>
      </c>
      <c r="G3700" s="14">
        <v>303</v>
      </c>
      <c r="H3700" s="14" t="s">
        <v>762</v>
      </c>
      <c r="I3700" s="11" t="s">
        <v>763</v>
      </c>
      <c r="J3700" s="14">
        <v>301</v>
      </c>
      <c r="K3700" s="16">
        <v>1</v>
      </c>
      <c r="L3700" s="15">
        <v>52</v>
      </c>
      <c r="M3700" s="14"/>
      <c r="N3700" s="14">
        <v>301</v>
      </c>
      <c r="O3700" s="1" t="s">
        <v>723</v>
      </c>
      <c r="P3700" s="14"/>
      <c r="Q3700" s="14"/>
      <c r="R3700" s="14"/>
    </row>
    <row r="3701" spans="1:18">
      <c r="B3701" s="1" t="s">
        <v>740</v>
      </c>
      <c r="C3701" s="1" t="s">
        <v>494</v>
      </c>
      <c r="E3701" s="1" t="s">
        <v>476</v>
      </c>
      <c r="F3701" s="14"/>
      <c r="G3701" s="14"/>
      <c r="H3701" s="14"/>
      <c r="I3701" s="11"/>
      <c r="J3701" s="14"/>
      <c r="K3701" s="16">
        <v>2</v>
      </c>
      <c r="L3701" s="15">
        <v>6</v>
      </c>
      <c r="M3701" s="14"/>
      <c r="N3701" s="14"/>
      <c r="O3701" s="14"/>
      <c r="P3701" s="14"/>
      <c r="Q3701" s="14"/>
      <c r="R3701" s="14"/>
    </row>
    <row r="3702" spans="1:18">
      <c r="B3702" s="1" t="s">
        <v>742</v>
      </c>
      <c r="C3702" s="1" t="s">
        <v>494</v>
      </c>
      <c r="F3702" s="14"/>
      <c r="G3702" s="14"/>
      <c r="H3702" s="14"/>
      <c r="I3702" s="11"/>
      <c r="J3702" s="14"/>
      <c r="K3702" s="16">
        <v>3</v>
      </c>
      <c r="L3702" s="15">
        <v>6</v>
      </c>
      <c r="M3702" s="14"/>
      <c r="N3702" s="14"/>
      <c r="O3702" s="14"/>
      <c r="P3702" s="14"/>
      <c r="Q3702" s="14"/>
      <c r="R3702" s="14"/>
    </row>
    <row r="3703" spans="1:18">
      <c r="B3703" s="1" t="s">
        <v>743</v>
      </c>
      <c r="C3703" s="1" t="s">
        <v>493</v>
      </c>
      <c r="D3703" s="1">
        <v>10</v>
      </c>
      <c r="F3703" s="14"/>
      <c r="G3703" s="14"/>
      <c r="H3703" s="14"/>
      <c r="I3703" s="11"/>
      <c r="J3703" s="14"/>
      <c r="K3703" s="16">
        <v>4</v>
      </c>
      <c r="L3703" s="15">
        <v>7</v>
      </c>
      <c r="M3703" s="14"/>
      <c r="N3703" s="14"/>
      <c r="O3703" s="14"/>
      <c r="P3703" s="14"/>
      <c r="Q3703" s="14"/>
      <c r="R3703" s="14"/>
    </row>
    <row r="3704" spans="1:18">
      <c r="B3704" s="1" t="s">
        <v>744</v>
      </c>
      <c r="C3704" s="1" t="s">
        <v>494</v>
      </c>
      <c r="F3704" s="14"/>
      <c r="G3704" s="14"/>
      <c r="H3704" s="14"/>
      <c r="I3704" s="11"/>
      <c r="J3704" s="14"/>
      <c r="K3704" s="16">
        <v>5</v>
      </c>
      <c r="L3704" s="15"/>
      <c r="M3704" s="14">
        <v>71</v>
      </c>
      <c r="N3704" s="14"/>
      <c r="O3704" s="14"/>
      <c r="P3704" s="14"/>
      <c r="Q3704" s="14"/>
      <c r="R3704" s="14"/>
    </row>
    <row r="3705" spans="1:18">
      <c r="B3705" s="1" t="s">
        <v>745</v>
      </c>
      <c r="C3705" s="1" t="s">
        <v>494</v>
      </c>
      <c r="F3705" s="14"/>
      <c r="G3705" s="14"/>
      <c r="H3705" s="14"/>
      <c r="I3705" s="11"/>
      <c r="J3705" s="14"/>
      <c r="K3705" s="16">
        <v>6</v>
      </c>
      <c r="L3705" s="15"/>
      <c r="M3705" s="14">
        <v>72</v>
      </c>
      <c r="N3705" s="14"/>
      <c r="O3705" s="14"/>
      <c r="P3705" s="14"/>
      <c r="Q3705" s="14"/>
      <c r="R3705" s="14"/>
    </row>
    <row r="3706" spans="1:18">
      <c r="B3706" s="1" t="s">
        <v>746</v>
      </c>
      <c r="C3706" s="1" t="s">
        <v>493</v>
      </c>
      <c r="D3706" s="1">
        <v>10</v>
      </c>
      <c r="F3706" s="14"/>
      <c r="G3706" s="14"/>
      <c r="H3706" s="14"/>
      <c r="I3706" s="11"/>
      <c r="J3706" s="14"/>
      <c r="K3706" s="16">
        <v>7</v>
      </c>
      <c r="L3706" s="15">
        <v>7</v>
      </c>
      <c r="M3706" s="14"/>
      <c r="N3706" s="14"/>
      <c r="O3706" s="14"/>
      <c r="P3706" s="14"/>
      <c r="Q3706" s="14"/>
      <c r="R3706" s="14"/>
    </row>
    <row r="3707" spans="1:18">
      <c r="B3707" s="1" t="s">
        <v>747</v>
      </c>
      <c r="C3707" s="1" t="s">
        <v>494</v>
      </c>
      <c r="F3707" s="14"/>
      <c r="G3707" s="14"/>
      <c r="H3707" s="14"/>
      <c r="I3707" s="11"/>
      <c r="J3707" s="14"/>
      <c r="K3707" s="16">
        <v>8</v>
      </c>
      <c r="L3707" s="15"/>
      <c r="M3707" s="14">
        <v>71</v>
      </c>
      <c r="N3707" s="14"/>
      <c r="O3707" s="14"/>
      <c r="P3707" s="14"/>
      <c r="Q3707" s="14"/>
      <c r="R3707" s="14"/>
    </row>
    <row r="3708" spans="1:18">
      <c r="B3708" s="1" t="s">
        <v>748</v>
      </c>
      <c r="C3708" s="1" t="s">
        <v>494</v>
      </c>
      <c r="F3708" s="14"/>
      <c r="G3708" s="14"/>
      <c r="H3708" s="14"/>
      <c r="I3708" s="11"/>
      <c r="J3708" s="14"/>
      <c r="K3708" s="16">
        <v>9</v>
      </c>
      <c r="L3708" s="15"/>
      <c r="M3708" s="14">
        <v>72</v>
      </c>
      <c r="N3708" s="14"/>
      <c r="O3708" s="14"/>
      <c r="P3708" s="14"/>
      <c r="Q3708" s="14"/>
      <c r="R3708" s="14"/>
    </row>
    <row r="3709" spans="1:18">
      <c r="B3709" s="1" t="s">
        <v>749</v>
      </c>
      <c r="C3709" s="1" t="s">
        <v>494</v>
      </c>
      <c r="F3709" s="14"/>
      <c r="G3709" s="14"/>
      <c r="H3709" s="14"/>
      <c r="I3709" s="11"/>
      <c r="J3709" s="14"/>
      <c r="K3709" s="16">
        <v>10</v>
      </c>
      <c r="L3709" s="15"/>
      <c r="M3709" s="14">
        <v>1</v>
      </c>
      <c r="N3709" s="14"/>
      <c r="O3709" s="14"/>
      <c r="P3709" s="14"/>
      <c r="Q3709" s="14"/>
      <c r="R3709" s="14"/>
    </row>
    <row r="3710" spans="1:18">
      <c r="B3710" s="1" t="s">
        <v>750</v>
      </c>
      <c r="C3710" s="1" t="s">
        <v>494</v>
      </c>
      <c r="F3710" s="14"/>
      <c r="G3710" s="14"/>
      <c r="H3710" s="14"/>
      <c r="I3710" s="11"/>
      <c r="J3710" s="14"/>
      <c r="K3710" s="16">
        <v>11</v>
      </c>
      <c r="L3710" s="15"/>
      <c r="M3710" s="14">
        <v>1</v>
      </c>
      <c r="N3710" s="14"/>
      <c r="O3710" s="14"/>
      <c r="P3710" s="14"/>
      <c r="Q3710" s="14"/>
      <c r="R3710" s="14"/>
    </row>
    <row r="3711" spans="1:18">
      <c r="F3711" s="14"/>
      <c r="G3711" s="14"/>
      <c r="H3711" s="14"/>
      <c r="I3711" s="11"/>
      <c r="J3711" s="14"/>
      <c r="K3711" s="16"/>
      <c r="L3711" s="15"/>
      <c r="M3711" s="14"/>
      <c r="N3711" s="14"/>
      <c r="O3711" s="14"/>
      <c r="P3711" s="14"/>
      <c r="Q3711" s="14"/>
      <c r="R3711" s="14"/>
    </row>
    <row r="3712" spans="1:18">
      <c r="A3712" s="10"/>
      <c r="B3712" s="45"/>
      <c r="C3712" s="10"/>
      <c r="D3712" s="10"/>
      <c r="E3712" s="10"/>
      <c r="F3712" s="10"/>
      <c r="G3712" s="10"/>
      <c r="H3712" s="10"/>
      <c r="I3712" s="10"/>
      <c r="J3712" s="10"/>
      <c r="K3712" s="16"/>
      <c r="L3712" s="31"/>
      <c r="M3712" s="10"/>
      <c r="N3712" s="10"/>
      <c r="O3712" s="10"/>
      <c r="P3712" s="10"/>
      <c r="Q3712" s="10"/>
      <c r="R3712" s="10"/>
    </row>
    <row r="3713" spans="1:18">
      <c r="A3713" s="10"/>
      <c r="B3713" s="45"/>
      <c r="C3713" s="10"/>
      <c r="D3713" s="10"/>
      <c r="E3713" s="10"/>
      <c r="F3713" s="10"/>
      <c r="G3713" s="10"/>
      <c r="H3713" s="10"/>
      <c r="I3713" s="10"/>
      <c r="J3713" s="10"/>
      <c r="K3713" s="16"/>
      <c r="L3713" s="31"/>
      <c r="M3713" s="10"/>
      <c r="N3713" s="10"/>
      <c r="O3713" s="10"/>
      <c r="P3713" s="10"/>
      <c r="Q3713" s="10"/>
      <c r="R3713" s="10"/>
    </row>
    <row r="3714" spans="1:18">
      <c r="A3714" s="10"/>
      <c r="B3714" s="45"/>
      <c r="C3714" s="10"/>
      <c r="D3714" s="10"/>
      <c r="E3714" s="10"/>
      <c r="F3714" s="10"/>
      <c r="G3714" s="10"/>
      <c r="H3714" s="10"/>
      <c r="I3714" s="10"/>
      <c r="J3714" s="10"/>
      <c r="K3714" s="16"/>
      <c r="L3714" s="31"/>
      <c r="M3714" s="10"/>
      <c r="N3714" s="10"/>
      <c r="O3714" s="10"/>
      <c r="P3714" s="10"/>
      <c r="Q3714" s="10"/>
      <c r="R3714" s="10"/>
    </row>
    <row r="3715" spans="1:18">
      <c r="A3715" s="10"/>
      <c r="B3715" s="45"/>
      <c r="C3715" s="10"/>
      <c r="D3715" s="10"/>
      <c r="E3715" s="10"/>
      <c r="F3715" s="10"/>
      <c r="G3715" s="10"/>
      <c r="H3715" s="10"/>
      <c r="I3715" s="10"/>
      <c r="J3715" s="10"/>
      <c r="K3715" s="16"/>
      <c r="L3715" s="31"/>
      <c r="M3715" s="10"/>
      <c r="N3715" s="10"/>
      <c r="O3715" s="10"/>
      <c r="P3715" s="10"/>
      <c r="Q3715" s="10"/>
      <c r="R3715" s="10"/>
    </row>
    <row r="3716" spans="1:18">
      <c r="A3716" s="10"/>
      <c r="B3716" s="45"/>
      <c r="C3716" s="10"/>
      <c r="D3716" s="10"/>
      <c r="E3716" s="10"/>
      <c r="F3716" s="10"/>
      <c r="G3716" s="10"/>
      <c r="H3716" s="10"/>
      <c r="I3716" s="10"/>
      <c r="J3716" s="10"/>
      <c r="K3716" s="16"/>
      <c r="L3716" s="31"/>
      <c r="M3716" s="10"/>
      <c r="N3716" s="10"/>
      <c r="O3716" s="10"/>
      <c r="P3716" s="10"/>
      <c r="Q3716" s="10"/>
      <c r="R3716" s="10"/>
    </row>
    <row r="3717" spans="1:18">
      <c r="A3717" s="10"/>
      <c r="B3717" s="45"/>
      <c r="C3717" s="10"/>
      <c r="D3717" s="10"/>
      <c r="E3717" s="10"/>
      <c r="F3717" s="10"/>
      <c r="G3717" s="10"/>
      <c r="H3717" s="10"/>
      <c r="I3717" s="10"/>
      <c r="J3717" s="10"/>
      <c r="K3717" s="16"/>
      <c r="L3717" s="31"/>
      <c r="M3717" s="10"/>
      <c r="N3717" s="10"/>
      <c r="O3717" s="10"/>
      <c r="P3717" s="10"/>
      <c r="Q3717" s="10"/>
      <c r="R3717" s="10"/>
    </row>
    <row r="3718" spans="1:18">
      <c r="A3718" s="10"/>
      <c r="B3718" s="45"/>
      <c r="C3718" s="10"/>
      <c r="D3718" s="10"/>
      <c r="E3718" s="10"/>
      <c r="F3718" s="10"/>
      <c r="G3718" s="10"/>
      <c r="H3718" s="10"/>
      <c r="I3718" s="10"/>
      <c r="J3718" s="10"/>
      <c r="K3718" s="16"/>
      <c r="L3718" s="31"/>
      <c r="M3718" s="10"/>
      <c r="N3718" s="10"/>
      <c r="O3718" s="10"/>
      <c r="P3718" s="10"/>
      <c r="Q3718" s="10"/>
      <c r="R3718" s="10"/>
    </row>
    <row r="3719" spans="1:18">
      <c r="A3719" s="10"/>
      <c r="B3719" s="45"/>
      <c r="C3719" s="10"/>
      <c r="D3719" s="10"/>
      <c r="E3719" s="10"/>
      <c r="F3719" s="10"/>
      <c r="G3719" s="10"/>
      <c r="H3719" s="10"/>
      <c r="I3719" s="10"/>
      <c r="J3719" s="10"/>
      <c r="K3719" s="16"/>
      <c r="L3719" s="31"/>
      <c r="M3719" s="10"/>
      <c r="N3719" s="10"/>
      <c r="O3719" s="10"/>
      <c r="P3719" s="10"/>
      <c r="Q3719" s="10"/>
      <c r="R3719" s="10"/>
    </row>
    <row r="3720" spans="1:18">
      <c r="A3720" s="10"/>
      <c r="B3720" s="45"/>
      <c r="C3720" s="10"/>
      <c r="D3720" s="10"/>
      <c r="E3720" s="10"/>
      <c r="F3720" s="10"/>
      <c r="G3720" s="10"/>
      <c r="H3720" s="10"/>
      <c r="I3720" s="10"/>
      <c r="J3720" s="10"/>
      <c r="K3720" s="16"/>
      <c r="L3720" s="31"/>
      <c r="M3720" s="10"/>
      <c r="N3720" s="10"/>
      <c r="O3720" s="10"/>
      <c r="P3720" s="10"/>
      <c r="Q3720" s="10"/>
      <c r="R3720" s="10"/>
    </row>
    <row r="3721" spans="1:18">
      <c r="A3721" s="10"/>
      <c r="B3721" s="45"/>
      <c r="C3721" s="10"/>
      <c r="D3721" s="10"/>
      <c r="E3721" s="10"/>
      <c r="F3721" s="10"/>
      <c r="G3721" s="10"/>
      <c r="H3721" s="10"/>
      <c r="I3721" s="10"/>
      <c r="J3721" s="10"/>
      <c r="K3721" s="16"/>
      <c r="L3721" s="31"/>
      <c r="M3721" s="10"/>
      <c r="N3721" s="10"/>
      <c r="O3721" s="10"/>
      <c r="P3721" s="10"/>
      <c r="Q3721" s="10"/>
      <c r="R3721" s="10"/>
    </row>
    <row r="3722" spans="1:18">
      <c r="A3722" s="10"/>
      <c r="B3722" s="45"/>
      <c r="C3722" s="10"/>
      <c r="D3722" s="10"/>
      <c r="E3722" s="10"/>
      <c r="F3722" s="10"/>
      <c r="G3722" s="10"/>
      <c r="H3722" s="10"/>
      <c r="I3722" s="10"/>
      <c r="J3722" s="10"/>
      <c r="K3722" s="16"/>
      <c r="L3722" s="31"/>
      <c r="M3722" s="10"/>
      <c r="N3722" s="10"/>
      <c r="O3722" s="10"/>
      <c r="P3722" s="10"/>
      <c r="Q3722" s="10"/>
      <c r="R3722" s="10"/>
    </row>
    <row r="3723" spans="1:18">
      <c r="A3723" s="10"/>
      <c r="B3723" s="45"/>
      <c r="C3723" s="10"/>
      <c r="D3723" s="10"/>
      <c r="E3723" s="10"/>
      <c r="F3723" s="10"/>
      <c r="G3723" s="10"/>
      <c r="H3723" s="10"/>
      <c r="I3723" s="10"/>
      <c r="J3723" s="10"/>
      <c r="K3723" s="16"/>
      <c r="L3723" s="31"/>
      <c r="M3723" s="10"/>
      <c r="N3723" s="10"/>
      <c r="O3723" s="10"/>
      <c r="P3723" s="10"/>
      <c r="Q3723" s="10"/>
      <c r="R3723" s="10"/>
    </row>
    <row r="3724" spans="1:18">
      <c r="A3724" s="45" t="s">
        <v>1415</v>
      </c>
      <c r="B3724" s="45" t="s">
        <v>1416</v>
      </c>
      <c r="C3724" s="45" t="s">
        <v>494</v>
      </c>
      <c r="D3724" s="10"/>
      <c r="E3724" s="45" t="s">
        <v>476</v>
      </c>
      <c r="F3724" s="10">
        <v>15</v>
      </c>
      <c r="G3724" s="10">
        <v>1521</v>
      </c>
      <c r="H3724" s="45" t="s">
        <v>1455</v>
      </c>
      <c r="I3724" s="45" t="s">
        <v>1456</v>
      </c>
      <c r="J3724" s="10">
        <v>1501</v>
      </c>
      <c r="K3724" s="16">
        <v>1</v>
      </c>
      <c r="L3724" s="53">
        <v>6</v>
      </c>
      <c r="M3724" s="10"/>
      <c r="N3724" s="10"/>
      <c r="O3724" s="10"/>
      <c r="P3724" s="10"/>
      <c r="Q3724" s="10"/>
      <c r="R3724" s="10"/>
    </row>
    <row r="3725" spans="1:18">
      <c r="A3725" s="10"/>
      <c r="B3725" s="45" t="s">
        <v>1417</v>
      </c>
      <c r="C3725" s="45" t="s">
        <v>494</v>
      </c>
      <c r="D3725" s="10"/>
      <c r="E3725" s="45"/>
      <c r="F3725" s="10"/>
      <c r="G3725" s="10"/>
      <c r="H3725" s="10"/>
      <c r="I3725" s="10"/>
      <c r="J3725" s="10"/>
      <c r="K3725" s="16">
        <v>2</v>
      </c>
      <c r="L3725" s="31">
        <v>6</v>
      </c>
      <c r="M3725" s="10"/>
      <c r="N3725" s="10"/>
      <c r="O3725" s="10"/>
      <c r="P3725" s="10"/>
      <c r="Q3725" s="10"/>
      <c r="R3725" s="10"/>
    </row>
    <row r="3726" spans="1:18">
      <c r="A3726" s="10"/>
      <c r="B3726" s="45" t="s">
        <v>1418</v>
      </c>
      <c r="C3726" s="45" t="s">
        <v>494</v>
      </c>
      <c r="D3726" s="10"/>
      <c r="E3726" s="10"/>
      <c r="F3726" s="10"/>
      <c r="G3726" s="10"/>
      <c r="H3726" s="10"/>
      <c r="I3726" s="10"/>
      <c r="J3726" s="10"/>
      <c r="K3726" s="16">
        <v>3</v>
      </c>
      <c r="L3726" s="31">
        <v>8</v>
      </c>
      <c r="M3726" s="10"/>
      <c r="N3726" s="10"/>
      <c r="O3726" s="10"/>
      <c r="P3726" s="10"/>
      <c r="Q3726" s="10"/>
      <c r="R3726" s="10"/>
    </row>
    <row r="3727" spans="1:18">
      <c r="A3727" s="10"/>
      <c r="B3727" s="45" t="s">
        <v>1422</v>
      </c>
      <c r="C3727" s="45" t="s">
        <v>493</v>
      </c>
      <c r="D3727" s="10">
        <v>10</v>
      </c>
      <c r="E3727" s="10"/>
      <c r="F3727" s="10"/>
      <c r="G3727" s="10"/>
      <c r="H3727" s="10"/>
      <c r="I3727" s="10"/>
      <c r="J3727" s="10"/>
      <c r="K3727" s="16">
        <v>4</v>
      </c>
      <c r="L3727" s="54">
        <v>7</v>
      </c>
      <c r="M3727" s="10"/>
      <c r="N3727" s="10"/>
      <c r="O3727" s="10"/>
      <c r="P3727" s="10"/>
      <c r="Q3727" s="10"/>
      <c r="R3727" s="10"/>
    </row>
    <row r="3728" spans="1:18">
      <c r="A3728" s="10"/>
      <c r="B3728" s="45" t="s">
        <v>1423</v>
      </c>
      <c r="C3728" s="45" t="s">
        <v>494</v>
      </c>
      <c r="D3728" s="10"/>
      <c r="E3728" s="10"/>
      <c r="F3728" s="10"/>
      <c r="G3728" s="10"/>
      <c r="H3728" s="10"/>
      <c r="I3728" s="10"/>
      <c r="J3728" s="10"/>
      <c r="K3728" s="16">
        <v>5</v>
      </c>
      <c r="L3728" s="31"/>
      <c r="M3728" s="10">
        <v>71</v>
      </c>
      <c r="N3728" s="10"/>
      <c r="O3728" s="10"/>
      <c r="P3728" s="10"/>
      <c r="Q3728" s="10"/>
      <c r="R3728" s="10"/>
    </row>
    <row r="3729" spans="1:18">
      <c r="A3729" s="10"/>
      <c r="B3729" s="45" t="s">
        <v>1424</v>
      </c>
      <c r="C3729" s="45" t="s">
        <v>494</v>
      </c>
      <c r="D3729" s="10"/>
      <c r="E3729" s="10"/>
      <c r="F3729" s="10"/>
      <c r="G3729" s="10"/>
      <c r="H3729" s="10"/>
      <c r="I3729" s="10"/>
      <c r="J3729" s="10"/>
      <c r="K3729" s="16">
        <v>6</v>
      </c>
      <c r="L3729" s="31"/>
      <c r="M3729" s="10">
        <v>72</v>
      </c>
      <c r="N3729" s="10"/>
      <c r="O3729" s="10"/>
      <c r="P3729" s="10"/>
      <c r="Q3729" s="10"/>
      <c r="R3729" s="10"/>
    </row>
    <row r="3730" spans="1:18">
      <c r="A3730" s="10"/>
      <c r="B3730" s="45" t="s">
        <v>1421</v>
      </c>
      <c r="C3730" s="45" t="s">
        <v>493</v>
      </c>
      <c r="D3730" s="10">
        <v>10</v>
      </c>
      <c r="E3730" s="10"/>
      <c r="F3730" s="10"/>
      <c r="G3730" s="10"/>
      <c r="H3730" s="10"/>
      <c r="I3730" s="10"/>
      <c r="J3730" s="10"/>
      <c r="K3730" s="16">
        <v>7</v>
      </c>
      <c r="L3730" s="53">
        <v>7</v>
      </c>
      <c r="M3730" s="10"/>
      <c r="N3730" s="10"/>
      <c r="O3730" s="10"/>
      <c r="P3730" s="10"/>
      <c r="Q3730" s="10"/>
      <c r="R3730" s="10"/>
    </row>
    <row r="3731" spans="1:18">
      <c r="A3731" s="10"/>
      <c r="B3731" s="45" t="s">
        <v>1420</v>
      </c>
      <c r="C3731" s="45" t="s">
        <v>494</v>
      </c>
      <c r="D3731" s="10"/>
      <c r="E3731" s="10"/>
      <c r="F3731" s="10"/>
      <c r="G3731" s="10"/>
      <c r="H3731" s="10"/>
      <c r="I3731" s="10"/>
      <c r="J3731" s="10"/>
      <c r="K3731" s="16">
        <v>8</v>
      </c>
      <c r="L3731" s="31"/>
      <c r="M3731" s="10">
        <v>71</v>
      </c>
      <c r="N3731" s="10"/>
      <c r="O3731" s="10"/>
      <c r="P3731" s="10"/>
      <c r="Q3731" s="10"/>
      <c r="R3731" s="10"/>
    </row>
    <row r="3732" spans="1:18">
      <c r="A3732" s="10"/>
      <c r="B3732" s="45" t="s">
        <v>1419</v>
      </c>
      <c r="C3732" s="45" t="s">
        <v>494</v>
      </c>
      <c r="D3732" s="10"/>
      <c r="E3732" s="10"/>
      <c r="F3732" s="10"/>
      <c r="G3732" s="10"/>
      <c r="H3732" s="10"/>
      <c r="I3732" s="10"/>
      <c r="J3732" s="10"/>
      <c r="K3732" s="16">
        <v>9</v>
      </c>
      <c r="L3732" s="31"/>
      <c r="M3732" s="45">
        <v>72</v>
      </c>
      <c r="N3732" s="10"/>
      <c r="O3732" s="10"/>
      <c r="P3732" s="10"/>
      <c r="Q3732" s="10"/>
      <c r="R3732" s="10"/>
    </row>
    <row r="3733" spans="1:18">
      <c r="A3733" s="10"/>
      <c r="B3733" s="45" t="s">
        <v>1425</v>
      </c>
      <c r="C3733" s="45" t="s">
        <v>520</v>
      </c>
      <c r="D3733" s="10"/>
      <c r="E3733" s="10"/>
      <c r="F3733" s="10"/>
      <c r="G3733" s="10"/>
      <c r="H3733" s="10"/>
      <c r="I3733" s="10"/>
      <c r="J3733" s="10"/>
      <c r="K3733" s="16">
        <v>10</v>
      </c>
      <c r="L3733" s="31"/>
      <c r="M3733" s="10"/>
      <c r="N3733" s="10"/>
      <c r="O3733" s="10"/>
      <c r="P3733" s="10"/>
      <c r="Q3733" s="10"/>
      <c r="R3733" s="10"/>
    </row>
    <row r="3734" spans="1:18">
      <c r="A3734" s="10"/>
      <c r="B3734" s="45" t="s">
        <v>1429</v>
      </c>
      <c r="C3734" s="45" t="s">
        <v>494</v>
      </c>
      <c r="D3734" s="10"/>
      <c r="E3734" s="10"/>
      <c r="F3734" s="10"/>
      <c r="G3734" s="10"/>
      <c r="H3734" s="10"/>
      <c r="I3734" s="10"/>
      <c r="J3734" s="10"/>
      <c r="K3734" s="16">
        <v>11</v>
      </c>
      <c r="L3734" s="31"/>
      <c r="M3734" s="45">
        <v>1</v>
      </c>
      <c r="N3734" s="10"/>
      <c r="O3734" s="10"/>
      <c r="P3734" s="10"/>
      <c r="Q3734" s="10"/>
      <c r="R3734" s="10"/>
    </row>
    <row r="3735" spans="1:18">
      <c r="A3735" s="10"/>
      <c r="B3735" s="45" t="s">
        <v>1430</v>
      </c>
      <c r="C3735" s="45" t="s">
        <v>494</v>
      </c>
      <c r="D3735" s="10"/>
      <c r="E3735" s="10"/>
      <c r="F3735" s="10"/>
      <c r="G3735" s="10"/>
      <c r="H3735" s="10"/>
      <c r="I3735" s="10"/>
      <c r="J3735" s="10"/>
      <c r="K3735" s="16">
        <v>12</v>
      </c>
      <c r="L3735" s="31"/>
      <c r="M3735" s="45">
        <v>1</v>
      </c>
      <c r="N3735" s="10"/>
      <c r="O3735" s="10"/>
      <c r="P3735" s="10"/>
      <c r="Q3735" s="10"/>
      <c r="R3735" s="10"/>
    </row>
    <row r="3736" spans="1:18">
      <c r="A3736" s="10"/>
      <c r="B3736" s="45" t="s">
        <v>1431</v>
      </c>
      <c r="C3736" s="45" t="s">
        <v>494</v>
      </c>
      <c r="D3736" s="10"/>
      <c r="E3736" s="10"/>
      <c r="F3736" s="10"/>
      <c r="G3736" s="10"/>
      <c r="H3736" s="10"/>
      <c r="I3736" s="10"/>
      <c r="J3736" s="10"/>
      <c r="K3736" s="16">
        <v>13</v>
      </c>
      <c r="L3736" s="31"/>
      <c r="M3736" s="45">
        <v>1</v>
      </c>
      <c r="N3736" s="10"/>
      <c r="O3736" s="10"/>
      <c r="P3736" s="10"/>
      <c r="Q3736" s="10"/>
      <c r="R3736" s="10"/>
    </row>
    <row r="3737" spans="1:18">
      <c r="A3737" s="10"/>
      <c r="B3737" s="45" t="s">
        <v>1432</v>
      </c>
      <c r="C3737" s="45" t="s">
        <v>494</v>
      </c>
      <c r="D3737" s="10"/>
      <c r="E3737" s="10"/>
      <c r="F3737" s="10"/>
      <c r="G3737" s="10"/>
      <c r="H3737" s="10"/>
      <c r="I3737" s="10"/>
      <c r="J3737" s="10"/>
      <c r="K3737" s="16">
        <v>14</v>
      </c>
      <c r="L3737" s="31"/>
      <c r="M3737" s="45">
        <v>1</v>
      </c>
      <c r="N3737" s="10"/>
      <c r="O3737" s="10"/>
      <c r="P3737" s="10"/>
      <c r="Q3737" s="10"/>
      <c r="R3737" s="10"/>
    </row>
    <row r="3738" spans="1:18">
      <c r="A3738" s="10"/>
      <c r="B3738" s="45" t="s">
        <v>1433</v>
      </c>
      <c r="C3738" s="45" t="s">
        <v>494</v>
      </c>
      <c r="D3738" s="10"/>
      <c r="E3738" s="10"/>
      <c r="F3738" s="10"/>
      <c r="G3738" s="10"/>
      <c r="H3738" s="10"/>
      <c r="I3738" s="10"/>
      <c r="J3738" s="10"/>
      <c r="K3738" s="16">
        <v>15</v>
      </c>
      <c r="L3738" s="31"/>
      <c r="M3738" s="45">
        <v>1</v>
      </c>
      <c r="N3738" s="10"/>
      <c r="O3738" s="10"/>
      <c r="P3738" s="10"/>
      <c r="Q3738" s="10"/>
      <c r="R3738" s="10"/>
    </row>
    <row r="3739" spans="1:18">
      <c r="A3739" s="10"/>
      <c r="B3739" s="45" t="s">
        <v>1434</v>
      </c>
      <c r="C3739" s="45" t="s">
        <v>494</v>
      </c>
      <c r="D3739" s="10"/>
      <c r="E3739" s="10"/>
      <c r="F3739" s="10"/>
      <c r="G3739" s="10"/>
      <c r="H3739" s="10"/>
      <c r="I3739" s="10"/>
      <c r="J3739" s="10"/>
      <c r="K3739" s="16">
        <v>16</v>
      </c>
      <c r="L3739" s="31"/>
      <c r="M3739" s="45">
        <v>1</v>
      </c>
      <c r="N3739" s="10"/>
      <c r="O3739" s="10"/>
      <c r="P3739" s="10"/>
      <c r="Q3739" s="10"/>
      <c r="R3739" s="10"/>
    </row>
    <row r="3740" spans="1:18">
      <c r="A3740" s="10"/>
      <c r="B3740" s="45" t="s">
        <v>1435</v>
      </c>
      <c r="C3740" s="45" t="s">
        <v>494</v>
      </c>
      <c r="D3740" s="10"/>
      <c r="E3740" s="10"/>
      <c r="F3740" s="10"/>
      <c r="G3740" s="10"/>
      <c r="H3740" s="10"/>
      <c r="I3740" s="10"/>
      <c r="J3740" s="10"/>
      <c r="K3740" s="16">
        <v>17</v>
      </c>
      <c r="L3740" s="31"/>
      <c r="M3740" s="45">
        <v>1</v>
      </c>
      <c r="N3740" s="10"/>
      <c r="O3740" s="10"/>
      <c r="P3740" s="10"/>
      <c r="Q3740" s="10"/>
      <c r="R3740" s="10"/>
    </row>
    <row r="3741" spans="1:18">
      <c r="A3741" s="10"/>
      <c r="B3741" s="45" t="s">
        <v>1436</v>
      </c>
      <c r="C3741" s="45" t="s">
        <v>494</v>
      </c>
      <c r="D3741" s="10"/>
      <c r="E3741" s="10"/>
      <c r="F3741" s="10"/>
      <c r="G3741" s="10"/>
      <c r="H3741" s="10"/>
      <c r="I3741" s="10"/>
      <c r="J3741" s="10"/>
      <c r="K3741" s="16">
        <v>18</v>
      </c>
      <c r="L3741" s="31"/>
      <c r="M3741" s="45">
        <v>1</v>
      </c>
      <c r="N3741" s="10"/>
      <c r="O3741" s="10"/>
      <c r="P3741" s="10"/>
      <c r="Q3741" s="10"/>
      <c r="R3741" s="10"/>
    </row>
    <row r="3742" spans="1:18">
      <c r="A3742" s="10"/>
      <c r="B3742" s="45" t="s">
        <v>1437</v>
      </c>
      <c r="C3742" s="45" t="s">
        <v>494</v>
      </c>
      <c r="D3742" s="10"/>
      <c r="E3742" s="10"/>
      <c r="F3742" s="10"/>
      <c r="G3742" s="10"/>
      <c r="H3742" s="10"/>
      <c r="I3742" s="10"/>
      <c r="J3742" s="10"/>
      <c r="K3742" s="16">
        <v>19</v>
      </c>
      <c r="L3742" s="31"/>
      <c r="M3742" s="45">
        <v>1</v>
      </c>
      <c r="N3742" s="10"/>
      <c r="O3742" s="10"/>
      <c r="P3742" s="10"/>
      <c r="Q3742" s="10"/>
      <c r="R3742" s="10"/>
    </row>
    <row r="3743" spans="1:18">
      <c r="A3743" s="10"/>
      <c r="B3743" s="45" t="s">
        <v>1438</v>
      </c>
      <c r="C3743" s="45" t="s">
        <v>494</v>
      </c>
      <c r="D3743" s="10"/>
      <c r="E3743" s="10"/>
      <c r="F3743" s="10"/>
      <c r="G3743" s="10"/>
      <c r="H3743" s="10"/>
      <c r="I3743" s="10"/>
      <c r="J3743" s="10"/>
      <c r="K3743" s="16">
        <v>20</v>
      </c>
      <c r="L3743" s="31"/>
      <c r="M3743" s="45">
        <v>1</v>
      </c>
      <c r="N3743" s="10"/>
      <c r="O3743" s="10"/>
      <c r="P3743" s="10"/>
      <c r="Q3743" s="10"/>
      <c r="R3743" s="10"/>
    </row>
    <row r="3744" spans="1:18">
      <c r="A3744" s="10"/>
      <c r="B3744" s="45" t="s">
        <v>1463</v>
      </c>
      <c r="C3744" s="45" t="s">
        <v>493</v>
      </c>
      <c r="D3744" s="10">
        <v>1</v>
      </c>
      <c r="E3744" s="10"/>
      <c r="F3744" s="10"/>
      <c r="G3744" s="10"/>
      <c r="H3744" s="10"/>
      <c r="I3744" s="10"/>
      <c r="J3744" s="10"/>
      <c r="K3744" s="16">
        <v>21</v>
      </c>
      <c r="L3744" s="31"/>
      <c r="M3744" s="45">
        <v>1</v>
      </c>
      <c r="N3744" s="10"/>
      <c r="O3744" s="10"/>
      <c r="P3744" s="10"/>
      <c r="Q3744" s="10"/>
      <c r="R3744" s="10"/>
    </row>
    <row r="3745" spans="1:18">
      <c r="A3745" s="10"/>
      <c r="B3745" s="45"/>
      <c r="C3745" s="10"/>
      <c r="D3745" s="10"/>
      <c r="E3745" s="10"/>
      <c r="F3745" s="10"/>
      <c r="G3745" s="10"/>
      <c r="H3745" s="10"/>
      <c r="I3745" s="10"/>
      <c r="J3745" s="10"/>
      <c r="K3745" s="16"/>
      <c r="L3745" s="31"/>
      <c r="M3745" s="10"/>
      <c r="N3745" s="10"/>
      <c r="O3745" s="10"/>
      <c r="P3745" s="10"/>
      <c r="Q3745" s="10"/>
      <c r="R3745" s="10"/>
    </row>
    <row r="3746" spans="1:18">
      <c r="A3746" s="45" t="s">
        <v>1454</v>
      </c>
      <c r="B3746" s="45" t="s">
        <v>1426</v>
      </c>
      <c r="C3746" s="45" t="s">
        <v>494</v>
      </c>
      <c r="D3746" s="10"/>
      <c r="E3746" s="45" t="s">
        <v>476</v>
      </c>
      <c r="F3746" s="10">
        <v>15</v>
      </c>
      <c r="G3746" s="10">
        <v>1522</v>
      </c>
      <c r="H3746" s="45" t="s">
        <v>1458</v>
      </c>
      <c r="I3746" s="45" t="s">
        <v>1459</v>
      </c>
      <c r="J3746" s="10">
        <v>1501</v>
      </c>
      <c r="K3746" s="16">
        <v>1</v>
      </c>
      <c r="L3746" s="31">
        <v>52</v>
      </c>
      <c r="M3746" s="10"/>
      <c r="N3746" s="10">
        <v>1521</v>
      </c>
      <c r="O3746" s="45" t="s">
        <v>1417</v>
      </c>
      <c r="P3746" s="10"/>
      <c r="Q3746" s="10"/>
      <c r="R3746" s="10"/>
    </row>
    <row r="3747" spans="1:18">
      <c r="A3747" s="45"/>
      <c r="B3747" s="45" t="s">
        <v>1427</v>
      </c>
      <c r="C3747" s="45" t="s">
        <v>494</v>
      </c>
      <c r="D3747" s="10"/>
      <c r="E3747" s="45" t="s">
        <v>476</v>
      </c>
      <c r="F3747" s="10"/>
      <c r="G3747" s="10"/>
      <c r="H3747" s="10"/>
      <c r="I3747" s="10"/>
      <c r="J3747" s="10"/>
      <c r="K3747" s="16">
        <v>2</v>
      </c>
      <c r="L3747" s="31">
        <v>6</v>
      </c>
      <c r="M3747" s="10"/>
      <c r="N3747" s="10"/>
      <c r="O3747" s="10"/>
      <c r="P3747" s="10"/>
      <c r="Q3747" s="10"/>
      <c r="R3747" s="10"/>
    </row>
    <row r="3748" spans="1:18">
      <c r="A3748" s="45"/>
      <c r="B3748" s="45" t="s">
        <v>1428</v>
      </c>
      <c r="C3748" s="45" t="s">
        <v>494</v>
      </c>
      <c r="D3748" s="10"/>
      <c r="E3748" s="10"/>
      <c r="F3748" s="10"/>
      <c r="G3748" s="10"/>
      <c r="H3748" s="10"/>
      <c r="I3748" s="10"/>
      <c r="J3748" s="10"/>
      <c r="K3748" s="16">
        <v>3</v>
      </c>
      <c r="L3748" s="31">
        <v>6</v>
      </c>
      <c r="M3748" s="10"/>
      <c r="N3748" s="10"/>
      <c r="O3748" s="10"/>
      <c r="P3748" s="10"/>
      <c r="Q3748" s="10"/>
      <c r="R3748" s="10"/>
    </row>
    <row r="3749" spans="1:18">
      <c r="A3749" s="10"/>
      <c r="B3749" s="45" t="s">
        <v>1461</v>
      </c>
      <c r="C3749" s="10" t="s">
        <v>494</v>
      </c>
      <c r="D3749" s="10"/>
      <c r="E3749" s="10"/>
      <c r="F3749" s="10"/>
      <c r="G3749" s="10"/>
      <c r="H3749" s="10"/>
      <c r="I3749" s="10"/>
      <c r="J3749" s="10"/>
      <c r="K3749" s="16">
        <v>4</v>
      </c>
      <c r="L3749" s="31">
        <v>3</v>
      </c>
      <c r="M3749" s="10"/>
      <c r="N3749" s="45" t="s">
        <v>1482</v>
      </c>
      <c r="O3749" s="45" t="s">
        <v>1451</v>
      </c>
      <c r="P3749" s="45" t="s">
        <v>1452</v>
      </c>
      <c r="Q3749" s="10"/>
      <c r="R3749" s="10"/>
    </row>
    <row r="3750" spans="1:18">
      <c r="A3750" s="45"/>
      <c r="B3750" s="45" t="s">
        <v>1457</v>
      </c>
      <c r="C3750" s="45" t="s">
        <v>494</v>
      </c>
      <c r="D3750" s="10"/>
      <c r="E3750" s="10"/>
      <c r="F3750" s="10"/>
      <c r="G3750" s="10"/>
      <c r="H3750" s="45" t="s">
        <v>1439</v>
      </c>
      <c r="I3750" s="10"/>
      <c r="J3750" s="10"/>
      <c r="K3750" s="16">
        <v>5</v>
      </c>
      <c r="L3750" s="53">
        <v>3</v>
      </c>
      <c r="M3750" s="10"/>
      <c r="N3750" s="45" t="s">
        <v>1450</v>
      </c>
      <c r="O3750" s="45" t="s">
        <v>1451</v>
      </c>
      <c r="P3750" s="45" t="s">
        <v>1452</v>
      </c>
      <c r="Q3750" s="10"/>
      <c r="R3750" s="10"/>
    </row>
    <row r="3751" spans="1:18">
      <c r="A3751" s="45"/>
      <c r="B3751" s="45" t="s">
        <v>1440</v>
      </c>
      <c r="C3751" s="45" t="s">
        <v>493</v>
      </c>
      <c r="D3751" s="10">
        <v>50</v>
      </c>
      <c r="E3751" s="10"/>
      <c r="F3751" s="10"/>
      <c r="G3751" s="10"/>
      <c r="H3751" s="10"/>
      <c r="I3751" s="10"/>
      <c r="J3751" s="10"/>
      <c r="K3751" s="16">
        <v>6</v>
      </c>
      <c r="L3751" s="31"/>
      <c r="M3751" s="10"/>
      <c r="N3751" s="10"/>
      <c r="P3751" s="10"/>
      <c r="Q3751" s="10"/>
      <c r="R3751" s="10"/>
    </row>
    <row r="3752" spans="1:18">
      <c r="A3752" s="45"/>
      <c r="B3752" s="45" t="s">
        <v>1448</v>
      </c>
      <c r="C3752" s="45" t="s">
        <v>493</v>
      </c>
      <c r="D3752" s="10">
        <v>1</v>
      </c>
      <c r="E3752" s="10"/>
      <c r="F3752" s="10"/>
      <c r="G3752" s="10"/>
      <c r="H3752" s="45" t="s">
        <v>1449</v>
      </c>
      <c r="I3752" s="10"/>
      <c r="J3752" s="10"/>
      <c r="K3752" s="16">
        <v>7</v>
      </c>
      <c r="L3752" s="31"/>
      <c r="M3752" s="10">
        <v>1</v>
      </c>
      <c r="N3752" s="10"/>
      <c r="O3752" s="10"/>
      <c r="P3752" s="10"/>
      <c r="Q3752" s="10"/>
      <c r="R3752" s="10"/>
    </row>
    <row r="3753" spans="1:18">
      <c r="A3753" s="45"/>
      <c r="B3753" s="45" t="s">
        <v>1441</v>
      </c>
      <c r="C3753" s="45" t="s">
        <v>520</v>
      </c>
      <c r="D3753" s="10"/>
      <c r="E3753" s="10"/>
      <c r="F3753" s="10"/>
      <c r="G3753" s="10"/>
      <c r="H3753" s="10"/>
      <c r="I3753" s="10"/>
      <c r="J3753" s="10"/>
      <c r="K3753" s="16">
        <v>8</v>
      </c>
      <c r="L3753" s="31"/>
      <c r="M3753" s="10"/>
      <c r="N3753" s="10"/>
      <c r="O3753" s="10"/>
      <c r="P3753" s="10"/>
      <c r="Q3753" s="10"/>
      <c r="R3753" s="10"/>
    </row>
    <row r="3754" spans="1:18">
      <c r="A3754" s="45"/>
      <c r="B3754" s="10"/>
      <c r="C3754" s="10"/>
      <c r="D3754" s="10"/>
      <c r="E3754" s="10"/>
      <c r="F3754" s="10"/>
      <c r="G3754" s="10"/>
      <c r="H3754" s="10"/>
      <c r="I3754" s="10"/>
      <c r="J3754" s="10"/>
      <c r="K3754" s="16"/>
      <c r="L3754" s="31"/>
      <c r="M3754" s="10"/>
      <c r="N3754" s="10"/>
      <c r="O3754" s="10"/>
      <c r="P3754" s="10"/>
      <c r="Q3754" s="10"/>
      <c r="R3754" s="10"/>
    </row>
    <row r="3755" spans="1:18">
      <c r="A3755" s="45" t="s">
        <v>1453</v>
      </c>
      <c r="B3755" s="45" t="s">
        <v>1444</v>
      </c>
      <c r="C3755" s="45" t="s">
        <v>494</v>
      </c>
      <c r="D3755" s="10"/>
      <c r="E3755" s="45" t="s">
        <v>476</v>
      </c>
      <c r="F3755" s="10">
        <v>15</v>
      </c>
      <c r="G3755" s="10">
        <v>1523</v>
      </c>
      <c r="H3755" s="45" t="s">
        <v>111</v>
      </c>
      <c r="I3755" s="45" t="s">
        <v>1460</v>
      </c>
      <c r="J3755" s="10"/>
      <c r="K3755" s="16">
        <v>1</v>
      </c>
      <c r="L3755" s="31">
        <v>52</v>
      </c>
      <c r="M3755" s="10"/>
      <c r="N3755" s="10">
        <v>1521</v>
      </c>
      <c r="O3755" s="45" t="s">
        <v>1417</v>
      </c>
      <c r="P3755" s="10"/>
      <c r="Q3755" s="10"/>
      <c r="R3755" s="10"/>
    </row>
    <row r="3756" spans="1:18">
      <c r="A3756" s="45"/>
      <c r="B3756" s="45" t="s">
        <v>1443</v>
      </c>
      <c r="C3756" s="45" t="s">
        <v>494</v>
      </c>
      <c r="D3756" s="10"/>
      <c r="E3756" s="45" t="s">
        <v>476</v>
      </c>
      <c r="F3756" s="10"/>
      <c r="G3756" s="10"/>
      <c r="H3756" s="10"/>
      <c r="I3756" s="10"/>
      <c r="J3756" s="10"/>
      <c r="K3756" s="16">
        <v>2</v>
      </c>
      <c r="L3756" s="10">
        <v>6</v>
      </c>
      <c r="N3756" s="10"/>
      <c r="O3756" s="10"/>
      <c r="P3756" s="10"/>
      <c r="Q3756" s="10"/>
      <c r="R3756" s="10"/>
    </row>
    <row r="3757" spans="1:18">
      <c r="A3757" s="10"/>
      <c r="B3757" s="45" t="s">
        <v>1442</v>
      </c>
      <c r="C3757" s="45" t="s">
        <v>494</v>
      </c>
      <c r="D3757" s="10"/>
      <c r="E3757" s="10"/>
      <c r="F3757" s="10"/>
      <c r="G3757" s="10"/>
      <c r="H3757" s="10"/>
      <c r="I3757" s="10"/>
      <c r="J3757" s="10"/>
      <c r="K3757" s="16">
        <v>3</v>
      </c>
      <c r="L3757" s="10">
        <v>6</v>
      </c>
      <c r="N3757" s="10"/>
      <c r="O3757" s="10"/>
      <c r="P3757" s="10"/>
      <c r="Q3757" s="10"/>
      <c r="R3757" s="10"/>
    </row>
    <row r="3758" spans="1:18">
      <c r="A3758" s="10"/>
      <c r="B3758" s="45" t="s">
        <v>1445</v>
      </c>
      <c r="C3758" s="45" t="s">
        <v>494</v>
      </c>
      <c r="D3758" s="10"/>
      <c r="E3758" s="10"/>
      <c r="F3758" s="10"/>
      <c r="G3758" s="10"/>
      <c r="H3758" s="10"/>
      <c r="I3758" s="10"/>
      <c r="J3758" s="10"/>
      <c r="K3758" s="16">
        <v>4</v>
      </c>
      <c r="L3758" s="53">
        <v>91</v>
      </c>
      <c r="M3758" s="10"/>
      <c r="N3758" s="10"/>
      <c r="O3758" s="10"/>
      <c r="P3758" s="10"/>
      <c r="Q3758" s="10"/>
      <c r="R3758" s="10"/>
    </row>
    <row r="3759" spans="1:18">
      <c r="A3759" s="10"/>
      <c r="B3759" s="45" t="s">
        <v>1446</v>
      </c>
      <c r="C3759" s="45" t="s">
        <v>494</v>
      </c>
      <c r="D3759" s="10"/>
      <c r="E3759" s="10"/>
      <c r="F3759" s="10"/>
      <c r="G3759" s="10"/>
      <c r="H3759" s="10"/>
      <c r="I3759" s="10"/>
      <c r="J3759" s="10"/>
      <c r="K3759" s="16">
        <v>5</v>
      </c>
      <c r="L3759" s="53">
        <v>92</v>
      </c>
      <c r="M3759" s="10"/>
      <c r="N3759" s="10"/>
      <c r="O3759" s="10"/>
      <c r="P3759" s="10"/>
      <c r="Q3759" s="10"/>
      <c r="R3759" s="10"/>
    </row>
    <row r="3760" spans="1:18">
      <c r="A3760" s="10"/>
      <c r="B3760" s="45" t="s">
        <v>1447</v>
      </c>
      <c r="C3760" s="45" t="s">
        <v>493</v>
      </c>
      <c r="D3760" s="10">
        <v>250</v>
      </c>
      <c r="E3760" s="10"/>
      <c r="F3760" s="10"/>
      <c r="G3760" s="10"/>
      <c r="H3760" s="10"/>
      <c r="I3760" s="10"/>
      <c r="J3760" s="10"/>
      <c r="K3760" s="16">
        <v>6</v>
      </c>
      <c r="L3760" s="31"/>
      <c r="M3760" s="10"/>
      <c r="N3760" s="10"/>
      <c r="O3760" s="10"/>
      <c r="P3760" s="10"/>
      <c r="Q3760" s="10"/>
      <c r="R3760" s="10"/>
    </row>
    <row r="3761" spans="1:18">
      <c r="A3761" s="10"/>
      <c r="B3761" s="45"/>
      <c r="C3761" s="45"/>
      <c r="D3761" s="10"/>
      <c r="E3761" s="10"/>
      <c r="F3761" s="10"/>
      <c r="G3761" s="10"/>
      <c r="H3761" s="10"/>
      <c r="I3761" s="10"/>
      <c r="J3761" s="10"/>
      <c r="K3761" s="16"/>
      <c r="L3761" s="31"/>
      <c r="M3761" s="10"/>
      <c r="N3761" s="10"/>
      <c r="O3761" s="10"/>
      <c r="P3761" s="10"/>
      <c r="Q3761" s="10"/>
      <c r="R3761" s="10"/>
    </row>
    <row r="3762" spans="1:18">
      <c r="A3762" s="45" t="s">
        <v>1482</v>
      </c>
      <c r="B3762" s="45" t="s">
        <v>1483</v>
      </c>
      <c r="C3762" s="45" t="s">
        <v>494</v>
      </c>
      <c r="D3762" s="10"/>
      <c r="E3762" s="45" t="s">
        <v>476</v>
      </c>
      <c r="F3762" s="10">
        <v>15</v>
      </c>
      <c r="G3762" s="10">
        <v>1524</v>
      </c>
      <c r="H3762" s="45" t="s">
        <v>1485</v>
      </c>
      <c r="I3762" s="45" t="s">
        <v>1486</v>
      </c>
      <c r="J3762" s="10">
        <v>2</v>
      </c>
      <c r="K3762" s="16">
        <v>1</v>
      </c>
      <c r="L3762" s="53">
        <v>6</v>
      </c>
      <c r="M3762" s="10"/>
      <c r="N3762" s="10"/>
      <c r="O3762" s="10"/>
      <c r="P3762" s="10"/>
      <c r="Q3762" s="10"/>
      <c r="R3762" s="10"/>
    </row>
    <row r="3763" spans="1:18">
      <c r="A3763" s="10"/>
      <c r="B3763" s="45" t="s">
        <v>1451</v>
      </c>
      <c r="C3763" s="45" t="s">
        <v>494</v>
      </c>
      <c r="D3763" s="10"/>
      <c r="E3763" s="10"/>
      <c r="F3763" s="10"/>
      <c r="G3763" s="10"/>
      <c r="H3763" s="10"/>
      <c r="I3763" s="10"/>
      <c r="J3763" s="10"/>
      <c r="K3763" s="16">
        <v>2</v>
      </c>
      <c r="L3763" s="53">
        <v>6</v>
      </c>
      <c r="M3763" s="10"/>
      <c r="N3763" s="10"/>
      <c r="O3763" s="10"/>
      <c r="P3763" s="10"/>
      <c r="Q3763" s="10"/>
      <c r="R3763" s="10"/>
    </row>
    <row r="3764" spans="1:18">
      <c r="A3764" s="10"/>
      <c r="B3764" s="45" t="s">
        <v>1484</v>
      </c>
      <c r="C3764" s="45" t="s">
        <v>493</v>
      </c>
      <c r="D3764" s="10">
        <v>1</v>
      </c>
      <c r="E3764" s="10"/>
      <c r="F3764" s="10"/>
      <c r="G3764" s="10"/>
      <c r="H3764" s="10"/>
      <c r="I3764" s="10"/>
      <c r="J3764" s="10"/>
      <c r="K3764" s="16">
        <v>3</v>
      </c>
      <c r="L3764" s="53">
        <v>3</v>
      </c>
      <c r="M3764" s="10"/>
      <c r="N3764" s="10"/>
      <c r="O3764" s="10"/>
      <c r="P3764" s="10"/>
      <c r="Q3764" s="10"/>
      <c r="R3764" s="10"/>
    </row>
    <row r="3765" spans="1:18">
      <c r="A3765" s="10"/>
      <c r="B3765" s="45" t="s">
        <v>1452</v>
      </c>
      <c r="C3765" s="45" t="s">
        <v>493</v>
      </c>
      <c r="D3765" s="10">
        <v>100</v>
      </c>
      <c r="E3765" s="10"/>
      <c r="F3765" s="10"/>
      <c r="G3765" s="10"/>
      <c r="H3765" s="10"/>
      <c r="I3765" s="10"/>
      <c r="J3765" s="10"/>
      <c r="K3765" s="16">
        <v>4</v>
      </c>
      <c r="L3765" s="31"/>
      <c r="M3765" s="10"/>
      <c r="N3765" s="10"/>
      <c r="O3765" s="10"/>
      <c r="P3765" s="10"/>
      <c r="Q3765" s="10"/>
      <c r="R3765" s="10"/>
    </row>
    <row r="3766" spans="1:18">
      <c r="A3766" s="10"/>
      <c r="B3766" s="45"/>
      <c r="C3766" s="45"/>
      <c r="D3766" s="10"/>
      <c r="E3766" s="10"/>
      <c r="F3766" s="10"/>
      <c r="G3766" s="10"/>
      <c r="H3766" s="10"/>
      <c r="I3766" s="10"/>
      <c r="J3766" s="10"/>
      <c r="K3766" s="16"/>
      <c r="L3766" s="31"/>
      <c r="M3766" s="10"/>
      <c r="N3766" s="10"/>
      <c r="O3766" s="10"/>
      <c r="P3766" s="10"/>
      <c r="Q3766" s="10"/>
      <c r="R3766" s="10"/>
    </row>
    <row r="3767" spans="1:18">
      <c r="A3767" s="10"/>
      <c r="B3767" s="45"/>
      <c r="C3767" s="45"/>
      <c r="D3767" s="10"/>
      <c r="E3767" s="10"/>
      <c r="F3767" s="10"/>
      <c r="G3767" s="10"/>
      <c r="H3767" s="10"/>
      <c r="I3767" s="10"/>
      <c r="J3767" s="10"/>
      <c r="K3767" s="16"/>
      <c r="L3767" s="31"/>
      <c r="M3767" s="10"/>
      <c r="N3767" s="10"/>
      <c r="O3767" s="10"/>
      <c r="P3767" s="10"/>
      <c r="Q3767" s="10"/>
      <c r="R3767" s="10"/>
    </row>
    <row r="3768" spans="1:18">
      <c r="A3768" s="10"/>
      <c r="B3768" s="45"/>
      <c r="C3768" s="45"/>
      <c r="D3768" s="10"/>
      <c r="E3768" s="10"/>
      <c r="F3768" s="10"/>
      <c r="G3768" s="10"/>
      <c r="H3768" s="10"/>
      <c r="I3768" s="10"/>
      <c r="J3768" s="10"/>
      <c r="K3768" s="16"/>
      <c r="L3768" s="31"/>
      <c r="M3768" s="10"/>
      <c r="N3768" s="10"/>
      <c r="O3768" s="10"/>
      <c r="P3768" s="10"/>
      <c r="Q3768" s="10"/>
      <c r="R3768" s="10"/>
    </row>
    <row r="3769" spans="1:18">
      <c r="A3769" s="10"/>
      <c r="B3769" s="45"/>
      <c r="C3769" s="45"/>
      <c r="D3769" s="10"/>
      <c r="E3769" s="10"/>
      <c r="F3769" s="10"/>
      <c r="G3769" s="10"/>
      <c r="H3769" s="10"/>
      <c r="I3769" s="10"/>
      <c r="J3769" s="10"/>
      <c r="K3769" s="16"/>
      <c r="L3769" s="31"/>
      <c r="M3769" s="10"/>
      <c r="N3769" s="10"/>
      <c r="O3769" s="10"/>
      <c r="P3769" s="10"/>
      <c r="Q3769" s="10"/>
      <c r="R3769" s="10"/>
    </row>
    <row r="3770" spans="1:18">
      <c r="A3770" s="10"/>
      <c r="B3770" s="45"/>
      <c r="C3770" s="45"/>
      <c r="D3770" s="10"/>
      <c r="E3770" s="10"/>
      <c r="F3770" s="10"/>
      <c r="G3770" s="10"/>
      <c r="H3770" s="10"/>
      <c r="I3770" s="10"/>
      <c r="J3770" s="10"/>
      <c r="K3770" s="16"/>
      <c r="L3770" s="31"/>
      <c r="M3770" s="10"/>
      <c r="N3770" s="10"/>
      <c r="O3770" s="10"/>
      <c r="P3770" s="10"/>
      <c r="Q3770" s="10"/>
      <c r="R3770" s="10"/>
    </row>
    <row r="3771" spans="1:18">
      <c r="A3771" s="10"/>
      <c r="B3771" s="45"/>
      <c r="C3771" s="45"/>
      <c r="D3771" s="10"/>
      <c r="E3771" s="10"/>
      <c r="F3771" s="10"/>
      <c r="G3771" s="10"/>
      <c r="H3771" s="10"/>
      <c r="I3771" s="10"/>
      <c r="J3771" s="10"/>
      <c r="K3771" s="16"/>
      <c r="L3771" s="31"/>
      <c r="M3771" s="10"/>
      <c r="N3771" s="10"/>
      <c r="O3771" s="10"/>
      <c r="P3771" s="10"/>
      <c r="Q3771" s="10"/>
      <c r="R3771" s="10"/>
    </row>
    <row r="3772" spans="1:18">
      <c r="A3772" s="10"/>
      <c r="B3772" s="45"/>
      <c r="C3772" s="45"/>
      <c r="D3772" s="10"/>
      <c r="E3772" s="10"/>
      <c r="F3772" s="10"/>
      <c r="G3772" s="10"/>
      <c r="H3772" s="10"/>
      <c r="I3772" s="10"/>
      <c r="J3772" s="10"/>
      <c r="K3772" s="16"/>
      <c r="L3772" s="31"/>
      <c r="M3772" s="10"/>
      <c r="N3772" s="10"/>
      <c r="O3772" s="10"/>
      <c r="P3772" s="10"/>
      <c r="Q3772" s="10"/>
      <c r="R3772" s="10"/>
    </row>
    <row r="3773" spans="1:18">
      <c r="A3773" s="10"/>
      <c r="B3773" s="45"/>
      <c r="C3773" s="10"/>
      <c r="D3773" s="10"/>
      <c r="E3773" s="10"/>
      <c r="F3773" s="10"/>
      <c r="G3773" s="10"/>
      <c r="H3773" s="10"/>
      <c r="I3773" s="10"/>
      <c r="J3773" s="10"/>
      <c r="K3773" s="16"/>
      <c r="L3773" s="31"/>
      <c r="M3773" s="10"/>
      <c r="N3773" s="10"/>
      <c r="O3773" s="10"/>
      <c r="P3773" s="10"/>
      <c r="Q3773" s="10"/>
      <c r="R3773" s="10"/>
    </row>
    <row r="3774" spans="1:18">
      <c r="A3774" s="10"/>
      <c r="B3774" s="45"/>
      <c r="C3774" s="10"/>
      <c r="D3774" s="10"/>
      <c r="E3774" s="10"/>
      <c r="F3774" s="10"/>
      <c r="G3774" s="10"/>
      <c r="H3774" s="10"/>
      <c r="I3774" s="10"/>
      <c r="J3774" s="10"/>
      <c r="K3774" s="16"/>
      <c r="L3774" s="31"/>
      <c r="M3774" s="10"/>
      <c r="N3774" s="10"/>
      <c r="O3774" s="10"/>
      <c r="P3774" s="10"/>
      <c r="Q3774" s="10"/>
      <c r="R3774" s="10"/>
    </row>
    <row r="3775" spans="1:18">
      <c r="A3775" s="10"/>
      <c r="B3775" s="45"/>
      <c r="C3775" s="10"/>
      <c r="D3775" s="10"/>
      <c r="E3775" s="10"/>
      <c r="F3775" s="10"/>
      <c r="G3775" s="10"/>
      <c r="H3775" s="10"/>
      <c r="I3775" s="10"/>
      <c r="J3775" s="10"/>
      <c r="K3775" s="16"/>
      <c r="L3775" s="31"/>
      <c r="M3775" s="10"/>
      <c r="N3775" s="10"/>
      <c r="O3775" s="10"/>
      <c r="P3775" s="10"/>
      <c r="Q3775" s="10"/>
      <c r="R3775" s="10"/>
    </row>
    <row r="3776" spans="1:18">
      <c r="F3776" s="14"/>
      <c r="G3776" s="14"/>
      <c r="H3776" s="14"/>
      <c r="I3776" s="11"/>
      <c r="J3776" s="14"/>
      <c r="K3776" s="16"/>
      <c r="L3776" s="15"/>
      <c r="M3776" s="14"/>
      <c r="N3776" s="14"/>
      <c r="O3776" s="14"/>
      <c r="P3776" s="14"/>
      <c r="Q3776" s="14"/>
      <c r="R3776" s="14"/>
    </row>
    <row r="3777" spans="1:18">
      <c r="F3777" s="14"/>
      <c r="G3777" s="14"/>
      <c r="H3777" s="14"/>
      <c r="I3777" s="11"/>
      <c r="J3777" s="14"/>
      <c r="K3777" s="16"/>
      <c r="L3777" s="15"/>
      <c r="M3777" s="14"/>
      <c r="N3777" s="14"/>
      <c r="O3777" s="14"/>
      <c r="P3777" s="14"/>
      <c r="Q3777" s="14"/>
      <c r="R3777" s="14"/>
    </row>
    <row r="3779" spans="1:18">
      <c r="B3779" s="41"/>
      <c r="F3779" s="14"/>
      <c r="G3779" s="14"/>
      <c r="H3779" s="26"/>
      <c r="I3779" s="11"/>
      <c r="J3779" s="14"/>
      <c r="K3779" s="16"/>
      <c r="L3779" s="15"/>
      <c r="M3779" s="14"/>
      <c r="N3779" s="23"/>
      <c r="O3779" s="14"/>
      <c r="P3779" s="14"/>
      <c r="Q3779" s="14"/>
      <c r="R3779" s="14"/>
    </row>
    <row r="3780" spans="1:18">
      <c r="A3780" s="1" t="s">
        <v>1202</v>
      </c>
      <c r="B3780" s="29" t="s">
        <v>1203</v>
      </c>
      <c r="C3780" s="1" t="s">
        <v>494</v>
      </c>
      <c r="E3780" s="1" t="s">
        <v>476</v>
      </c>
      <c r="F3780" s="14">
        <v>19</v>
      </c>
      <c r="G3780" s="14">
        <v>1906</v>
      </c>
      <c r="H3780" s="14" t="s">
        <v>1208</v>
      </c>
      <c r="I3780" s="11" t="s">
        <v>1209</v>
      </c>
      <c r="J3780" s="14">
        <v>1</v>
      </c>
      <c r="K3780" s="16">
        <v>1</v>
      </c>
      <c r="L3780" s="15">
        <v>6</v>
      </c>
      <c r="M3780" s="14"/>
      <c r="P3780" s="14"/>
      <c r="Q3780" s="14"/>
      <c r="R3780" s="14"/>
    </row>
    <row r="3781" spans="1:18">
      <c r="B3781" s="29" t="s">
        <v>1204</v>
      </c>
      <c r="C3781" s="1" t="s">
        <v>494</v>
      </c>
      <c r="F3781" s="14"/>
      <c r="G3781" s="14"/>
      <c r="H3781" s="14"/>
      <c r="I3781" s="11"/>
      <c r="J3781" s="14"/>
      <c r="K3781" s="16">
        <v>2</v>
      </c>
      <c r="L3781" s="15">
        <v>6</v>
      </c>
      <c r="M3781" s="14"/>
      <c r="P3781" s="14"/>
      <c r="Q3781" s="14"/>
      <c r="R3781" s="14"/>
    </row>
    <row r="3782" spans="1:18">
      <c r="B3782" s="29" t="s">
        <v>1205</v>
      </c>
      <c r="C3782" s="1" t="s">
        <v>493</v>
      </c>
      <c r="D3782" s="1">
        <v>100</v>
      </c>
      <c r="F3782" s="14"/>
      <c r="G3782" s="14"/>
      <c r="H3782" s="14"/>
      <c r="I3782" s="11"/>
      <c r="J3782" s="14"/>
      <c r="K3782" s="16">
        <v>3</v>
      </c>
      <c r="L3782" s="15"/>
      <c r="M3782" s="14"/>
      <c r="P3782" s="14"/>
      <c r="Q3782" s="14"/>
      <c r="R3782" s="14"/>
    </row>
    <row r="3783" spans="1:18">
      <c r="B3783" s="29" t="s">
        <v>1206</v>
      </c>
      <c r="C3783" s="1" t="s">
        <v>494</v>
      </c>
      <c r="F3783" s="14"/>
      <c r="G3783" s="14"/>
      <c r="H3783" s="14"/>
      <c r="I3783" s="11"/>
      <c r="J3783" s="14"/>
      <c r="K3783" s="16">
        <v>4</v>
      </c>
      <c r="L3783" s="15">
        <v>91</v>
      </c>
      <c r="M3783" s="14"/>
      <c r="P3783" s="14"/>
      <c r="Q3783" s="14"/>
      <c r="R3783" s="14"/>
    </row>
    <row r="3784" spans="1:18">
      <c r="B3784" s="29" t="s">
        <v>1207</v>
      </c>
      <c r="C3784" s="1" t="s">
        <v>494</v>
      </c>
      <c r="F3784" s="14"/>
      <c r="G3784" s="14"/>
      <c r="H3784" s="14"/>
      <c r="I3784" s="11"/>
      <c r="J3784" s="14"/>
      <c r="K3784" s="16">
        <v>5</v>
      </c>
      <c r="L3784" s="15">
        <v>92</v>
      </c>
      <c r="M3784" s="14"/>
      <c r="P3784" s="14"/>
      <c r="Q3784" s="14"/>
      <c r="R3784" s="14"/>
    </row>
    <row r="3785" spans="1:18">
      <c r="B3785" s="29"/>
      <c r="F3785" s="14"/>
      <c r="G3785" s="14"/>
      <c r="H3785" s="14"/>
      <c r="I3785" s="11"/>
      <c r="J3785" s="14"/>
      <c r="K3785" s="16"/>
      <c r="L3785" s="15"/>
      <c r="M3785" s="14"/>
      <c r="P3785" s="14"/>
      <c r="Q3785" s="14"/>
      <c r="R3785" s="14"/>
    </row>
    <row r="3786" spans="1:18">
      <c r="A3786" s="1" t="s">
        <v>1210</v>
      </c>
      <c r="B3786" s="29" t="s">
        <v>1211</v>
      </c>
      <c r="C3786" s="1" t="s">
        <v>494</v>
      </c>
      <c r="E3786" s="1" t="s">
        <v>476</v>
      </c>
      <c r="F3786" s="14">
        <v>19</v>
      </c>
      <c r="G3786" s="14">
        <v>1907</v>
      </c>
      <c r="H3786" s="14" t="s">
        <v>1214</v>
      </c>
      <c r="I3786" s="11" t="s">
        <v>1215</v>
      </c>
      <c r="J3786" s="14">
        <v>1</v>
      </c>
      <c r="K3786" s="16">
        <v>1</v>
      </c>
      <c r="L3786" s="15">
        <v>52</v>
      </c>
      <c r="M3786" s="14"/>
      <c r="N3786" s="1">
        <v>1906</v>
      </c>
      <c r="O3786" s="1" t="s">
        <v>1204</v>
      </c>
      <c r="P3786" s="14"/>
      <c r="Q3786" s="14"/>
      <c r="R3786" s="14"/>
    </row>
    <row r="3787" spans="1:18">
      <c r="B3787" s="29" t="s">
        <v>1212</v>
      </c>
      <c r="C3787" s="1" t="s">
        <v>494</v>
      </c>
      <c r="E3787" s="1" t="s">
        <v>476</v>
      </c>
      <c r="F3787" s="14"/>
      <c r="G3787" s="14"/>
      <c r="H3787" s="14"/>
      <c r="I3787" s="11"/>
      <c r="J3787" s="14"/>
      <c r="K3787" s="16">
        <v>2</v>
      </c>
      <c r="L3787" s="15">
        <v>6</v>
      </c>
      <c r="M3787" s="14"/>
      <c r="P3787" s="14"/>
      <c r="Q3787" s="14"/>
      <c r="R3787" s="14"/>
    </row>
    <row r="3788" spans="1:18">
      <c r="B3788" s="29" t="s">
        <v>1213</v>
      </c>
      <c r="C3788" s="1" t="s">
        <v>494</v>
      </c>
      <c r="F3788" s="14"/>
      <c r="G3788" s="14"/>
      <c r="H3788" s="14"/>
      <c r="I3788" s="11"/>
      <c r="J3788" s="14"/>
      <c r="K3788" s="16">
        <v>3</v>
      </c>
      <c r="L3788" s="15">
        <v>6</v>
      </c>
      <c r="M3788" s="14"/>
      <c r="P3788" s="14"/>
      <c r="Q3788" s="14"/>
      <c r="R3788" s="14"/>
    </row>
    <row r="3789" spans="1:18">
      <c r="B3789" s="29" t="s">
        <v>1216</v>
      </c>
      <c r="C3789" s="1" t="s">
        <v>494</v>
      </c>
      <c r="F3789" s="14"/>
      <c r="G3789" s="14"/>
      <c r="H3789" s="14"/>
      <c r="I3789" s="11"/>
      <c r="J3789" s="14"/>
      <c r="K3789" s="16">
        <v>4</v>
      </c>
      <c r="L3789" s="15">
        <v>3</v>
      </c>
      <c r="M3789" s="14"/>
      <c r="N3789" s="1" t="s">
        <v>1304</v>
      </c>
      <c r="O3789" s="29" t="s">
        <v>1305</v>
      </c>
      <c r="P3789" s="29" t="s">
        <v>1306</v>
      </c>
      <c r="Q3789" s="14"/>
      <c r="R3789" s="14"/>
    </row>
    <row r="3790" spans="1:18">
      <c r="B3790" s="29" t="s">
        <v>1217</v>
      </c>
      <c r="C3790" s="1" t="s">
        <v>494</v>
      </c>
      <c r="F3790" s="14"/>
      <c r="G3790" s="14"/>
      <c r="H3790" s="14"/>
      <c r="I3790" s="11"/>
      <c r="J3790" s="14"/>
      <c r="K3790" s="16">
        <v>5</v>
      </c>
      <c r="L3790" s="15"/>
      <c r="M3790" s="14"/>
      <c r="P3790" s="14"/>
      <c r="Q3790" s="14"/>
      <c r="R3790" s="14"/>
    </row>
    <row r="3791" spans="1:18">
      <c r="B3791" s="29" t="s">
        <v>1219</v>
      </c>
      <c r="C3791" s="1" t="s">
        <v>494</v>
      </c>
      <c r="F3791" s="14"/>
      <c r="G3791" s="14"/>
      <c r="H3791" s="14"/>
      <c r="I3791" s="11"/>
      <c r="J3791" s="14"/>
      <c r="K3791" s="16">
        <v>6</v>
      </c>
      <c r="L3791" s="15"/>
      <c r="M3791" s="14"/>
      <c r="P3791" s="14"/>
      <c r="Q3791" s="14"/>
      <c r="R3791" s="14"/>
    </row>
    <row r="3792" spans="1:18">
      <c r="B3792" s="29" t="s">
        <v>1218</v>
      </c>
      <c r="C3792" s="1" t="s">
        <v>494</v>
      </c>
      <c r="F3792" s="14"/>
      <c r="G3792" s="14"/>
      <c r="H3792" s="14"/>
      <c r="I3792" s="11"/>
      <c r="J3792" s="14"/>
      <c r="K3792" s="16">
        <v>7</v>
      </c>
      <c r="L3792" s="15"/>
      <c r="M3792" s="14"/>
      <c r="P3792" s="14"/>
      <c r="Q3792" s="14"/>
      <c r="R3792" s="14"/>
    </row>
    <row r="3793" spans="1:18">
      <c r="B3793" s="29" t="s">
        <v>1220</v>
      </c>
      <c r="C3793" s="1" t="s">
        <v>493</v>
      </c>
      <c r="D3793" s="1">
        <v>20</v>
      </c>
      <c r="F3793" s="14"/>
      <c r="G3793" s="14"/>
      <c r="H3793" s="14"/>
      <c r="I3793" s="11"/>
      <c r="J3793" s="14"/>
      <c r="K3793" s="16">
        <v>8</v>
      </c>
      <c r="L3793" s="15">
        <v>3</v>
      </c>
      <c r="M3793" s="14"/>
      <c r="N3793" s="1" t="s">
        <v>329</v>
      </c>
      <c r="O3793" s="1" t="s">
        <v>330</v>
      </c>
      <c r="P3793" s="1" t="s">
        <v>331</v>
      </c>
      <c r="Q3793" s="14"/>
      <c r="R3793" s="14"/>
    </row>
    <row r="3794" spans="1:18">
      <c r="B3794" s="29" t="s">
        <v>1221</v>
      </c>
      <c r="C3794" s="1" t="s">
        <v>493</v>
      </c>
      <c r="D3794" s="1">
        <v>1</v>
      </c>
      <c r="F3794" s="14"/>
      <c r="G3794" s="14"/>
      <c r="H3794" s="14"/>
      <c r="I3794" s="11"/>
      <c r="J3794" s="14"/>
      <c r="K3794" s="16">
        <v>9</v>
      </c>
      <c r="L3794" s="15">
        <v>3</v>
      </c>
      <c r="M3794" s="14"/>
      <c r="N3794" s="1" t="s">
        <v>332</v>
      </c>
      <c r="O3794" s="1" t="s">
        <v>333</v>
      </c>
      <c r="P3794" s="1" t="s">
        <v>334</v>
      </c>
      <c r="Q3794" s="14"/>
      <c r="R3794" s="14"/>
    </row>
    <row r="3795" spans="1:18">
      <c r="B3795" s="29" t="s">
        <v>1222</v>
      </c>
      <c r="C3795" s="1" t="s">
        <v>494</v>
      </c>
      <c r="F3795" s="14"/>
      <c r="G3795" s="14"/>
      <c r="H3795" s="14"/>
      <c r="I3795" s="11"/>
      <c r="J3795" s="14"/>
      <c r="K3795" s="16">
        <v>10</v>
      </c>
      <c r="L3795" s="15">
        <v>3</v>
      </c>
      <c r="M3795" s="14"/>
      <c r="P3795" s="14"/>
      <c r="Q3795" s="14"/>
      <c r="R3795" s="14"/>
    </row>
    <row r="3796" spans="1:18">
      <c r="B3796" s="29" t="s">
        <v>1223</v>
      </c>
      <c r="C3796" s="1" t="s">
        <v>493</v>
      </c>
      <c r="D3796" s="1">
        <v>10</v>
      </c>
      <c r="F3796" s="14"/>
      <c r="G3796" s="14"/>
      <c r="H3796" s="14"/>
      <c r="I3796" s="11"/>
      <c r="J3796" s="14"/>
      <c r="K3796" s="16">
        <v>11</v>
      </c>
      <c r="L3796" s="15"/>
      <c r="M3796" s="14"/>
      <c r="P3796" s="14"/>
      <c r="Q3796" s="14"/>
      <c r="R3796" s="14"/>
    </row>
    <row r="3797" spans="1:18">
      <c r="B3797" s="29" t="s">
        <v>1224</v>
      </c>
      <c r="C3797" s="1" t="s">
        <v>493</v>
      </c>
      <c r="D3797" s="1">
        <v>1</v>
      </c>
      <c r="F3797" s="14"/>
      <c r="G3797" s="14"/>
      <c r="H3797" s="14"/>
      <c r="I3797" s="11"/>
      <c r="J3797" s="14"/>
      <c r="K3797" s="16">
        <v>12</v>
      </c>
      <c r="L3797" s="15">
        <v>3</v>
      </c>
      <c r="M3797" s="14"/>
      <c r="N3797" s="1" t="s">
        <v>326</v>
      </c>
      <c r="O3797" s="1" t="s">
        <v>327</v>
      </c>
      <c r="P3797" s="1" t="s">
        <v>328</v>
      </c>
      <c r="Q3797" s="14"/>
      <c r="R3797" s="14"/>
    </row>
    <row r="3798" spans="1:18">
      <c r="B3798" s="29"/>
      <c r="F3798" s="14"/>
      <c r="G3798" s="14"/>
      <c r="H3798" s="14"/>
      <c r="I3798" s="11"/>
      <c r="J3798" s="14"/>
      <c r="K3798" s="16"/>
      <c r="L3798" s="15"/>
      <c r="M3798" s="14"/>
      <c r="P3798" s="14"/>
      <c r="Q3798" s="14"/>
      <c r="R3798" s="14"/>
    </row>
    <row r="3799" spans="1:18">
      <c r="B3799" s="29"/>
      <c r="F3799" s="14"/>
      <c r="G3799" s="14"/>
      <c r="H3799" s="14"/>
      <c r="I3799" s="11"/>
      <c r="J3799" s="14"/>
      <c r="K3799" s="16"/>
      <c r="L3799" s="15"/>
      <c r="M3799" s="14"/>
      <c r="P3799" s="14"/>
      <c r="Q3799" s="14"/>
      <c r="R3799" s="14"/>
    </row>
    <row r="3800" spans="1:18">
      <c r="B3800" s="29"/>
      <c r="F3800" s="14"/>
      <c r="G3800" s="14"/>
      <c r="H3800" s="14"/>
      <c r="I3800" s="11"/>
      <c r="J3800" s="14"/>
      <c r="K3800" s="16"/>
      <c r="L3800" s="15"/>
      <c r="M3800" s="14"/>
      <c r="P3800" s="14"/>
      <c r="Q3800" s="14"/>
      <c r="R3800" s="14"/>
    </row>
    <row r="3801" spans="1:18">
      <c r="B3801" s="29"/>
      <c r="F3801" s="14"/>
      <c r="G3801" s="14"/>
      <c r="H3801" s="14"/>
      <c r="I3801" s="11"/>
      <c r="J3801" s="14"/>
      <c r="K3801" s="16"/>
      <c r="L3801" s="15"/>
      <c r="M3801" s="14"/>
      <c r="P3801" s="14"/>
      <c r="Q3801" s="14"/>
      <c r="R3801" s="14"/>
    </row>
    <row r="3804" spans="1:18">
      <c r="B3804" s="29"/>
      <c r="F3804" s="14"/>
      <c r="G3804" s="14"/>
      <c r="H3804" s="14"/>
      <c r="I3804" s="11"/>
      <c r="J3804" s="14"/>
      <c r="K3804" s="16"/>
      <c r="L3804" s="15"/>
      <c r="M3804" s="14"/>
      <c r="N3804" s="23"/>
      <c r="O3804" s="14"/>
      <c r="P3804" s="14"/>
      <c r="Q3804" s="14"/>
      <c r="R3804" s="14"/>
    </row>
    <row r="3805" spans="1:18">
      <c r="B3805" s="23"/>
      <c r="F3805" s="14"/>
      <c r="G3805" s="14"/>
      <c r="H3805" s="14"/>
      <c r="I3805" s="11"/>
      <c r="J3805" s="14"/>
      <c r="K3805" s="16"/>
      <c r="L3805" s="15"/>
      <c r="M3805" s="14"/>
      <c r="N3805" s="23"/>
      <c r="O3805" s="14"/>
      <c r="P3805" s="14"/>
      <c r="Q3805" s="14"/>
      <c r="R3805" s="14"/>
    </row>
    <row r="3806" spans="1:18" ht="13.5" customHeight="1">
      <c r="A3806" s="10" t="s">
        <v>613</v>
      </c>
      <c r="B3806" s="10" t="s">
        <v>598</v>
      </c>
      <c r="C3806" s="10" t="s">
        <v>494</v>
      </c>
      <c r="D3806" s="10"/>
      <c r="E3806" s="10" t="s">
        <v>476</v>
      </c>
      <c r="F3806" s="10">
        <v>17</v>
      </c>
      <c r="G3806" s="10">
        <v>1732</v>
      </c>
      <c r="H3806" s="10" t="s">
        <v>614</v>
      </c>
      <c r="I3806" s="10" t="s">
        <v>615</v>
      </c>
      <c r="J3806" s="10">
        <v>1702</v>
      </c>
      <c r="K3806" s="16">
        <v>1</v>
      </c>
      <c r="L3806" s="31">
        <v>3</v>
      </c>
      <c r="M3806" s="10"/>
      <c r="N3806" s="10" t="s">
        <v>506</v>
      </c>
      <c r="O3806" s="10" t="s">
        <v>514</v>
      </c>
      <c r="P3806" s="1" t="s">
        <v>515</v>
      </c>
      <c r="Q3806" s="10"/>
      <c r="R3806" s="10"/>
    </row>
    <row r="3807" spans="1:18">
      <c r="A3807" s="10"/>
      <c r="B3807" s="10" t="s">
        <v>599</v>
      </c>
      <c r="C3807" s="10" t="s">
        <v>494</v>
      </c>
      <c r="D3807" s="10"/>
      <c r="E3807" s="10" t="s">
        <v>476</v>
      </c>
      <c r="F3807" s="10"/>
      <c r="G3807" s="10"/>
      <c r="H3807" s="10"/>
      <c r="I3807" s="10"/>
      <c r="J3807" s="10"/>
      <c r="K3807" s="16">
        <v>2</v>
      </c>
      <c r="L3807" s="31">
        <v>3</v>
      </c>
      <c r="M3807" s="10"/>
      <c r="N3807" s="1" t="s">
        <v>1038</v>
      </c>
      <c r="O3807" s="23" t="s">
        <v>1040</v>
      </c>
      <c r="P3807" s="23" t="s">
        <v>1041</v>
      </c>
      <c r="Q3807" s="10"/>
      <c r="R3807" s="10"/>
    </row>
    <row r="3808" spans="1:18">
      <c r="A3808" s="10"/>
      <c r="B3808" s="10" t="s">
        <v>600</v>
      </c>
      <c r="C3808" s="10" t="s">
        <v>494</v>
      </c>
      <c r="D3808" s="10"/>
      <c r="E3808" s="10" t="s">
        <v>476</v>
      </c>
      <c r="F3808" s="10"/>
      <c r="G3808" s="10"/>
      <c r="H3808" s="10"/>
      <c r="I3808" s="10"/>
      <c r="J3808" s="10"/>
      <c r="K3808" s="16">
        <v>3</v>
      </c>
      <c r="L3808" s="31"/>
      <c r="M3808" s="10"/>
      <c r="O3808" s="23"/>
      <c r="P3808" s="23"/>
      <c r="Q3808" s="10"/>
      <c r="R3808" s="10"/>
    </row>
    <row r="3809" spans="1:18">
      <c r="A3809" s="10"/>
      <c r="B3809" s="10" t="s">
        <v>601</v>
      </c>
      <c r="C3809" s="10" t="s">
        <v>494</v>
      </c>
      <c r="D3809" s="10"/>
      <c r="E3809" s="10" t="s">
        <v>476</v>
      </c>
      <c r="F3809" s="10"/>
      <c r="G3809" s="10"/>
      <c r="H3809" s="10"/>
      <c r="I3809" s="10"/>
      <c r="J3809" s="10"/>
      <c r="K3809" s="16">
        <v>4</v>
      </c>
      <c r="L3809" s="31">
        <v>3</v>
      </c>
      <c r="M3809" s="10"/>
      <c r="N3809" s="1" t="s">
        <v>947</v>
      </c>
      <c r="O3809" s="23" t="s">
        <v>938</v>
      </c>
      <c r="P3809" s="23" t="s">
        <v>940</v>
      </c>
      <c r="Q3809" s="10"/>
      <c r="R3809" s="10"/>
    </row>
    <row r="3810" spans="1:18">
      <c r="A3810" s="10"/>
      <c r="B3810" s="10" t="s">
        <v>602</v>
      </c>
      <c r="C3810" s="10" t="s">
        <v>494</v>
      </c>
      <c r="D3810" s="10"/>
      <c r="E3810" s="10" t="s">
        <v>476</v>
      </c>
      <c r="F3810" s="10"/>
      <c r="G3810" s="10"/>
      <c r="H3810" s="10"/>
      <c r="I3810" s="10"/>
      <c r="J3810" s="10"/>
      <c r="K3810" s="16">
        <v>5</v>
      </c>
      <c r="L3810" s="38">
        <v>3</v>
      </c>
      <c r="M3810" s="10"/>
      <c r="N3810" s="1" t="s">
        <v>950</v>
      </c>
      <c r="O3810" s="23" t="s">
        <v>941</v>
      </c>
      <c r="P3810" s="23" t="s">
        <v>952</v>
      </c>
      <c r="Q3810" s="10"/>
      <c r="R3810" s="10"/>
    </row>
    <row r="3811" spans="1:18">
      <c r="A3811" s="10"/>
      <c r="B3811" s="10" t="s">
        <v>603</v>
      </c>
      <c r="C3811" s="10" t="s">
        <v>494</v>
      </c>
      <c r="D3811" s="10"/>
      <c r="E3811" s="10" t="s">
        <v>476</v>
      </c>
      <c r="F3811" s="10"/>
      <c r="G3811" s="10"/>
      <c r="H3811" s="10"/>
      <c r="I3811" s="10"/>
      <c r="J3811" s="10"/>
      <c r="K3811" s="16">
        <v>6</v>
      </c>
      <c r="L3811" s="38">
        <v>3</v>
      </c>
      <c r="M3811" s="10"/>
      <c r="N3811" s="1" t="s">
        <v>961</v>
      </c>
      <c r="O3811" s="23" t="s">
        <v>942</v>
      </c>
      <c r="P3811" s="23" t="s">
        <v>945</v>
      </c>
      <c r="Q3811" s="10"/>
      <c r="R3811" s="10"/>
    </row>
    <row r="3812" spans="1:18">
      <c r="A3812" s="10"/>
      <c r="B3812" s="10" t="s">
        <v>610</v>
      </c>
      <c r="C3812" s="10" t="s">
        <v>494</v>
      </c>
      <c r="D3812" s="10"/>
      <c r="E3812" s="10" t="s">
        <v>476</v>
      </c>
      <c r="F3812" s="10"/>
      <c r="G3812" s="10"/>
      <c r="H3812" s="10"/>
      <c r="I3812" s="10"/>
      <c r="J3812" s="10"/>
      <c r="K3812" s="16">
        <v>7</v>
      </c>
      <c r="L3812" s="31">
        <v>6</v>
      </c>
      <c r="M3812" s="10"/>
      <c r="N3812" s="10"/>
      <c r="O3812" s="10"/>
      <c r="P3812" s="10"/>
      <c r="Q3812" s="10"/>
      <c r="R3812" s="10"/>
    </row>
    <row r="3813" spans="1:18">
      <c r="A3813" s="10"/>
      <c r="B3813" s="10" t="s">
        <v>611</v>
      </c>
      <c r="C3813" s="10" t="s">
        <v>494</v>
      </c>
      <c r="D3813" s="10"/>
      <c r="E3813" s="10"/>
      <c r="F3813" s="10"/>
      <c r="G3813" s="10"/>
      <c r="H3813" s="10"/>
      <c r="I3813" s="10"/>
      <c r="J3813" s="10"/>
      <c r="K3813" s="16">
        <v>8</v>
      </c>
      <c r="L3813" s="31">
        <v>6</v>
      </c>
      <c r="M3813" s="10"/>
      <c r="N3813" s="10"/>
      <c r="O3813" s="10"/>
      <c r="P3813" s="10"/>
      <c r="Q3813" s="10"/>
      <c r="R3813" s="10"/>
    </row>
    <row r="3814" spans="1:18">
      <c r="A3814" s="10"/>
      <c r="B3814" s="10" t="s">
        <v>630</v>
      </c>
      <c r="C3814" s="10" t="s">
        <v>493</v>
      </c>
      <c r="D3814" s="10">
        <v>10</v>
      </c>
      <c r="E3814" s="10"/>
      <c r="F3814" s="10"/>
      <c r="G3814" s="10"/>
      <c r="H3814" s="10"/>
      <c r="I3814" s="10"/>
      <c r="J3814" s="10"/>
      <c r="K3814" s="16">
        <v>9</v>
      </c>
      <c r="L3814" s="31">
        <v>7</v>
      </c>
      <c r="M3814" s="10"/>
      <c r="N3814" s="10"/>
      <c r="O3814" s="10"/>
      <c r="P3814" s="10"/>
      <c r="Q3814" s="10"/>
      <c r="R3814" s="10"/>
    </row>
    <row r="3815" spans="1:18">
      <c r="A3815" s="10"/>
      <c r="B3815" s="10" t="s">
        <v>629</v>
      </c>
      <c r="C3815" s="10" t="s">
        <v>494</v>
      </c>
      <c r="D3815" s="10"/>
      <c r="E3815" s="10"/>
      <c r="F3815" s="10"/>
      <c r="G3815" s="10"/>
      <c r="H3815" s="10"/>
      <c r="I3815" s="10"/>
      <c r="J3815" s="10"/>
      <c r="K3815" s="16">
        <v>10</v>
      </c>
      <c r="L3815" s="31">
        <v>3</v>
      </c>
      <c r="M3815" s="10"/>
      <c r="N3815" s="10" t="s">
        <v>631</v>
      </c>
      <c r="O3815" s="10" t="s">
        <v>632</v>
      </c>
      <c r="P3815" s="10" t="s">
        <v>633</v>
      </c>
      <c r="Q3815" s="10"/>
      <c r="R3815" s="10"/>
    </row>
    <row r="3816" spans="1:18">
      <c r="A3816" s="10"/>
      <c r="B3816" s="10" t="s">
        <v>604</v>
      </c>
      <c r="C3816" s="10" t="s">
        <v>493</v>
      </c>
      <c r="D3816" s="10">
        <v>10</v>
      </c>
      <c r="E3816" s="10"/>
      <c r="F3816" s="10"/>
      <c r="G3816" s="10"/>
      <c r="H3816" s="10"/>
      <c r="I3816" s="10"/>
      <c r="J3816" s="10"/>
      <c r="K3816" s="16">
        <v>11</v>
      </c>
      <c r="L3816" s="31"/>
      <c r="M3816" s="10"/>
      <c r="N3816" s="10"/>
      <c r="P3816" s="10"/>
      <c r="Q3816" s="10"/>
      <c r="R3816" s="10"/>
    </row>
    <row r="3817" spans="1:18">
      <c r="A3817" s="10"/>
      <c r="B3817" s="10" t="s">
        <v>605</v>
      </c>
      <c r="C3817" s="10" t="s">
        <v>493</v>
      </c>
      <c r="D3817" s="10">
        <v>10</v>
      </c>
      <c r="E3817" s="10"/>
      <c r="F3817" s="10"/>
      <c r="G3817" s="10"/>
      <c r="H3817" s="10"/>
      <c r="I3817" s="10"/>
      <c r="J3817" s="10"/>
      <c r="K3817" s="16">
        <v>12</v>
      </c>
      <c r="L3817" s="31"/>
      <c r="M3817" s="10"/>
      <c r="N3817" s="10"/>
      <c r="O3817" s="10"/>
      <c r="P3817" s="10"/>
      <c r="Q3817" s="10"/>
      <c r="R3817" s="10"/>
    </row>
    <row r="3818" spans="1:18">
      <c r="A3818" s="10"/>
      <c r="B3818" s="10" t="s">
        <v>606</v>
      </c>
      <c r="C3818" s="10" t="s">
        <v>493</v>
      </c>
      <c r="D3818" s="10">
        <v>10</v>
      </c>
      <c r="E3818" s="10"/>
      <c r="F3818" s="10"/>
      <c r="G3818" s="10"/>
      <c r="H3818" s="10"/>
      <c r="I3818" s="10"/>
      <c r="J3818" s="10"/>
      <c r="K3818" s="16">
        <v>13</v>
      </c>
      <c r="L3818" s="31"/>
      <c r="M3818" s="10"/>
      <c r="N3818" s="10"/>
      <c r="O3818" s="10"/>
      <c r="P3818" s="10"/>
      <c r="Q3818" s="10"/>
      <c r="R3818" s="10"/>
    </row>
    <row r="3819" spans="1:18">
      <c r="A3819" s="10"/>
      <c r="B3819" s="10" t="s">
        <v>607</v>
      </c>
      <c r="C3819" s="10" t="s">
        <v>494</v>
      </c>
      <c r="D3819" s="10"/>
      <c r="E3819" s="10"/>
      <c r="F3819" s="10"/>
      <c r="G3819" s="10"/>
      <c r="H3819" s="10"/>
      <c r="I3819" s="10"/>
      <c r="J3819" s="10"/>
      <c r="K3819" s="16">
        <v>14</v>
      </c>
      <c r="L3819" s="31"/>
      <c r="M3819" s="10"/>
      <c r="N3819" s="10"/>
      <c r="O3819" s="10"/>
      <c r="P3819" s="10"/>
      <c r="Q3819" s="10"/>
      <c r="R3819" s="10"/>
    </row>
    <row r="3820" spans="1:18">
      <c r="A3820" s="10"/>
      <c r="B3820" s="10" t="s">
        <v>608</v>
      </c>
      <c r="C3820" s="10" t="s">
        <v>494</v>
      </c>
      <c r="D3820" s="10"/>
      <c r="E3820" s="10"/>
      <c r="F3820" s="10"/>
      <c r="G3820" s="10"/>
      <c r="H3820" s="10"/>
      <c r="I3820" s="10"/>
      <c r="J3820" s="10"/>
      <c r="K3820" s="16">
        <v>15</v>
      </c>
      <c r="L3820" s="31"/>
      <c r="M3820" s="10"/>
      <c r="N3820" s="10"/>
      <c r="O3820" s="10"/>
      <c r="P3820" s="10"/>
      <c r="Q3820" s="10"/>
      <c r="R3820" s="10"/>
    </row>
    <row r="3821" spans="1:18">
      <c r="A3821" s="10"/>
      <c r="B3821" s="10" t="s">
        <v>609</v>
      </c>
      <c r="C3821" s="10" t="s">
        <v>520</v>
      </c>
      <c r="D3821" s="10"/>
      <c r="E3821" s="10"/>
      <c r="F3821" s="10"/>
      <c r="G3821" s="10"/>
      <c r="H3821" s="10"/>
      <c r="I3821" s="10"/>
      <c r="J3821" s="10"/>
      <c r="K3821" s="16">
        <v>16</v>
      </c>
      <c r="L3821" s="31"/>
      <c r="M3821" s="10"/>
      <c r="N3821" s="10"/>
      <c r="O3821" s="10"/>
      <c r="P3821" s="10"/>
      <c r="Q3821" s="10"/>
      <c r="R3821" s="10"/>
    </row>
    <row r="3822" spans="1:18">
      <c r="A3822" s="10"/>
      <c r="B3822" s="10" t="s">
        <v>612</v>
      </c>
      <c r="C3822" s="10" t="s">
        <v>494</v>
      </c>
      <c r="D3822" s="10"/>
      <c r="E3822" s="10"/>
      <c r="F3822" s="10"/>
      <c r="G3822" s="10"/>
      <c r="H3822" s="10"/>
      <c r="I3822" s="10"/>
      <c r="J3822" s="10"/>
      <c r="K3822" s="16">
        <v>17</v>
      </c>
      <c r="L3822" s="31">
        <v>3</v>
      </c>
      <c r="M3822" s="10"/>
      <c r="N3822" s="10" t="s">
        <v>616</v>
      </c>
      <c r="O3822" s="10" t="s">
        <v>618</v>
      </c>
      <c r="P3822" s="10" t="s">
        <v>619</v>
      </c>
      <c r="Q3822" s="10"/>
      <c r="R3822" s="10"/>
    </row>
    <row r="3823" spans="1:18">
      <c r="A3823" s="10"/>
      <c r="B3823" s="10" t="s">
        <v>623</v>
      </c>
      <c r="C3823" s="10" t="s">
        <v>493</v>
      </c>
      <c r="D3823" s="10">
        <v>10</v>
      </c>
      <c r="E3823" s="10"/>
      <c r="F3823" s="10"/>
      <c r="G3823" s="10"/>
      <c r="H3823" s="10"/>
      <c r="I3823" s="10"/>
      <c r="J3823" s="10"/>
      <c r="K3823" s="16">
        <v>18</v>
      </c>
      <c r="L3823" s="31">
        <v>7</v>
      </c>
      <c r="M3823" s="10"/>
      <c r="N3823" s="10"/>
      <c r="O3823" s="10"/>
      <c r="P3823" s="10"/>
      <c r="Q3823" s="10"/>
      <c r="R3823" s="10"/>
    </row>
    <row r="3824" spans="1:18">
      <c r="A3824" s="10"/>
      <c r="B3824" s="10" t="s">
        <v>624</v>
      </c>
      <c r="C3824" s="10" t="s">
        <v>493</v>
      </c>
      <c r="D3824" s="10">
        <v>10</v>
      </c>
      <c r="E3824" s="10"/>
      <c r="F3824" s="10"/>
      <c r="G3824" s="10"/>
      <c r="H3824" s="10"/>
      <c r="I3824" s="10"/>
      <c r="J3824" s="10"/>
      <c r="K3824" s="16">
        <v>19</v>
      </c>
      <c r="L3824" s="31">
        <v>7</v>
      </c>
      <c r="M3824" s="10"/>
      <c r="N3824" s="10"/>
      <c r="O3824" s="10"/>
      <c r="P3824" s="10"/>
      <c r="Q3824" s="10"/>
      <c r="R3824" s="10"/>
    </row>
    <row r="3825" spans="1:18">
      <c r="A3825" s="10"/>
      <c r="B3825" s="10" t="s">
        <v>625</v>
      </c>
      <c r="C3825" s="10" t="s">
        <v>493</v>
      </c>
      <c r="D3825" s="10">
        <v>10</v>
      </c>
      <c r="E3825" s="10"/>
      <c r="F3825" s="10"/>
      <c r="G3825" s="10"/>
      <c r="H3825" s="10"/>
      <c r="I3825" s="10"/>
      <c r="J3825" s="10"/>
      <c r="K3825" s="16">
        <v>20</v>
      </c>
      <c r="L3825" s="31">
        <v>7</v>
      </c>
      <c r="M3825" s="10"/>
      <c r="N3825" s="10"/>
      <c r="O3825" s="10"/>
      <c r="P3825" s="10"/>
      <c r="Q3825" s="10"/>
      <c r="R3825" s="10"/>
    </row>
    <row r="3826" spans="1:18">
      <c r="A3826" s="10"/>
      <c r="B3826" s="10" t="s">
        <v>626</v>
      </c>
      <c r="C3826" s="10" t="s">
        <v>494</v>
      </c>
      <c r="D3826" s="10"/>
      <c r="E3826" s="10"/>
      <c r="F3826" s="10"/>
      <c r="G3826" s="10"/>
      <c r="H3826" s="10"/>
      <c r="I3826" s="10"/>
      <c r="J3826" s="10"/>
      <c r="K3826" s="16">
        <v>21</v>
      </c>
      <c r="L3826" s="31"/>
      <c r="M3826" s="10"/>
      <c r="N3826" s="10"/>
      <c r="O3826" s="10"/>
      <c r="P3826" s="10"/>
      <c r="Q3826" s="10"/>
      <c r="R3826" s="10"/>
    </row>
    <row r="3827" spans="1:18">
      <c r="A3827" s="10"/>
      <c r="B3827" s="10" t="s">
        <v>627</v>
      </c>
      <c r="C3827" s="10" t="s">
        <v>494</v>
      </c>
      <c r="D3827" s="10"/>
      <c r="E3827" s="10"/>
      <c r="F3827" s="10"/>
      <c r="G3827" s="10"/>
      <c r="H3827" s="10"/>
      <c r="I3827" s="10"/>
      <c r="J3827" s="10"/>
      <c r="K3827" s="16">
        <v>22</v>
      </c>
      <c r="L3827" s="31"/>
      <c r="M3827" s="10"/>
      <c r="N3827" s="10"/>
      <c r="O3827" s="10"/>
      <c r="P3827" s="10"/>
      <c r="Q3827" s="10"/>
      <c r="R3827" s="10"/>
    </row>
    <row r="3828" spans="1:18">
      <c r="A3828" s="10"/>
      <c r="B3828" s="10" t="s">
        <v>628</v>
      </c>
      <c r="C3828" s="10" t="s">
        <v>520</v>
      </c>
      <c r="D3828" s="10"/>
      <c r="E3828" s="10"/>
      <c r="F3828" s="10"/>
      <c r="G3828" s="10"/>
      <c r="H3828" s="10"/>
      <c r="I3828" s="10"/>
      <c r="J3828" s="10"/>
      <c r="K3828" s="16">
        <v>23</v>
      </c>
      <c r="L3828" s="31"/>
      <c r="M3828" s="10"/>
      <c r="N3828" s="10"/>
      <c r="O3828" s="10"/>
      <c r="P3828" s="10"/>
      <c r="Q3828" s="10"/>
      <c r="R3828" s="10"/>
    </row>
    <row r="3829" spans="1:18">
      <c r="A3829" s="10"/>
      <c r="B3829" s="10" t="s">
        <v>634</v>
      </c>
      <c r="C3829" s="10" t="s">
        <v>520</v>
      </c>
      <c r="D3829" s="10"/>
      <c r="E3829" s="10"/>
      <c r="F3829" s="10"/>
      <c r="G3829" s="10"/>
      <c r="H3829" s="10"/>
      <c r="I3829" s="10"/>
      <c r="J3829" s="10"/>
      <c r="K3829" s="16">
        <v>24</v>
      </c>
      <c r="L3829" s="31"/>
      <c r="M3829" s="10"/>
      <c r="N3829" s="10"/>
      <c r="O3829" s="10"/>
      <c r="P3829" s="10"/>
      <c r="Q3829" s="10"/>
      <c r="R3829" s="10"/>
    </row>
    <row r="3830" spans="1:18">
      <c r="A3830" s="10"/>
      <c r="B3830" s="10"/>
      <c r="C3830" s="10"/>
      <c r="D3830" s="10"/>
      <c r="E3830" s="10"/>
      <c r="F3830" s="10"/>
      <c r="G3830" s="10"/>
      <c r="H3830" s="10"/>
      <c r="I3830" s="10"/>
      <c r="J3830" s="10"/>
      <c r="K3830" s="16"/>
      <c r="L3830" s="31"/>
      <c r="M3830" s="10"/>
      <c r="N3830" s="10"/>
      <c r="O3830" s="10"/>
      <c r="P3830" s="10"/>
      <c r="Q3830" s="10"/>
      <c r="R3830" s="10"/>
    </row>
    <row r="3831" spans="1:18">
      <c r="A3831" s="10"/>
      <c r="B3831" s="10"/>
      <c r="C3831" s="10"/>
      <c r="D3831" s="10"/>
      <c r="E3831" s="10"/>
      <c r="F3831" s="10"/>
      <c r="G3831" s="10"/>
      <c r="H3831" s="10"/>
      <c r="I3831" s="10"/>
      <c r="J3831" s="10"/>
      <c r="K3831" s="16"/>
      <c r="L3831" s="31"/>
      <c r="M3831" s="10"/>
      <c r="N3831" s="10"/>
      <c r="O3831" s="10"/>
      <c r="P3831" s="10"/>
      <c r="Q3831" s="10"/>
      <c r="R3831" s="10"/>
    </row>
    <row r="3832" spans="1:18">
      <c r="A3832" s="10"/>
      <c r="B3832" s="10"/>
      <c r="C3832" s="10"/>
      <c r="D3832" s="10"/>
      <c r="E3832" s="10"/>
      <c r="F3832" s="10"/>
      <c r="G3832" s="10"/>
      <c r="H3832" s="10"/>
      <c r="I3832" s="10"/>
      <c r="J3832" s="10"/>
      <c r="K3832" s="16"/>
      <c r="L3832" s="31"/>
      <c r="M3832" s="10"/>
      <c r="N3832" s="10"/>
      <c r="O3832" s="10"/>
      <c r="P3832" s="10"/>
      <c r="Q3832" s="10"/>
      <c r="R3832" s="10"/>
    </row>
    <row r="3833" spans="1:18">
      <c r="B3833" s="29"/>
      <c r="F3833" s="14"/>
      <c r="G3833" s="14"/>
      <c r="H3833" s="14"/>
      <c r="I3833" s="11"/>
      <c r="J3833" s="14"/>
      <c r="K3833" s="16"/>
      <c r="L3833" s="15"/>
      <c r="M3833" s="14"/>
      <c r="P3833" s="14"/>
      <c r="Q3833" s="14"/>
      <c r="R3833" s="14"/>
    </row>
    <row r="3834" spans="1:18">
      <c r="B3834" s="29"/>
      <c r="F3834" s="14"/>
      <c r="G3834" s="14"/>
      <c r="H3834" s="14"/>
      <c r="I3834" s="11"/>
      <c r="J3834" s="14"/>
      <c r="K3834" s="16"/>
      <c r="L3834" s="15"/>
      <c r="M3834" s="14"/>
      <c r="P3834" s="14"/>
      <c r="Q3834" s="14"/>
      <c r="R3834" s="14"/>
    </row>
    <row r="3835" spans="1:18">
      <c r="B3835" s="29"/>
      <c r="F3835" s="14"/>
      <c r="G3835" s="14"/>
      <c r="H3835" s="14"/>
      <c r="I3835" s="11"/>
      <c r="J3835" s="14"/>
      <c r="K3835" s="16"/>
      <c r="L3835" s="15"/>
      <c r="M3835" s="14"/>
      <c r="P3835" s="14"/>
      <c r="Q3835" s="14"/>
      <c r="R3835" s="14"/>
    </row>
    <row r="3836" spans="1:18">
      <c r="B3836" s="29"/>
      <c r="F3836" s="14"/>
      <c r="G3836" s="14"/>
      <c r="H3836" s="14"/>
      <c r="I3836" s="11"/>
      <c r="J3836" s="14"/>
      <c r="K3836" s="16"/>
      <c r="L3836" s="15"/>
      <c r="M3836" s="14"/>
      <c r="P3836" s="14"/>
      <c r="Q3836" s="14"/>
      <c r="R3836" s="14"/>
    </row>
    <row r="3837" spans="1:18">
      <c r="B3837" s="29"/>
      <c r="F3837" s="14"/>
      <c r="G3837" s="14"/>
      <c r="H3837" s="14"/>
      <c r="I3837" s="11"/>
      <c r="J3837" s="14"/>
      <c r="K3837" s="16"/>
      <c r="L3837" s="15"/>
      <c r="M3837" s="14"/>
      <c r="P3837" s="14"/>
      <c r="Q3837" s="14"/>
      <c r="R3837" s="14"/>
    </row>
    <row r="3838" spans="1:18">
      <c r="B3838" s="29"/>
      <c r="F3838" s="14"/>
      <c r="G3838" s="14"/>
      <c r="H3838" s="14"/>
      <c r="I3838" s="11"/>
      <c r="J3838" s="14"/>
      <c r="K3838" s="16"/>
      <c r="L3838" s="15"/>
      <c r="M3838" s="14"/>
      <c r="P3838" s="14"/>
      <c r="Q3838" s="14"/>
      <c r="R3838" s="14"/>
    </row>
    <row r="3839" spans="1:18">
      <c r="B3839" s="29"/>
      <c r="F3839" s="14"/>
      <c r="G3839" s="14"/>
      <c r="H3839" s="14"/>
      <c r="I3839" s="11"/>
      <c r="J3839" s="14"/>
      <c r="K3839" s="16"/>
      <c r="L3839" s="15"/>
      <c r="M3839" s="14"/>
      <c r="P3839" s="14"/>
      <c r="Q3839" s="14"/>
      <c r="R3839" s="14"/>
    </row>
    <row r="3840" spans="1:18">
      <c r="B3840" s="29"/>
      <c r="F3840" s="14"/>
      <c r="G3840" s="14"/>
      <c r="H3840" s="14"/>
      <c r="I3840" s="11"/>
      <c r="J3840" s="14"/>
      <c r="K3840" s="16"/>
      <c r="L3840" s="15"/>
      <c r="M3840" s="14"/>
      <c r="P3840" s="14"/>
      <c r="Q3840" s="14"/>
      <c r="R3840" s="14"/>
    </row>
    <row r="3841" spans="1:18">
      <c r="B3841" s="29"/>
      <c r="F3841" s="14"/>
      <c r="G3841" s="14"/>
      <c r="H3841" s="14"/>
      <c r="I3841" s="11"/>
      <c r="J3841" s="14"/>
      <c r="K3841" s="16"/>
      <c r="L3841" s="15"/>
      <c r="M3841" s="14"/>
      <c r="P3841" s="14"/>
      <c r="Q3841" s="14"/>
      <c r="R3841" s="14"/>
    </row>
    <row r="3842" spans="1:18">
      <c r="B3842" s="29"/>
      <c r="F3842" s="14"/>
      <c r="G3842" s="14"/>
      <c r="H3842" s="14"/>
      <c r="I3842" s="11"/>
      <c r="J3842" s="14"/>
      <c r="K3842" s="16"/>
      <c r="L3842" s="15"/>
      <c r="M3842" s="14"/>
      <c r="P3842" s="14"/>
      <c r="Q3842" s="14"/>
      <c r="R3842" s="14"/>
    </row>
    <row r="3843" spans="1:18">
      <c r="B3843" s="23"/>
      <c r="F3843" s="14"/>
      <c r="G3843" s="14"/>
      <c r="H3843" s="14"/>
      <c r="I3843" s="11"/>
      <c r="J3843" s="14"/>
      <c r="K3843" s="16"/>
      <c r="L3843" s="15"/>
      <c r="M3843" s="14"/>
      <c r="P3843" s="14"/>
      <c r="Q3843" s="14"/>
      <c r="R3843" s="14"/>
    </row>
    <row r="3844" spans="1:18">
      <c r="B3844" s="23"/>
      <c r="F3844" s="14"/>
      <c r="G3844" s="14"/>
      <c r="H3844" s="14"/>
      <c r="I3844" s="11"/>
      <c r="J3844" s="14"/>
      <c r="K3844" s="16"/>
      <c r="L3844" s="15"/>
      <c r="M3844" s="14"/>
      <c r="N3844" s="23"/>
      <c r="O3844" s="14"/>
      <c r="P3844" s="14"/>
      <c r="Q3844" s="14"/>
      <c r="R3844" s="14"/>
    </row>
    <row r="3845" spans="1:18">
      <c r="A3845" s="10"/>
      <c r="B3845" s="29"/>
      <c r="D3845" s="10"/>
      <c r="E3845" s="10"/>
      <c r="F3845" s="10"/>
      <c r="G3845" s="10"/>
      <c r="H3845" s="10"/>
      <c r="I3845" s="10"/>
      <c r="J3845" s="10"/>
      <c r="K3845" s="16"/>
      <c r="L3845" s="15"/>
      <c r="M3845" s="10"/>
      <c r="N3845" s="10"/>
      <c r="O3845" s="29"/>
      <c r="P3845" s="29"/>
      <c r="Q3845" s="10"/>
      <c r="R3845" s="10"/>
    </row>
    <row r="3846" spans="1:18">
      <c r="A3846" s="10"/>
      <c r="B3846" s="29"/>
      <c r="D3846" s="10"/>
      <c r="E3846" s="10"/>
      <c r="F3846" s="10"/>
      <c r="G3846" s="10"/>
      <c r="H3846" s="10"/>
      <c r="I3846" s="10"/>
      <c r="J3846" s="10"/>
      <c r="K3846" s="16"/>
      <c r="L3846" s="15"/>
      <c r="M3846" s="10"/>
      <c r="N3846" s="10"/>
      <c r="O3846" s="29"/>
      <c r="P3846" s="29"/>
      <c r="Q3846" s="10"/>
      <c r="R3846" s="10"/>
    </row>
    <row r="3847" spans="1:18">
      <c r="A3847" s="10"/>
      <c r="B3847" s="24"/>
      <c r="C3847" s="10"/>
      <c r="D3847" s="10"/>
      <c r="E3847" s="10"/>
      <c r="F3847" s="10"/>
      <c r="G3847" s="10"/>
      <c r="H3847" s="10"/>
      <c r="I3847" s="10"/>
      <c r="J3847" s="10"/>
      <c r="K3847" s="16"/>
      <c r="L3847" s="31"/>
      <c r="M3847" s="10"/>
      <c r="N3847" s="10"/>
      <c r="O3847" s="10"/>
      <c r="P3847" s="10"/>
      <c r="Q3847" s="10"/>
      <c r="R3847" s="10"/>
    </row>
    <row r="3848" spans="1:18">
      <c r="A3848" s="10"/>
      <c r="B3848" s="24"/>
      <c r="C3848" s="10"/>
      <c r="D3848" s="10"/>
      <c r="E3848" s="10"/>
      <c r="F3848" s="10"/>
      <c r="G3848" s="10"/>
      <c r="H3848" s="10"/>
      <c r="I3848" s="10"/>
      <c r="J3848" s="10"/>
      <c r="K3848" s="16"/>
      <c r="L3848" s="31"/>
      <c r="M3848" s="10"/>
      <c r="N3848" s="10"/>
      <c r="O3848" s="10"/>
      <c r="P3848" s="10"/>
      <c r="Q3848" s="10"/>
      <c r="R3848" s="10"/>
    </row>
    <row r="3849" spans="1:18">
      <c r="A3849" s="10"/>
      <c r="B3849" s="24"/>
      <c r="C3849" s="10"/>
      <c r="D3849" s="10"/>
      <c r="E3849" s="10"/>
      <c r="F3849" s="10"/>
      <c r="G3849" s="10"/>
      <c r="H3849" s="10"/>
      <c r="I3849" s="10"/>
      <c r="J3849" s="10"/>
      <c r="K3849" s="16"/>
      <c r="L3849" s="31"/>
      <c r="M3849" s="10"/>
      <c r="N3849" s="10"/>
      <c r="O3849" s="10"/>
      <c r="P3849" s="10"/>
      <c r="Q3849" s="10"/>
      <c r="R3849" s="10"/>
    </row>
    <row r="3850" spans="1:18">
      <c r="A3850" s="10"/>
      <c r="B3850" s="24"/>
      <c r="C3850" s="10"/>
      <c r="D3850" s="10"/>
      <c r="E3850" s="10"/>
      <c r="F3850" s="10"/>
      <c r="G3850" s="10"/>
      <c r="H3850" s="10"/>
      <c r="I3850" s="10"/>
      <c r="J3850" s="10"/>
      <c r="K3850" s="16"/>
      <c r="L3850" s="31"/>
      <c r="M3850" s="10"/>
      <c r="N3850" s="10"/>
      <c r="O3850" s="10"/>
      <c r="P3850" s="10"/>
      <c r="Q3850" s="10"/>
      <c r="R3850" s="10"/>
    </row>
    <row r="3851" spans="1:18">
      <c r="F3851" s="14"/>
      <c r="G3851" s="14"/>
      <c r="H3851" s="14"/>
      <c r="I3851" s="11"/>
      <c r="J3851" s="14"/>
      <c r="K3851" s="16"/>
      <c r="L3851" s="15"/>
      <c r="M3851" s="14"/>
      <c r="N3851" s="14"/>
      <c r="O3851" s="14"/>
      <c r="P3851" s="14"/>
      <c r="Q3851" s="14"/>
      <c r="R3851" s="14"/>
    </row>
    <row r="3852" spans="1:18">
      <c r="A3852" s="10"/>
      <c r="B3852" s="24"/>
      <c r="C3852" s="10"/>
      <c r="D3852" s="10"/>
      <c r="E3852" s="10"/>
      <c r="F3852" s="10"/>
      <c r="G3852" s="10"/>
      <c r="H3852" s="10"/>
      <c r="I3852" s="10"/>
      <c r="J3852" s="10"/>
      <c r="K3852" s="16"/>
      <c r="L3852" s="31"/>
      <c r="M3852" s="10"/>
      <c r="N3852" s="10"/>
      <c r="O3852" s="10"/>
      <c r="P3852" s="10"/>
      <c r="Q3852" s="10"/>
      <c r="R3852" s="10"/>
    </row>
    <row r="3853" spans="1:18">
      <c r="A3853" s="10"/>
      <c r="B3853" s="24"/>
      <c r="C3853" s="10"/>
      <c r="D3853" s="10"/>
      <c r="E3853" s="10"/>
      <c r="F3853" s="10"/>
      <c r="G3853" s="10"/>
      <c r="H3853" s="10"/>
      <c r="I3853" s="10"/>
      <c r="J3853" s="10"/>
      <c r="K3853" s="16"/>
      <c r="L3853" s="31"/>
      <c r="M3853" s="10"/>
      <c r="N3853" s="10"/>
      <c r="O3853" s="10"/>
      <c r="P3853" s="10"/>
      <c r="Q3853" s="10"/>
      <c r="R3853" s="10"/>
    </row>
    <row r="3854" spans="1:18">
      <c r="A3854" s="10"/>
      <c r="B3854" s="24"/>
      <c r="C3854" s="10"/>
      <c r="D3854" s="10"/>
      <c r="E3854" s="10"/>
      <c r="F3854" s="10"/>
      <c r="G3854" s="10"/>
      <c r="H3854" s="10"/>
      <c r="I3854" s="10"/>
      <c r="J3854" s="10"/>
      <c r="K3854" s="16"/>
      <c r="L3854" s="31"/>
      <c r="M3854" s="10"/>
      <c r="N3854" s="10"/>
      <c r="O3854" s="10"/>
      <c r="P3854" s="10"/>
      <c r="Q3854" s="10"/>
      <c r="R3854" s="10"/>
    </row>
    <row r="3855" spans="1:18">
      <c r="A3855" s="10"/>
      <c r="B3855" s="24"/>
      <c r="C3855" s="10"/>
      <c r="D3855" s="10"/>
      <c r="E3855" s="10"/>
      <c r="F3855" s="10"/>
      <c r="G3855" s="10"/>
      <c r="H3855" s="10"/>
      <c r="I3855" s="10"/>
      <c r="J3855" s="10"/>
      <c r="K3855" s="16"/>
      <c r="L3855" s="31"/>
      <c r="M3855" s="10"/>
      <c r="N3855" s="10"/>
      <c r="O3855" s="10"/>
      <c r="P3855" s="10"/>
      <c r="Q3855" s="10"/>
      <c r="R3855" s="10"/>
    </row>
    <row r="3856" spans="1:18">
      <c r="A3856" s="10"/>
      <c r="B3856" s="24"/>
      <c r="C3856" s="10"/>
      <c r="D3856" s="10"/>
      <c r="E3856" s="10"/>
      <c r="F3856" s="10"/>
      <c r="G3856" s="10"/>
      <c r="H3856" s="10"/>
      <c r="I3856" s="10"/>
      <c r="J3856" s="10"/>
      <c r="K3856" s="16"/>
      <c r="L3856" s="31"/>
      <c r="M3856" s="10"/>
      <c r="N3856" s="10"/>
      <c r="O3856" s="10"/>
      <c r="P3856" s="10"/>
      <c r="Q3856" s="10"/>
      <c r="R3856" s="10"/>
    </row>
    <row r="3857" spans="1:18">
      <c r="B3857" s="29"/>
      <c r="F3857" s="14"/>
      <c r="G3857" s="14"/>
      <c r="H3857" s="14"/>
      <c r="I3857" s="11"/>
      <c r="J3857" s="14"/>
      <c r="K3857" s="16"/>
      <c r="L3857" s="15"/>
      <c r="M3857" s="14"/>
      <c r="N3857" s="23"/>
      <c r="O3857" s="14"/>
      <c r="P3857" s="14"/>
      <c r="Q3857" s="14"/>
      <c r="R3857" s="14"/>
    </row>
    <row r="3858" spans="1:18">
      <c r="A3858" s="10"/>
      <c r="B3858" s="24"/>
      <c r="C3858" s="10"/>
      <c r="D3858" s="10"/>
      <c r="E3858" s="10"/>
      <c r="F3858" s="10"/>
      <c r="G3858" s="10"/>
      <c r="H3858" s="10"/>
      <c r="I3858" s="10"/>
      <c r="J3858" s="10"/>
      <c r="K3858" s="16"/>
      <c r="L3858" s="31"/>
      <c r="M3858" s="10"/>
      <c r="N3858" s="10"/>
      <c r="O3858" s="10"/>
      <c r="P3858" s="10"/>
      <c r="Q3858" s="10"/>
      <c r="R3858" s="10"/>
    </row>
    <row r="3859" spans="1:18">
      <c r="B3859" s="23"/>
      <c r="F3859" s="14"/>
      <c r="G3859" s="14"/>
      <c r="H3859" s="14"/>
      <c r="I3859" s="11"/>
      <c r="J3859" s="14"/>
      <c r="K3859" s="16"/>
      <c r="L3859" s="15"/>
      <c r="M3859" s="14"/>
      <c r="N3859" s="23"/>
      <c r="O3859" s="14"/>
      <c r="P3859" s="14"/>
      <c r="Q3859" s="14"/>
      <c r="R3859" s="14"/>
    </row>
    <row r="3860" spans="1:18">
      <c r="A3860" s="10"/>
      <c r="B3860" s="10"/>
      <c r="C3860" s="10"/>
      <c r="D3860" s="10"/>
      <c r="E3860" s="10"/>
      <c r="F3860" s="10"/>
      <c r="G3860" s="10"/>
      <c r="H3860" s="10"/>
      <c r="I3860" s="10"/>
      <c r="J3860" s="10"/>
      <c r="K3860" s="16"/>
      <c r="L3860" s="31"/>
      <c r="M3860" s="10"/>
      <c r="N3860" s="10"/>
      <c r="O3860" s="10"/>
      <c r="P3860" s="10"/>
      <c r="Q3860" s="10"/>
      <c r="R3860" s="10"/>
    </row>
    <row r="3861" spans="1:18">
      <c r="B3861" s="23"/>
      <c r="F3861" s="14"/>
      <c r="G3861" s="14"/>
      <c r="H3861" s="14"/>
      <c r="I3861" s="11"/>
      <c r="J3861" s="14"/>
      <c r="K3861" s="16"/>
      <c r="L3861" s="15"/>
      <c r="M3861" s="14"/>
      <c r="N3861" s="23"/>
      <c r="O3861" s="14"/>
      <c r="P3861" s="14"/>
      <c r="Q3861" s="14"/>
      <c r="R3861" s="14"/>
    </row>
    <row r="3862" spans="1:18">
      <c r="B3862" s="23"/>
      <c r="F3862" s="14"/>
      <c r="G3862" s="14"/>
      <c r="H3862" s="14"/>
      <c r="I3862" s="11"/>
      <c r="J3862" s="14"/>
      <c r="K3862" s="16"/>
      <c r="L3862" s="15"/>
      <c r="M3862" s="14"/>
      <c r="N3862" s="23"/>
      <c r="O3862" s="14"/>
      <c r="P3862" s="14"/>
      <c r="Q3862" s="14"/>
      <c r="R3862" s="14"/>
    </row>
    <row r="3863" spans="1:18">
      <c r="B3863" s="23"/>
      <c r="F3863" s="14"/>
      <c r="G3863" s="14"/>
      <c r="H3863" s="14"/>
      <c r="I3863" s="11"/>
      <c r="J3863" s="14"/>
      <c r="K3863" s="16"/>
      <c r="L3863" s="15"/>
      <c r="M3863" s="14"/>
      <c r="N3863" s="23"/>
      <c r="O3863" s="14"/>
      <c r="P3863" s="14"/>
      <c r="Q3863" s="14"/>
      <c r="R3863" s="14"/>
    </row>
    <row r="3864" spans="1:18">
      <c r="B3864" s="23"/>
      <c r="F3864" s="14"/>
      <c r="G3864" s="14"/>
      <c r="H3864" s="14"/>
      <c r="I3864" s="11"/>
      <c r="J3864" s="14"/>
      <c r="K3864" s="16"/>
      <c r="L3864" s="15"/>
      <c r="M3864" s="14"/>
      <c r="N3864" s="23"/>
      <c r="O3864" s="14"/>
      <c r="P3864" s="14"/>
      <c r="Q3864" s="14"/>
      <c r="R3864" s="14"/>
    </row>
    <row r="3865" spans="1:18">
      <c r="A3865" s="10"/>
      <c r="B3865" s="10"/>
      <c r="C3865" s="10"/>
      <c r="D3865" s="10"/>
      <c r="E3865" s="10"/>
      <c r="F3865" s="10"/>
      <c r="G3865" s="10"/>
      <c r="H3865" s="10"/>
      <c r="I3865" s="10"/>
      <c r="J3865" s="10"/>
      <c r="K3865" s="16"/>
      <c r="L3865" s="31"/>
      <c r="M3865" s="10"/>
      <c r="N3865" s="10"/>
      <c r="O3865" s="10"/>
      <c r="P3865" s="10"/>
      <c r="Q3865" s="10"/>
      <c r="R3865" s="10"/>
    </row>
    <row r="3866" spans="1:18">
      <c r="A3866" s="10"/>
      <c r="B3866" s="10"/>
      <c r="C3866" s="10"/>
      <c r="D3866" s="10"/>
      <c r="E3866" s="10"/>
      <c r="F3866" s="10"/>
      <c r="G3866" s="10"/>
      <c r="H3866" s="10"/>
      <c r="I3866" s="10"/>
      <c r="J3866" s="10"/>
      <c r="K3866" s="16"/>
      <c r="L3866" s="31"/>
      <c r="M3866" s="10"/>
      <c r="N3866" s="10"/>
      <c r="O3866" s="10"/>
      <c r="P3866" s="10"/>
      <c r="Q3866" s="10"/>
      <c r="R3866" s="10"/>
    </row>
    <row r="3867" spans="1:18">
      <c r="N3867" s="23"/>
    </row>
    <row r="3868" spans="1:18" s="7" customFormat="1" ht="12.75" customHeight="1">
      <c r="A3868" s="129" t="s">
        <v>928</v>
      </c>
      <c r="B3868" s="129"/>
      <c r="C3868" s="129"/>
      <c r="D3868" s="129"/>
      <c r="E3868" s="129"/>
      <c r="F3868" s="129"/>
      <c r="G3868" s="129"/>
      <c r="H3868" s="129"/>
      <c r="I3868" s="129"/>
      <c r="J3868" s="129"/>
      <c r="K3868" s="129"/>
      <c r="L3868" s="129"/>
    </row>
    <row r="3870" spans="1:18">
      <c r="A3870" s="1" t="s">
        <v>937</v>
      </c>
      <c r="B3870" s="23" t="s">
        <v>917</v>
      </c>
      <c r="C3870" s="23" t="s">
        <v>494</v>
      </c>
      <c r="D3870" s="23"/>
      <c r="E3870" s="25" t="s">
        <v>476</v>
      </c>
      <c r="F3870" s="14"/>
      <c r="G3870" s="14"/>
      <c r="H3870" s="14"/>
      <c r="I3870" s="11"/>
      <c r="J3870" s="14"/>
      <c r="K3870" s="16"/>
      <c r="L3870" s="15"/>
      <c r="M3870" s="14"/>
      <c r="N3870" s="23"/>
      <c r="O3870" s="14"/>
      <c r="P3870" s="14"/>
      <c r="Q3870" s="14"/>
      <c r="R3870" s="14"/>
    </row>
    <row r="3871" spans="1:18">
      <c r="B3871" s="23" t="s">
        <v>929</v>
      </c>
      <c r="C3871" s="23" t="s">
        <v>494</v>
      </c>
      <c r="D3871" s="23"/>
      <c r="F3871" s="14"/>
      <c r="G3871" s="14"/>
      <c r="H3871" s="14"/>
      <c r="I3871" s="11"/>
      <c r="J3871" s="14"/>
      <c r="K3871" s="16"/>
      <c r="L3871" s="15"/>
      <c r="M3871" s="14"/>
      <c r="N3871" s="23"/>
      <c r="O3871" s="14"/>
      <c r="P3871" s="14"/>
      <c r="Q3871" s="14"/>
      <c r="R3871" s="14"/>
    </row>
    <row r="3872" spans="1:18">
      <c r="B3872" s="23" t="s">
        <v>930</v>
      </c>
      <c r="C3872" s="23" t="s">
        <v>493</v>
      </c>
      <c r="D3872" s="23">
        <v>100</v>
      </c>
      <c r="F3872" s="14"/>
      <c r="G3872" s="14"/>
      <c r="H3872" s="14"/>
      <c r="I3872" s="11"/>
      <c r="J3872" s="14"/>
      <c r="K3872" s="16"/>
      <c r="L3872" s="15"/>
      <c r="M3872" s="14"/>
      <c r="N3872" s="23"/>
      <c r="O3872" s="14"/>
      <c r="P3872" s="14"/>
      <c r="Q3872" s="14"/>
      <c r="R3872" s="14"/>
    </row>
    <row r="3873" spans="1:18">
      <c r="B3873" s="23" t="s">
        <v>931</v>
      </c>
      <c r="C3873" s="23" t="s">
        <v>494</v>
      </c>
      <c r="D3873" s="23"/>
      <c r="F3873" s="14"/>
      <c r="G3873" s="14"/>
      <c r="H3873" s="14"/>
      <c r="I3873" s="11"/>
      <c r="J3873" s="14"/>
      <c r="K3873" s="16"/>
      <c r="L3873" s="15"/>
      <c r="M3873" s="14"/>
      <c r="N3873" s="23"/>
      <c r="O3873" s="14"/>
      <c r="P3873" s="14"/>
      <c r="Q3873" s="14"/>
      <c r="R3873" s="14"/>
    </row>
    <row r="3874" spans="1:18">
      <c r="B3874" s="23" t="s">
        <v>932</v>
      </c>
      <c r="C3874" s="23" t="s">
        <v>494</v>
      </c>
      <c r="D3874" s="23"/>
      <c r="F3874" s="14"/>
      <c r="G3874" s="14"/>
      <c r="H3874" s="14"/>
      <c r="I3874" s="11"/>
      <c r="J3874" s="14"/>
      <c r="K3874" s="16"/>
      <c r="L3874" s="15"/>
      <c r="M3874" s="14"/>
      <c r="N3874" s="23"/>
      <c r="O3874" s="14"/>
      <c r="P3874" s="14"/>
      <c r="Q3874" s="14"/>
      <c r="R3874" s="14"/>
    </row>
    <row r="3875" spans="1:18">
      <c r="B3875" s="23" t="s">
        <v>933</v>
      </c>
      <c r="C3875" s="23" t="s">
        <v>494</v>
      </c>
      <c r="D3875" s="23"/>
      <c r="F3875" s="14"/>
      <c r="G3875" s="14"/>
      <c r="H3875" s="14"/>
      <c r="I3875" s="11"/>
      <c r="J3875" s="14"/>
      <c r="K3875" s="16"/>
      <c r="L3875" s="15"/>
      <c r="M3875" s="14"/>
      <c r="N3875" s="23"/>
      <c r="O3875" s="14"/>
      <c r="P3875" s="14"/>
      <c r="Q3875" s="14"/>
      <c r="R3875" s="14"/>
    </row>
    <row r="3876" spans="1:18">
      <c r="B3876" s="23" t="s">
        <v>934</v>
      </c>
      <c r="C3876" s="23" t="s">
        <v>494</v>
      </c>
      <c r="D3876" s="23"/>
      <c r="F3876" s="14"/>
      <c r="G3876" s="14"/>
      <c r="H3876" s="14"/>
      <c r="I3876" s="11"/>
      <c r="J3876" s="14"/>
      <c r="K3876" s="16"/>
      <c r="L3876" s="15"/>
      <c r="M3876" s="14"/>
      <c r="N3876" s="23"/>
      <c r="O3876" s="14"/>
      <c r="P3876" s="14"/>
      <c r="Q3876" s="14"/>
      <c r="R3876" s="14"/>
    </row>
    <row r="3877" spans="1:18">
      <c r="B3877" s="23" t="s">
        <v>935</v>
      </c>
      <c r="C3877" s="23" t="s">
        <v>494</v>
      </c>
      <c r="D3877" s="23"/>
      <c r="F3877" s="14"/>
      <c r="G3877" s="14"/>
      <c r="H3877" s="14"/>
      <c r="I3877" s="11"/>
      <c r="J3877" s="14"/>
      <c r="K3877" s="16"/>
      <c r="L3877" s="15"/>
      <c r="M3877" s="14"/>
      <c r="N3877" s="23"/>
      <c r="O3877" s="14"/>
      <c r="P3877" s="14"/>
      <c r="Q3877" s="14"/>
      <c r="R3877" s="14"/>
    </row>
    <row r="3878" spans="1:18">
      <c r="B3878" s="23" t="s">
        <v>926</v>
      </c>
      <c r="C3878" s="23" t="s">
        <v>494</v>
      </c>
      <c r="D3878" s="23"/>
      <c r="F3878" s="14"/>
      <c r="G3878" s="14"/>
      <c r="H3878" s="14"/>
      <c r="I3878" s="11"/>
      <c r="J3878" s="14"/>
      <c r="K3878" s="16"/>
      <c r="L3878" s="15"/>
      <c r="M3878" s="14"/>
      <c r="N3878" s="23"/>
      <c r="O3878" s="14"/>
      <c r="P3878" s="14"/>
      <c r="Q3878" s="14"/>
      <c r="R3878" s="14"/>
    </row>
    <row r="3879" spans="1:18" ht="14.25" customHeight="1">
      <c r="B3879" s="23" t="s">
        <v>936</v>
      </c>
      <c r="C3879" s="23" t="s">
        <v>702</v>
      </c>
      <c r="D3879" s="23"/>
      <c r="F3879" s="14"/>
      <c r="G3879" s="14"/>
      <c r="H3879" s="14"/>
      <c r="I3879" s="11"/>
      <c r="J3879" s="14"/>
      <c r="K3879" s="16"/>
      <c r="L3879" s="15"/>
      <c r="M3879" s="14"/>
      <c r="N3879" s="23"/>
      <c r="O3879" s="14"/>
      <c r="P3879" s="14"/>
      <c r="Q3879" s="14"/>
      <c r="R3879" s="14"/>
    </row>
    <row r="3880" spans="1:18">
      <c r="B3880" s="23"/>
      <c r="F3880" s="14"/>
      <c r="G3880" s="14"/>
      <c r="H3880" s="14"/>
      <c r="I3880" s="11"/>
      <c r="J3880" s="14"/>
      <c r="K3880" s="16"/>
      <c r="L3880" s="15"/>
      <c r="M3880" s="14"/>
      <c r="N3880" s="23"/>
      <c r="O3880" s="14"/>
      <c r="P3880" s="14"/>
      <c r="Q3880" s="14"/>
      <c r="R3880" s="14"/>
    </row>
    <row r="3881" spans="1:18">
      <c r="A3881" s="1" t="s">
        <v>916</v>
      </c>
      <c r="B3881" s="23" t="s">
        <v>917</v>
      </c>
      <c r="C3881" s="23" t="s">
        <v>494</v>
      </c>
      <c r="D3881" s="23"/>
      <c r="E3881" s="24" t="s">
        <v>476</v>
      </c>
      <c r="F3881" s="14"/>
      <c r="G3881" s="14"/>
      <c r="H3881" s="14"/>
      <c r="I3881" s="11"/>
      <c r="J3881" s="14"/>
      <c r="K3881" s="16"/>
      <c r="L3881" s="15"/>
      <c r="M3881" s="14"/>
      <c r="N3881" s="23"/>
      <c r="O3881" s="14"/>
      <c r="P3881" s="14"/>
    </row>
    <row r="3882" spans="1:18">
      <c r="B3882" s="23" t="s">
        <v>918</v>
      </c>
      <c r="C3882" s="23" t="s">
        <v>493</v>
      </c>
      <c r="D3882" s="23">
        <v>60</v>
      </c>
      <c r="E3882" s="10"/>
      <c r="F3882" s="14"/>
      <c r="G3882" s="14"/>
      <c r="H3882" s="14"/>
      <c r="I3882" s="11"/>
      <c r="J3882" s="14"/>
      <c r="K3882" s="16"/>
      <c r="L3882" s="15"/>
      <c r="M3882" s="14"/>
      <c r="N3882" s="23"/>
      <c r="O3882" s="14"/>
      <c r="P3882" s="14"/>
    </row>
    <row r="3883" spans="1:18">
      <c r="B3883" s="23" t="s">
        <v>920</v>
      </c>
      <c r="C3883" s="23" t="s">
        <v>493</v>
      </c>
      <c r="D3883" s="23">
        <v>1</v>
      </c>
      <c r="E3883" s="10"/>
      <c r="F3883" s="14"/>
      <c r="G3883" s="14"/>
      <c r="H3883" s="14"/>
      <c r="I3883" s="11"/>
      <c r="J3883" s="14"/>
      <c r="K3883" s="16"/>
      <c r="L3883" s="15"/>
      <c r="M3883" s="14"/>
      <c r="N3883" s="23"/>
      <c r="O3883" s="14"/>
      <c r="P3883" s="14"/>
    </row>
    <row r="3884" spans="1:18">
      <c r="B3884" s="23" t="s">
        <v>921</v>
      </c>
      <c r="C3884" s="23" t="s">
        <v>494</v>
      </c>
      <c r="D3884" s="23"/>
      <c r="E3884" s="10"/>
      <c r="F3884" s="14"/>
      <c r="G3884" s="14"/>
      <c r="H3884" s="14"/>
      <c r="I3884" s="11"/>
      <c r="J3884" s="14"/>
      <c r="K3884" s="16"/>
      <c r="L3884" s="15"/>
      <c r="M3884" s="14"/>
      <c r="N3884" s="23"/>
      <c r="O3884" s="14"/>
      <c r="P3884" s="14"/>
    </row>
    <row r="3885" spans="1:18">
      <c r="B3885" s="23" t="s">
        <v>922</v>
      </c>
      <c r="C3885" s="23" t="s">
        <v>494</v>
      </c>
      <c r="D3885" s="23"/>
      <c r="E3885" s="10"/>
      <c r="F3885" s="14"/>
      <c r="G3885" s="14"/>
      <c r="H3885" s="14"/>
      <c r="I3885" s="11"/>
      <c r="J3885" s="14"/>
      <c r="K3885" s="16"/>
      <c r="L3885" s="15"/>
      <c r="M3885" s="14"/>
      <c r="N3885" s="23"/>
      <c r="O3885" s="14"/>
      <c r="P3885" s="14"/>
    </row>
    <row r="3886" spans="1:18">
      <c r="B3886" s="23" t="s">
        <v>923</v>
      </c>
      <c r="C3886" s="23" t="s">
        <v>493</v>
      </c>
      <c r="D3886" s="23">
        <v>10</v>
      </c>
      <c r="F3886" s="14"/>
      <c r="G3886" s="14"/>
      <c r="H3886" s="14"/>
      <c r="I3886" s="11"/>
      <c r="J3886" s="14"/>
      <c r="K3886" s="16"/>
      <c r="L3886" s="15"/>
      <c r="M3886" s="14"/>
      <c r="N3886" s="23"/>
      <c r="O3886" s="14"/>
      <c r="P3886" s="14"/>
      <c r="Q3886" s="14"/>
      <c r="R3886" s="14"/>
    </row>
    <row r="3887" spans="1:18">
      <c r="B3887" s="23" t="s">
        <v>924</v>
      </c>
      <c r="C3887" s="23" t="s">
        <v>493</v>
      </c>
      <c r="D3887" s="23">
        <v>10</v>
      </c>
      <c r="F3887" s="14"/>
      <c r="G3887" s="14"/>
      <c r="H3887" s="14"/>
      <c r="I3887" s="11"/>
      <c r="J3887" s="14"/>
      <c r="K3887" s="16"/>
      <c r="L3887" s="15"/>
      <c r="M3887" s="14"/>
      <c r="N3887" s="23"/>
      <c r="O3887" s="14"/>
      <c r="P3887" s="14"/>
      <c r="Q3887" s="14"/>
      <c r="R3887" s="14"/>
    </row>
    <row r="3888" spans="1:18">
      <c r="B3888" s="23" t="s">
        <v>925</v>
      </c>
      <c r="C3888" s="23" t="s">
        <v>494</v>
      </c>
      <c r="D3888" s="23"/>
      <c r="F3888" s="14"/>
      <c r="G3888" s="14"/>
      <c r="H3888" s="14"/>
      <c r="I3888" s="11"/>
      <c r="J3888" s="14"/>
      <c r="K3888" s="16"/>
      <c r="L3888" s="15"/>
      <c r="M3888" s="14"/>
      <c r="N3888" s="23"/>
      <c r="O3888" s="14"/>
      <c r="P3888" s="14"/>
      <c r="Q3888" s="14"/>
      <c r="R3888" s="14"/>
    </row>
    <row r="3889" spans="1:18">
      <c r="B3889" s="23" t="s">
        <v>926</v>
      </c>
      <c r="C3889" s="23" t="s">
        <v>493</v>
      </c>
      <c r="D3889" s="23">
        <v>14</v>
      </c>
      <c r="F3889" s="14"/>
      <c r="G3889" s="14"/>
      <c r="H3889" s="14"/>
      <c r="I3889" s="11"/>
      <c r="J3889" s="14"/>
      <c r="K3889" s="16"/>
      <c r="L3889" s="15"/>
      <c r="M3889" s="14"/>
      <c r="N3889" s="23"/>
      <c r="O3889" s="14"/>
      <c r="P3889" s="14"/>
      <c r="Q3889" s="14"/>
      <c r="R3889" s="14"/>
    </row>
    <row r="3890" spans="1:18">
      <c r="B3890" s="23" t="s">
        <v>927</v>
      </c>
      <c r="C3890" s="23" t="s">
        <v>494</v>
      </c>
      <c r="D3890"/>
      <c r="F3890" s="14"/>
      <c r="G3890" s="14"/>
      <c r="H3890" s="14"/>
      <c r="I3890" s="11"/>
      <c r="J3890" s="14"/>
      <c r="K3890" s="16"/>
      <c r="L3890" s="15"/>
      <c r="M3890" s="14"/>
      <c r="N3890" s="23"/>
      <c r="O3890" s="14"/>
      <c r="P3890" s="14"/>
      <c r="Q3890" s="14"/>
      <c r="R3890" s="14"/>
    </row>
    <row r="3891" spans="1:18">
      <c r="B3891" s="23"/>
      <c r="C3891" s="23"/>
      <c r="D3891"/>
      <c r="F3891" s="14"/>
      <c r="G3891" s="14"/>
      <c r="H3891" s="14"/>
      <c r="I3891" s="11"/>
      <c r="J3891" s="14"/>
      <c r="K3891" s="16"/>
      <c r="L3891" s="15"/>
      <c r="M3891" s="14"/>
      <c r="N3891" s="23"/>
      <c r="O3891" s="14"/>
      <c r="P3891" s="14"/>
      <c r="Q3891" s="14"/>
      <c r="R3891" s="14"/>
    </row>
    <row r="3892" spans="1:18">
      <c r="A3892" t="s">
        <v>74</v>
      </c>
      <c r="B3892" t="s">
        <v>75</v>
      </c>
      <c r="C3892" s="23" t="s">
        <v>494</v>
      </c>
      <c r="D3892"/>
      <c r="F3892" s="14"/>
      <c r="G3892" s="14"/>
      <c r="H3892" s="14"/>
      <c r="I3892" s="11"/>
      <c r="J3892" s="14"/>
      <c r="K3892" s="16"/>
      <c r="L3892" s="15"/>
      <c r="M3892" s="14"/>
      <c r="N3892" s="23"/>
      <c r="O3892" s="14"/>
      <c r="P3892" s="14"/>
      <c r="Q3892" s="14"/>
      <c r="R3892" s="14"/>
    </row>
    <row r="3893" spans="1:18">
      <c r="B3893" t="s">
        <v>76</v>
      </c>
      <c r="C3893" s="23" t="s">
        <v>493</v>
      </c>
      <c r="D3893">
        <v>110</v>
      </c>
      <c r="F3893" s="14"/>
      <c r="G3893" s="14"/>
      <c r="H3893" s="14"/>
      <c r="I3893" s="11"/>
      <c r="J3893" s="14"/>
      <c r="K3893" s="16"/>
      <c r="L3893" s="15"/>
      <c r="M3893" s="14"/>
      <c r="N3893" s="23"/>
      <c r="O3893" s="14"/>
      <c r="P3893" s="14"/>
      <c r="Q3893" s="14"/>
      <c r="R3893" s="14"/>
    </row>
    <row r="3894" spans="1:18">
      <c r="B3894" t="s">
        <v>926</v>
      </c>
      <c r="C3894" s="23"/>
      <c r="D3894"/>
      <c r="F3894" s="14"/>
      <c r="G3894" s="14"/>
      <c r="H3894" s="14"/>
      <c r="I3894" s="11"/>
      <c r="J3894" s="14"/>
      <c r="K3894" s="16"/>
      <c r="L3894" s="15"/>
      <c r="M3894" s="14"/>
      <c r="N3894" s="23"/>
      <c r="O3894" s="14"/>
      <c r="P3894" s="14"/>
      <c r="Q3894" s="14"/>
      <c r="R3894" s="14"/>
    </row>
    <row r="3895" spans="1:18">
      <c r="B3895" t="s">
        <v>935</v>
      </c>
      <c r="C3895" s="23"/>
      <c r="D3895"/>
      <c r="F3895" s="14"/>
      <c r="G3895" s="14"/>
      <c r="H3895" s="14"/>
      <c r="I3895" s="11"/>
      <c r="J3895" s="14"/>
      <c r="K3895" s="16"/>
      <c r="L3895" s="15"/>
      <c r="M3895" s="14"/>
      <c r="N3895" s="23"/>
      <c r="O3895" s="14"/>
      <c r="P3895" s="14"/>
      <c r="Q3895" s="14"/>
      <c r="R3895" s="14"/>
    </row>
    <row r="3896" spans="1:18">
      <c r="B3896" s="23"/>
      <c r="C3896" s="23"/>
      <c r="D3896"/>
      <c r="F3896" s="14"/>
      <c r="G3896" s="14"/>
      <c r="H3896" s="14"/>
      <c r="I3896" s="11"/>
      <c r="J3896" s="14"/>
      <c r="K3896" s="16"/>
      <c r="L3896" s="15"/>
      <c r="M3896" s="14"/>
      <c r="N3896" s="23"/>
      <c r="O3896" s="14"/>
      <c r="P3896" s="14"/>
      <c r="Q3896" s="14"/>
      <c r="R3896" s="14"/>
    </row>
    <row r="3897" spans="1:18">
      <c r="B3897" s="23"/>
      <c r="C3897" s="23"/>
      <c r="D3897"/>
      <c r="F3897" s="14"/>
      <c r="G3897" s="14"/>
      <c r="H3897" s="14"/>
      <c r="I3897" s="11"/>
      <c r="J3897" s="14"/>
      <c r="K3897" s="16"/>
      <c r="L3897" s="15"/>
      <c r="M3897" s="14"/>
      <c r="N3897" s="23"/>
      <c r="O3897" s="14"/>
      <c r="P3897" s="14"/>
      <c r="Q3897" s="14"/>
      <c r="R3897" s="14"/>
    </row>
    <row r="3898" spans="1:18">
      <c r="B3898" s="23"/>
      <c r="F3898" s="14"/>
      <c r="G3898" s="14"/>
      <c r="H3898" s="14"/>
      <c r="I3898" s="11"/>
      <c r="J3898" s="14"/>
      <c r="K3898" s="16"/>
      <c r="L3898" s="15"/>
      <c r="M3898" s="14"/>
      <c r="N3898" s="23"/>
      <c r="O3898" s="14"/>
      <c r="P3898" s="14"/>
      <c r="Q3898" s="14"/>
      <c r="R3898" s="14"/>
    </row>
    <row r="3899" spans="1:18" s="7" customFormat="1" ht="12.75" customHeight="1">
      <c r="A3899" s="129" t="s">
        <v>1026</v>
      </c>
      <c r="B3899" s="129"/>
      <c r="C3899" s="129"/>
      <c r="D3899" s="129"/>
      <c r="E3899" s="129"/>
      <c r="F3899" s="129"/>
      <c r="G3899" s="129"/>
      <c r="H3899" s="129"/>
      <c r="I3899" s="129"/>
      <c r="J3899" s="129"/>
      <c r="K3899" s="129"/>
      <c r="L3899" s="129"/>
    </row>
    <row r="3901" spans="1:18">
      <c r="A3901" s="1" t="s">
        <v>78</v>
      </c>
      <c r="B3901" s="1" t="s">
        <v>79</v>
      </c>
      <c r="C3901" s="1" t="s">
        <v>494</v>
      </c>
      <c r="E3901" s="1" t="s">
        <v>476</v>
      </c>
      <c r="F3901" s="14">
        <v>15</v>
      </c>
      <c r="G3901" s="14">
        <v>1511</v>
      </c>
      <c r="H3901" s="11" t="s">
        <v>105</v>
      </c>
      <c r="I3901" s="14" t="s">
        <v>104</v>
      </c>
      <c r="J3901" s="14">
        <v>1511</v>
      </c>
      <c r="K3901" s="16">
        <v>1</v>
      </c>
      <c r="L3901" s="15">
        <v>6</v>
      </c>
      <c r="M3901" s="14"/>
      <c r="P3901" s="14"/>
      <c r="Q3901" s="14"/>
      <c r="R3901" s="14"/>
    </row>
    <row r="3902" spans="1:18">
      <c r="B3902" s="1" t="s">
        <v>80</v>
      </c>
      <c r="C3902" s="1" t="s">
        <v>494</v>
      </c>
      <c r="F3902" s="14"/>
      <c r="G3902" s="14"/>
      <c r="H3902" s="11"/>
      <c r="I3902" s="11"/>
      <c r="J3902" s="14"/>
      <c r="K3902" s="16">
        <v>2</v>
      </c>
      <c r="L3902" s="15">
        <v>6</v>
      </c>
      <c r="M3902" s="14"/>
      <c r="P3902" s="14"/>
      <c r="Q3902" s="14"/>
      <c r="R3902" s="14"/>
    </row>
    <row r="3903" spans="1:18">
      <c r="B3903" s="1" t="s">
        <v>81</v>
      </c>
      <c r="C3903" s="1" t="s">
        <v>494</v>
      </c>
      <c r="F3903" s="14"/>
      <c r="G3903" s="14"/>
      <c r="H3903" s="14"/>
      <c r="I3903" s="11"/>
      <c r="J3903" s="14"/>
      <c r="K3903" s="16">
        <v>3</v>
      </c>
      <c r="L3903" s="15">
        <v>3</v>
      </c>
      <c r="M3903" s="14"/>
      <c r="N3903" s="1" t="s">
        <v>536</v>
      </c>
      <c r="O3903" s="1" t="s">
        <v>537</v>
      </c>
      <c r="P3903" s="1" t="s">
        <v>538</v>
      </c>
      <c r="Q3903" s="14"/>
      <c r="R3903" s="14"/>
    </row>
    <row r="3904" spans="1:18">
      <c r="B3904" s="1" t="s">
        <v>82</v>
      </c>
      <c r="C3904" s="1" t="s">
        <v>493</v>
      </c>
      <c r="D3904" s="1">
        <v>50</v>
      </c>
      <c r="F3904" s="14"/>
      <c r="G3904" s="14"/>
      <c r="H3904" s="14"/>
      <c r="I3904" s="11"/>
      <c r="J3904" s="14"/>
      <c r="K3904" s="16">
        <v>4</v>
      </c>
      <c r="L3904" s="15"/>
      <c r="M3904" s="14"/>
      <c r="P3904" s="14"/>
      <c r="Q3904" s="14"/>
      <c r="R3904" s="14"/>
    </row>
    <row r="3905" spans="1:18">
      <c r="B3905" s="1" t="s">
        <v>83</v>
      </c>
      <c r="C3905" s="1" t="s">
        <v>493</v>
      </c>
      <c r="D3905" s="1">
        <v>50</v>
      </c>
      <c r="F3905" s="14"/>
      <c r="G3905" s="14"/>
      <c r="H3905" s="14"/>
      <c r="I3905" s="11"/>
      <c r="J3905" s="14"/>
      <c r="K3905" s="16">
        <v>5</v>
      </c>
      <c r="L3905" s="15"/>
      <c r="M3905" s="14"/>
      <c r="P3905" s="14"/>
      <c r="Q3905" s="14"/>
      <c r="R3905" s="14"/>
    </row>
    <row r="3906" spans="1:18">
      <c r="B3906" s="1" t="s">
        <v>84</v>
      </c>
      <c r="C3906" s="1" t="s">
        <v>493</v>
      </c>
      <c r="D3906" s="1">
        <v>1</v>
      </c>
      <c r="F3906" s="14"/>
      <c r="G3906" s="14"/>
      <c r="H3906" s="14"/>
      <c r="I3906" s="11"/>
      <c r="J3906" s="14"/>
      <c r="K3906" s="16">
        <v>6</v>
      </c>
      <c r="L3906" s="15">
        <v>3</v>
      </c>
      <c r="M3906" s="14"/>
      <c r="P3906" s="14"/>
      <c r="Q3906" s="14"/>
      <c r="R3906" s="14"/>
    </row>
    <row r="3907" spans="1:18">
      <c r="B3907" s="1" t="s">
        <v>85</v>
      </c>
      <c r="C3907" s="1" t="s">
        <v>494</v>
      </c>
      <c r="F3907" s="14"/>
      <c r="G3907" s="14"/>
      <c r="H3907" s="14"/>
      <c r="I3907" s="11"/>
      <c r="J3907" s="14"/>
      <c r="K3907" s="16">
        <v>7</v>
      </c>
      <c r="L3907" s="15">
        <v>3</v>
      </c>
      <c r="M3907" s="14"/>
      <c r="N3907" s="1" t="s">
        <v>92</v>
      </c>
      <c r="O3907" s="1" t="s">
        <v>93</v>
      </c>
      <c r="P3907" s="1" t="s">
        <v>94</v>
      </c>
      <c r="Q3907" s="14"/>
      <c r="R3907" s="14"/>
    </row>
    <row r="3908" spans="1:18">
      <c r="B3908" s="29"/>
      <c r="F3908" s="14"/>
      <c r="G3908" s="14"/>
      <c r="H3908" s="14"/>
      <c r="I3908" s="11"/>
      <c r="J3908" s="14"/>
      <c r="K3908" s="16"/>
      <c r="L3908" s="15"/>
      <c r="M3908" s="14"/>
      <c r="P3908" s="14"/>
      <c r="Q3908" s="14"/>
      <c r="R3908" s="14"/>
    </row>
    <row r="3909" spans="1:18">
      <c r="A3909" s="1" t="s">
        <v>86</v>
      </c>
      <c r="B3909" s="1" t="s">
        <v>87</v>
      </c>
      <c r="C3909" s="1" t="s">
        <v>494</v>
      </c>
      <c r="E3909" s="1" t="s">
        <v>476</v>
      </c>
      <c r="F3909" s="14">
        <v>15</v>
      </c>
      <c r="G3909" s="14">
        <v>1512</v>
      </c>
      <c r="H3909" s="14" t="s">
        <v>106</v>
      </c>
      <c r="I3909" s="11" t="s">
        <v>107</v>
      </c>
      <c r="J3909" s="14">
        <v>1511</v>
      </c>
      <c r="K3909" s="16">
        <v>1</v>
      </c>
      <c r="L3909" s="15">
        <v>52</v>
      </c>
      <c r="M3909" s="14"/>
      <c r="N3909" s="1">
        <v>1511</v>
      </c>
      <c r="O3909" s="1" t="s">
        <v>80</v>
      </c>
      <c r="P3909" s="14"/>
      <c r="Q3909" s="14"/>
      <c r="R3909" s="14"/>
    </row>
    <row r="3910" spans="1:18">
      <c r="B3910" s="1" t="s">
        <v>88</v>
      </c>
      <c r="C3910" s="1" t="s">
        <v>494</v>
      </c>
      <c r="E3910" s="1" t="s">
        <v>476</v>
      </c>
      <c r="F3910" s="14"/>
      <c r="G3910" s="14"/>
      <c r="H3910" s="14"/>
      <c r="I3910" s="11"/>
      <c r="J3910" s="14"/>
      <c r="K3910" s="16">
        <v>2</v>
      </c>
      <c r="L3910" s="15">
        <v>6</v>
      </c>
      <c r="M3910" s="14"/>
      <c r="P3910" s="14"/>
      <c r="Q3910" s="14"/>
      <c r="R3910" s="14"/>
    </row>
    <row r="3911" spans="1:18">
      <c r="B3911" s="1" t="s">
        <v>89</v>
      </c>
      <c r="C3911" s="1" t="s">
        <v>494</v>
      </c>
      <c r="F3911" s="14"/>
      <c r="G3911" s="14"/>
      <c r="H3911" s="14"/>
      <c r="I3911" s="11"/>
      <c r="J3911" s="14"/>
      <c r="K3911" s="16">
        <v>3</v>
      </c>
      <c r="L3911" s="15">
        <v>6</v>
      </c>
      <c r="M3911" s="14"/>
      <c r="P3911" s="14"/>
      <c r="Q3911" s="14"/>
      <c r="R3911" s="14"/>
    </row>
    <row r="3912" spans="1:18">
      <c r="B3912" s="1" t="s">
        <v>90</v>
      </c>
      <c r="C3912" s="1" t="s">
        <v>520</v>
      </c>
      <c r="F3912" s="14"/>
      <c r="G3912" s="14"/>
      <c r="H3912" s="14"/>
      <c r="I3912" s="11"/>
      <c r="J3912" s="14"/>
      <c r="K3912" s="16">
        <v>4</v>
      </c>
      <c r="L3912" s="15"/>
      <c r="M3912" s="14"/>
      <c r="P3912" s="14"/>
      <c r="Q3912" s="14"/>
      <c r="R3912" s="14"/>
    </row>
    <row r="3913" spans="1:18">
      <c r="B3913" s="1" t="s">
        <v>91</v>
      </c>
      <c r="C3913" s="1" t="s">
        <v>493</v>
      </c>
      <c r="D3913" s="1">
        <v>10</v>
      </c>
      <c r="F3913" s="14"/>
      <c r="G3913" s="14"/>
      <c r="H3913" s="14"/>
      <c r="I3913" s="11"/>
      <c r="J3913" s="14"/>
      <c r="K3913" s="16">
        <v>5</v>
      </c>
      <c r="L3913" s="15">
        <v>7</v>
      </c>
      <c r="M3913" s="14">
        <v>1</v>
      </c>
      <c r="P3913" s="14"/>
      <c r="Q3913" s="14"/>
      <c r="R3913" s="14"/>
    </row>
    <row r="3914" spans="1:18">
      <c r="B3914" s="1" t="s">
        <v>95</v>
      </c>
      <c r="C3914" s="1" t="s">
        <v>494</v>
      </c>
      <c r="F3914" s="14"/>
      <c r="G3914" s="14"/>
      <c r="H3914" s="14"/>
      <c r="I3914" s="11"/>
      <c r="J3914" s="14"/>
      <c r="K3914" s="16">
        <v>6</v>
      </c>
      <c r="L3914" s="15">
        <v>8</v>
      </c>
      <c r="M3914" s="14">
        <v>1</v>
      </c>
      <c r="P3914" s="14"/>
      <c r="Q3914" s="14"/>
      <c r="R3914" s="14"/>
    </row>
    <row r="3915" spans="1:18">
      <c r="F3915" s="14"/>
      <c r="G3915" s="14"/>
      <c r="H3915" s="14"/>
      <c r="I3915" s="11"/>
      <c r="J3915" s="14"/>
      <c r="K3915" s="16"/>
      <c r="L3915" s="15"/>
      <c r="M3915" s="14"/>
      <c r="P3915" s="14"/>
      <c r="Q3915" s="14"/>
      <c r="R3915" s="14"/>
    </row>
    <row r="3916" spans="1:18">
      <c r="A3916" s="1" t="s">
        <v>96</v>
      </c>
      <c r="B3916" s="1" t="s">
        <v>97</v>
      </c>
      <c r="C3916" s="1" t="s">
        <v>494</v>
      </c>
      <c r="E3916" s="1" t="s">
        <v>476</v>
      </c>
      <c r="F3916" s="14">
        <v>15</v>
      </c>
      <c r="G3916" s="14">
        <v>1513</v>
      </c>
      <c r="H3916" s="14" t="s">
        <v>521</v>
      </c>
      <c r="I3916" s="11" t="s">
        <v>108</v>
      </c>
      <c r="J3916" s="14">
        <v>1511</v>
      </c>
      <c r="K3916" s="16">
        <v>1</v>
      </c>
      <c r="L3916" s="15">
        <v>52</v>
      </c>
      <c r="M3916" s="14"/>
      <c r="N3916" s="1">
        <v>1511</v>
      </c>
      <c r="O3916" s="1" t="s">
        <v>80</v>
      </c>
      <c r="P3916" s="14"/>
      <c r="Q3916" s="14"/>
      <c r="R3916" s="14"/>
    </row>
    <row r="3917" spans="1:18">
      <c r="B3917" s="1" t="s">
        <v>98</v>
      </c>
      <c r="C3917" s="1" t="s">
        <v>494</v>
      </c>
      <c r="E3917" s="1" t="s">
        <v>476</v>
      </c>
      <c r="F3917" s="14"/>
      <c r="G3917" s="14"/>
      <c r="H3917" s="14"/>
      <c r="I3917" s="11"/>
      <c r="J3917" s="14"/>
      <c r="K3917" s="16">
        <v>2</v>
      </c>
      <c r="L3917" s="15">
        <v>6</v>
      </c>
      <c r="M3917" s="14"/>
      <c r="P3917" s="14"/>
      <c r="Q3917" s="14"/>
      <c r="R3917" s="14"/>
    </row>
    <row r="3918" spans="1:18">
      <c r="B3918" s="1" t="s">
        <v>99</v>
      </c>
      <c r="C3918" s="1" t="s">
        <v>494</v>
      </c>
      <c r="F3918" s="14"/>
      <c r="G3918" s="14"/>
      <c r="H3918" s="14"/>
      <c r="I3918" s="11"/>
      <c r="J3918" s="14"/>
      <c r="K3918" s="16">
        <v>3</v>
      </c>
      <c r="L3918" s="15">
        <v>6</v>
      </c>
      <c r="M3918" s="14"/>
      <c r="P3918" s="14"/>
      <c r="Q3918" s="14"/>
      <c r="R3918" s="14"/>
    </row>
    <row r="3919" spans="1:18">
      <c r="B3919" s="1" t="s">
        <v>100</v>
      </c>
      <c r="C3919" s="1" t="s">
        <v>520</v>
      </c>
      <c r="F3919" s="14"/>
      <c r="G3919" s="14"/>
      <c r="H3919" s="14"/>
      <c r="I3919" s="11"/>
      <c r="J3919" s="14"/>
      <c r="K3919" s="16">
        <v>4</v>
      </c>
      <c r="L3919" s="15"/>
      <c r="M3919" s="14"/>
      <c r="P3919" s="14"/>
      <c r="Q3919" s="14"/>
      <c r="R3919" s="14"/>
    </row>
    <row r="3920" spans="1:18">
      <c r="B3920" s="1" t="s">
        <v>101</v>
      </c>
      <c r="C3920" s="1" t="s">
        <v>493</v>
      </c>
      <c r="D3920" s="1">
        <v>10</v>
      </c>
      <c r="F3920" s="14"/>
      <c r="G3920" s="14"/>
      <c r="H3920" s="14"/>
      <c r="I3920" s="11"/>
      <c r="J3920" s="14"/>
      <c r="K3920" s="16">
        <v>5</v>
      </c>
      <c r="L3920" s="15">
        <v>7</v>
      </c>
      <c r="M3920" s="14">
        <v>1</v>
      </c>
      <c r="P3920" s="14"/>
      <c r="Q3920" s="14"/>
      <c r="R3920" s="14"/>
    </row>
    <row r="3921" spans="1:18">
      <c r="B3921" s="1" t="s">
        <v>102</v>
      </c>
      <c r="C3921" s="1" t="s">
        <v>494</v>
      </c>
      <c r="F3921" s="14"/>
      <c r="G3921" s="14"/>
      <c r="H3921" s="14"/>
      <c r="I3921" s="11"/>
      <c r="J3921" s="14"/>
      <c r="K3921" s="16">
        <v>6</v>
      </c>
      <c r="L3921" s="15">
        <v>8</v>
      </c>
      <c r="M3921" s="14">
        <v>1</v>
      </c>
      <c r="P3921" s="14"/>
      <c r="Q3921" s="14"/>
      <c r="R3921" s="14"/>
    </row>
    <row r="3922" spans="1:18">
      <c r="B3922" s="1" t="s">
        <v>103</v>
      </c>
      <c r="C3922" s="1" t="s">
        <v>493</v>
      </c>
      <c r="D3922" s="1">
        <v>1</v>
      </c>
      <c r="F3922" s="14"/>
      <c r="G3922" s="14"/>
      <c r="H3922" s="14"/>
      <c r="I3922" s="11"/>
      <c r="J3922" s="14"/>
      <c r="K3922" s="16">
        <v>7</v>
      </c>
      <c r="L3922" s="15">
        <v>3</v>
      </c>
      <c r="M3922" s="14">
        <v>1</v>
      </c>
      <c r="P3922" s="14"/>
      <c r="Q3922" s="14"/>
      <c r="R3922" s="14"/>
    </row>
    <row r="3923" spans="1:18">
      <c r="B3923" s="29"/>
      <c r="F3923" s="14"/>
      <c r="G3923" s="14"/>
      <c r="H3923" s="14"/>
      <c r="I3923" s="11"/>
      <c r="J3923" s="14"/>
      <c r="K3923" s="16"/>
      <c r="L3923" s="15"/>
      <c r="M3923" s="14"/>
      <c r="P3923" s="14"/>
      <c r="Q3923" s="14"/>
      <c r="R3923" s="14"/>
    </row>
    <row r="3924" spans="1:18">
      <c r="A3924" s="1" t="s">
        <v>92</v>
      </c>
      <c r="B3924" s="1" t="s">
        <v>93</v>
      </c>
      <c r="C3924" s="1" t="s">
        <v>494</v>
      </c>
      <c r="E3924" s="1" t="s">
        <v>476</v>
      </c>
      <c r="F3924" s="14"/>
      <c r="G3924" s="14"/>
      <c r="H3924" s="14"/>
      <c r="I3924" s="11"/>
      <c r="J3924" s="14"/>
      <c r="K3924" s="16"/>
      <c r="L3924" s="15"/>
      <c r="M3924" s="14"/>
      <c r="P3924" s="14"/>
      <c r="Q3924" s="14"/>
      <c r="R3924" s="14"/>
    </row>
    <row r="3925" spans="1:18">
      <c r="B3925" s="1" t="s">
        <v>94</v>
      </c>
      <c r="C3925" s="1" t="s">
        <v>493</v>
      </c>
      <c r="D3925" s="1">
        <v>100</v>
      </c>
      <c r="F3925" s="14"/>
      <c r="G3925" s="14"/>
      <c r="H3925" s="14"/>
      <c r="I3925" s="11"/>
      <c r="J3925" s="14"/>
      <c r="K3925" s="16"/>
      <c r="L3925" s="15"/>
      <c r="M3925" s="14"/>
      <c r="P3925" s="14"/>
      <c r="Q3925" s="14"/>
      <c r="R3925" s="14"/>
    </row>
    <row r="3926" spans="1:18">
      <c r="B3926" s="29"/>
      <c r="F3926" s="14"/>
      <c r="G3926" s="14"/>
      <c r="H3926" s="14"/>
      <c r="I3926" s="11"/>
      <c r="J3926" s="14"/>
      <c r="K3926" s="16"/>
      <c r="L3926" s="15"/>
      <c r="M3926" s="14"/>
      <c r="P3926" s="14"/>
      <c r="Q3926" s="14"/>
      <c r="R3926" s="14"/>
    </row>
    <row r="3927" spans="1:18">
      <c r="A3927" s="1" t="s">
        <v>115</v>
      </c>
      <c r="B3927" s="29" t="s">
        <v>116</v>
      </c>
      <c r="C3927" s="1" t="s">
        <v>494</v>
      </c>
      <c r="E3927" s="1" t="s">
        <v>476</v>
      </c>
      <c r="F3927" s="14">
        <v>15</v>
      </c>
      <c r="G3927" s="14">
        <v>1515</v>
      </c>
      <c r="H3927" s="14" t="s">
        <v>177</v>
      </c>
      <c r="I3927" s="11" t="s">
        <v>178</v>
      </c>
      <c r="J3927" s="14">
        <v>1506</v>
      </c>
      <c r="K3927" s="16">
        <v>1</v>
      </c>
      <c r="L3927" s="15">
        <v>6</v>
      </c>
      <c r="M3927" s="14"/>
      <c r="P3927" s="14"/>
      <c r="Q3927" s="14"/>
      <c r="R3927" s="14"/>
    </row>
    <row r="3928" spans="1:18">
      <c r="B3928" s="29" t="s">
        <v>117</v>
      </c>
      <c r="C3928" s="1" t="s">
        <v>494</v>
      </c>
      <c r="F3928" s="14"/>
      <c r="G3928" s="14"/>
      <c r="H3928" s="14"/>
      <c r="I3928" s="11"/>
      <c r="J3928" s="14"/>
      <c r="K3928" s="16">
        <v>2</v>
      </c>
      <c r="L3928" s="15">
        <v>6</v>
      </c>
      <c r="M3928" s="14"/>
      <c r="P3928" s="14"/>
      <c r="Q3928" s="14"/>
      <c r="R3928" s="14"/>
    </row>
    <row r="3929" spans="1:18">
      <c r="B3929" s="29" t="s">
        <v>119</v>
      </c>
      <c r="C3929" s="1" t="s">
        <v>494</v>
      </c>
      <c r="F3929" s="14"/>
      <c r="G3929" s="14"/>
      <c r="H3929" s="14"/>
      <c r="I3929" s="11"/>
      <c r="J3929" s="14"/>
      <c r="K3929" s="16">
        <v>3</v>
      </c>
      <c r="L3929" s="15"/>
      <c r="M3929" s="14"/>
      <c r="P3929" s="14"/>
      <c r="Q3929" s="14"/>
      <c r="R3929" s="14"/>
    </row>
    <row r="3930" spans="1:18">
      <c r="B3930" s="29" t="s">
        <v>118</v>
      </c>
      <c r="C3930" s="1" t="s">
        <v>493</v>
      </c>
      <c r="D3930" s="1">
        <v>250</v>
      </c>
      <c r="F3930" s="14"/>
      <c r="G3930" s="14"/>
      <c r="H3930" s="14"/>
      <c r="I3930" s="11"/>
      <c r="J3930" s="14"/>
      <c r="K3930" s="16">
        <v>4</v>
      </c>
      <c r="L3930" s="15"/>
      <c r="M3930" s="14"/>
      <c r="P3930" s="14"/>
      <c r="Q3930" s="14"/>
      <c r="R3930" s="14"/>
    </row>
    <row r="3931" spans="1:18">
      <c r="B3931" s="29" t="s">
        <v>120</v>
      </c>
      <c r="C3931" s="1" t="s">
        <v>520</v>
      </c>
      <c r="F3931" s="14"/>
      <c r="G3931" s="14"/>
      <c r="H3931" s="14"/>
      <c r="I3931" s="11"/>
      <c r="J3931" s="14"/>
      <c r="K3931" s="16">
        <v>5</v>
      </c>
      <c r="L3931" s="15"/>
      <c r="M3931" s="14"/>
      <c r="P3931" s="14"/>
      <c r="Q3931" s="14"/>
      <c r="R3931" s="14"/>
    </row>
    <row r="3932" spans="1:18">
      <c r="B3932" s="29"/>
      <c r="F3932" s="14"/>
      <c r="G3932" s="14"/>
      <c r="H3932" s="14"/>
      <c r="I3932" s="11"/>
      <c r="J3932" s="14"/>
      <c r="K3932" s="16"/>
      <c r="L3932" s="15"/>
      <c r="M3932" s="14"/>
      <c r="P3932" s="14"/>
      <c r="Q3932" s="14"/>
      <c r="R3932" s="14"/>
    </row>
    <row r="3933" spans="1:18">
      <c r="A3933" s="62" t="s">
        <v>121</v>
      </c>
      <c r="B3933" s="29" t="s">
        <v>122</v>
      </c>
      <c r="C3933" s="1" t="s">
        <v>494</v>
      </c>
      <c r="E3933" s="1" t="s">
        <v>476</v>
      </c>
      <c r="F3933" s="14">
        <v>15</v>
      </c>
      <c r="G3933" s="14">
        <v>1516</v>
      </c>
      <c r="H3933" s="14" t="s">
        <v>179</v>
      </c>
      <c r="I3933" s="11" t="s">
        <v>180</v>
      </c>
      <c r="J3933" s="14">
        <v>1506</v>
      </c>
      <c r="K3933" s="16">
        <v>1</v>
      </c>
      <c r="L3933" s="15">
        <v>3</v>
      </c>
      <c r="M3933" s="14"/>
      <c r="N3933" s="1" t="s">
        <v>161</v>
      </c>
      <c r="O3933" s="29" t="s">
        <v>170</v>
      </c>
      <c r="P3933" s="29" t="s">
        <v>172</v>
      </c>
      <c r="Q3933" s="14"/>
      <c r="R3933" s="14"/>
    </row>
    <row r="3934" spans="1:18" ht="13.5" customHeight="1">
      <c r="B3934" s="66" t="s">
        <v>123</v>
      </c>
      <c r="C3934" s="1" t="s">
        <v>494</v>
      </c>
      <c r="E3934" s="1" t="s">
        <v>476</v>
      </c>
      <c r="F3934" s="14"/>
      <c r="G3934" s="14"/>
      <c r="H3934" s="14"/>
      <c r="I3934" s="11"/>
      <c r="J3934" s="14"/>
      <c r="K3934" s="16">
        <v>2</v>
      </c>
      <c r="L3934" s="15">
        <v>3</v>
      </c>
      <c r="M3934" s="14">
        <v>31</v>
      </c>
      <c r="N3934" s="1" t="s">
        <v>162</v>
      </c>
      <c r="O3934" s="29" t="s">
        <v>164</v>
      </c>
      <c r="P3934" s="29" t="s">
        <v>166</v>
      </c>
      <c r="Q3934" s="29" t="s">
        <v>168</v>
      </c>
      <c r="R3934" s="14">
        <v>1</v>
      </c>
    </row>
    <row r="3935" spans="1:18">
      <c r="B3935" s="29" t="s">
        <v>124</v>
      </c>
      <c r="C3935" s="1" t="s">
        <v>494</v>
      </c>
      <c r="E3935" s="1" t="s">
        <v>476</v>
      </c>
      <c r="F3935" s="14"/>
      <c r="G3935" s="14"/>
      <c r="H3935" s="14"/>
      <c r="I3935" s="11"/>
      <c r="J3935" s="14"/>
      <c r="K3935" s="16">
        <v>3</v>
      </c>
      <c r="L3935" s="15">
        <v>6</v>
      </c>
      <c r="M3935" s="14"/>
      <c r="P3935" s="14"/>
      <c r="Q3935" s="14"/>
      <c r="R3935" s="14"/>
    </row>
    <row r="3936" spans="1:18">
      <c r="B3936" s="66" t="s">
        <v>125</v>
      </c>
      <c r="C3936" s="1" t="s">
        <v>494</v>
      </c>
      <c r="F3936" s="14"/>
      <c r="G3936" s="14"/>
      <c r="H3936" s="14"/>
      <c r="I3936" s="11"/>
      <c r="J3936" s="14"/>
      <c r="K3936" s="16">
        <v>4</v>
      </c>
      <c r="L3936" s="15">
        <v>6</v>
      </c>
      <c r="M3936" s="14"/>
      <c r="P3936" s="14"/>
      <c r="Q3936" s="14"/>
      <c r="R3936" s="14"/>
    </row>
    <row r="3937" spans="1:18">
      <c r="B3937" s="29" t="s">
        <v>126</v>
      </c>
      <c r="C3937" s="1" t="s">
        <v>493</v>
      </c>
      <c r="D3937" s="1">
        <v>1</v>
      </c>
      <c r="F3937" s="14"/>
      <c r="G3937" s="14"/>
      <c r="H3937" s="14"/>
      <c r="I3937" s="11"/>
      <c r="J3937" s="14"/>
      <c r="K3937" s="16">
        <v>5</v>
      </c>
      <c r="L3937" s="15">
        <v>3</v>
      </c>
      <c r="M3937" s="14"/>
      <c r="P3937" s="14"/>
      <c r="Q3937" s="14"/>
      <c r="R3937" s="14"/>
    </row>
    <row r="3938" spans="1:18">
      <c r="B3938" s="29" t="s">
        <v>127</v>
      </c>
      <c r="C3938" s="1" t="s">
        <v>493</v>
      </c>
      <c r="D3938" s="1">
        <v>1</v>
      </c>
      <c r="F3938" s="14"/>
      <c r="G3938" s="14"/>
      <c r="H3938" s="14"/>
      <c r="I3938" s="11"/>
      <c r="J3938" s="14"/>
      <c r="K3938" s="16">
        <v>6</v>
      </c>
      <c r="L3938" s="15">
        <v>3</v>
      </c>
      <c r="M3938" s="14"/>
      <c r="P3938" s="14"/>
      <c r="Q3938" s="14"/>
      <c r="R3938" s="14"/>
    </row>
    <row r="3939" spans="1:18">
      <c r="B3939" s="29" t="s">
        <v>128</v>
      </c>
      <c r="C3939" s="1" t="s">
        <v>493</v>
      </c>
      <c r="D3939" s="1">
        <v>10</v>
      </c>
      <c r="F3939" s="14"/>
      <c r="G3939" s="14"/>
      <c r="H3939" s="14"/>
      <c r="I3939" s="11"/>
      <c r="J3939" s="14"/>
      <c r="K3939" s="16">
        <v>7</v>
      </c>
      <c r="L3939" s="15">
        <v>7</v>
      </c>
      <c r="M3939" s="14"/>
      <c r="P3939" s="14"/>
      <c r="Q3939" s="14"/>
      <c r="R3939" s="14"/>
    </row>
    <row r="3940" spans="1:18">
      <c r="B3940" s="29" t="s">
        <v>129</v>
      </c>
      <c r="C3940" s="1" t="s">
        <v>494</v>
      </c>
      <c r="F3940" s="14"/>
      <c r="G3940" s="14"/>
      <c r="H3940" s="14"/>
      <c r="I3940" s="11"/>
      <c r="J3940" s="14"/>
      <c r="K3940" s="16">
        <v>8</v>
      </c>
      <c r="L3940" s="15"/>
      <c r="M3940" s="14"/>
      <c r="P3940" s="14"/>
      <c r="Q3940" s="14"/>
      <c r="R3940" s="14"/>
    </row>
    <row r="3941" spans="1:18">
      <c r="B3941" s="29" t="s">
        <v>130</v>
      </c>
      <c r="C3941" s="1" t="s">
        <v>494</v>
      </c>
      <c r="F3941" s="14"/>
      <c r="G3941" s="14"/>
      <c r="H3941" s="14"/>
      <c r="I3941" s="11"/>
      <c r="J3941" s="14"/>
      <c r="K3941" s="16">
        <v>9</v>
      </c>
      <c r="L3941" s="15">
        <v>3</v>
      </c>
      <c r="M3941" s="14"/>
      <c r="N3941" s="1" t="s">
        <v>115</v>
      </c>
      <c r="O3941" s="29" t="s">
        <v>117</v>
      </c>
      <c r="P3941" s="29" t="s">
        <v>118</v>
      </c>
      <c r="Q3941" s="14"/>
      <c r="R3941" s="14"/>
    </row>
    <row r="3942" spans="1:18">
      <c r="B3942" s="29" t="s">
        <v>131</v>
      </c>
      <c r="C3942" s="1" t="s">
        <v>493</v>
      </c>
      <c r="D3942" s="1">
        <v>200</v>
      </c>
      <c r="F3942" s="14"/>
      <c r="G3942" s="14"/>
      <c r="H3942" s="14"/>
      <c r="I3942" s="11"/>
      <c r="J3942" s="14"/>
      <c r="K3942" s="16">
        <v>10</v>
      </c>
      <c r="L3942" s="15"/>
      <c r="M3942" s="14"/>
      <c r="P3942" s="14"/>
      <c r="Q3942" s="14"/>
      <c r="R3942" s="14"/>
    </row>
    <row r="3943" spans="1:18">
      <c r="B3943" s="29" t="s">
        <v>132</v>
      </c>
      <c r="C3943" s="1" t="s">
        <v>520</v>
      </c>
      <c r="F3943" s="14"/>
      <c r="G3943" s="14"/>
      <c r="H3943" s="14"/>
      <c r="I3943" s="11"/>
      <c r="J3943" s="14"/>
      <c r="K3943" s="16">
        <v>11</v>
      </c>
      <c r="L3943" s="15"/>
      <c r="M3943" s="14"/>
      <c r="P3943" s="14"/>
      <c r="Q3943" s="14"/>
      <c r="R3943" s="14"/>
    </row>
    <row r="3944" spans="1:18">
      <c r="B3944" s="29"/>
      <c r="F3944" s="14"/>
      <c r="G3944" s="14"/>
      <c r="H3944" s="14"/>
      <c r="I3944" s="11"/>
      <c r="J3944" s="14"/>
      <c r="K3944" s="16"/>
      <c r="L3944" s="15"/>
      <c r="M3944" s="14"/>
      <c r="P3944" s="14"/>
      <c r="Q3944" s="14"/>
      <c r="R3944" s="14"/>
    </row>
    <row r="3945" spans="1:18">
      <c r="A3945" s="1" t="s">
        <v>133</v>
      </c>
      <c r="B3945" s="29" t="s">
        <v>134</v>
      </c>
      <c r="C3945" s="1" t="s">
        <v>494</v>
      </c>
      <c r="E3945" s="1" t="s">
        <v>476</v>
      </c>
      <c r="F3945" s="14">
        <v>15</v>
      </c>
      <c r="G3945" s="14">
        <v>1517</v>
      </c>
      <c r="H3945" s="14" t="s">
        <v>181</v>
      </c>
      <c r="I3945" s="11" t="s">
        <v>182</v>
      </c>
      <c r="J3945" s="14">
        <v>1506</v>
      </c>
      <c r="K3945" s="16">
        <v>1</v>
      </c>
      <c r="L3945" s="15">
        <v>52</v>
      </c>
      <c r="M3945" s="14"/>
      <c r="N3945" s="1">
        <v>1516</v>
      </c>
      <c r="O3945" s="29" t="s">
        <v>125</v>
      </c>
      <c r="P3945" s="14"/>
      <c r="Q3945" s="14"/>
      <c r="R3945" s="14"/>
    </row>
    <row r="3946" spans="1:18">
      <c r="B3946" s="29" t="s">
        <v>135</v>
      </c>
      <c r="C3946" s="1" t="s">
        <v>494</v>
      </c>
      <c r="E3946" s="1" t="s">
        <v>476</v>
      </c>
      <c r="F3946" s="14"/>
      <c r="G3946" s="14"/>
      <c r="H3946" s="14"/>
      <c r="I3946" s="11"/>
      <c r="J3946" s="14"/>
      <c r="K3946" s="16">
        <v>2</v>
      </c>
      <c r="L3946" s="15">
        <v>6</v>
      </c>
      <c r="M3946" s="14"/>
      <c r="P3946" s="14"/>
      <c r="Q3946" s="14"/>
      <c r="R3946" s="14"/>
    </row>
    <row r="3947" spans="1:18">
      <c r="B3947" s="29" t="s">
        <v>136</v>
      </c>
      <c r="C3947" s="1" t="s">
        <v>494</v>
      </c>
      <c r="F3947" s="14"/>
      <c r="G3947" s="14"/>
      <c r="H3947" s="14"/>
      <c r="I3947" s="11"/>
      <c r="J3947" s="14"/>
      <c r="K3947" s="16">
        <v>3</v>
      </c>
      <c r="L3947" s="15">
        <v>6</v>
      </c>
      <c r="M3947" s="14"/>
      <c r="P3947" s="14"/>
      <c r="Q3947" s="14"/>
      <c r="R3947" s="14"/>
    </row>
    <row r="3948" spans="1:18">
      <c r="B3948" s="29" t="s">
        <v>141</v>
      </c>
      <c r="C3948" s="1" t="s">
        <v>520</v>
      </c>
      <c r="F3948" s="14"/>
      <c r="G3948" s="14"/>
      <c r="H3948" s="14"/>
      <c r="I3948" s="11"/>
      <c r="J3948" s="14"/>
      <c r="K3948" s="16">
        <v>4</v>
      </c>
      <c r="L3948" s="15"/>
      <c r="M3948" s="14"/>
      <c r="P3948" s="14"/>
      <c r="Q3948" s="14"/>
      <c r="R3948" s="14"/>
    </row>
    <row r="3949" spans="1:18">
      <c r="B3949" s="29" t="s">
        <v>142</v>
      </c>
      <c r="C3949" s="1" t="s">
        <v>494</v>
      </c>
      <c r="F3949" s="14"/>
      <c r="G3949" s="14"/>
      <c r="H3949" s="14"/>
      <c r="I3949" s="11"/>
      <c r="J3949" s="14"/>
      <c r="K3949" s="16">
        <v>5</v>
      </c>
      <c r="L3949" s="15">
        <v>3</v>
      </c>
      <c r="M3949" s="14">
        <v>1</v>
      </c>
      <c r="N3949" s="1" t="s">
        <v>187</v>
      </c>
      <c r="O3949" s="29" t="s">
        <v>188</v>
      </c>
      <c r="P3949" s="29" t="s">
        <v>189</v>
      </c>
      <c r="Q3949" s="14"/>
      <c r="R3949" s="14"/>
    </row>
    <row r="3950" spans="1:18">
      <c r="B3950" s="29" t="s">
        <v>137</v>
      </c>
      <c r="C3950" s="1" t="s">
        <v>494</v>
      </c>
      <c r="F3950" s="14"/>
      <c r="G3950" s="14"/>
      <c r="H3950" s="14"/>
      <c r="I3950" s="11"/>
      <c r="J3950" s="14"/>
      <c r="K3950" s="16">
        <v>6</v>
      </c>
      <c r="L3950" s="15">
        <v>8</v>
      </c>
      <c r="M3950" s="14">
        <v>1</v>
      </c>
      <c r="P3950" s="14"/>
      <c r="Q3950" s="14"/>
      <c r="R3950" s="14"/>
    </row>
    <row r="3951" spans="1:18">
      <c r="B3951" s="29" t="s">
        <v>138</v>
      </c>
      <c r="C3951" s="1" t="s">
        <v>493</v>
      </c>
      <c r="D3951" s="1">
        <v>10</v>
      </c>
      <c r="F3951" s="14"/>
      <c r="G3951" s="14"/>
      <c r="H3951" s="14"/>
      <c r="I3951" s="11"/>
      <c r="J3951" s="14"/>
      <c r="K3951" s="16">
        <v>7</v>
      </c>
      <c r="L3951" s="15">
        <v>7</v>
      </c>
      <c r="M3951" s="14">
        <v>1</v>
      </c>
      <c r="P3951" s="14"/>
      <c r="Q3951" s="14"/>
      <c r="R3951" s="14"/>
    </row>
    <row r="3952" spans="1:18">
      <c r="B3952" s="29" t="s">
        <v>140</v>
      </c>
      <c r="C3952" s="1" t="s">
        <v>494</v>
      </c>
      <c r="F3952" s="14"/>
      <c r="G3952" s="14"/>
      <c r="H3952" s="14"/>
      <c r="I3952" s="11"/>
      <c r="J3952" s="14"/>
      <c r="K3952" s="16">
        <v>8</v>
      </c>
      <c r="L3952" s="15"/>
      <c r="M3952" s="14">
        <v>73</v>
      </c>
      <c r="P3952" s="14"/>
      <c r="Q3952" s="14"/>
      <c r="R3952" s="14"/>
    </row>
    <row r="3953" spans="1:18">
      <c r="B3953" s="29" t="s">
        <v>139</v>
      </c>
      <c r="C3953" s="1" t="s">
        <v>494</v>
      </c>
      <c r="F3953" s="14"/>
      <c r="G3953" s="14"/>
      <c r="H3953" s="14"/>
      <c r="I3953" s="11"/>
      <c r="J3953" s="14"/>
      <c r="K3953" s="16">
        <v>9</v>
      </c>
      <c r="L3953" s="15"/>
      <c r="M3953" s="14">
        <v>74</v>
      </c>
      <c r="P3953" s="14"/>
      <c r="Q3953" s="14"/>
      <c r="R3953" s="14"/>
    </row>
    <row r="3954" spans="1:18">
      <c r="B3954" s="29" t="s">
        <v>143</v>
      </c>
      <c r="C3954" s="1" t="s">
        <v>494</v>
      </c>
      <c r="F3954" s="14"/>
      <c r="G3954" s="14"/>
      <c r="H3954" s="14"/>
      <c r="I3954" s="11"/>
      <c r="J3954" s="14"/>
      <c r="K3954" s="16">
        <v>10</v>
      </c>
      <c r="L3954" s="15">
        <v>8</v>
      </c>
      <c r="M3954" s="14">
        <v>1</v>
      </c>
      <c r="P3954" s="14"/>
      <c r="Q3954" s="14"/>
      <c r="R3954" s="14"/>
    </row>
    <row r="3955" spans="1:18">
      <c r="B3955" s="29" t="s">
        <v>144</v>
      </c>
      <c r="C3955" s="1" t="s">
        <v>493</v>
      </c>
      <c r="D3955" s="1">
        <v>10</v>
      </c>
      <c r="F3955" s="14"/>
      <c r="G3955" s="14"/>
      <c r="H3955" s="14"/>
      <c r="I3955" s="11"/>
      <c r="J3955" s="14"/>
      <c r="K3955" s="16">
        <v>11</v>
      </c>
      <c r="L3955" s="15">
        <v>7</v>
      </c>
      <c r="M3955" s="14">
        <v>1</v>
      </c>
      <c r="P3955" s="14"/>
      <c r="Q3955" s="14"/>
      <c r="R3955" s="14"/>
    </row>
    <row r="3956" spans="1:18">
      <c r="B3956" s="29" t="s">
        <v>145</v>
      </c>
      <c r="C3956" s="1" t="s">
        <v>494</v>
      </c>
      <c r="F3956" s="14"/>
      <c r="G3956" s="14"/>
      <c r="H3956" s="14"/>
      <c r="I3956" s="11"/>
      <c r="J3956" s="14"/>
      <c r="K3956" s="16">
        <v>12</v>
      </c>
      <c r="L3956" s="15"/>
      <c r="M3956" s="14">
        <v>73</v>
      </c>
      <c r="P3956" s="14"/>
      <c r="Q3956" s="14"/>
      <c r="R3956" s="14"/>
    </row>
    <row r="3957" spans="1:18">
      <c r="B3957" s="29" t="s">
        <v>146</v>
      </c>
      <c r="C3957" s="1" t="s">
        <v>494</v>
      </c>
      <c r="F3957" s="14"/>
      <c r="G3957" s="14"/>
      <c r="H3957" s="14"/>
      <c r="I3957" s="11"/>
      <c r="J3957" s="14"/>
      <c r="K3957" s="16">
        <v>13</v>
      </c>
      <c r="L3957" s="15"/>
      <c r="M3957" s="14">
        <v>74</v>
      </c>
      <c r="P3957" s="14"/>
      <c r="Q3957" s="14"/>
      <c r="R3957" s="14"/>
    </row>
    <row r="3958" spans="1:18">
      <c r="B3958" s="29"/>
      <c r="F3958" s="14"/>
      <c r="G3958" s="14"/>
      <c r="H3958" s="14"/>
      <c r="I3958" s="11"/>
      <c r="J3958" s="14"/>
      <c r="K3958" s="16"/>
      <c r="L3958" s="15"/>
      <c r="M3958" s="14"/>
      <c r="P3958" s="14"/>
      <c r="Q3958" s="14"/>
      <c r="R3958" s="14"/>
    </row>
    <row r="3959" spans="1:18">
      <c r="A3959" s="1" t="s">
        <v>152</v>
      </c>
      <c r="B3959" s="29" t="s">
        <v>153</v>
      </c>
      <c r="C3959" s="1" t="s">
        <v>494</v>
      </c>
      <c r="E3959" s="1" t="s">
        <v>476</v>
      </c>
      <c r="F3959" s="14">
        <v>15</v>
      </c>
      <c r="G3959" s="14">
        <v>1519</v>
      </c>
      <c r="H3959" s="14" t="s">
        <v>184</v>
      </c>
      <c r="I3959" s="11" t="s">
        <v>185</v>
      </c>
      <c r="J3959" s="14">
        <v>1506</v>
      </c>
      <c r="K3959" s="16">
        <v>1</v>
      </c>
      <c r="L3959" s="15">
        <v>52</v>
      </c>
      <c r="M3959" s="14"/>
      <c r="N3959" s="1">
        <v>1516</v>
      </c>
      <c r="O3959" s="29" t="s">
        <v>125</v>
      </c>
      <c r="P3959" s="14"/>
      <c r="Q3959" s="14"/>
      <c r="R3959" s="14"/>
    </row>
    <row r="3960" spans="1:18">
      <c r="B3960" s="29" t="s">
        <v>154</v>
      </c>
      <c r="C3960" s="1" t="s">
        <v>494</v>
      </c>
      <c r="E3960" s="1" t="s">
        <v>476</v>
      </c>
      <c r="F3960" s="14"/>
      <c r="G3960" s="14"/>
      <c r="H3960" s="14"/>
      <c r="I3960" s="11"/>
      <c r="J3960" s="14"/>
      <c r="K3960" s="16">
        <v>2</v>
      </c>
      <c r="L3960" s="15">
        <v>3</v>
      </c>
      <c r="M3960" s="14"/>
      <c r="N3960" s="1" t="s">
        <v>147</v>
      </c>
      <c r="O3960" s="29" t="s">
        <v>149</v>
      </c>
      <c r="P3960" s="29" t="s">
        <v>151</v>
      </c>
      <c r="Q3960" s="14"/>
      <c r="R3960" s="14"/>
    </row>
    <row r="3961" spans="1:18">
      <c r="B3961" s="29" t="s">
        <v>155</v>
      </c>
      <c r="C3961" s="1" t="s">
        <v>494</v>
      </c>
      <c r="F3961" s="14"/>
      <c r="G3961" s="14"/>
      <c r="H3961" s="14"/>
      <c r="I3961" s="11"/>
      <c r="J3961" s="14"/>
      <c r="K3961" s="16">
        <v>3</v>
      </c>
      <c r="L3961" s="15">
        <v>6</v>
      </c>
      <c r="M3961" s="14"/>
      <c r="O3961" s="29"/>
      <c r="P3961" s="29"/>
      <c r="Q3961" s="14"/>
      <c r="R3961" s="14"/>
    </row>
    <row r="3962" spans="1:18">
      <c r="B3962" s="29" t="s">
        <v>156</v>
      </c>
      <c r="C3962" s="1" t="s">
        <v>493</v>
      </c>
      <c r="D3962" s="1">
        <v>1</v>
      </c>
      <c r="F3962" s="14"/>
      <c r="G3962" s="14"/>
      <c r="H3962" s="14"/>
      <c r="I3962" s="11"/>
      <c r="J3962" s="14"/>
      <c r="K3962" s="16">
        <v>4</v>
      </c>
      <c r="L3962" s="15">
        <v>3</v>
      </c>
      <c r="M3962" s="14"/>
      <c r="P3962" s="14"/>
      <c r="Q3962" s="14"/>
      <c r="R3962" s="14"/>
    </row>
    <row r="3963" spans="1:18">
      <c r="B3963" s="29"/>
      <c r="F3963" s="14"/>
      <c r="G3963" s="14"/>
      <c r="H3963" s="14"/>
      <c r="I3963" s="11"/>
      <c r="J3963" s="14"/>
      <c r="K3963" s="16"/>
      <c r="L3963" s="15"/>
      <c r="M3963" s="14"/>
      <c r="P3963" s="14"/>
      <c r="Q3963" s="14"/>
      <c r="R3963" s="14"/>
    </row>
    <row r="3964" spans="1:18">
      <c r="A3964" s="1" t="s">
        <v>147</v>
      </c>
      <c r="B3964" s="29" t="s">
        <v>148</v>
      </c>
      <c r="C3964" s="1" t="s">
        <v>494</v>
      </c>
      <c r="E3964" s="1" t="s">
        <v>476</v>
      </c>
      <c r="F3964" s="14">
        <v>15</v>
      </c>
      <c r="G3964" s="14">
        <v>1518</v>
      </c>
      <c r="H3964" s="14" t="s">
        <v>183</v>
      </c>
      <c r="I3964" s="11" t="s">
        <v>186</v>
      </c>
      <c r="J3964" s="14">
        <v>2</v>
      </c>
      <c r="K3964" s="16">
        <v>1</v>
      </c>
      <c r="L3964" s="15">
        <v>6</v>
      </c>
      <c r="M3964" s="14"/>
      <c r="P3964" s="14"/>
      <c r="Q3964" s="14"/>
      <c r="R3964" s="14"/>
    </row>
    <row r="3965" spans="1:18">
      <c r="B3965" s="29" t="s">
        <v>149</v>
      </c>
      <c r="C3965" s="1" t="s">
        <v>494</v>
      </c>
      <c r="F3965" s="14"/>
      <c r="G3965" s="14"/>
      <c r="H3965" s="14"/>
      <c r="I3965" s="11"/>
      <c r="J3965" s="14"/>
      <c r="K3965" s="16">
        <v>2</v>
      </c>
      <c r="L3965" s="15">
        <v>6</v>
      </c>
      <c r="M3965" s="14"/>
      <c r="P3965" s="14"/>
      <c r="Q3965" s="14"/>
      <c r="R3965" s="14"/>
    </row>
    <row r="3966" spans="1:18">
      <c r="B3966" s="29" t="s">
        <v>157</v>
      </c>
      <c r="C3966" s="1" t="s">
        <v>494</v>
      </c>
      <c r="F3966" s="14"/>
      <c r="G3966" s="14"/>
      <c r="H3966" s="14"/>
      <c r="I3966" s="11"/>
      <c r="J3966" s="14"/>
      <c r="K3966" s="16">
        <v>3</v>
      </c>
      <c r="L3966" s="15">
        <v>3</v>
      </c>
      <c r="M3966" s="14"/>
      <c r="N3966" s="1" t="s">
        <v>161</v>
      </c>
      <c r="O3966" s="29" t="s">
        <v>170</v>
      </c>
      <c r="P3966" s="29" t="s">
        <v>172</v>
      </c>
      <c r="Q3966" s="14"/>
      <c r="R3966" s="14"/>
    </row>
    <row r="3967" spans="1:18">
      <c r="B3967" s="29" t="s">
        <v>158</v>
      </c>
      <c r="C3967" s="1" t="s">
        <v>493</v>
      </c>
      <c r="D3967" s="1">
        <v>1</v>
      </c>
      <c r="F3967" s="14"/>
      <c r="G3967" s="14"/>
      <c r="H3967" s="14"/>
      <c r="I3967" s="11"/>
      <c r="J3967" s="14"/>
      <c r="K3967" s="16">
        <v>4</v>
      </c>
      <c r="L3967" s="15">
        <v>3</v>
      </c>
      <c r="M3967" s="14"/>
      <c r="O3967" s="29"/>
      <c r="P3967" s="29"/>
      <c r="Q3967" s="29"/>
      <c r="R3967" s="14"/>
    </row>
    <row r="3968" spans="1:18">
      <c r="B3968" s="29" t="s">
        <v>159</v>
      </c>
      <c r="C3968" s="1" t="s">
        <v>494</v>
      </c>
      <c r="F3968" s="14"/>
      <c r="G3968" s="14"/>
      <c r="H3968" s="14"/>
      <c r="I3968" s="11"/>
      <c r="J3968" s="14"/>
      <c r="K3968" s="16">
        <v>5</v>
      </c>
      <c r="L3968" s="15"/>
      <c r="M3968" s="14"/>
      <c r="P3968" s="14"/>
      <c r="Q3968" s="14"/>
      <c r="R3968" s="14"/>
    </row>
    <row r="3969" spans="1:18">
      <c r="B3969" s="29" t="s">
        <v>160</v>
      </c>
      <c r="C3969" s="1" t="s">
        <v>493</v>
      </c>
      <c r="D3969" s="1">
        <v>1</v>
      </c>
      <c r="F3969" s="14"/>
      <c r="G3969" s="14"/>
      <c r="H3969" s="14"/>
      <c r="I3969" s="11"/>
      <c r="J3969" s="14"/>
      <c r="K3969" s="16">
        <v>6</v>
      </c>
      <c r="L3969" s="15">
        <v>3</v>
      </c>
      <c r="M3969" s="14"/>
      <c r="P3969" s="14"/>
      <c r="Q3969" s="14"/>
      <c r="R3969" s="14"/>
    </row>
    <row r="3970" spans="1:18">
      <c r="B3970" s="29" t="s">
        <v>151</v>
      </c>
      <c r="C3970" s="1" t="s">
        <v>493</v>
      </c>
      <c r="D3970" s="1">
        <v>250</v>
      </c>
      <c r="F3970" s="14"/>
      <c r="G3970" s="14"/>
      <c r="H3970" s="14"/>
      <c r="I3970" s="11"/>
      <c r="J3970" s="14"/>
      <c r="K3970" s="16">
        <v>7</v>
      </c>
      <c r="L3970" s="15"/>
      <c r="M3970" s="14"/>
      <c r="P3970" s="14"/>
      <c r="Q3970" s="14"/>
      <c r="R3970" s="14"/>
    </row>
    <row r="3971" spans="1:18">
      <c r="B3971" s="29" t="s">
        <v>150</v>
      </c>
      <c r="C3971" s="1" t="s">
        <v>520</v>
      </c>
      <c r="F3971" s="14"/>
      <c r="G3971" s="14"/>
      <c r="H3971" s="14"/>
      <c r="I3971" s="11"/>
      <c r="J3971" s="14"/>
      <c r="K3971" s="16">
        <v>8</v>
      </c>
      <c r="L3971" s="15"/>
      <c r="M3971" s="14"/>
      <c r="P3971" s="14"/>
      <c r="Q3971" s="14"/>
      <c r="R3971" s="14"/>
    </row>
    <row r="3972" spans="1:18">
      <c r="B3972" s="29"/>
      <c r="F3972" s="14"/>
      <c r="G3972" s="14"/>
      <c r="H3972" s="14"/>
      <c r="I3972" s="11"/>
      <c r="J3972" s="14"/>
      <c r="K3972" s="16"/>
      <c r="L3972" s="15"/>
      <c r="M3972" s="14"/>
      <c r="P3972" s="14"/>
      <c r="Q3972" s="14"/>
      <c r="R3972" s="14"/>
    </row>
    <row r="3973" spans="1:18">
      <c r="A3973" s="1" t="s">
        <v>187</v>
      </c>
      <c r="B3973" s="29" t="s">
        <v>188</v>
      </c>
      <c r="C3973" s="1" t="s">
        <v>494</v>
      </c>
      <c r="E3973" s="1" t="s">
        <v>476</v>
      </c>
      <c r="F3973" s="14"/>
      <c r="G3973" s="14"/>
      <c r="H3973" s="14"/>
      <c r="I3973" s="11"/>
      <c r="J3973" s="14"/>
      <c r="K3973" s="16"/>
      <c r="L3973" s="15"/>
      <c r="M3973" s="14"/>
      <c r="P3973" s="14"/>
      <c r="Q3973" s="14"/>
      <c r="R3973" s="14"/>
    </row>
    <row r="3974" spans="1:18">
      <c r="B3974" s="29" t="s">
        <v>189</v>
      </c>
      <c r="C3974" s="1" t="s">
        <v>493</v>
      </c>
      <c r="D3974" s="1">
        <v>50</v>
      </c>
      <c r="F3974" s="14"/>
      <c r="G3974" s="14"/>
      <c r="H3974" s="14"/>
      <c r="I3974" s="11"/>
      <c r="J3974" s="14"/>
      <c r="K3974" s="16"/>
      <c r="L3974" s="15"/>
      <c r="M3974" s="14"/>
      <c r="P3974" s="14"/>
      <c r="Q3974" s="14"/>
      <c r="R3974" s="14"/>
    </row>
    <row r="3975" spans="1:18">
      <c r="B3975" s="29"/>
      <c r="F3975" s="14"/>
      <c r="G3975" s="14"/>
      <c r="H3975" s="14"/>
      <c r="I3975" s="11"/>
      <c r="J3975" s="14"/>
      <c r="K3975" s="16"/>
      <c r="L3975" s="15"/>
      <c r="M3975" s="14"/>
      <c r="P3975" s="14"/>
      <c r="Q3975" s="14"/>
      <c r="R3975" s="14"/>
    </row>
    <row r="3976" spans="1:18">
      <c r="A3976" s="45" t="s">
        <v>1415</v>
      </c>
      <c r="B3976" s="45" t="s">
        <v>1416</v>
      </c>
      <c r="C3976" s="45" t="s">
        <v>494</v>
      </c>
      <c r="D3976" s="10"/>
      <c r="E3976" s="45" t="s">
        <v>476</v>
      </c>
      <c r="F3976" s="10">
        <v>15</v>
      </c>
      <c r="G3976" s="10">
        <v>1521</v>
      </c>
      <c r="H3976" s="45" t="s">
        <v>1455</v>
      </c>
      <c r="I3976" s="45" t="s">
        <v>1456</v>
      </c>
      <c r="J3976" s="10">
        <v>1501</v>
      </c>
      <c r="K3976" s="16">
        <v>1</v>
      </c>
      <c r="L3976" s="53">
        <v>6</v>
      </c>
      <c r="M3976" s="10"/>
      <c r="N3976" s="10"/>
      <c r="O3976" s="10"/>
      <c r="P3976" s="10"/>
      <c r="Q3976" s="10"/>
      <c r="R3976" s="10"/>
    </row>
    <row r="3977" spans="1:18">
      <c r="A3977" s="10"/>
      <c r="B3977" s="45" t="s">
        <v>1417</v>
      </c>
      <c r="C3977" s="45" t="s">
        <v>494</v>
      </c>
      <c r="D3977" s="10"/>
      <c r="E3977" s="45"/>
      <c r="F3977" s="10"/>
      <c r="G3977" s="10"/>
      <c r="H3977" s="10"/>
      <c r="I3977" s="10"/>
      <c r="J3977" s="10"/>
      <c r="K3977" s="16">
        <v>2</v>
      </c>
      <c r="L3977" s="31">
        <v>6</v>
      </c>
      <c r="M3977" s="10"/>
      <c r="N3977" s="10"/>
      <c r="O3977" s="10"/>
      <c r="P3977" s="10"/>
      <c r="Q3977" s="10"/>
      <c r="R3977" s="10"/>
    </row>
    <row r="3978" spans="1:18">
      <c r="A3978" s="10"/>
      <c r="B3978" s="45" t="s">
        <v>1418</v>
      </c>
      <c r="C3978" s="45" t="s">
        <v>494</v>
      </c>
      <c r="D3978" s="10"/>
      <c r="E3978" s="10"/>
      <c r="F3978" s="10"/>
      <c r="G3978" s="10"/>
      <c r="H3978" s="10"/>
      <c r="I3978" s="10"/>
      <c r="J3978" s="10"/>
      <c r="K3978" s="16">
        <v>3</v>
      </c>
      <c r="L3978" s="31">
        <v>8</v>
      </c>
      <c r="M3978" s="10"/>
      <c r="N3978" s="10"/>
      <c r="O3978" s="10"/>
      <c r="P3978" s="10"/>
      <c r="Q3978" s="10"/>
      <c r="R3978" s="10"/>
    </row>
    <row r="3979" spans="1:18">
      <c r="A3979" s="10"/>
      <c r="B3979" s="45" t="s">
        <v>1422</v>
      </c>
      <c r="C3979" s="45" t="s">
        <v>493</v>
      </c>
      <c r="D3979" s="10">
        <v>10</v>
      </c>
      <c r="E3979" s="10"/>
      <c r="F3979" s="10"/>
      <c r="G3979" s="10"/>
      <c r="H3979" s="10"/>
      <c r="I3979" s="10"/>
      <c r="J3979" s="10"/>
      <c r="K3979" s="16">
        <v>4</v>
      </c>
      <c r="L3979" s="54">
        <v>7</v>
      </c>
      <c r="M3979" s="10"/>
      <c r="N3979" s="10"/>
      <c r="O3979" s="10"/>
      <c r="P3979" s="10"/>
      <c r="Q3979" s="10"/>
      <c r="R3979" s="10"/>
    </row>
    <row r="3980" spans="1:18">
      <c r="A3980" s="10"/>
      <c r="B3980" s="45" t="s">
        <v>1423</v>
      </c>
      <c r="C3980" s="45" t="s">
        <v>494</v>
      </c>
      <c r="D3980" s="10"/>
      <c r="E3980" s="10"/>
      <c r="F3980" s="10"/>
      <c r="G3980" s="10"/>
      <c r="H3980" s="10"/>
      <c r="I3980" s="10"/>
      <c r="J3980" s="10"/>
      <c r="K3980" s="16">
        <v>5</v>
      </c>
      <c r="L3980" s="31"/>
      <c r="M3980" s="10">
        <v>71</v>
      </c>
      <c r="N3980" s="10"/>
      <c r="O3980" s="10"/>
      <c r="P3980" s="10"/>
      <c r="Q3980" s="10"/>
      <c r="R3980" s="10"/>
    </row>
    <row r="3981" spans="1:18">
      <c r="A3981" s="10"/>
      <c r="B3981" s="45" t="s">
        <v>1424</v>
      </c>
      <c r="C3981" s="45" t="s">
        <v>494</v>
      </c>
      <c r="D3981" s="10"/>
      <c r="E3981" s="10"/>
      <c r="F3981" s="10"/>
      <c r="G3981" s="10"/>
      <c r="H3981" s="10"/>
      <c r="I3981" s="10"/>
      <c r="J3981" s="10"/>
      <c r="K3981" s="16">
        <v>6</v>
      </c>
      <c r="L3981" s="31"/>
      <c r="M3981" s="10">
        <v>72</v>
      </c>
      <c r="N3981" s="10"/>
      <c r="O3981" s="10"/>
      <c r="P3981" s="10"/>
      <c r="Q3981" s="10"/>
      <c r="R3981" s="10"/>
    </row>
    <row r="3982" spans="1:18">
      <c r="A3982" s="10"/>
      <c r="B3982" s="45" t="s">
        <v>1421</v>
      </c>
      <c r="C3982" s="45" t="s">
        <v>493</v>
      </c>
      <c r="D3982" s="10">
        <v>10</v>
      </c>
      <c r="E3982" s="10"/>
      <c r="F3982" s="10"/>
      <c r="G3982" s="10"/>
      <c r="H3982" s="10"/>
      <c r="I3982" s="10"/>
      <c r="J3982" s="10"/>
      <c r="K3982" s="16">
        <v>7</v>
      </c>
      <c r="L3982" s="53">
        <v>7</v>
      </c>
      <c r="M3982" s="10"/>
      <c r="N3982" s="10"/>
      <c r="O3982" s="10"/>
      <c r="P3982" s="10"/>
      <c r="Q3982" s="10"/>
      <c r="R3982" s="10"/>
    </row>
    <row r="3983" spans="1:18">
      <c r="A3983" s="10"/>
      <c r="B3983" s="45" t="s">
        <v>1420</v>
      </c>
      <c r="C3983" s="45" t="s">
        <v>494</v>
      </c>
      <c r="D3983" s="10"/>
      <c r="E3983" s="10"/>
      <c r="F3983" s="10"/>
      <c r="G3983" s="10"/>
      <c r="H3983" s="10"/>
      <c r="I3983" s="10"/>
      <c r="J3983" s="10"/>
      <c r="K3983" s="16">
        <v>8</v>
      </c>
      <c r="L3983" s="31"/>
      <c r="M3983" s="10">
        <v>71</v>
      </c>
      <c r="N3983" s="10"/>
      <c r="O3983" s="10"/>
      <c r="P3983" s="10"/>
      <c r="Q3983" s="10"/>
      <c r="R3983" s="10"/>
    </row>
    <row r="3984" spans="1:18">
      <c r="A3984" s="10"/>
      <c r="B3984" s="45" t="s">
        <v>1419</v>
      </c>
      <c r="C3984" s="45" t="s">
        <v>494</v>
      </c>
      <c r="D3984" s="10"/>
      <c r="E3984" s="10"/>
      <c r="F3984" s="10"/>
      <c r="G3984" s="10"/>
      <c r="H3984" s="10"/>
      <c r="I3984" s="10"/>
      <c r="J3984" s="10"/>
      <c r="K3984" s="16">
        <v>9</v>
      </c>
      <c r="L3984" s="31"/>
      <c r="M3984" s="45">
        <v>72</v>
      </c>
      <c r="N3984" s="10"/>
      <c r="O3984" s="10"/>
      <c r="P3984" s="10"/>
      <c r="Q3984" s="10"/>
      <c r="R3984" s="10"/>
    </row>
    <row r="3985" spans="1:18">
      <c r="A3985" s="10"/>
      <c r="B3985" s="45" t="s">
        <v>1425</v>
      </c>
      <c r="C3985" s="45" t="s">
        <v>520</v>
      </c>
      <c r="D3985" s="10"/>
      <c r="E3985" s="10"/>
      <c r="F3985" s="10"/>
      <c r="G3985" s="10"/>
      <c r="H3985" s="10"/>
      <c r="I3985" s="10"/>
      <c r="J3985" s="10"/>
      <c r="K3985" s="16">
        <v>10</v>
      </c>
      <c r="L3985" s="31"/>
      <c r="M3985" s="10"/>
      <c r="N3985" s="10"/>
      <c r="O3985" s="10"/>
      <c r="P3985" s="10"/>
      <c r="Q3985" s="10"/>
      <c r="R3985" s="10"/>
    </row>
    <row r="3986" spans="1:18">
      <c r="A3986" s="10"/>
      <c r="B3986" s="45" t="s">
        <v>1429</v>
      </c>
      <c r="C3986" s="45" t="s">
        <v>494</v>
      </c>
      <c r="D3986" s="10"/>
      <c r="E3986" s="10"/>
      <c r="F3986" s="10"/>
      <c r="G3986" s="10"/>
      <c r="H3986" s="10"/>
      <c r="I3986" s="10"/>
      <c r="J3986" s="10"/>
      <c r="K3986" s="16">
        <v>11</v>
      </c>
      <c r="L3986" s="31"/>
      <c r="M3986" s="45">
        <v>1</v>
      </c>
      <c r="N3986" s="10"/>
      <c r="O3986" s="10"/>
      <c r="P3986" s="10"/>
      <c r="Q3986" s="10"/>
      <c r="R3986" s="10"/>
    </row>
    <row r="3987" spans="1:18">
      <c r="A3987" s="10"/>
      <c r="B3987" s="45" t="s">
        <v>1430</v>
      </c>
      <c r="C3987" s="45" t="s">
        <v>494</v>
      </c>
      <c r="D3987" s="10"/>
      <c r="E3987" s="10"/>
      <c r="F3987" s="10"/>
      <c r="G3987" s="10"/>
      <c r="H3987" s="10"/>
      <c r="I3987" s="10"/>
      <c r="J3987" s="10"/>
      <c r="K3987" s="16">
        <v>12</v>
      </c>
      <c r="L3987" s="31"/>
      <c r="M3987" s="45">
        <v>1</v>
      </c>
      <c r="N3987" s="10"/>
      <c r="O3987" s="10"/>
      <c r="P3987" s="10"/>
      <c r="Q3987" s="10"/>
      <c r="R3987" s="10"/>
    </row>
    <row r="3988" spans="1:18">
      <c r="A3988" s="10"/>
      <c r="B3988" s="45" t="s">
        <v>1431</v>
      </c>
      <c r="C3988" s="45" t="s">
        <v>494</v>
      </c>
      <c r="D3988" s="10"/>
      <c r="E3988" s="10"/>
      <c r="F3988" s="10"/>
      <c r="G3988" s="10"/>
      <c r="H3988" s="10"/>
      <c r="I3988" s="10"/>
      <c r="J3988" s="10"/>
      <c r="K3988" s="16">
        <v>13</v>
      </c>
      <c r="L3988" s="31"/>
      <c r="M3988" s="45">
        <v>1</v>
      </c>
      <c r="N3988" s="10"/>
      <c r="O3988" s="10"/>
      <c r="P3988" s="10"/>
      <c r="Q3988" s="10"/>
      <c r="R3988" s="10"/>
    </row>
    <row r="3989" spans="1:18">
      <c r="A3989" s="10"/>
      <c r="B3989" s="45" t="s">
        <v>1432</v>
      </c>
      <c r="C3989" s="45" t="s">
        <v>494</v>
      </c>
      <c r="D3989" s="10"/>
      <c r="E3989" s="10"/>
      <c r="F3989" s="10"/>
      <c r="G3989" s="10"/>
      <c r="H3989" s="10"/>
      <c r="I3989" s="10"/>
      <c r="J3989" s="10"/>
      <c r="K3989" s="16">
        <v>14</v>
      </c>
      <c r="L3989" s="31"/>
      <c r="M3989" s="45">
        <v>1</v>
      </c>
      <c r="N3989" s="10"/>
      <c r="O3989" s="10"/>
      <c r="P3989" s="10"/>
      <c r="Q3989" s="10"/>
      <c r="R3989" s="10"/>
    </row>
    <row r="3990" spans="1:18">
      <c r="A3990" s="10"/>
      <c r="B3990" s="45" t="s">
        <v>1433</v>
      </c>
      <c r="C3990" s="45" t="s">
        <v>494</v>
      </c>
      <c r="D3990" s="10"/>
      <c r="E3990" s="10"/>
      <c r="F3990" s="10"/>
      <c r="G3990" s="10"/>
      <c r="H3990" s="10"/>
      <c r="I3990" s="10"/>
      <c r="J3990" s="10"/>
      <c r="K3990" s="16">
        <v>15</v>
      </c>
      <c r="L3990" s="31"/>
      <c r="M3990" s="45">
        <v>1</v>
      </c>
      <c r="N3990" s="10"/>
      <c r="O3990" s="10"/>
      <c r="P3990" s="10"/>
      <c r="Q3990" s="10"/>
      <c r="R3990" s="10"/>
    </row>
    <row r="3991" spans="1:18">
      <c r="A3991" s="10"/>
      <c r="B3991" s="45" t="s">
        <v>1434</v>
      </c>
      <c r="C3991" s="45" t="s">
        <v>494</v>
      </c>
      <c r="D3991" s="10"/>
      <c r="E3991" s="10"/>
      <c r="F3991" s="10"/>
      <c r="G3991" s="10"/>
      <c r="H3991" s="10"/>
      <c r="I3991" s="10"/>
      <c r="J3991" s="10"/>
      <c r="K3991" s="16">
        <v>16</v>
      </c>
      <c r="L3991" s="31"/>
      <c r="M3991" s="45">
        <v>1</v>
      </c>
      <c r="N3991" s="10"/>
      <c r="O3991" s="10"/>
      <c r="P3991" s="10"/>
      <c r="Q3991" s="10"/>
      <c r="R3991" s="10"/>
    </row>
    <row r="3992" spans="1:18">
      <c r="A3992" s="10"/>
      <c r="B3992" s="45" t="s">
        <v>1435</v>
      </c>
      <c r="C3992" s="45" t="s">
        <v>494</v>
      </c>
      <c r="D3992" s="10"/>
      <c r="E3992" s="10"/>
      <c r="F3992" s="10"/>
      <c r="G3992" s="10"/>
      <c r="H3992" s="10"/>
      <c r="I3992" s="10"/>
      <c r="J3992" s="10"/>
      <c r="K3992" s="16">
        <v>17</v>
      </c>
      <c r="L3992" s="31"/>
      <c r="M3992" s="45">
        <v>1</v>
      </c>
      <c r="N3992" s="10"/>
      <c r="O3992" s="10"/>
      <c r="P3992" s="10"/>
      <c r="Q3992" s="10"/>
      <c r="R3992" s="10"/>
    </row>
    <row r="3993" spans="1:18">
      <c r="A3993" s="10"/>
      <c r="B3993" s="45" t="s">
        <v>1436</v>
      </c>
      <c r="C3993" s="45" t="s">
        <v>494</v>
      </c>
      <c r="D3993" s="10"/>
      <c r="E3993" s="10"/>
      <c r="F3993" s="10"/>
      <c r="G3993" s="10"/>
      <c r="H3993" s="10"/>
      <c r="I3993" s="10"/>
      <c r="J3993" s="10"/>
      <c r="K3993" s="16">
        <v>18</v>
      </c>
      <c r="L3993" s="31"/>
      <c r="M3993" s="45">
        <v>1</v>
      </c>
      <c r="N3993" s="10"/>
      <c r="O3993" s="10"/>
      <c r="P3993" s="10"/>
      <c r="Q3993" s="10"/>
      <c r="R3993" s="10"/>
    </row>
    <row r="3994" spans="1:18">
      <c r="A3994" s="10"/>
      <c r="B3994" s="45" t="s">
        <v>1437</v>
      </c>
      <c r="C3994" s="45" t="s">
        <v>494</v>
      </c>
      <c r="D3994" s="10"/>
      <c r="E3994" s="10"/>
      <c r="F3994" s="10"/>
      <c r="G3994" s="10"/>
      <c r="H3994" s="10"/>
      <c r="I3994" s="10"/>
      <c r="J3994" s="10"/>
      <c r="K3994" s="16">
        <v>19</v>
      </c>
      <c r="L3994" s="31"/>
      <c r="M3994" s="45">
        <v>1</v>
      </c>
      <c r="N3994" s="10"/>
      <c r="O3994" s="10"/>
      <c r="P3994" s="10"/>
      <c r="Q3994" s="10"/>
      <c r="R3994" s="10"/>
    </row>
    <row r="3995" spans="1:18">
      <c r="A3995" s="10"/>
      <c r="B3995" s="45" t="s">
        <v>1438</v>
      </c>
      <c r="C3995" s="45" t="s">
        <v>494</v>
      </c>
      <c r="D3995" s="10"/>
      <c r="E3995" s="10"/>
      <c r="F3995" s="10"/>
      <c r="G3995" s="10"/>
      <c r="H3995" s="10"/>
      <c r="I3995" s="10"/>
      <c r="J3995" s="10"/>
      <c r="K3995" s="16">
        <v>20</v>
      </c>
      <c r="L3995" s="31"/>
      <c r="M3995" s="45">
        <v>1</v>
      </c>
      <c r="N3995" s="10"/>
      <c r="O3995" s="10"/>
      <c r="P3995" s="10"/>
      <c r="Q3995" s="10"/>
      <c r="R3995" s="10"/>
    </row>
    <row r="3996" spans="1:18">
      <c r="A3996" s="10"/>
      <c r="B3996" s="45"/>
      <c r="C3996" s="10"/>
      <c r="D3996" s="10"/>
      <c r="E3996" s="10"/>
      <c r="F3996" s="10"/>
      <c r="G3996" s="10"/>
      <c r="H3996" s="10"/>
      <c r="I3996" s="10"/>
      <c r="J3996" s="10"/>
      <c r="K3996" s="16"/>
      <c r="L3996" s="31"/>
      <c r="M3996" s="10"/>
      <c r="N3996" s="10"/>
      <c r="O3996" s="10"/>
      <c r="P3996" s="10"/>
      <c r="Q3996" s="10"/>
      <c r="R3996" s="10"/>
    </row>
    <row r="3997" spans="1:18">
      <c r="A3997" s="45" t="s">
        <v>1454</v>
      </c>
      <c r="B3997" s="45" t="s">
        <v>1426</v>
      </c>
      <c r="C3997" s="45" t="s">
        <v>494</v>
      </c>
      <c r="D3997" s="10"/>
      <c r="E3997" s="45" t="s">
        <v>476</v>
      </c>
      <c r="F3997" s="10">
        <v>15</v>
      </c>
      <c r="G3997" s="10">
        <v>1522</v>
      </c>
      <c r="H3997" s="45" t="s">
        <v>1458</v>
      </c>
      <c r="I3997" s="45" t="s">
        <v>1459</v>
      </c>
      <c r="J3997" s="10">
        <v>1501</v>
      </c>
      <c r="K3997" s="16">
        <v>1</v>
      </c>
      <c r="L3997" s="31">
        <v>52</v>
      </c>
      <c r="M3997" s="10"/>
      <c r="N3997" s="10">
        <v>1521</v>
      </c>
      <c r="O3997" s="45" t="s">
        <v>1417</v>
      </c>
      <c r="P3997" s="10"/>
      <c r="Q3997" s="10"/>
      <c r="R3997" s="10"/>
    </row>
    <row r="3998" spans="1:18">
      <c r="A3998" s="45"/>
      <c r="B3998" s="45" t="s">
        <v>1427</v>
      </c>
      <c r="C3998" s="45" t="s">
        <v>494</v>
      </c>
      <c r="D3998" s="10"/>
      <c r="E3998" s="45" t="s">
        <v>476</v>
      </c>
      <c r="F3998" s="10"/>
      <c r="G3998" s="10"/>
      <c r="H3998" s="10"/>
      <c r="I3998" s="10"/>
      <c r="J3998" s="10"/>
      <c r="K3998" s="16">
        <v>2</v>
      </c>
      <c r="L3998" s="31">
        <v>6</v>
      </c>
      <c r="M3998" s="10"/>
      <c r="N3998" s="10"/>
      <c r="O3998" s="10"/>
      <c r="P3998" s="10"/>
      <c r="Q3998" s="10"/>
      <c r="R3998" s="10"/>
    </row>
    <row r="3999" spans="1:18">
      <c r="A3999" s="45"/>
      <c r="B3999" s="45" t="s">
        <v>1428</v>
      </c>
      <c r="C3999" s="45" t="s">
        <v>494</v>
      </c>
      <c r="D3999" s="10"/>
      <c r="E3999" s="10"/>
      <c r="F3999" s="10"/>
      <c r="G3999" s="10"/>
      <c r="H3999" s="10"/>
      <c r="I3999" s="10"/>
      <c r="J3999" s="10"/>
      <c r="K3999" s="16">
        <v>3</v>
      </c>
      <c r="L3999" s="31">
        <v>6</v>
      </c>
      <c r="M3999" s="10"/>
      <c r="N3999" s="10"/>
      <c r="O3999" s="10"/>
      <c r="P3999" s="10"/>
      <c r="Q3999" s="10"/>
      <c r="R3999" s="10"/>
    </row>
    <row r="4000" spans="1:18">
      <c r="A4000" s="10"/>
      <c r="B4000" s="45" t="s">
        <v>1461</v>
      </c>
      <c r="C4000" s="10" t="s">
        <v>494</v>
      </c>
      <c r="D4000" s="10"/>
      <c r="E4000" s="10"/>
      <c r="F4000" s="10"/>
      <c r="G4000" s="10"/>
      <c r="H4000" s="10"/>
      <c r="I4000" s="10"/>
      <c r="J4000" s="10"/>
      <c r="K4000" s="16">
        <v>4</v>
      </c>
      <c r="L4000" s="31">
        <v>3</v>
      </c>
      <c r="M4000" s="10"/>
      <c r="N4000" s="10" t="s">
        <v>435</v>
      </c>
      <c r="O4000" s="10" t="s">
        <v>437</v>
      </c>
      <c r="P4000" s="10" t="s">
        <v>439</v>
      </c>
      <c r="Q4000" s="10"/>
      <c r="R4000" s="10"/>
    </row>
    <row r="4001" spans="1:18">
      <c r="A4001" s="45"/>
      <c r="B4001" s="45" t="s">
        <v>1457</v>
      </c>
      <c r="C4001" s="45" t="s">
        <v>494</v>
      </c>
      <c r="D4001" s="10"/>
      <c r="E4001" s="10"/>
      <c r="F4001" s="10"/>
      <c r="G4001" s="10"/>
      <c r="H4001" s="45" t="s">
        <v>1439</v>
      </c>
      <c r="I4001" s="10"/>
      <c r="J4001" s="10"/>
      <c r="K4001" s="16">
        <v>5</v>
      </c>
      <c r="L4001" s="53">
        <v>3</v>
      </c>
      <c r="M4001" s="10"/>
      <c r="N4001" s="45" t="s">
        <v>1450</v>
      </c>
      <c r="O4001" s="45" t="s">
        <v>1451</v>
      </c>
      <c r="P4001" s="45" t="s">
        <v>1452</v>
      </c>
      <c r="Q4001" s="10"/>
      <c r="R4001" s="10"/>
    </row>
    <row r="4002" spans="1:18">
      <c r="A4002" s="45"/>
      <c r="B4002" s="45" t="s">
        <v>1440</v>
      </c>
      <c r="C4002" s="45" t="s">
        <v>493</v>
      </c>
      <c r="D4002" s="10">
        <v>50</v>
      </c>
      <c r="E4002" s="10"/>
      <c r="F4002" s="10"/>
      <c r="G4002" s="10"/>
      <c r="H4002" s="10"/>
      <c r="I4002" s="10"/>
      <c r="J4002" s="10"/>
      <c r="K4002" s="16">
        <v>6</v>
      </c>
      <c r="L4002" s="31"/>
      <c r="M4002" s="10"/>
      <c r="N4002" s="10"/>
      <c r="P4002" s="10"/>
      <c r="Q4002" s="10"/>
      <c r="R4002" s="10"/>
    </row>
    <row r="4003" spans="1:18">
      <c r="A4003" s="45"/>
      <c r="B4003" s="45" t="s">
        <v>1448</v>
      </c>
      <c r="C4003" s="45" t="s">
        <v>493</v>
      </c>
      <c r="D4003" s="10">
        <v>1</v>
      </c>
      <c r="E4003" s="10"/>
      <c r="F4003" s="10"/>
      <c r="G4003" s="10"/>
      <c r="H4003" s="45" t="s">
        <v>1449</v>
      </c>
      <c r="I4003" s="10"/>
      <c r="J4003" s="10"/>
      <c r="K4003" s="16">
        <v>7</v>
      </c>
      <c r="L4003" s="31"/>
      <c r="M4003" s="10">
        <v>1</v>
      </c>
      <c r="N4003" s="10"/>
      <c r="O4003" s="10"/>
      <c r="P4003" s="10"/>
      <c r="Q4003" s="10"/>
      <c r="R4003" s="10"/>
    </row>
    <row r="4004" spans="1:18">
      <c r="A4004" s="45"/>
      <c r="B4004" s="45" t="s">
        <v>1441</v>
      </c>
      <c r="C4004" s="45" t="s">
        <v>520</v>
      </c>
      <c r="D4004" s="10"/>
      <c r="E4004" s="10"/>
      <c r="F4004" s="10"/>
      <c r="G4004" s="10"/>
      <c r="H4004" s="10"/>
      <c r="I4004" s="10"/>
      <c r="J4004" s="10"/>
      <c r="K4004" s="16">
        <v>8</v>
      </c>
      <c r="L4004" s="31"/>
      <c r="M4004" s="10"/>
      <c r="N4004" s="10"/>
      <c r="O4004" s="10"/>
      <c r="P4004" s="10"/>
      <c r="Q4004" s="10"/>
      <c r="R4004" s="10"/>
    </row>
    <row r="4005" spans="1:18">
      <c r="A4005" s="45"/>
      <c r="B4005" s="10"/>
      <c r="C4005" s="10"/>
      <c r="D4005" s="10"/>
      <c r="E4005" s="10"/>
      <c r="F4005" s="10"/>
      <c r="G4005" s="10"/>
      <c r="H4005" s="10"/>
      <c r="I4005" s="10"/>
      <c r="J4005" s="10"/>
      <c r="K4005" s="16"/>
      <c r="L4005" s="31"/>
      <c r="M4005" s="10"/>
      <c r="N4005" s="10"/>
      <c r="O4005" s="10"/>
      <c r="P4005" s="10"/>
      <c r="Q4005" s="10"/>
      <c r="R4005" s="10"/>
    </row>
    <row r="4006" spans="1:18">
      <c r="A4006" s="45" t="s">
        <v>1453</v>
      </c>
      <c r="B4006" s="45" t="s">
        <v>1444</v>
      </c>
      <c r="C4006" s="45" t="s">
        <v>494</v>
      </c>
      <c r="D4006" s="10"/>
      <c r="E4006" s="45" t="s">
        <v>476</v>
      </c>
      <c r="F4006" s="10">
        <v>15</v>
      </c>
      <c r="G4006" s="10">
        <v>1523</v>
      </c>
      <c r="H4006" s="45" t="s">
        <v>111</v>
      </c>
      <c r="I4006" s="45" t="s">
        <v>1460</v>
      </c>
      <c r="J4006" s="10"/>
      <c r="K4006" s="16">
        <v>1</v>
      </c>
      <c r="L4006" s="31">
        <v>52</v>
      </c>
      <c r="M4006" s="10"/>
      <c r="N4006" s="10">
        <v>1521</v>
      </c>
      <c r="O4006" s="45" t="s">
        <v>1417</v>
      </c>
      <c r="P4006" s="10"/>
      <c r="Q4006" s="10"/>
      <c r="R4006" s="10"/>
    </row>
    <row r="4007" spans="1:18">
      <c r="A4007" s="45"/>
      <c r="B4007" s="45" t="s">
        <v>1443</v>
      </c>
      <c r="C4007" s="45" t="s">
        <v>494</v>
      </c>
      <c r="D4007" s="10"/>
      <c r="E4007" s="45" t="s">
        <v>476</v>
      </c>
      <c r="F4007" s="10"/>
      <c r="G4007" s="10"/>
      <c r="H4007" s="10"/>
      <c r="I4007" s="10"/>
      <c r="J4007" s="10"/>
      <c r="K4007" s="16">
        <v>2</v>
      </c>
      <c r="L4007" s="10">
        <v>6</v>
      </c>
      <c r="N4007" s="10"/>
      <c r="O4007" s="10"/>
      <c r="P4007" s="10"/>
      <c r="Q4007" s="10"/>
      <c r="R4007" s="10"/>
    </row>
    <row r="4008" spans="1:18">
      <c r="A4008" s="10"/>
      <c r="B4008" s="45" t="s">
        <v>1442</v>
      </c>
      <c r="C4008" s="45" t="s">
        <v>494</v>
      </c>
      <c r="D4008" s="10"/>
      <c r="E4008" s="10"/>
      <c r="F4008" s="10"/>
      <c r="G4008" s="10"/>
      <c r="H4008" s="10"/>
      <c r="I4008" s="10"/>
      <c r="J4008" s="10"/>
      <c r="K4008" s="16">
        <v>3</v>
      </c>
      <c r="L4008" s="10">
        <v>6</v>
      </c>
      <c r="N4008" s="10"/>
      <c r="O4008" s="10"/>
      <c r="P4008" s="10"/>
      <c r="Q4008" s="10"/>
      <c r="R4008" s="10"/>
    </row>
    <row r="4009" spans="1:18">
      <c r="A4009" s="10"/>
      <c r="B4009" s="45" t="s">
        <v>1445</v>
      </c>
      <c r="C4009" s="45" t="s">
        <v>494</v>
      </c>
      <c r="D4009" s="10"/>
      <c r="E4009" s="10"/>
      <c r="F4009" s="10"/>
      <c r="G4009" s="10"/>
      <c r="H4009" s="10"/>
      <c r="I4009" s="10"/>
      <c r="J4009" s="10"/>
      <c r="K4009" s="16">
        <v>4</v>
      </c>
      <c r="L4009" s="53">
        <v>91</v>
      </c>
      <c r="M4009" s="10"/>
      <c r="N4009" s="10"/>
      <c r="O4009" s="10"/>
      <c r="P4009" s="10"/>
      <c r="Q4009" s="10"/>
      <c r="R4009" s="10"/>
    </row>
    <row r="4010" spans="1:18">
      <c r="A4010" s="10"/>
      <c r="B4010" s="45" t="s">
        <v>1446</v>
      </c>
      <c r="C4010" s="45" t="s">
        <v>494</v>
      </c>
      <c r="D4010" s="10"/>
      <c r="E4010" s="10"/>
      <c r="F4010" s="10"/>
      <c r="G4010" s="10"/>
      <c r="H4010" s="10"/>
      <c r="I4010" s="10"/>
      <c r="J4010" s="10"/>
      <c r="K4010" s="16">
        <v>5</v>
      </c>
      <c r="L4010" s="53">
        <v>92</v>
      </c>
      <c r="M4010" s="10"/>
      <c r="N4010" s="10"/>
      <c r="O4010" s="10"/>
      <c r="P4010" s="10"/>
      <c r="Q4010" s="10"/>
      <c r="R4010" s="10"/>
    </row>
    <row r="4011" spans="1:18">
      <c r="A4011" s="10"/>
      <c r="B4011" s="45" t="s">
        <v>1447</v>
      </c>
      <c r="C4011" s="45" t="s">
        <v>493</v>
      </c>
      <c r="D4011" s="10">
        <v>250</v>
      </c>
      <c r="E4011" s="10"/>
      <c r="F4011" s="10"/>
      <c r="G4011" s="10"/>
      <c r="H4011" s="10"/>
      <c r="I4011" s="10"/>
      <c r="J4011" s="10"/>
      <c r="K4011" s="16">
        <v>6</v>
      </c>
      <c r="L4011" s="31"/>
      <c r="M4011" s="10"/>
      <c r="N4011" s="10"/>
      <c r="O4011" s="10"/>
      <c r="P4011" s="10"/>
      <c r="Q4011" s="10"/>
      <c r="R4011" s="10"/>
    </row>
    <row r="4012" spans="1:18">
      <c r="A4012" s="10"/>
      <c r="B4012" s="45"/>
      <c r="C4012" s="10"/>
      <c r="D4012" s="10"/>
      <c r="E4012" s="10"/>
      <c r="F4012" s="10"/>
      <c r="G4012" s="10"/>
      <c r="H4012" s="10"/>
      <c r="I4012" s="10"/>
      <c r="J4012" s="10"/>
      <c r="K4012" s="16"/>
      <c r="L4012" s="31"/>
      <c r="M4012" s="10"/>
      <c r="N4012" s="10"/>
      <c r="O4012" s="10"/>
      <c r="P4012" s="10"/>
      <c r="Q4012" s="10"/>
      <c r="R4012" s="10"/>
    </row>
    <row r="4013" spans="1:18">
      <c r="A4013" s="45" t="s">
        <v>1450</v>
      </c>
      <c r="B4013" s="45" t="s">
        <v>1451</v>
      </c>
      <c r="C4013" s="45" t="s">
        <v>494</v>
      </c>
      <c r="D4013" s="10"/>
      <c r="E4013" s="45" t="s">
        <v>476</v>
      </c>
      <c r="F4013" s="10"/>
      <c r="G4013" s="10"/>
      <c r="H4013" s="10"/>
      <c r="I4013" s="10"/>
      <c r="J4013" s="10"/>
      <c r="K4013" s="16">
        <v>1</v>
      </c>
      <c r="L4013" s="31"/>
      <c r="M4013" s="10"/>
      <c r="N4013" s="10"/>
      <c r="O4013" s="10"/>
      <c r="P4013" s="10"/>
      <c r="Q4013" s="10"/>
      <c r="R4013" s="10"/>
    </row>
    <row r="4014" spans="1:18">
      <c r="A4014" s="10"/>
      <c r="B4014" s="45" t="s">
        <v>1452</v>
      </c>
      <c r="C4014" s="45" t="s">
        <v>493</v>
      </c>
      <c r="D4014" s="10">
        <v>50</v>
      </c>
      <c r="E4014" s="10"/>
      <c r="F4014" s="10"/>
      <c r="G4014" s="10"/>
      <c r="H4014" s="10"/>
      <c r="I4014" s="10"/>
      <c r="J4014" s="10"/>
      <c r="K4014" s="16">
        <v>2</v>
      </c>
      <c r="L4014" s="31"/>
      <c r="M4014" s="10"/>
      <c r="N4014" s="10"/>
      <c r="O4014" s="10"/>
      <c r="P4014" s="10"/>
      <c r="Q4014" s="10"/>
      <c r="R4014" s="10"/>
    </row>
    <row r="4015" spans="1:18">
      <c r="A4015" s="10"/>
      <c r="B4015" s="45"/>
      <c r="C4015" s="10"/>
      <c r="D4015" s="10"/>
      <c r="E4015" s="10"/>
      <c r="F4015" s="10"/>
      <c r="G4015" s="10"/>
      <c r="H4015" s="10"/>
      <c r="I4015" s="10"/>
      <c r="J4015" s="10"/>
      <c r="K4015" s="16"/>
      <c r="L4015" s="31"/>
      <c r="M4015" s="10"/>
      <c r="N4015" s="10"/>
      <c r="O4015" s="10"/>
      <c r="P4015" s="10"/>
      <c r="Q4015" s="10"/>
      <c r="R4015" s="10"/>
    </row>
    <row r="4016" spans="1:18">
      <c r="A4016" s="62" t="s">
        <v>658</v>
      </c>
      <c r="B4016" s="1" t="s">
        <v>661</v>
      </c>
      <c r="C4016" s="1" t="s">
        <v>494</v>
      </c>
      <c r="E4016" s="1" t="s">
        <v>476</v>
      </c>
      <c r="F4016" s="14">
        <v>16</v>
      </c>
      <c r="G4016" s="14">
        <v>1601</v>
      </c>
      <c r="H4016" s="14" t="s">
        <v>655</v>
      </c>
      <c r="I4016" s="11" t="s">
        <v>656</v>
      </c>
      <c r="J4016" s="14">
        <v>2</v>
      </c>
      <c r="K4016" s="16">
        <v>1</v>
      </c>
      <c r="L4016" s="15">
        <v>6</v>
      </c>
      <c r="M4016" s="14"/>
      <c r="N4016" s="14"/>
      <c r="O4016" s="14"/>
      <c r="P4016" s="14"/>
      <c r="Q4016" s="14"/>
      <c r="R4016" s="14"/>
    </row>
    <row r="4017" spans="1:18">
      <c r="B4017" s="62" t="s">
        <v>653</v>
      </c>
      <c r="C4017" s="1" t="s">
        <v>494</v>
      </c>
      <c r="F4017" s="14"/>
      <c r="G4017" s="14"/>
      <c r="H4017" s="14"/>
      <c r="I4017" s="11"/>
      <c r="J4017" s="14"/>
      <c r="K4017" s="16">
        <v>2</v>
      </c>
      <c r="L4017" s="15">
        <v>6</v>
      </c>
      <c r="M4017" s="14"/>
      <c r="N4017" s="14"/>
      <c r="O4017" s="14"/>
      <c r="P4017" s="14"/>
      <c r="Q4017" s="14"/>
      <c r="R4017" s="14"/>
    </row>
    <row r="4018" spans="1:18">
      <c r="B4018" s="62" t="s">
        <v>378</v>
      </c>
      <c r="C4018" s="1" t="s">
        <v>494</v>
      </c>
      <c r="F4018" s="14"/>
      <c r="G4018" s="14"/>
      <c r="H4018" s="14"/>
      <c r="I4018" s="11"/>
      <c r="J4018" s="14"/>
      <c r="K4018" s="16">
        <v>3</v>
      </c>
      <c r="L4018" s="15">
        <v>3</v>
      </c>
      <c r="M4018" s="14">
        <v>3</v>
      </c>
      <c r="N4018" s="1" t="s">
        <v>371</v>
      </c>
      <c r="O4018" s="1" t="s">
        <v>373</v>
      </c>
      <c r="P4018" s="1" t="s">
        <v>374</v>
      </c>
      <c r="Q4018" s="14"/>
      <c r="R4018" s="14"/>
    </row>
    <row r="4019" spans="1:18">
      <c r="B4019" s="1" t="s">
        <v>654</v>
      </c>
      <c r="C4019" s="1" t="s">
        <v>493</v>
      </c>
      <c r="D4019" s="1">
        <v>50</v>
      </c>
      <c r="F4019" s="14"/>
      <c r="G4019" s="14"/>
      <c r="H4019" s="14"/>
      <c r="I4019" s="11"/>
      <c r="J4019" s="14"/>
      <c r="K4019" s="16">
        <v>4</v>
      </c>
      <c r="L4019" s="15"/>
      <c r="M4019" s="14"/>
      <c r="N4019" s="14"/>
      <c r="P4019" s="14"/>
      <c r="Q4019" s="14"/>
      <c r="R4019" s="14"/>
    </row>
    <row r="4020" spans="1:18">
      <c r="B4020" s="1" t="s">
        <v>657</v>
      </c>
      <c r="C4020" s="1" t="s">
        <v>493</v>
      </c>
      <c r="D4020" s="1">
        <v>1</v>
      </c>
      <c r="F4020" s="14"/>
      <c r="G4020" s="14"/>
      <c r="H4020" s="14"/>
      <c r="I4020" s="11"/>
      <c r="J4020" s="14"/>
      <c r="K4020" s="16">
        <v>5</v>
      </c>
      <c r="L4020" s="15">
        <v>3</v>
      </c>
      <c r="M4020" s="14"/>
      <c r="N4020" s="14"/>
      <c r="O4020" s="14"/>
      <c r="P4020" s="14"/>
      <c r="Q4020" s="14"/>
      <c r="R4020" s="14"/>
    </row>
    <row r="4021" spans="1:18">
      <c r="F4021" s="14"/>
      <c r="G4021" s="14"/>
      <c r="H4021" s="14"/>
      <c r="I4021" s="11"/>
      <c r="J4021" s="14"/>
      <c r="K4021" s="16"/>
      <c r="L4021" s="15"/>
      <c r="M4021" s="14"/>
      <c r="N4021" s="14"/>
      <c r="O4021" s="14"/>
      <c r="P4021" s="14"/>
      <c r="Q4021" s="14"/>
      <c r="R4021" s="14"/>
    </row>
    <row r="4022" spans="1:18">
      <c r="A4022" s="1" t="s">
        <v>659</v>
      </c>
      <c r="B4022" s="1" t="s">
        <v>660</v>
      </c>
      <c r="C4022" s="1" t="s">
        <v>494</v>
      </c>
      <c r="E4022" s="1" t="s">
        <v>476</v>
      </c>
      <c r="F4022" s="14">
        <v>16</v>
      </c>
      <c r="G4022" s="14">
        <v>1602</v>
      </c>
      <c r="H4022" s="14" t="s">
        <v>665</v>
      </c>
      <c r="I4022" s="11" t="s">
        <v>666</v>
      </c>
      <c r="J4022" s="14">
        <v>2</v>
      </c>
      <c r="K4022" s="16">
        <v>1</v>
      </c>
      <c r="L4022" s="15">
        <v>6</v>
      </c>
      <c r="M4022" s="14"/>
      <c r="N4022" s="14"/>
      <c r="O4022" s="14"/>
      <c r="P4022" s="14"/>
      <c r="Q4022" s="14"/>
      <c r="R4022" s="14"/>
    </row>
    <row r="4023" spans="1:18">
      <c r="B4023" s="1" t="s">
        <v>662</v>
      </c>
      <c r="C4023" s="1" t="s">
        <v>494</v>
      </c>
      <c r="F4023" s="14"/>
      <c r="G4023" s="14"/>
      <c r="H4023" s="14"/>
      <c r="I4023" s="11"/>
      <c r="J4023" s="14"/>
      <c r="K4023" s="16">
        <v>2</v>
      </c>
      <c r="L4023" s="15">
        <v>6</v>
      </c>
      <c r="M4023" s="14"/>
      <c r="N4023" s="14"/>
      <c r="O4023" s="14"/>
      <c r="P4023" s="14"/>
      <c r="Q4023" s="14"/>
      <c r="R4023" s="14"/>
    </row>
    <row r="4024" spans="1:18">
      <c r="B4024" s="1" t="s">
        <v>663</v>
      </c>
      <c r="C4024" s="1" t="s">
        <v>493</v>
      </c>
      <c r="D4024" s="1">
        <v>50</v>
      </c>
      <c r="F4024" s="14"/>
      <c r="G4024" s="14"/>
      <c r="H4024" s="14"/>
      <c r="I4024" s="11"/>
      <c r="J4024" s="14"/>
      <c r="K4024" s="16">
        <v>3</v>
      </c>
      <c r="L4024" s="15"/>
      <c r="M4024" s="14"/>
      <c r="N4024" s="14"/>
      <c r="O4024" s="14"/>
      <c r="P4024" s="14"/>
      <c r="Q4024" s="14"/>
      <c r="R4024" s="14"/>
    </row>
    <row r="4025" spans="1:18">
      <c r="B4025" s="1" t="s">
        <v>664</v>
      </c>
      <c r="C4025" s="1" t="s">
        <v>493</v>
      </c>
      <c r="D4025" s="1">
        <v>1</v>
      </c>
      <c r="F4025" s="14"/>
      <c r="G4025" s="14"/>
      <c r="H4025" s="14"/>
      <c r="I4025" s="11"/>
      <c r="J4025" s="14"/>
      <c r="K4025" s="16">
        <v>4</v>
      </c>
      <c r="L4025" s="15">
        <v>3</v>
      </c>
      <c r="M4025" s="14"/>
      <c r="N4025" s="14"/>
      <c r="O4025" s="14"/>
      <c r="P4025" s="14"/>
      <c r="Q4025" s="14"/>
      <c r="R4025" s="14"/>
    </row>
    <row r="4026" spans="1:18">
      <c r="F4026" s="14"/>
      <c r="G4026" s="14"/>
      <c r="H4026" s="14"/>
      <c r="I4026" s="11"/>
      <c r="J4026" s="14"/>
      <c r="K4026" s="16"/>
      <c r="L4026" s="15"/>
      <c r="M4026" s="14"/>
      <c r="N4026" s="14"/>
      <c r="O4026" s="14"/>
      <c r="P4026" s="14"/>
      <c r="Q4026" s="14"/>
      <c r="R4026" s="14"/>
    </row>
    <row r="4027" spans="1:18">
      <c r="A4027" s="1" t="s">
        <v>667</v>
      </c>
      <c r="B4027" s="1" t="s">
        <v>668</v>
      </c>
      <c r="C4027" s="1" t="s">
        <v>494</v>
      </c>
      <c r="E4027" s="1" t="s">
        <v>476</v>
      </c>
      <c r="F4027" s="14"/>
      <c r="G4027" s="14"/>
      <c r="H4027" s="14"/>
      <c r="I4027" s="11"/>
      <c r="J4027" s="14"/>
      <c r="K4027" s="16">
        <v>1</v>
      </c>
      <c r="L4027" s="15"/>
      <c r="M4027" s="14"/>
      <c r="N4027" s="14"/>
      <c r="O4027" s="14"/>
      <c r="P4027" s="14"/>
      <c r="Q4027" s="14"/>
      <c r="R4027" s="14"/>
    </row>
    <row r="4028" spans="1:18">
      <c r="B4028" s="1" t="s">
        <v>669</v>
      </c>
      <c r="C4028" s="1" t="s">
        <v>493</v>
      </c>
      <c r="D4028" s="1">
        <v>50</v>
      </c>
      <c r="F4028" s="14"/>
      <c r="G4028" s="14"/>
      <c r="H4028" s="14"/>
      <c r="I4028" s="11"/>
      <c r="J4028" s="14"/>
      <c r="K4028" s="16">
        <v>2</v>
      </c>
      <c r="L4028" s="15"/>
      <c r="M4028" s="14"/>
      <c r="N4028" s="14"/>
      <c r="O4028" s="14"/>
      <c r="P4028" s="14"/>
      <c r="Q4028" s="14"/>
      <c r="R4028" s="14"/>
    </row>
    <row r="4029" spans="1:18">
      <c r="F4029" s="14"/>
      <c r="G4029" s="14"/>
      <c r="H4029" s="14"/>
      <c r="I4029" s="11"/>
      <c r="J4029" s="14"/>
      <c r="K4029" s="16"/>
      <c r="L4029" s="15"/>
      <c r="M4029" s="14"/>
      <c r="N4029" s="14"/>
      <c r="O4029" s="14"/>
      <c r="P4029" s="14"/>
      <c r="Q4029" s="14"/>
      <c r="R4029" s="14"/>
    </row>
    <row r="4030" spans="1:18">
      <c r="A4030" s="1" t="s">
        <v>687</v>
      </c>
      <c r="B4030" s="1" t="s">
        <v>670</v>
      </c>
      <c r="C4030" s="1" t="s">
        <v>494</v>
      </c>
      <c r="E4030" s="1" t="s">
        <v>476</v>
      </c>
      <c r="F4030" s="14">
        <v>16</v>
      </c>
      <c r="G4030" s="14">
        <v>1604</v>
      </c>
      <c r="H4030" s="14" t="s">
        <v>703</v>
      </c>
      <c r="I4030" s="11" t="s">
        <v>704</v>
      </c>
      <c r="J4030" s="14">
        <v>1601</v>
      </c>
      <c r="K4030" s="16">
        <v>1</v>
      </c>
      <c r="L4030" s="15">
        <v>3</v>
      </c>
      <c r="M4030" s="14"/>
      <c r="N4030" s="1" t="s">
        <v>690</v>
      </c>
      <c r="O4030" s="1" t="s">
        <v>691</v>
      </c>
      <c r="P4030" s="1" t="s">
        <v>691</v>
      </c>
      <c r="Q4030" s="14"/>
      <c r="R4030" s="14"/>
    </row>
    <row r="4031" spans="1:18">
      <c r="B4031" s="1" t="s">
        <v>382</v>
      </c>
      <c r="C4031" s="1" t="s">
        <v>494</v>
      </c>
      <c r="E4031" s="1" t="s">
        <v>476</v>
      </c>
      <c r="F4031" s="14"/>
      <c r="G4031" s="14"/>
      <c r="H4031" s="14"/>
      <c r="I4031" s="11"/>
      <c r="J4031" s="14"/>
      <c r="K4031" s="16">
        <v>2</v>
      </c>
      <c r="L4031" s="15">
        <v>3</v>
      </c>
      <c r="M4031" s="14"/>
      <c r="N4031" s="1" t="s">
        <v>379</v>
      </c>
      <c r="O4031" s="1" t="s">
        <v>698</v>
      </c>
      <c r="P4031" s="1" t="s">
        <v>699</v>
      </c>
      <c r="Q4031" s="14"/>
      <c r="R4031" s="14"/>
    </row>
    <row r="4032" spans="1:18">
      <c r="B4032" s="1" t="s">
        <v>689</v>
      </c>
      <c r="C4032" s="1" t="s">
        <v>494</v>
      </c>
      <c r="E4032" s="1" t="s">
        <v>476</v>
      </c>
      <c r="F4032" s="14"/>
      <c r="G4032" s="14"/>
      <c r="H4032" s="14"/>
      <c r="I4032" s="11"/>
      <c r="J4032" s="14"/>
      <c r="K4032" s="16">
        <v>3</v>
      </c>
      <c r="L4032" s="15">
        <v>3</v>
      </c>
      <c r="M4032" s="14"/>
      <c r="N4032" s="1" t="s">
        <v>658</v>
      </c>
      <c r="O4032" s="1" t="s">
        <v>653</v>
      </c>
      <c r="P4032" s="1" t="s">
        <v>654</v>
      </c>
      <c r="Q4032" s="14"/>
      <c r="R4032" s="14"/>
    </row>
    <row r="4033" spans="2:18">
      <c r="B4033" s="1" t="s">
        <v>671</v>
      </c>
      <c r="C4033" s="1" t="s">
        <v>494</v>
      </c>
      <c r="E4033" s="1" t="s">
        <v>476</v>
      </c>
      <c r="F4033" s="14"/>
      <c r="G4033" s="14"/>
      <c r="H4033" s="14"/>
      <c r="I4033" s="11"/>
      <c r="J4033" s="14"/>
      <c r="K4033" s="16">
        <v>4</v>
      </c>
      <c r="L4033" s="15">
        <v>6</v>
      </c>
      <c r="M4033" s="14"/>
      <c r="N4033" s="14"/>
      <c r="P4033" s="14"/>
      <c r="Q4033" s="14"/>
      <c r="R4033" s="14"/>
    </row>
    <row r="4034" spans="2:18">
      <c r="B4034" s="1" t="s">
        <v>672</v>
      </c>
      <c r="C4034" s="1" t="s">
        <v>494</v>
      </c>
      <c r="F4034" s="14"/>
      <c r="G4034" s="14"/>
      <c r="H4034" s="14"/>
      <c r="I4034" s="11"/>
      <c r="J4034" s="14"/>
      <c r="K4034" s="16">
        <v>5</v>
      </c>
      <c r="L4034" s="15">
        <v>6</v>
      </c>
      <c r="M4034" s="14"/>
      <c r="N4034" s="14"/>
      <c r="O4034" s="14"/>
      <c r="P4034" s="14"/>
      <c r="Q4034" s="14"/>
      <c r="R4034" s="14"/>
    </row>
    <row r="4035" spans="2:18">
      <c r="B4035" s="62" t="s">
        <v>370</v>
      </c>
      <c r="C4035" s="1" t="s">
        <v>494</v>
      </c>
      <c r="F4035" s="14"/>
      <c r="G4035" s="14"/>
      <c r="H4035" s="14"/>
      <c r="I4035" s="11"/>
      <c r="J4035" s="14"/>
      <c r="K4035" s="16">
        <v>6</v>
      </c>
      <c r="L4035" s="15"/>
      <c r="M4035" s="14">
        <v>2</v>
      </c>
      <c r="N4035" s="14"/>
      <c r="O4035" s="14"/>
      <c r="P4035" s="14"/>
      <c r="Q4035" s="14"/>
      <c r="R4035" s="14"/>
    </row>
    <row r="4036" spans="2:18">
      <c r="B4036" s="1" t="s">
        <v>688</v>
      </c>
      <c r="C4036" s="1" t="s">
        <v>493</v>
      </c>
      <c r="D4036" s="1">
        <v>50</v>
      </c>
      <c r="F4036" s="14"/>
      <c r="G4036" s="14"/>
      <c r="H4036" s="14"/>
      <c r="I4036" s="11"/>
      <c r="J4036" s="14"/>
      <c r="K4036" s="16">
        <v>7</v>
      </c>
      <c r="L4036" s="15"/>
      <c r="M4036" s="14"/>
      <c r="N4036" s="14"/>
      <c r="O4036" s="14"/>
      <c r="P4036" s="14"/>
      <c r="Q4036" s="14"/>
      <c r="R4036" s="14"/>
    </row>
    <row r="4037" spans="2:18">
      <c r="B4037" s="1" t="s">
        <v>673</v>
      </c>
      <c r="C4037" s="1" t="s">
        <v>494</v>
      </c>
      <c r="F4037" s="14"/>
      <c r="G4037" s="14"/>
      <c r="H4037" s="14"/>
      <c r="I4037" s="11"/>
      <c r="J4037" s="14"/>
      <c r="K4037" s="16">
        <v>8</v>
      </c>
      <c r="L4037" s="15">
        <v>8</v>
      </c>
      <c r="M4037" s="14"/>
      <c r="N4037" s="14"/>
      <c r="O4037" s="14"/>
      <c r="P4037" s="14"/>
      <c r="Q4037" s="14"/>
      <c r="R4037" s="14"/>
    </row>
    <row r="4038" spans="2:18">
      <c r="B4038" s="1" t="s">
        <v>674</v>
      </c>
      <c r="C4038" s="1" t="s">
        <v>494</v>
      </c>
      <c r="F4038" s="14"/>
      <c r="G4038" s="14"/>
      <c r="H4038" s="14"/>
      <c r="I4038" s="11"/>
      <c r="J4038" s="14"/>
      <c r="K4038" s="16">
        <v>9</v>
      </c>
      <c r="L4038" s="15">
        <v>3</v>
      </c>
      <c r="M4038" s="14"/>
      <c r="N4038" s="1" t="s">
        <v>705</v>
      </c>
      <c r="O4038" s="14" t="s">
        <v>706</v>
      </c>
      <c r="P4038" s="14" t="s">
        <v>708</v>
      </c>
      <c r="Q4038" s="14"/>
      <c r="R4038" s="14"/>
    </row>
    <row r="4039" spans="2:18">
      <c r="B4039" s="1" t="s">
        <v>675</v>
      </c>
      <c r="C4039" s="1" t="s">
        <v>493</v>
      </c>
      <c r="D4039" s="1">
        <v>10</v>
      </c>
      <c r="F4039" s="14"/>
      <c r="G4039" s="14"/>
      <c r="H4039" s="14"/>
      <c r="I4039" s="11"/>
      <c r="J4039" s="14"/>
      <c r="K4039" s="16">
        <v>10</v>
      </c>
      <c r="L4039" s="15">
        <v>7</v>
      </c>
      <c r="M4039" s="14"/>
      <c r="N4039" s="14"/>
      <c r="O4039" s="14"/>
      <c r="P4039" s="14"/>
      <c r="Q4039" s="14"/>
      <c r="R4039" s="14"/>
    </row>
    <row r="4040" spans="2:18">
      <c r="B4040" s="1" t="s">
        <v>676</v>
      </c>
      <c r="C4040" s="1" t="s">
        <v>493</v>
      </c>
      <c r="D4040" s="1">
        <v>250</v>
      </c>
      <c r="F4040" s="14"/>
      <c r="G4040" s="14"/>
      <c r="H4040" s="14"/>
      <c r="I4040" s="11"/>
      <c r="J4040" s="14"/>
      <c r="K4040" s="16">
        <v>11</v>
      </c>
      <c r="L4040" s="15"/>
      <c r="M4040" s="14"/>
      <c r="N4040" s="14"/>
      <c r="O4040" s="14"/>
      <c r="P4040" s="14"/>
      <c r="Q4040" s="14"/>
      <c r="R4040" s="14"/>
    </row>
    <row r="4041" spans="2:18">
      <c r="B4041" s="1" t="s">
        <v>677</v>
      </c>
      <c r="C4041" s="1" t="s">
        <v>493</v>
      </c>
      <c r="D4041" s="1">
        <v>250</v>
      </c>
      <c r="F4041" s="14"/>
      <c r="G4041" s="14"/>
      <c r="H4041" s="14"/>
      <c r="I4041" s="11"/>
      <c r="J4041" s="14"/>
      <c r="K4041" s="16">
        <v>12</v>
      </c>
      <c r="L4041" s="15"/>
      <c r="M4041" s="14"/>
      <c r="N4041" s="14"/>
      <c r="O4041" s="14"/>
      <c r="P4041" s="14"/>
      <c r="Q4041" s="14"/>
      <c r="R4041" s="14"/>
    </row>
    <row r="4042" spans="2:18">
      <c r="B4042" s="1" t="s">
        <v>678</v>
      </c>
      <c r="C4042" s="1" t="s">
        <v>493</v>
      </c>
      <c r="D4042" s="1">
        <v>250</v>
      </c>
      <c r="F4042" s="14"/>
      <c r="G4042" s="14"/>
      <c r="H4042" s="14"/>
      <c r="I4042" s="11"/>
      <c r="J4042" s="14"/>
      <c r="K4042" s="16">
        <v>13</v>
      </c>
      <c r="L4042" s="15"/>
      <c r="M4042" s="14"/>
      <c r="N4042" s="14"/>
      <c r="O4042" s="14"/>
      <c r="P4042" s="14"/>
      <c r="Q4042" s="14"/>
      <c r="R4042" s="14"/>
    </row>
    <row r="4043" spans="2:18">
      <c r="B4043" s="1" t="s">
        <v>679</v>
      </c>
      <c r="C4043" s="1" t="s">
        <v>520</v>
      </c>
      <c r="F4043" s="14"/>
      <c r="G4043" s="14"/>
      <c r="H4043" s="14"/>
      <c r="I4043" s="11"/>
      <c r="J4043" s="14"/>
      <c r="K4043" s="16">
        <v>14</v>
      </c>
      <c r="L4043" s="15"/>
      <c r="M4043" s="14"/>
      <c r="N4043" s="14"/>
      <c r="O4043" s="14"/>
      <c r="P4043" s="14"/>
      <c r="Q4043" s="14"/>
      <c r="R4043" s="14"/>
    </row>
    <row r="4044" spans="2:18">
      <c r="B4044" s="62" t="s">
        <v>680</v>
      </c>
      <c r="C4044" s="1" t="s">
        <v>494</v>
      </c>
      <c r="F4044" s="14"/>
      <c r="G4044" s="14"/>
      <c r="H4044" s="14"/>
      <c r="I4044" s="11"/>
      <c r="J4044" s="14"/>
      <c r="K4044" s="16">
        <v>15</v>
      </c>
      <c r="L4044" s="15">
        <v>3</v>
      </c>
      <c r="M4044" s="14">
        <v>1</v>
      </c>
      <c r="N4044" s="1" t="s">
        <v>667</v>
      </c>
      <c r="O4044" s="1" t="s">
        <v>668</v>
      </c>
      <c r="P4044" s="1" t="s">
        <v>669</v>
      </c>
      <c r="Q4044" s="14"/>
      <c r="R4044" s="14"/>
    </row>
    <row r="4045" spans="2:18">
      <c r="B4045" s="1" t="s">
        <v>681</v>
      </c>
      <c r="C4045" s="1" t="s">
        <v>493</v>
      </c>
      <c r="D4045" s="1">
        <v>1</v>
      </c>
      <c r="F4045" s="14"/>
      <c r="G4045" s="14"/>
      <c r="H4045" s="14"/>
      <c r="I4045" s="11"/>
      <c r="J4045" s="14"/>
      <c r="K4045" s="16">
        <v>16</v>
      </c>
      <c r="L4045" s="15">
        <v>3</v>
      </c>
      <c r="M4045" s="14">
        <v>1</v>
      </c>
      <c r="P4045" s="14"/>
      <c r="Q4045" s="14"/>
      <c r="R4045" s="14"/>
    </row>
    <row r="4046" spans="2:18">
      <c r="B4046" s="1" t="s">
        <v>682</v>
      </c>
      <c r="C4046" s="1" t="s">
        <v>494</v>
      </c>
      <c r="F4046" s="14"/>
      <c r="G4046" s="14"/>
      <c r="H4046" s="14"/>
      <c r="I4046" s="11"/>
      <c r="J4046" s="14"/>
      <c r="K4046" s="16">
        <v>17</v>
      </c>
      <c r="L4046" s="15">
        <v>3</v>
      </c>
      <c r="M4046" s="14">
        <v>3</v>
      </c>
      <c r="N4046" s="1" t="s">
        <v>659</v>
      </c>
      <c r="O4046" s="1" t="s">
        <v>662</v>
      </c>
      <c r="P4046" s="1" t="s">
        <v>663</v>
      </c>
      <c r="Q4046" s="14"/>
      <c r="R4046" s="14"/>
    </row>
    <row r="4047" spans="2:18">
      <c r="B4047" s="1" t="s">
        <v>683</v>
      </c>
      <c r="C4047" s="1" t="s">
        <v>493</v>
      </c>
      <c r="D4047" s="1">
        <v>50</v>
      </c>
      <c r="F4047" s="14"/>
      <c r="G4047" s="14"/>
      <c r="H4047" s="14"/>
      <c r="I4047" s="11"/>
      <c r="J4047" s="14"/>
      <c r="K4047" s="16">
        <v>18</v>
      </c>
      <c r="L4047" s="15"/>
      <c r="M4047" s="14"/>
      <c r="N4047" s="14"/>
      <c r="P4047" s="14"/>
      <c r="Q4047" s="14"/>
      <c r="R4047" s="14"/>
    </row>
    <row r="4048" spans="2:18">
      <c r="B4048" s="1" t="s">
        <v>684</v>
      </c>
      <c r="C4048" s="1" t="s">
        <v>493</v>
      </c>
      <c r="D4048" s="1">
        <v>10</v>
      </c>
      <c r="F4048" s="14"/>
      <c r="G4048" s="14"/>
      <c r="H4048" s="14"/>
      <c r="I4048" s="11"/>
      <c r="J4048" s="14"/>
      <c r="K4048" s="16">
        <v>19</v>
      </c>
      <c r="L4048" s="15">
        <v>7</v>
      </c>
      <c r="M4048" s="14"/>
      <c r="N4048" s="14"/>
      <c r="O4048" s="14"/>
      <c r="P4048" s="14"/>
      <c r="Q4048" s="14"/>
      <c r="R4048" s="14"/>
    </row>
    <row r="4049" spans="1:18">
      <c r="B4049" s="62" t="s">
        <v>685</v>
      </c>
      <c r="C4049" s="1" t="s">
        <v>520</v>
      </c>
      <c r="F4049" s="14"/>
      <c r="G4049" s="14"/>
      <c r="H4049" s="14"/>
      <c r="I4049" s="11"/>
      <c r="J4049" s="14"/>
      <c r="K4049" s="16">
        <v>20</v>
      </c>
      <c r="L4049" s="15"/>
      <c r="M4049" s="14"/>
      <c r="N4049" s="14"/>
      <c r="O4049" s="14"/>
      <c r="P4049" s="14"/>
      <c r="Q4049" s="14"/>
      <c r="R4049" s="14"/>
    </row>
    <row r="4050" spans="1:18">
      <c r="B4050" s="1" t="s">
        <v>686</v>
      </c>
      <c r="C4050" s="1" t="s">
        <v>493</v>
      </c>
      <c r="D4050" s="1">
        <v>10</v>
      </c>
      <c r="F4050" s="14"/>
      <c r="G4050" s="14"/>
      <c r="H4050" s="14"/>
      <c r="I4050" s="11"/>
      <c r="J4050" s="14"/>
      <c r="K4050" s="16">
        <v>21</v>
      </c>
      <c r="L4050" s="15">
        <v>7</v>
      </c>
      <c r="M4050" s="14"/>
      <c r="N4050" s="14"/>
      <c r="O4050" s="14"/>
      <c r="P4050" s="14"/>
      <c r="Q4050" s="14"/>
      <c r="R4050" s="14"/>
    </row>
    <row r="4051" spans="1:18">
      <c r="F4051" s="14"/>
      <c r="G4051" s="14"/>
      <c r="H4051" s="14"/>
      <c r="I4051" s="11"/>
      <c r="J4051" s="14"/>
      <c r="K4051" s="16"/>
      <c r="L4051" s="15"/>
      <c r="M4051" s="14"/>
      <c r="N4051" s="14"/>
      <c r="O4051" s="14"/>
      <c r="P4051" s="14"/>
      <c r="Q4051" s="14"/>
      <c r="R4051" s="14"/>
    </row>
    <row r="4052" spans="1:18">
      <c r="A4052" s="70" t="s">
        <v>687</v>
      </c>
      <c r="B4052" s="39" t="s">
        <v>670</v>
      </c>
      <c r="C4052" s="39" t="s">
        <v>494</v>
      </c>
      <c r="D4052" s="39"/>
      <c r="E4052" s="1" t="s">
        <v>476</v>
      </c>
      <c r="F4052" s="14">
        <v>16</v>
      </c>
      <c r="G4052" s="14">
        <v>1610</v>
      </c>
      <c r="H4052" s="47" t="s">
        <v>2473</v>
      </c>
      <c r="I4052" s="48" t="s">
        <v>2474</v>
      </c>
      <c r="J4052" s="14">
        <v>1601</v>
      </c>
      <c r="K4052" s="16">
        <v>1</v>
      </c>
      <c r="L4052" s="15">
        <v>3</v>
      </c>
      <c r="M4052" s="14"/>
      <c r="N4052" s="1" t="s">
        <v>690</v>
      </c>
      <c r="O4052" s="1" t="s">
        <v>691</v>
      </c>
      <c r="P4052" s="1" t="s">
        <v>691</v>
      </c>
      <c r="Q4052" s="14"/>
      <c r="R4052" s="14"/>
    </row>
    <row r="4053" spans="1:18">
      <c r="A4053" s="39"/>
      <c r="B4053" s="70" t="s">
        <v>382</v>
      </c>
      <c r="C4053" s="39" t="s">
        <v>494</v>
      </c>
      <c r="D4053" s="39"/>
      <c r="E4053" s="1" t="s">
        <v>476</v>
      </c>
      <c r="F4053" s="14"/>
      <c r="G4053" s="14"/>
      <c r="H4053" s="14"/>
      <c r="I4053" s="11"/>
      <c r="J4053" s="14"/>
      <c r="K4053" s="16">
        <v>2</v>
      </c>
      <c r="L4053" s="15">
        <v>3</v>
      </c>
      <c r="M4053" s="14"/>
      <c r="N4053" s="1" t="s">
        <v>379</v>
      </c>
      <c r="O4053" s="1" t="s">
        <v>698</v>
      </c>
      <c r="P4053" s="1" t="s">
        <v>699</v>
      </c>
      <c r="Q4053" s="14"/>
      <c r="R4053" s="14"/>
    </row>
    <row r="4054" spans="1:18">
      <c r="A4054" s="39"/>
      <c r="B4054" s="39" t="s">
        <v>689</v>
      </c>
      <c r="C4054" s="39" t="s">
        <v>494</v>
      </c>
      <c r="D4054" s="39"/>
      <c r="E4054" s="1" t="s">
        <v>476</v>
      </c>
      <c r="F4054" s="14"/>
      <c r="G4054" s="14"/>
      <c r="H4054" s="14"/>
      <c r="I4054" s="11"/>
      <c r="J4054" s="14"/>
      <c r="K4054" s="16">
        <v>3</v>
      </c>
      <c r="L4054" s="15">
        <v>3</v>
      </c>
      <c r="M4054" s="14"/>
      <c r="N4054" s="1" t="s">
        <v>658</v>
      </c>
      <c r="O4054" s="1" t="s">
        <v>653</v>
      </c>
      <c r="P4054" s="1" t="s">
        <v>654</v>
      </c>
      <c r="Q4054" s="14"/>
      <c r="R4054" s="14"/>
    </row>
    <row r="4055" spans="1:18">
      <c r="A4055" s="39"/>
      <c r="B4055" s="70" t="s">
        <v>671</v>
      </c>
      <c r="C4055" s="39" t="s">
        <v>494</v>
      </c>
      <c r="D4055" s="39"/>
      <c r="E4055" s="1" t="s">
        <v>476</v>
      </c>
      <c r="F4055" s="14"/>
      <c r="G4055" s="14"/>
      <c r="H4055" s="14"/>
      <c r="I4055" s="11"/>
      <c r="J4055" s="14"/>
      <c r="K4055" s="16">
        <v>4</v>
      </c>
      <c r="L4055" s="15">
        <v>6</v>
      </c>
      <c r="M4055" s="14"/>
      <c r="N4055" s="14"/>
      <c r="P4055" s="14"/>
      <c r="Q4055" s="14"/>
      <c r="R4055" s="14"/>
    </row>
    <row r="4056" spans="1:18">
      <c r="A4056" s="39"/>
      <c r="B4056" s="39" t="s">
        <v>672</v>
      </c>
      <c r="C4056" s="39" t="s">
        <v>494</v>
      </c>
      <c r="D4056" s="39"/>
      <c r="F4056" s="14"/>
      <c r="G4056" s="14"/>
      <c r="H4056" s="14"/>
      <c r="I4056" s="11"/>
      <c r="J4056" s="14"/>
      <c r="K4056" s="16">
        <v>5</v>
      </c>
      <c r="L4056" s="15">
        <v>6</v>
      </c>
      <c r="M4056" s="14"/>
      <c r="N4056" s="14"/>
      <c r="O4056" s="14"/>
      <c r="P4056" s="14"/>
      <c r="Q4056" s="14"/>
      <c r="R4056" s="14"/>
    </row>
    <row r="4057" spans="1:18">
      <c r="A4057" s="39"/>
      <c r="B4057" s="70" t="s">
        <v>370</v>
      </c>
      <c r="C4057" s="39" t="s">
        <v>494</v>
      </c>
      <c r="D4057" s="39"/>
      <c r="F4057" s="14"/>
      <c r="G4057" s="14"/>
      <c r="H4057" s="14"/>
      <c r="I4057" s="11"/>
      <c r="J4057" s="14"/>
      <c r="K4057" s="16">
        <v>6</v>
      </c>
      <c r="L4057" s="15"/>
      <c r="M4057" s="14">
        <v>2</v>
      </c>
      <c r="N4057" s="14"/>
      <c r="O4057" s="14"/>
      <c r="P4057" s="14"/>
      <c r="Q4057" s="14"/>
      <c r="R4057" s="14"/>
    </row>
    <row r="4058" spans="1:18">
      <c r="A4058" s="39"/>
      <c r="B4058" s="39" t="s">
        <v>688</v>
      </c>
      <c r="C4058" s="39" t="s">
        <v>493</v>
      </c>
      <c r="D4058" s="39">
        <v>50</v>
      </c>
      <c r="F4058" s="14"/>
      <c r="G4058" s="14"/>
      <c r="H4058" s="14"/>
      <c r="I4058" s="11"/>
      <c r="J4058" s="14"/>
      <c r="K4058" s="16">
        <v>7</v>
      </c>
      <c r="L4058" s="15"/>
      <c r="M4058" s="14"/>
      <c r="N4058" s="14"/>
      <c r="O4058" s="14"/>
      <c r="P4058" s="14"/>
      <c r="Q4058" s="14"/>
      <c r="R4058" s="14"/>
    </row>
    <row r="4059" spans="1:18">
      <c r="A4059" s="39"/>
      <c r="B4059" s="70" t="s">
        <v>673</v>
      </c>
      <c r="C4059" s="39" t="s">
        <v>494</v>
      </c>
      <c r="D4059" s="39"/>
      <c r="F4059" s="14"/>
      <c r="G4059" s="14"/>
      <c r="H4059" s="14"/>
      <c r="I4059" s="11"/>
      <c r="J4059" s="14"/>
      <c r="K4059" s="16">
        <v>8</v>
      </c>
      <c r="L4059" s="15">
        <v>8</v>
      </c>
      <c r="M4059" s="14"/>
      <c r="N4059" s="14"/>
      <c r="O4059" s="14"/>
      <c r="P4059" s="14"/>
      <c r="Q4059" s="14"/>
      <c r="R4059" s="14"/>
    </row>
    <row r="4060" spans="1:18">
      <c r="A4060" s="39"/>
      <c r="B4060" s="39" t="s">
        <v>675</v>
      </c>
      <c r="C4060" s="39" t="s">
        <v>493</v>
      </c>
      <c r="D4060" s="39">
        <v>10</v>
      </c>
      <c r="F4060" s="14"/>
      <c r="G4060" s="14"/>
      <c r="H4060" s="14"/>
      <c r="I4060" s="11"/>
      <c r="J4060" s="14"/>
      <c r="K4060" s="16">
        <v>9</v>
      </c>
      <c r="L4060" s="15">
        <v>7</v>
      </c>
      <c r="M4060" s="14"/>
      <c r="N4060" s="14"/>
      <c r="O4060" s="14"/>
      <c r="P4060" s="14"/>
      <c r="Q4060" s="14"/>
      <c r="R4060" s="14"/>
    </row>
    <row r="4061" spans="1:18">
      <c r="A4061" s="39"/>
      <c r="B4061" s="39" t="s">
        <v>679</v>
      </c>
      <c r="C4061" s="39" t="s">
        <v>520</v>
      </c>
      <c r="D4061" s="39"/>
      <c r="F4061" s="14"/>
      <c r="G4061" s="14"/>
      <c r="H4061" s="14"/>
      <c r="I4061" s="11"/>
      <c r="J4061" s="14"/>
      <c r="K4061" s="16">
        <v>10</v>
      </c>
      <c r="L4061" s="15"/>
      <c r="M4061" s="14"/>
      <c r="N4061" s="14"/>
      <c r="O4061" s="14"/>
      <c r="P4061" s="14"/>
      <c r="Q4061" s="14"/>
      <c r="R4061" s="14"/>
    </row>
    <row r="4062" spans="1:18">
      <c r="A4062" s="39"/>
      <c r="B4062" s="70" t="s">
        <v>680</v>
      </c>
      <c r="C4062" s="39" t="s">
        <v>494</v>
      </c>
      <c r="D4062" s="39"/>
      <c r="F4062" s="14"/>
      <c r="G4062" s="14"/>
      <c r="H4062" s="14"/>
      <c r="I4062" s="11"/>
      <c r="J4062" s="14"/>
      <c r="K4062" s="16">
        <v>11</v>
      </c>
      <c r="L4062" s="15">
        <v>3</v>
      </c>
      <c r="M4062" s="14">
        <v>1</v>
      </c>
      <c r="N4062" s="1" t="s">
        <v>667</v>
      </c>
      <c r="O4062" s="1" t="s">
        <v>668</v>
      </c>
      <c r="P4062" s="1" t="s">
        <v>669</v>
      </c>
      <c r="Q4062" s="14"/>
      <c r="R4062" s="14"/>
    </row>
    <row r="4063" spans="1:18">
      <c r="A4063" s="39"/>
      <c r="B4063" s="70" t="s">
        <v>681</v>
      </c>
      <c r="C4063" s="39" t="s">
        <v>493</v>
      </c>
      <c r="D4063" s="39">
        <v>1</v>
      </c>
      <c r="F4063" s="14"/>
      <c r="G4063" s="14"/>
      <c r="H4063" s="14"/>
      <c r="I4063" s="11"/>
      <c r="J4063" s="14"/>
      <c r="K4063" s="16">
        <v>12</v>
      </c>
      <c r="L4063" s="15">
        <v>3</v>
      </c>
      <c r="M4063" s="14">
        <v>1</v>
      </c>
      <c r="P4063" s="14"/>
      <c r="Q4063" s="14"/>
      <c r="R4063" s="14"/>
    </row>
    <row r="4064" spans="1:18">
      <c r="A4064" s="39"/>
      <c r="B4064" s="39" t="s">
        <v>682</v>
      </c>
      <c r="C4064" s="39" t="s">
        <v>494</v>
      </c>
      <c r="D4064" s="39"/>
      <c r="F4064" s="14"/>
      <c r="G4064" s="14"/>
      <c r="H4064" s="14"/>
      <c r="I4064" s="11"/>
      <c r="J4064" s="14"/>
      <c r="K4064" s="16">
        <v>13</v>
      </c>
      <c r="L4064" s="15">
        <v>3</v>
      </c>
      <c r="M4064" s="14">
        <v>3</v>
      </c>
      <c r="N4064" s="1" t="s">
        <v>659</v>
      </c>
      <c r="O4064" s="1" t="s">
        <v>662</v>
      </c>
      <c r="P4064" s="1" t="s">
        <v>663</v>
      </c>
      <c r="Q4064" s="14"/>
      <c r="R4064" s="14"/>
    </row>
    <row r="4065" spans="1:18">
      <c r="A4065" s="39"/>
      <c r="B4065" s="39" t="s">
        <v>683</v>
      </c>
      <c r="C4065" s="39" t="s">
        <v>493</v>
      </c>
      <c r="D4065" s="39">
        <v>50</v>
      </c>
      <c r="F4065" s="14"/>
      <c r="G4065" s="14"/>
      <c r="H4065" s="14"/>
      <c r="I4065" s="11"/>
      <c r="J4065" s="14"/>
      <c r="K4065" s="16">
        <v>14</v>
      </c>
      <c r="L4065" s="15"/>
      <c r="M4065" s="14"/>
      <c r="N4065" s="14"/>
      <c r="P4065" s="14"/>
      <c r="Q4065" s="14"/>
      <c r="R4065" s="14"/>
    </row>
    <row r="4066" spans="1:18">
      <c r="A4066" s="39"/>
      <c r="B4066" s="70" t="s">
        <v>684</v>
      </c>
      <c r="C4066" s="39" t="s">
        <v>493</v>
      </c>
      <c r="D4066" s="39">
        <v>10</v>
      </c>
      <c r="F4066" s="14"/>
      <c r="G4066" s="14"/>
      <c r="H4066" s="14"/>
      <c r="I4066" s="11"/>
      <c r="J4066" s="14"/>
      <c r="K4066" s="16">
        <v>15</v>
      </c>
      <c r="L4066" s="15">
        <v>7</v>
      </c>
      <c r="M4066" s="14"/>
      <c r="N4066" s="14"/>
      <c r="O4066" s="14"/>
      <c r="P4066" s="14"/>
      <c r="Q4066" s="14"/>
      <c r="R4066" s="14"/>
    </row>
    <row r="4067" spans="1:18">
      <c r="F4067" s="14"/>
      <c r="G4067" s="14"/>
      <c r="H4067" s="14"/>
      <c r="I4067" s="11"/>
      <c r="J4067" s="14"/>
      <c r="K4067" s="16"/>
      <c r="L4067" s="15"/>
      <c r="M4067" s="14"/>
      <c r="N4067" s="14"/>
      <c r="O4067" s="14"/>
      <c r="P4067" s="14"/>
      <c r="Q4067" s="14"/>
      <c r="R4067" s="14"/>
    </row>
    <row r="4068" spans="1:18">
      <c r="A4068" s="62" t="s">
        <v>371</v>
      </c>
      <c r="B4068" s="1" t="s">
        <v>372</v>
      </c>
      <c r="C4068" s="1" t="s">
        <v>494</v>
      </c>
      <c r="E4068" s="1" t="s">
        <v>476</v>
      </c>
      <c r="F4068" s="14">
        <v>16</v>
      </c>
      <c r="G4068" s="14">
        <v>1605</v>
      </c>
      <c r="H4068" s="14" t="s">
        <v>376</v>
      </c>
      <c r="I4068" s="11" t="s">
        <v>377</v>
      </c>
      <c r="J4068" s="14">
        <v>2</v>
      </c>
      <c r="K4068" s="16">
        <v>1</v>
      </c>
      <c r="L4068" s="15">
        <v>6</v>
      </c>
      <c r="M4068" s="14"/>
      <c r="N4068" s="14"/>
      <c r="O4068" s="14"/>
      <c r="P4068" s="14"/>
      <c r="Q4068" s="14"/>
      <c r="R4068" s="14"/>
    </row>
    <row r="4069" spans="1:18">
      <c r="B4069" s="62" t="s">
        <v>373</v>
      </c>
      <c r="C4069" s="1" t="s">
        <v>494</v>
      </c>
      <c r="F4069" s="14"/>
      <c r="G4069" s="14"/>
      <c r="H4069" s="14"/>
      <c r="I4069" s="11"/>
      <c r="J4069" s="14"/>
      <c r="K4069" s="16">
        <v>2</v>
      </c>
      <c r="L4069" s="15">
        <v>6</v>
      </c>
      <c r="M4069" s="14"/>
      <c r="N4069" s="14"/>
      <c r="O4069" s="14"/>
      <c r="P4069" s="14"/>
      <c r="Q4069" s="14"/>
      <c r="R4069" s="14"/>
    </row>
    <row r="4070" spans="1:18">
      <c r="B4070" s="1" t="s">
        <v>374</v>
      </c>
      <c r="C4070" s="1" t="s">
        <v>493</v>
      </c>
      <c r="D4070" s="1">
        <v>100</v>
      </c>
      <c r="F4070" s="14"/>
      <c r="G4070" s="14"/>
      <c r="H4070" s="14"/>
      <c r="I4070" s="11"/>
      <c r="J4070" s="14"/>
      <c r="K4070" s="16">
        <v>3</v>
      </c>
      <c r="L4070" s="15"/>
      <c r="M4070" s="14"/>
      <c r="N4070" s="14"/>
      <c r="O4070" s="14"/>
      <c r="P4070" s="14"/>
      <c r="Q4070" s="14"/>
      <c r="R4070" s="14"/>
    </row>
    <row r="4071" spans="1:18">
      <c r="B4071" s="1" t="s">
        <v>375</v>
      </c>
      <c r="C4071" s="1" t="s">
        <v>493</v>
      </c>
      <c r="D4071" s="1">
        <v>1</v>
      </c>
      <c r="F4071" s="14"/>
      <c r="G4071" s="14"/>
      <c r="H4071" s="14"/>
      <c r="I4071" s="11"/>
      <c r="J4071" s="14"/>
      <c r="K4071" s="16">
        <v>4</v>
      </c>
      <c r="L4071" s="15">
        <v>3</v>
      </c>
      <c r="M4071" s="14"/>
      <c r="N4071" s="14"/>
      <c r="O4071" s="14"/>
      <c r="P4071" s="14"/>
      <c r="Q4071" s="14"/>
      <c r="R4071" s="14"/>
    </row>
    <row r="4072" spans="1:18">
      <c r="B4072" s="62" t="s">
        <v>2466</v>
      </c>
      <c r="C4072" s="62" t="s">
        <v>493</v>
      </c>
      <c r="D4072" s="1">
        <v>5</v>
      </c>
      <c r="F4072" s="14"/>
      <c r="G4072" s="14"/>
      <c r="H4072" s="14"/>
      <c r="I4072" s="11"/>
      <c r="J4072" s="14"/>
      <c r="K4072" s="16">
        <v>5</v>
      </c>
      <c r="L4072" s="15"/>
      <c r="M4072" s="14"/>
      <c r="N4072" s="14"/>
      <c r="O4072" s="14"/>
      <c r="P4072" s="14"/>
      <c r="Q4072" s="14"/>
      <c r="R4072" s="14"/>
    </row>
    <row r="4073" spans="1:18">
      <c r="F4073" s="14"/>
      <c r="G4073" s="14"/>
      <c r="H4073" s="14"/>
      <c r="I4073" s="11"/>
      <c r="J4073" s="14"/>
      <c r="K4073" s="16"/>
      <c r="L4073" s="15"/>
      <c r="M4073" s="14"/>
      <c r="N4073" s="14"/>
      <c r="O4073" s="14"/>
      <c r="P4073" s="14"/>
      <c r="Q4073" s="14"/>
      <c r="R4073" s="14"/>
    </row>
    <row r="4074" spans="1:18">
      <c r="A4074" s="62" t="s">
        <v>2448</v>
      </c>
      <c r="B4074" s="62" t="s">
        <v>2450</v>
      </c>
      <c r="C4074" s="62" t="s">
        <v>494</v>
      </c>
      <c r="E4074" s="62" t="s">
        <v>476</v>
      </c>
      <c r="F4074" s="1">
        <v>16</v>
      </c>
      <c r="G4074" s="14">
        <v>1606</v>
      </c>
      <c r="H4074" s="47" t="s">
        <v>800</v>
      </c>
      <c r="I4074" s="48" t="s">
        <v>2453</v>
      </c>
      <c r="J4074" s="14">
        <v>2</v>
      </c>
      <c r="K4074" s="16">
        <v>1</v>
      </c>
      <c r="L4074" s="15">
        <v>6</v>
      </c>
      <c r="M4074" s="14"/>
      <c r="N4074" s="14"/>
      <c r="O4074" s="14"/>
      <c r="P4074" s="14"/>
      <c r="Q4074" s="14"/>
      <c r="R4074" s="14"/>
    </row>
    <row r="4075" spans="1:18">
      <c r="A4075" s="62"/>
      <c r="B4075" s="62" t="s">
        <v>2452</v>
      </c>
      <c r="C4075" s="62" t="s">
        <v>494</v>
      </c>
      <c r="F4075" s="14"/>
      <c r="G4075" s="14"/>
      <c r="H4075" s="14"/>
      <c r="I4075" s="11"/>
      <c r="J4075" s="14"/>
      <c r="K4075" s="16">
        <v>2</v>
      </c>
      <c r="L4075" s="15">
        <v>6</v>
      </c>
      <c r="M4075" s="14"/>
      <c r="N4075" s="14"/>
      <c r="O4075" s="14"/>
      <c r="P4075" s="14"/>
      <c r="Q4075" s="14"/>
      <c r="R4075" s="14"/>
    </row>
    <row r="4076" spans="1:18">
      <c r="B4076" s="62" t="s">
        <v>2449</v>
      </c>
      <c r="C4076" s="62" t="s">
        <v>494</v>
      </c>
      <c r="F4076" s="14"/>
      <c r="G4076" s="14"/>
      <c r="H4076" s="14"/>
      <c r="I4076" s="11"/>
      <c r="J4076" s="14"/>
      <c r="K4076" s="16">
        <v>3</v>
      </c>
      <c r="L4076" s="15">
        <v>3</v>
      </c>
      <c r="M4076" s="14"/>
      <c r="N4076" s="1" t="s">
        <v>690</v>
      </c>
      <c r="O4076" s="1" t="s">
        <v>691</v>
      </c>
      <c r="P4076" s="1" t="s">
        <v>691</v>
      </c>
      <c r="Q4076" s="14"/>
      <c r="R4076" s="14"/>
    </row>
    <row r="4077" spans="1:18">
      <c r="B4077" s="62" t="s">
        <v>2451</v>
      </c>
      <c r="C4077" s="62" t="s">
        <v>494</v>
      </c>
      <c r="F4077" s="14"/>
      <c r="G4077" s="14"/>
      <c r="H4077" s="14"/>
      <c r="I4077" s="11"/>
      <c r="J4077" s="14"/>
      <c r="K4077" s="16">
        <v>4</v>
      </c>
      <c r="L4077" s="15"/>
      <c r="M4077" s="14"/>
      <c r="N4077" s="14"/>
      <c r="O4077" s="14"/>
      <c r="P4077" s="14"/>
      <c r="Q4077" s="14"/>
      <c r="R4077" s="14"/>
    </row>
    <row r="4078" spans="1:18">
      <c r="B4078" s="62" t="s">
        <v>2454</v>
      </c>
      <c r="C4078" s="62" t="s">
        <v>494</v>
      </c>
      <c r="F4078" s="14"/>
      <c r="G4078" s="14"/>
      <c r="H4078" s="14"/>
      <c r="I4078" s="11"/>
      <c r="J4078" s="14"/>
      <c r="K4078" s="16">
        <v>5</v>
      </c>
      <c r="L4078" s="15">
        <v>3</v>
      </c>
      <c r="M4078" s="14"/>
      <c r="N4078" s="1" t="s">
        <v>551</v>
      </c>
      <c r="O4078" s="14" t="s">
        <v>552</v>
      </c>
      <c r="P4078" s="14" t="s">
        <v>553</v>
      </c>
      <c r="Q4078" s="14"/>
      <c r="R4078" s="14"/>
    </row>
    <row r="4079" spans="1:18">
      <c r="B4079" s="62" t="s">
        <v>2455</v>
      </c>
      <c r="C4079" s="62" t="s">
        <v>494</v>
      </c>
      <c r="F4079" s="14"/>
      <c r="G4079" s="14"/>
      <c r="H4079" s="14"/>
      <c r="I4079" s="11"/>
      <c r="J4079" s="14"/>
      <c r="K4079" s="16">
        <v>6</v>
      </c>
      <c r="L4079" s="15">
        <v>3</v>
      </c>
      <c r="M4079" s="14"/>
      <c r="N4079" s="1" t="s">
        <v>551</v>
      </c>
      <c r="O4079" s="14" t="s">
        <v>552</v>
      </c>
      <c r="P4079" s="14" t="s">
        <v>553</v>
      </c>
      <c r="Q4079" s="14"/>
      <c r="R4079" s="14"/>
    </row>
    <row r="4080" spans="1:18">
      <c r="F4080" s="14"/>
      <c r="G4080" s="14"/>
      <c r="H4080" s="14"/>
      <c r="I4080" s="11"/>
      <c r="J4080" s="14"/>
      <c r="K4080" s="16"/>
      <c r="L4080" s="15"/>
      <c r="M4080" s="14"/>
      <c r="N4080" s="14"/>
      <c r="O4080" s="14"/>
      <c r="P4080" s="14"/>
      <c r="Q4080" s="14"/>
      <c r="R4080" s="14"/>
    </row>
    <row r="4081" spans="1:18">
      <c r="A4081" s="62" t="s">
        <v>2461</v>
      </c>
      <c r="B4081" s="62" t="s">
        <v>2456</v>
      </c>
      <c r="C4081" s="62" t="s">
        <v>494</v>
      </c>
      <c r="E4081" s="62" t="s">
        <v>476</v>
      </c>
      <c r="F4081" s="14">
        <v>16</v>
      </c>
      <c r="G4081" s="14">
        <v>1607</v>
      </c>
      <c r="H4081" s="47" t="s">
        <v>525</v>
      </c>
      <c r="I4081" s="48" t="s">
        <v>2464</v>
      </c>
      <c r="J4081" s="14">
        <v>0</v>
      </c>
      <c r="K4081" s="16">
        <v>1</v>
      </c>
      <c r="L4081" s="15">
        <v>8</v>
      </c>
      <c r="M4081" s="14"/>
      <c r="N4081" s="14"/>
      <c r="O4081" s="14"/>
      <c r="P4081" s="14"/>
      <c r="Q4081" s="14"/>
      <c r="R4081" s="14"/>
    </row>
    <row r="4082" spans="1:18">
      <c r="B4082" s="62" t="s">
        <v>2459</v>
      </c>
      <c r="C4082" s="62" t="s">
        <v>494</v>
      </c>
      <c r="E4082" s="62" t="s">
        <v>476</v>
      </c>
      <c r="F4082" s="14"/>
      <c r="G4082" s="14"/>
      <c r="H4082" s="14"/>
      <c r="I4082" s="11"/>
      <c r="J4082" s="14"/>
      <c r="K4082" s="16">
        <v>2</v>
      </c>
      <c r="L4082" s="76">
        <v>9</v>
      </c>
      <c r="M4082" s="62"/>
      <c r="N4082" s="62" t="s">
        <v>379</v>
      </c>
      <c r="O4082" s="62" t="s">
        <v>697</v>
      </c>
      <c r="P4082" s="62" t="s">
        <v>699</v>
      </c>
      <c r="Q4082" s="62" t="s">
        <v>698</v>
      </c>
      <c r="R4082" s="62">
        <v>124</v>
      </c>
    </row>
    <row r="4083" spans="1:18">
      <c r="A4083" s="62"/>
      <c r="B4083" s="62" t="s">
        <v>2462</v>
      </c>
      <c r="C4083" s="62" t="s">
        <v>494</v>
      </c>
      <c r="E4083" s="62" t="s">
        <v>476</v>
      </c>
      <c r="F4083" s="14"/>
      <c r="G4083" s="14"/>
      <c r="H4083" s="47"/>
      <c r="I4083" s="48"/>
      <c r="J4083" s="14"/>
      <c r="K4083" s="16">
        <v>3</v>
      </c>
      <c r="L4083" s="15">
        <v>6</v>
      </c>
      <c r="M4083" s="14"/>
      <c r="N4083" s="14"/>
      <c r="O4083" s="14"/>
      <c r="P4083" s="14"/>
      <c r="Q4083" s="14"/>
      <c r="R4083" s="14"/>
    </row>
    <row r="4084" spans="1:18">
      <c r="B4084" s="62" t="s">
        <v>2457</v>
      </c>
      <c r="C4084" s="62" t="s">
        <v>494</v>
      </c>
      <c r="F4084" s="14"/>
      <c r="G4084" s="14"/>
      <c r="H4084" s="14"/>
      <c r="I4084" s="11"/>
      <c r="J4084" s="14"/>
      <c r="K4084" s="16">
        <v>4</v>
      </c>
      <c r="L4084" s="15">
        <v>6</v>
      </c>
      <c r="M4084" s="14"/>
      <c r="N4084" s="14"/>
      <c r="O4084" s="14"/>
      <c r="P4084" s="14"/>
      <c r="Q4084" s="14"/>
      <c r="R4084" s="14"/>
    </row>
    <row r="4085" spans="1:18">
      <c r="B4085" s="62" t="s">
        <v>2463</v>
      </c>
      <c r="C4085" s="62" t="s">
        <v>493</v>
      </c>
      <c r="D4085" s="1">
        <v>1</v>
      </c>
      <c r="F4085" s="14"/>
      <c r="G4085" s="14"/>
      <c r="H4085" s="14"/>
      <c r="I4085" s="11"/>
      <c r="J4085" s="14"/>
      <c r="K4085" s="16">
        <v>5</v>
      </c>
      <c r="L4085" s="15">
        <v>3</v>
      </c>
      <c r="M4085" s="14"/>
      <c r="Q4085" s="14"/>
      <c r="R4085" s="14"/>
    </row>
    <row r="4086" spans="1:18">
      <c r="B4086" s="62" t="s">
        <v>2458</v>
      </c>
      <c r="C4086" s="62" t="s">
        <v>494</v>
      </c>
      <c r="F4086" s="14"/>
      <c r="G4086" s="14"/>
      <c r="H4086" s="14"/>
      <c r="I4086" s="11"/>
      <c r="J4086" s="14"/>
      <c r="K4086" s="16">
        <v>6</v>
      </c>
      <c r="L4086" s="76">
        <v>3</v>
      </c>
      <c r="M4086" s="62">
        <v>1</v>
      </c>
      <c r="N4086" s="1" t="s">
        <v>693</v>
      </c>
      <c r="O4086" s="1" t="s">
        <v>695</v>
      </c>
      <c r="P4086" s="1" t="s">
        <v>696</v>
      </c>
      <c r="Q4086" s="62"/>
      <c r="R4086" s="62"/>
    </row>
    <row r="4087" spans="1:18">
      <c r="B4087" s="62" t="s">
        <v>2460</v>
      </c>
      <c r="C4087" s="62" t="s">
        <v>494</v>
      </c>
      <c r="F4087" s="14"/>
      <c r="G4087" s="14"/>
      <c r="H4087" s="14"/>
      <c r="I4087" s="11"/>
      <c r="J4087" s="14"/>
      <c r="K4087" s="16">
        <v>7</v>
      </c>
      <c r="L4087" s="15"/>
      <c r="M4087" s="14"/>
      <c r="N4087" s="14"/>
      <c r="O4087" s="14"/>
      <c r="P4087" s="14"/>
      <c r="Q4087" s="14"/>
      <c r="R4087" s="14"/>
    </row>
    <row r="4088" spans="1:18">
      <c r="B4088" s="62" t="s">
        <v>2465</v>
      </c>
      <c r="C4088" s="62" t="s">
        <v>494</v>
      </c>
      <c r="F4088" s="14"/>
      <c r="G4088" s="14"/>
      <c r="H4088" s="14"/>
      <c r="I4088" s="11"/>
      <c r="J4088" s="14"/>
      <c r="K4088" s="16">
        <v>8</v>
      </c>
      <c r="L4088" s="15">
        <v>3</v>
      </c>
      <c r="M4088" s="14">
        <v>3</v>
      </c>
      <c r="N4088" s="62" t="s">
        <v>2467</v>
      </c>
      <c r="O4088" s="62" t="s">
        <v>2468</v>
      </c>
      <c r="P4088" s="62" t="s">
        <v>2469</v>
      </c>
      <c r="Q4088" s="14"/>
      <c r="R4088" s="14"/>
    </row>
    <row r="4089" spans="1:18">
      <c r="B4089" s="62"/>
      <c r="F4089" s="14"/>
      <c r="G4089" s="14"/>
      <c r="H4089" s="14"/>
      <c r="I4089" s="11"/>
      <c r="J4089" s="14"/>
      <c r="K4089" s="16"/>
      <c r="L4089" s="15"/>
      <c r="M4089" s="14"/>
      <c r="N4089" s="14"/>
      <c r="O4089" s="14"/>
      <c r="P4089" s="14"/>
      <c r="Q4089" s="14"/>
      <c r="R4089" s="14"/>
    </row>
    <row r="4090" spans="1:18">
      <c r="A4090" s="62" t="s">
        <v>2470</v>
      </c>
      <c r="B4090" s="62" t="s">
        <v>2471</v>
      </c>
      <c r="C4090" s="62" t="s">
        <v>494</v>
      </c>
      <c r="E4090" s="62" t="s">
        <v>476</v>
      </c>
      <c r="F4090" s="14">
        <v>16</v>
      </c>
      <c r="G4090" s="14">
        <v>1609</v>
      </c>
      <c r="H4090" s="47" t="s">
        <v>473</v>
      </c>
      <c r="I4090" s="48" t="s">
        <v>2472</v>
      </c>
      <c r="J4090" s="14">
        <v>1</v>
      </c>
      <c r="K4090" s="16">
        <v>1</v>
      </c>
      <c r="L4090" s="15"/>
      <c r="M4090" s="14"/>
      <c r="N4090" s="14"/>
      <c r="O4090" s="14"/>
      <c r="P4090" s="14"/>
      <c r="Q4090" s="14"/>
      <c r="R4090" s="14"/>
    </row>
    <row r="4091" spans="1:18">
      <c r="A4091" s="62"/>
      <c r="B4091" s="62"/>
      <c r="C4091" s="62"/>
      <c r="E4091" s="62"/>
      <c r="F4091" s="14"/>
      <c r="G4091" s="14"/>
      <c r="H4091" s="47"/>
      <c r="I4091" s="48"/>
      <c r="J4091" s="14"/>
      <c r="K4091" s="16"/>
      <c r="L4091" s="15"/>
      <c r="M4091" s="14"/>
      <c r="N4091" s="14"/>
      <c r="O4091" s="14"/>
      <c r="P4091" s="14"/>
      <c r="Q4091" s="14"/>
      <c r="R4091" s="14"/>
    </row>
    <row r="4092" spans="1:18">
      <c r="A4092" s="62" t="s">
        <v>2467</v>
      </c>
      <c r="B4092" s="62" t="s">
        <v>2468</v>
      </c>
      <c r="C4092" s="62" t="s">
        <v>494</v>
      </c>
      <c r="E4092" s="62" t="s">
        <v>476</v>
      </c>
      <c r="F4092" s="14"/>
      <c r="G4092" s="14"/>
      <c r="H4092" s="14"/>
      <c r="I4092" s="11"/>
      <c r="J4092" s="14"/>
      <c r="K4092" s="16"/>
      <c r="L4092" s="15"/>
      <c r="M4092" s="14"/>
      <c r="N4092" s="14"/>
      <c r="O4092" s="14"/>
      <c r="P4092" s="14"/>
      <c r="Q4092" s="14"/>
      <c r="R4092" s="14"/>
    </row>
    <row r="4093" spans="1:18">
      <c r="A4093" s="62"/>
      <c r="B4093" s="62" t="s">
        <v>2469</v>
      </c>
      <c r="C4093" s="62" t="s">
        <v>493</v>
      </c>
      <c r="D4093" s="1">
        <v>20</v>
      </c>
      <c r="F4093" s="14"/>
      <c r="G4093" s="14"/>
      <c r="H4093" s="14"/>
      <c r="I4093" s="11"/>
      <c r="J4093" s="14"/>
      <c r="K4093" s="16"/>
      <c r="L4093" s="15"/>
      <c r="M4093" s="14"/>
      <c r="N4093" s="14"/>
      <c r="O4093" s="14"/>
      <c r="P4093" s="14"/>
      <c r="Q4093" s="14"/>
      <c r="R4093" s="14"/>
    </row>
    <row r="4094" spans="1:18">
      <c r="B4094" s="62"/>
      <c r="F4094" s="14"/>
      <c r="G4094" s="14"/>
      <c r="H4094" s="14"/>
      <c r="I4094" s="11"/>
      <c r="J4094" s="14"/>
      <c r="K4094" s="16"/>
      <c r="L4094" s="15"/>
      <c r="M4094" s="14"/>
      <c r="N4094" s="14"/>
      <c r="O4094" s="14"/>
      <c r="P4094" s="14"/>
      <c r="Q4094" s="14"/>
      <c r="R4094" s="14"/>
    </row>
    <row r="4098" spans="1:18">
      <c r="A4098" s="10" t="s">
        <v>198</v>
      </c>
      <c r="B4098" s="29" t="s">
        <v>199</v>
      </c>
      <c r="C4098" s="10" t="s">
        <v>494</v>
      </c>
      <c r="D4098" s="10"/>
      <c r="E4098" s="10" t="s">
        <v>476</v>
      </c>
      <c r="F4098" s="10">
        <v>17</v>
      </c>
      <c r="G4098" s="10">
        <v>1731</v>
      </c>
      <c r="H4098" s="10" t="s">
        <v>204</v>
      </c>
      <c r="I4098" s="10"/>
      <c r="J4098" s="10">
        <v>1</v>
      </c>
      <c r="K4098" s="16">
        <v>1</v>
      </c>
      <c r="L4098" s="31">
        <v>52</v>
      </c>
      <c r="M4098" s="10"/>
      <c r="N4098" s="10">
        <v>147</v>
      </c>
      <c r="O4098" s="29" t="s">
        <v>56</v>
      </c>
      <c r="P4098" s="10"/>
      <c r="Q4098" s="10"/>
      <c r="R4098" s="10"/>
    </row>
    <row r="4099" spans="1:18">
      <c r="A4099" s="10"/>
      <c r="B4099" s="29" t="s">
        <v>200</v>
      </c>
      <c r="C4099" s="10" t="s">
        <v>494</v>
      </c>
      <c r="D4099" s="10"/>
      <c r="E4099" s="10" t="s">
        <v>476</v>
      </c>
      <c r="F4099" s="10"/>
      <c r="G4099" s="10"/>
      <c r="H4099" s="10"/>
      <c r="I4099" s="10"/>
      <c r="J4099" s="10"/>
      <c r="K4099" s="16">
        <v>2</v>
      </c>
      <c r="L4099" s="31">
        <v>3</v>
      </c>
      <c r="M4099" s="10"/>
      <c r="N4099" s="10" t="s">
        <v>506</v>
      </c>
      <c r="O4099" s="10" t="s">
        <v>514</v>
      </c>
      <c r="P4099" s="1" t="s">
        <v>515</v>
      </c>
      <c r="Q4099" s="10"/>
      <c r="R4099" s="10"/>
    </row>
    <row r="4100" spans="1:18">
      <c r="A4100" s="10"/>
      <c r="B4100" s="29" t="s">
        <v>201</v>
      </c>
      <c r="C4100" s="10" t="s">
        <v>494</v>
      </c>
      <c r="D4100" s="10"/>
      <c r="E4100" s="10"/>
      <c r="F4100" s="10"/>
      <c r="G4100" s="10"/>
      <c r="H4100" s="10"/>
      <c r="I4100" s="10"/>
      <c r="J4100" s="10"/>
      <c r="K4100" s="16">
        <v>3</v>
      </c>
      <c r="L4100" s="31">
        <v>6</v>
      </c>
      <c r="M4100" s="10"/>
      <c r="N4100" s="10"/>
      <c r="O4100" s="10"/>
      <c r="P4100" s="10"/>
      <c r="Q4100" s="10"/>
      <c r="R4100" s="10"/>
    </row>
    <row r="4101" spans="1:18">
      <c r="A4101" s="10"/>
      <c r="B4101" s="29" t="s">
        <v>202</v>
      </c>
      <c r="C4101" s="10" t="s">
        <v>494</v>
      </c>
      <c r="D4101" s="10"/>
      <c r="E4101" s="10"/>
      <c r="F4101" s="10"/>
      <c r="G4101" s="10"/>
      <c r="H4101" s="10"/>
      <c r="I4101" s="10"/>
      <c r="J4101" s="10"/>
      <c r="K4101" s="16">
        <v>4</v>
      </c>
      <c r="L4101" s="31">
        <v>8</v>
      </c>
      <c r="M4101" s="10"/>
      <c r="N4101" s="10"/>
      <c r="O4101" s="10"/>
      <c r="P4101" s="10"/>
      <c r="Q4101" s="10"/>
      <c r="R4101" s="10"/>
    </row>
    <row r="4102" spans="1:18">
      <c r="A4102" s="10"/>
      <c r="B4102" s="29" t="s">
        <v>203</v>
      </c>
      <c r="C4102" s="10" t="s">
        <v>520</v>
      </c>
      <c r="D4102" s="10"/>
      <c r="E4102" s="10"/>
      <c r="F4102" s="10"/>
      <c r="G4102" s="10"/>
      <c r="H4102" s="10"/>
      <c r="I4102" s="10"/>
      <c r="J4102" s="10"/>
      <c r="K4102" s="16">
        <v>5</v>
      </c>
      <c r="L4102" s="31"/>
      <c r="M4102" s="10"/>
      <c r="N4102" s="10"/>
      <c r="O4102" s="10"/>
      <c r="P4102" s="10"/>
      <c r="Q4102" s="10"/>
      <c r="R4102" s="10"/>
    </row>
    <row r="4104" spans="1:18">
      <c r="A4104" s="1" t="s">
        <v>751</v>
      </c>
      <c r="B4104" s="1" t="s">
        <v>752</v>
      </c>
      <c r="C4104" s="1" t="s">
        <v>494</v>
      </c>
      <c r="E4104" s="1" t="s">
        <v>476</v>
      </c>
      <c r="F4104" s="14">
        <v>3</v>
      </c>
      <c r="G4104" s="14">
        <v>304</v>
      </c>
      <c r="H4104" s="14" t="s">
        <v>764</v>
      </c>
      <c r="I4104" s="11" t="s">
        <v>765</v>
      </c>
      <c r="J4104" s="14">
        <v>2</v>
      </c>
      <c r="K4104" s="16">
        <v>1</v>
      </c>
      <c r="L4104" s="15"/>
      <c r="M4104" s="14"/>
      <c r="N4104" s="14"/>
      <c r="O4104" s="14"/>
      <c r="P4104" s="14"/>
      <c r="Q4104" s="14"/>
      <c r="R4104" s="14"/>
    </row>
    <row r="4105" spans="1:18">
      <c r="B4105" s="1" t="s">
        <v>753</v>
      </c>
      <c r="C4105" s="1" t="s">
        <v>493</v>
      </c>
      <c r="D4105" s="1">
        <v>1</v>
      </c>
      <c r="F4105" s="14"/>
      <c r="G4105" s="14"/>
      <c r="H4105" s="14"/>
      <c r="I4105" s="11"/>
      <c r="J4105" s="14"/>
      <c r="K4105" s="16">
        <v>2</v>
      </c>
      <c r="L4105" s="15">
        <v>3</v>
      </c>
      <c r="M4105" s="14"/>
      <c r="N4105" s="14"/>
      <c r="O4105" s="14"/>
      <c r="P4105" s="14"/>
      <c r="Q4105" s="14"/>
      <c r="R4105" s="14"/>
    </row>
    <row r="4106" spans="1:18">
      <c r="B4106" s="1" t="s">
        <v>766</v>
      </c>
      <c r="C4106" s="1" t="s">
        <v>494</v>
      </c>
      <c r="F4106" s="14"/>
      <c r="G4106" s="14"/>
      <c r="H4106" s="14"/>
      <c r="I4106" s="11"/>
      <c r="J4106" s="14"/>
      <c r="K4106" s="16">
        <v>3</v>
      </c>
      <c r="L4106" s="15"/>
      <c r="M4106" s="14"/>
      <c r="N4106" s="14"/>
      <c r="O4106" s="14"/>
      <c r="P4106" s="14"/>
      <c r="Q4106" s="14"/>
      <c r="R4106" s="14"/>
    </row>
    <row r="4107" spans="1:18">
      <c r="B4107" s="1" t="s">
        <v>754</v>
      </c>
      <c r="C4107" s="1" t="s">
        <v>493</v>
      </c>
      <c r="D4107" s="1">
        <v>100</v>
      </c>
      <c r="F4107" s="14"/>
      <c r="G4107" s="14"/>
      <c r="H4107" s="14"/>
      <c r="I4107" s="11"/>
      <c r="J4107" s="14"/>
      <c r="K4107" s="16">
        <v>4</v>
      </c>
      <c r="L4107" s="15"/>
      <c r="M4107" s="14"/>
      <c r="N4107" s="14"/>
      <c r="O4107" s="14"/>
      <c r="P4107" s="14"/>
      <c r="Q4107" s="14"/>
      <c r="R4107" s="14"/>
    </row>
    <row r="4108" spans="1:18">
      <c r="B4108" s="1" t="s">
        <v>757</v>
      </c>
      <c r="C4108" s="1" t="s">
        <v>493</v>
      </c>
      <c r="D4108" s="1">
        <v>1</v>
      </c>
      <c r="F4108" s="14"/>
      <c r="G4108" s="14"/>
      <c r="H4108" s="14"/>
      <c r="I4108" s="11"/>
      <c r="J4108" s="14"/>
      <c r="K4108" s="16">
        <v>5</v>
      </c>
      <c r="L4108" s="15">
        <v>3</v>
      </c>
      <c r="M4108" s="14"/>
      <c r="N4108" s="14"/>
      <c r="O4108" s="14"/>
      <c r="P4108" s="14"/>
      <c r="Q4108" s="14"/>
      <c r="R4108" s="14"/>
    </row>
    <row r="4109" spans="1:18">
      <c r="B4109" s="1" t="s">
        <v>755</v>
      </c>
      <c r="C4109" s="1" t="s">
        <v>493</v>
      </c>
      <c r="D4109" s="1">
        <v>100</v>
      </c>
      <c r="F4109" s="14"/>
      <c r="G4109" s="14"/>
      <c r="H4109" s="14"/>
      <c r="I4109" s="11"/>
      <c r="J4109" s="14"/>
      <c r="K4109" s="16">
        <v>6</v>
      </c>
      <c r="L4109" s="15"/>
      <c r="M4109" s="14"/>
      <c r="N4109" s="14"/>
      <c r="O4109" s="14"/>
      <c r="P4109" s="14"/>
      <c r="Q4109" s="14"/>
      <c r="R4109" s="14"/>
    </row>
    <row r="4110" spans="1:18">
      <c r="B4110" s="1" t="s">
        <v>758</v>
      </c>
      <c r="C4110" s="1" t="s">
        <v>493</v>
      </c>
      <c r="D4110" s="1">
        <v>1</v>
      </c>
      <c r="F4110" s="14"/>
      <c r="G4110" s="14"/>
      <c r="H4110" s="14"/>
      <c r="I4110" s="11"/>
      <c r="J4110" s="14"/>
      <c r="K4110" s="16">
        <v>7</v>
      </c>
      <c r="L4110" s="15">
        <v>3</v>
      </c>
      <c r="M4110" s="14"/>
      <c r="N4110" s="14"/>
      <c r="O4110" s="14"/>
      <c r="P4110" s="14"/>
      <c r="Q4110" s="14"/>
      <c r="R4110" s="14"/>
    </row>
    <row r="4111" spans="1:18">
      <c r="B4111" s="1" t="s">
        <v>756</v>
      </c>
      <c r="C4111" s="1" t="s">
        <v>493</v>
      </c>
      <c r="D4111" s="1">
        <v>100</v>
      </c>
      <c r="F4111" s="14"/>
      <c r="G4111" s="14"/>
      <c r="H4111" s="14"/>
      <c r="I4111" s="11"/>
      <c r="J4111" s="14"/>
      <c r="K4111" s="16">
        <v>8</v>
      </c>
      <c r="L4111" s="15"/>
      <c r="M4111" s="14"/>
      <c r="N4111" s="14"/>
      <c r="O4111" s="14"/>
      <c r="P4111" s="14"/>
      <c r="Q4111" s="14"/>
      <c r="R4111" s="14"/>
    </row>
    <row r="4112" spans="1:18">
      <c r="B4112" s="1" t="s">
        <v>767</v>
      </c>
      <c r="C4112" s="1" t="s">
        <v>493</v>
      </c>
      <c r="D4112" s="1">
        <v>1</v>
      </c>
      <c r="F4112" s="14"/>
      <c r="G4112" s="14"/>
      <c r="H4112" s="14"/>
      <c r="I4112" s="11"/>
      <c r="J4112" s="14"/>
      <c r="K4112" s="16">
        <v>9</v>
      </c>
      <c r="L4112" s="15">
        <v>3</v>
      </c>
      <c r="M4112" s="14"/>
      <c r="N4112" s="14"/>
      <c r="O4112" s="14"/>
      <c r="P4112" s="14"/>
      <c r="Q4112" s="14"/>
      <c r="R4112" s="14"/>
    </row>
    <row r="4113" spans="1:18">
      <c r="B4113" s="1" t="s">
        <v>768</v>
      </c>
      <c r="C4113" s="1" t="s">
        <v>493</v>
      </c>
      <c r="D4113" s="1">
        <v>100</v>
      </c>
      <c r="F4113" s="14"/>
      <c r="G4113" s="14"/>
      <c r="H4113" s="14"/>
      <c r="I4113" s="11"/>
      <c r="J4113" s="14"/>
      <c r="K4113" s="16">
        <v>10</v>
      </c>
      <c r="L4113" s="15"/>
      <c r="M4113" s="14"/>
      <c r="N4113" s="14"/>
      <c r="O4113" s="14"/>
      <c r="P4113" s="14"/>
      <c r="Q4113" s="14"/>
      <c r="R4113" s="14"/>
    </row>
    <row r="4114" spans="1:18">
      <c r="B4114" s="1" t="s">
        <v>772</v>
      </c>
      <c r="C4114" s="1" t="s">
        <v>493</v>
      </c>
      <c r="D4114" s="1">
        <v>4</v>
      </c>
      <c r="F4114" s="14"/>
      <c r="G4114" s="14"/>
      <c r="H4114" s="14"/>
      <c r="I4114" s="11"/>
      <c r="J4114" s="14"/>
      <c r="K4114" s="16">
        <v>11</v>
      </c>
      <c r="L4114" s="15"/>
      <c r="M4114" s="14"/>
      <c r="N4114" s="14"/>
      <c r="O4114" s="14"/>
      <c r="P4114" s="14"/>
      <c r="Q4114" s="14"/>
      <c r="R4114" s="14"/>
    </row>
    <row r="4115" spans="1:18">
      <c r="B4115" s="1" t="s">
        <v>794</v>
      </c>
      <c r="C4115" s="1" t="s">
        <v>493</v>
      </c>
      <c r="D4115" s="1">
        <v>1</v>
      </c>
      <c r="F4115" s="14"/>
      <c r="G4115" s="14"/>
      <c r="H4115" s="14"/>
      <c r="I4115" s="11"/>
      <c r="J4115" s="14"/>
      <c r="K4115" s="16">
        <v>12</v>
      </c>
      <c r="L4115" s="15">
        <v>3</v>
      </c>
      <c r="M4115" s="14"/>
      <c r="N4115" s="14"/>
      <c r="O4115" s="14"/>
      <c r="P4115" s="14"/>
      <c r="Q4115" s="14"/>
      <c r="R4115" s="14"/>
    </row>
    <row r="4116" spans="1:18">
      <c r="B4116" s="1" t="s">
        <v>769</v>
      </c>
      <c r="C4116" s="1" t="s">
        <v>493</v>
      </c>
      <c r="D4116" s="1">
        <v>100</v>
      </c>
      <c r="F4116" s="14"/>
      <c r="G4116" s="14"/>
      <c r="H4116" s="14"/>
      <c r="I4116" s="11"/>
      <c r="J4116" s="14"/>
      <c r="K4116" s="16">
        <v>13</v>
      </c>
      <c r="L4116" s="15"/>
      <c r="M4116" s="14"/>
      <c r="N4116" s="14"/>
      <c r="O4116" s="14"/>
      <c r="P4116" s="14"/>
      <c r="Q4116" s="14"/>
      <c r="R4116" s="14"/>
    </row>
    <row r="4117" spans="1:18">
      <c r="B4117" s="1" t="s">
        <v>795</v>
      </c>
      <c r="C4117" s="1" t="s">
        <v>493</v>
      </c>
      <c r="D4117" s="1">
        <v>1</v>
      </c>
      <c r="F4117" s="14"/>
      <c r="G4117" s="14"/>
      <c r="H4117" s="14"/>
      <c r="I4117" s="11"/>
      <c r="J4117" s="14"/>
      <c r="K4117" s="16">
        <v>14</v>
      </c>
      <c r="L4117" s="15">
        <v>3</v>
      </c>
      <c r="M4117" s="14"/>
      <c r="N4117" s="14"/>
      <c r="O4117" s="14"/>
      <c r="P4117" s="14"/>
      <c r="Q4117" s="14"/>
      <c r="R4117" s="14"/>
    </row>
    <row r="4118" spans="1:18">
      <c r="B4118" s="1" t="s">
        <v>770</v>
      </c>
      <c r="C4118" s="1" t="s">
        <v>493</v>
      </c>
      <c r="D4118" s="1">
        <v>100</v>
      </c>
      <c r="F4118" s="14"/>
      <c r="G4118" s="14"/>
      <c r="H4118" s="14"/>
      <c r="I4118" s="11"/>
      <c r="J4118" s="14"/>
      <c r="K4118" s="16">
        <v>15</v>
      </c>
      <c r="L4118" s="15"/>
      <c r="M4118" s="14"/>
      <c r="N4118" s="14"/>
      <c r="O4118" s="14"/>
      <c r="P4118" s="14"/>
      <c r="Q4118" s="14"/>
      <c r="R4118" s="14"/>
    </row>
    <row r="4119" spans="1:18">
      <c r="B4119" s="1" t="s">
        <v>771</v>
      </c>
      <c r="C4119" s="1" t="s">
        <v>493</v>
      </c>
      <c r="D4119" s="1">
        <v>100</v>
      </c>
      <c r="F4119" s="14"/>
      <c r="G4119" s="14"/>
      <c r="H4119" s="14"/>
      <c r="I4119" s="11"/>
      <c r="J4119" s="14"/>
      <c r="K4119" s="16">
        <v>16</v>
      </c>
      <c r="L4119" s="15"/>
      <c r="M4119" s="14"/>
      <c r="N4119" s="14"/>
      <c r="O4119" s="14"/>
      <c r="P4119" s="14"/>
      <c r="Q4119" s="14"/>
      <c r="R4119" s="14"/>
    </row>
    <row r="4120" spans="1:18">
      <c r="F4120" s="14"/>
      <c r="G4120" s="14"/>
      <c r="H4120" s="14"/>
      <c r="I4120" s="11"/>
      <c r="J4120" s="14"/>
      <c r="K4120" s="16"/>
      <c r="L4120" s="15"/>
      <c r="M4120" s="14"/>
      <c r="N4120" s="14"/>
      <c r="O4120" s="14"/>
      <c r="P4120" s="14"/>
      <c r="Q4120" s="14"/>
      <c r="R4120" s="14"/>
    </row>
    <row r="4121" spans="1:18">
      <c r="A4121" s="1" t="s">
        <v>776</v>
      </c>
      <c r="B4121" s="1" t="s">
        <v>773</v>
      </c>
      <c r="C4121" s="1" t="s">
        <v>494</v>
      </c>
      <c r="E4121" s="1" t="s">
        <v>476</v>
      </c>
      <c r="F4121" s="14">
        <v>3</v>
      </c>
      <c r="G4121" s="14">
        <v>305</v>
      </c>
      <c r="H4121" s="14" t="s">
        <v>792</v>
      </c>
      <c r="I4121" s="11" t="s">
        <v>793</v>
      </c>
      <c r="J4121" s="14">
        <v>301</v>
      </c>
      <c r="K4121" s="16">
        <v>1</v>
      </c>
      <c r="L4121" s="15">
        <v>52</v>
      </c>
      <c r="M4121" s="14"/>
      <c r="N4121" s="14">
        <v>301</v>
      </c>
      <c r="O4121" s="1" t="s">
        <v>723</v>
      </c>
      <c r="P4121" s="14"/>
      <c r="Q4121" s="14"/>
      <c r="R4121" s="14"/>
    </row>
    <row r="4122" spans="1:18">
      <c r="B4122" s="1" t="s">
        <v>777</v>
      </c>
      <c r="C4122" s="1" t="s">
        <v>493</v>
      </c>
      <c r="D4122" s="1">
        <v>10</v>
      </c>
      <c r="E4122" s="1" t="s">
        <v>476</v>
      </c>
      <c r="F4122" s="14"/>
      <c r="G4122" s="14"/>
      <c r="H4122" s="14"/>
      <c r="I4122" s="11"/>
      <c r="J4122" s="14"/>
      <c r="K4122" s="16">
        <v>2</v>
      </c>
      <c r="L4122" s="15">
        <v>7</v>
      </c>
      <c r="M4122" s="14"/>
      <c r="N4122" s="14"/>
      <c r="O4122" s="14"/>
      <c r="P4122" s="14"/>
      <c r="Q4122" s="14"/>
      <c r="R4122" s="14"/>
    </row>
    <row r="4123" spans="1:18">
      <c r="B4123" s="1" t="s">
        <v>774</v>
      </c>
      <c r="C4123" s="1" t="s">
        <v>494</v>
      </c>
      <c r="E4123" s="1" t="s">
        <v>476</v>
      </c>
      <c r="F4123" s="14"/>
      <c r="G4123" s="14"/>
      <c r="H4123" s="14"/>
      <c r="I4123" s="11"/>
      <c r="J4123" s="14"/>
      <c r="K4123" s="16">
        <v>3</v>
      </c>
      <c r="L4123" s="15">
        <v>6</v>
      </c>
      <c r="M4123" s="14"/>
      <c r="N4123" s="14"/>
      <c r="O4123" s="14"/>
      <c r="P4123" s="14"/>
      <c r="Q4123" s="14"/>
      <c r="R4123" s="14"/>
    </row>
    <row r="4124" spans="1:18">
      <c r="B4124" s="1" t="s">
        <v>775</v>
      </c>
      <c r="C4124" s="1" t="s">
        <v>494</v>
      </c>
      <c r="F4124" s="14"/>
      <c r="G4124" s="14"/>
      <c r="H4124" s="14"/>
      <c r="I4124" s="11"/>
      <c r="J4124" s="14"/>
      <c r="K4124" s="16">
        <v>4</v>
      </c>
      <c r="L4124" s="15">
        <v>6</v>
      </c>
      <c r="M4124" s="14"/>
      <c r="N4124" s="14"/>
      <c r="O4124" s="14"/>
      <c r="P4124" s="14"/>
      <c r="Q4124" s="14"/>
      <c r="R4124" s="14"/>
    </row>
    <row r="4125" spans="1:18">
      <c r="B4125" s="1" t="s">
        <v>778</v>
      </c>
      <c r="C4125" s="1" t="s">
        <v>494</v>
      </c>
      <c r="F4125" s="14"/>
      <c r="G4125" s="14"/>
      <c r="H4125" s="14"/>
      <c r="I4125" s="11"/>
      <c r="J4125" s="14"/>
      <c r="K4125" s="16">
        <v>5</v>
      </c>
      <c r="L4125" s="15"/>
      <c r="M4125" s="14">
        <v>71</v>
      </c>
      <c r="N4125" s="14"/>
      <c r="O4125" s="14"/>
      <c r="P4125" s="14"/>
      <c r="Q4125" s="14"/>
      <c r="R4125" s="14"/>
    </row>
    <row r="4126" spans="1:18">
      <c r="B4126" s="1" t="s">
        <v>779</v>
      </c>
      <c r="C4126" s="1" t="s">
        <v>494</v>
      </c>
      <c r="F4126" s="14"/>
      <c r="G4126" s="14"/>
      <c r="H4126" s="14"/>
      <c r="I4126" s="11"/>
      <c r="J4126" s="14"/>
      <c r="K4126" s="16">
        <v>6</v>
      </c>
      <c r="L4126" s="15"/>
      <c r="M4126" s="14">
        <v>72</v>
      </c>
      <c r="N4126" s="14"/>
      <c r="O4126" s="14"/>
      <c r="P4126" s="14"/>
      <c r="Q4126" s="14"/>
      <c r="R4126" s="14"/>
    </row>
    <row r="4127" spans="1:18">
      <c r="B4127" s="1" t="s">
        <v>780</v>
      </c>
      <c r="C4127" s="1" t="s">
        <v>494</v>
      </c>
      <c r="F4127" s="14"/>
      <c r="G4127" s="14"/>
      <c r="H4127" s="14"/>
      <c r="I4127" s="11"/>
      <c r="J4127" s="14"/>
      <c r="K4127" s="16">
        <v>7</v>
      </c>
      <c r="L4127" s="15"/>
      <c r="M4127" s="14"/>
      <c r="N4127" s="14"/>
      <c r="O4127" s="14"/>
      <c r="P4127" s="14"/>
      <c r="Q4127" s="14"/>
      <c r="R4127" s="14"/>
    </row>
    <row r="4128" spans="1:18">
      <c r="B4128" s="1" t="s">
        <v>781</v>
      </c>
      <c r="C4128" s="1" t="s">
        <v>702</v>
      </c>
      <c r="F4128" s="14"/>
      <c r="G4128" s="14"/>
      <c r="H4128" s="14"/>
      <c r="I4128" s="11"/>
      <c r="J4128" s="14"/>
      <c r="K4128" s="16">
        <v>8</v>
      </c>
      <c r="L4128" s="15"/>
      <c r="M4128" s="14"/>
      <c r="N4128" s="14"/>
      <c r="O4128" s="14"/>
      <c r="P4128" s="14"/>
      <c r="Q4128" s="14"/>
      <c r="R4128" s="14"/>
    </row>
    <row r="4129" spans="1:18">
      <c r="B4129" s="1" t="s">
        <v>782</v>
      </c>
      <c r="C4129" s="1" t="s">
        <v>702</v>
      </c>
      <c r="F4129" s="14"/>
      <c r="G4129" s="14"/>
      <c r="H4129" s="14"/>
      <c r="I4129" s="11"/>
      <c r="J4129" s="14"/>
      <c r="K4129" s="16">
        <v>9</v>
      </c>
      <c r="L4129" s="15"/>
      <c r="M4129" s="14"/>
      <c r="N4129" s="14"/>
      <c r="O4129" s="14"/>
      <c r="P4129" s="14"/>
      <c r="Q4129" s="14"/>
      <c r="R4129" s="14"/>
    </row>
    <row r="4130" spans="1:18">
      <c r="B4130" s="1" t="s">
        <v>783</v>
      </c>
      <c r="C4130" s="1" t="s">
        <v>702</v>
      </c>
      <c r="F4130" s="14"/>
      <c r="G4130" s="14"/>
      <c r="H4130" s="14"/>
      <c r="I4130" s="11"/>
      <c r="J4130" s="14"/>
      <c r="K4130" s="16">
        <v>10</v>
      </c>
      <c r="L4130" s="15"/>
      <c r="M4130" s="14"/>
      <c r="N4130" s="14"/>
      <c r="O4130" s="14"/>
      <c r="P4130" s="14"/>
      <c r="Q4130" s="14"/>
      <c r="R4130" s="14"/>
    </row>
    <row r="4131" spans="1:18">
      <c r="B4131" s="1" t="s">
        <v>784</v>
      </c>
      <c r="C4131" s="1" t="s">
        <v>702</v>
      </c>
      <c r="F4131" s="14"/>
      <c r="G4131" s="14"/>
      <c r="H4131" s="14"/>
      <c r="I4131" s="11"/>
      <c r="J4131" s="14"/>
      <c r="K4131" s="16">
        <v>11</v>
      </c>
      <c r="L4131" s="15"/>
      <c r="M4131" s="14"/>
      <c r="N4131" s="14"/>
      <c r="O4131" s="14"/>
      <c r="P4131" s="14"/>
      <c r="Q4131" s="14"/>
      <c r="R4131" s="14"/>
    </row>
    <row r="4132" spans="1:18">
      <c r="B4132" s="1" t="s">
        <v>785</v>
      </c>
      <c r="C4132" s="1" t="s">
        <v>702</v>
      </c>
      <c r="F4132" s="14"/>
      <c r="G4132" s="14"/>
      <c r="H4132" s="14"/>
      <c r="I4132" s="11"/>
      <c r="J4132" s="14"/>
      <c r="K4132" s="16">
        <v>12</v>
      </c>
      <c r="L4132" s="15"/>
      <c r="M4132" s="14"/>
      <c r="N4132" s="14"/>
      <c r="O4132" s="14"/>
      <c r="P4132" s="14"/>
      <c r="Q4132" s="14"/>
      <c r="R4132" s="14"/>
    </row>
    <row r="4133" spans="1:18">
      <c r="B4133" s="1" t="s">
        <v>786</v>
      </c>
      <c r="C4133" s="1" t="s">
        <v>702</v>
      </c>
      <c r="F4133" s="14"/>
      <c r="G4133" s="14"/>
      <c r="H4133" s="14"/>
      <c r="I4133" s="11"/>
      <c r="J4133" s="14"/>
      <c r="K4133" s="16">
        <v>13</v>
      </c>
      <c r="L4133" s="15"/>
      <c r="M4133" s="14"/>
      <c r="N4133" s="14"/>
      <c r="O4133" s="14"/>
      <c r="P4133" s="14"/>
      <c r="Q4133" s="14"/>
      <c r="R4133" s="14"/>
    </row>
    <row r="4134" spans="1:18">
      <c r="B4134" s="1" t="s">
        <v>787</v>
      </c>
      <c r="C4134" s="1" t="s">
        <v>702</v>
      </c>
      <c r="F4134" s="14"/>
      <c r="G4134" s="14"/>
      <c r="H4134" s="14"/>
      <c r="I4134" s="11"/>
      <c r="J4134" s="14"/>
      <c r="K4134" s="16">
        <v>14</v>
      </c>
      <c r="L4134" s="15"/>
      <c r="M4134" s="14"/>
      <c r="N4134" s="14"/>
      <c r="O4134" s="14"/>
      <c r="P4134" s="14"/>
      <c r="Q4134" s="14"/>
      <c r="R4134" s="14"/>
    </row>
    <row r="4135" spans="1:18">
      <c r="F4135" s="14"/>
      <c r="G4135" s="14"/>
      <c r="H4135" s="14"/>
      <c r="I4135" s="11"/>
      <c r="J4135" s="14"/>
      <c r="K4135" s="16"/>
      <c r="L4135" s="15"/>
      <c r="M4135" s="14"/>
      <c r="N4135" s="14"/>
      <c r="O4135" s="14"/>
      <c r="P4135" s="14"/>
      <c r="Q4135" s="14"/>
      <c r="R4135" s="14"/>
    </row>
    <row r="4136" spans="1:18">
      <c r="A4136" s="1" t="s">
        <v>974</v>
      </c>
      <c r="B4136" s="23" t="s">
        <v>954</v>
      </c>
      <c r="C4136" s="1" t="s">
        <v>494</v>
      </c>
      <c r="E4136" s="1" t="s">
        <v>476</v>
      </c>
      <c r="F4136" s="14"/>
      <c r="G4136" s="14"/>
      <c r="H4136" s="14"/>
      <c r="I4136" s="11"/>
      <c r="J4136" s="14"/>
      <c r="K4136" s="16"/>
      <c r="L4136" s="15"/>
      <c r="M4136" s="14"/>
      <c r="N4136" s="23"/>
      <c r="O4136" s="14"/>
      <c r="P4136" s="14"/>
      <c r="Q4136" s="14"/>
      <c r="R4136" s="14"/>
    </row>
    <row r="4137" spans="1:18">
      <c r="B4137" s="23" t="s">
        <v>984</v>
      </c>
      <c r="C4137" s="1" t="s">
        <v>493</v>
      </c>
      <c r="D4137" s="1">
        <v>50</v>
      </c>
      <c r="F4137" s="14"/>
      <c r="G4137" s="14"/>
      <c r="H4137" s="14"/>
      <c r="I4137" s="11"/>
      <c r="J4137" s="14"/>
      <c r="K4137" s="16"/>
      <c r="L4137" s="15"/>
      <c r="M4137" s="14"/>
      <c r="N4137" s="23"/>
      <c r="O4137" s="14"/>
      <c r="P4137" s="14"/>
      <c r="Q4137" s="14"/>
      <c r="R4137" s="14"/>
    </row>
    <row r="4138" spans="1:18">
      <c r="B4138" s="23"/>
      <c r="F4138" s="14"/>
      <c r="G4138" s="14"/>
      <c r="H4138" s="14"/>
      <c r="I4138" s="11"/>
      <c r="J4138" s="14"/>
      <c r="K4138" s="16"/>
      <c r="L4138" s="15"/>
      <c r="M4138" s="14"/>
      <c r="N4138" s="23"/>
      <c r="O4138" s="14"/>
      <c r="P4138" s="14"/>
      <c r="Q4138" s="14"/>
      <c r="R4138" s="14"/>
    </row>
    <row r="4139" spans="1:18">
      <c r="A4139" s="62" t="s">
        <v>284</v>
      </c>
      <c r="B4139" s="23" t="s">
        <v>989</v>
      </c>
      <c r="C4139" s="1" t="s">
        <v>494</v>
      </c>
      <c r="E4139" s="1" t="s">
        <v>476</v>
      </c>
      <c r="F4139" s="14"/>
      <c r="G4139" s="14"/>
      <c r="H4139" s="14"/>
      <c r="I4139" s="11"/>
      <c r="J4139" s="14"/>
      <c r="K4139" s="16"/>
      <c r="L4139" s="15"/>
      <c r="M4139" s="14"/>
      <c r="N4139" s="23"/>
      <c r="O4139" s="14"/>
      <c r="P4139" s="14"/>
      <c r="Q4139" s="14"/>
      <c r="R4139" s="14"/>
    </row>
    <row r="4140" spans="1:18">
      <c r="B4140" s="23" t="s">
        <v>990</v>
      </c>
      <c r="C4140" s="1" t="s">
        <v>493</v>
      </c>
      <c r="D4140" s="1">
        <v>50</v>
      </c>
      <c r="F4140" s="14"/>
      <c r="G4140" s="14"/>
      <c r="H4140" s="14"/>
      <c r="I4140" s="11"/>
      <c r="J4140" s="14"/>
      <c r="K4140" s="16"/>
      <c r="L4140" s="15"/>
      <c r="M4140" s="14"/>
      <c r="N4140" s="23"/>
      <c r="O4140" s="14"/>
      <c r="P4140" s="14"/>
      <c r="Q4140" s="14"/>
      <c r="R4140" s="14"/>
    </row>
    <row r="4141" spans="1:18">
      <c r="B4141" s="27" t="s">
        <v>281</v>
      </c>
      <c r="C4141" s="1" t="s">
        <v>494</v>
      </c>
      <c r="F4141" s="14"/>
      <c r="G4141" s="14"/>
      <c r="H4141" s="26" t="s">
        <v>282</v>
      </c>
      <c r="I4141" s="11"/>
      <c r="J4141" s="14"/>
      <c r="K4141" s="16"/>
      <c r="L4141" s="15"/>
      <c r="M4141" s="14"/>
      <c r="N4141" s="23"/>
      <c r="O4141" s="14"/>
      <c r="P4141" s="14"/>
      <c r="Q4141" s="14"/>
      <c r="R4141" s="14"/>
    </row>
    <row r="4142" spans="1:18">
      <c r="B4142" s="40" t="s">
        <v>1310</v>
      </c>
      <c r="C4142" s="1" t="s">
        <v>494</v>
      </c>
      <c r="F4142" s="14"/>
      <c r="G4142" s="14"/>
      <c r="H4142" s="26"/>
      <c r="I4142" s="11"/>
      <c r="J4142" s="14"/>
      <c r="K4142" s="16"/>
      <c r="L4142" s="15"/>
      <c r="M4142" s="14"/>
      <c r="N4142" s="23"/>
      <c r="O4142" s="14"/>
      <c r="P4142" s="14"/>
      <c r="Q4142" s="14"/>
      <c r="R4142" s="14"/>
    </row>
    <row r="4143" spans="1:18">
      <c r="B4143" s="23"/>
      <c r="F4143" s="14"/>
      <c r="G4143" s="14"/>
      <c r="H4143" s="14"/>
      <c r="I4143" s="11"/>
      <c r="J4143" s="14"/>
      <c r="K4143" s="16"/>
      <c r="L4143" s="15"/>
      <c r="M4143" s="14"/>
      <c r="P4143" s="14"/>
      <c r="Q4143" s="14"/>
      <c r="R4143" s="14"/>
    </row>
    <row r="4144" spans="1:18">
      <c r="A4144" s="70" t="s">
        <v>288</v>
      </c>
      <c r="B4144" s="67" t="s">
        <v>289</v>
      </c>
      <c r="C4144" s="39" t="s">
        <v>494</v>
      </c>
      <c r="D4144" s="39"/>
      <c r="E4144" s="39" t="s">
        <v>476</v>
      </c>
      <c r="F4144" s="86">
        <v>17</v>
      </c>
      <c r="G4144" s="14">
        <v>1711</v>
      </c>
      <c r="H4144" s="14" t="s">
        <v>994</v>
      </c>
      <c r="I4144" s="11" t="s">
        <v>295</v>
      </c>
      <c r="J4144" s="14">
        <v>1701</v>
      </c>
      <c r="K4144" s="16">
        <v>1</v>
      </c>
      <c r="L4144" s="15">
        <v>3</v>
      </c>
      <c r="M4144" s="14"/>
      <c r="N4144" t="s">
        <v>916</v>
      </c>
      <c r="O4144" t="s">
        <v>917</v>
      </c>
      <c r="P4144" t="s">
        <v>918</v>
      </c>
      <c r="Q4144" s="14"/>
      <c r="R4144" s="14"/>
    </row>
    <row r="4145" spans="1:18">
      <c r="A4145" s="39"/>
      <c r="B4145" s="87" t="s">
        <v>279</v>
      </c>
      <c r="C4145" s="39" t="s">
        <v>494</v>
      </c>
      <c r="D4145" s="39"/>
      <c r="E4145" s="39" t="s">
        <v>476</v>
      </c>
      <c r="F4145" s="86"/>
      <c r="G4145" s="14"/>
      <c r="H4145" s="14"/>
      <c r="I4145" s="11"/>
      <c r="J4145" s="14"/>
      <c r="K4145" s="16">
        <v>2</v>
      </c>
      <c r="L4145" s="15">
        <v>3</v>
      </c>
      <c r="M4145" s="14"/>
      <c r="N4145" s="1" t="s">
        <v>995</v>
      </c>
      <c r="O4145" s="23" t="s">
        <v>997</v>
      </c>
      <c r="P4145" s="23" t="s">
        <v>996</v>
      </c>
      <c r="Q4145" s="14"/>
      <c r="R4145" s="14"/>
    </row>
    <row r="4146" spans="1:18">
      <c r="A4146" s="39"/>
      <c r="B4146" s="50" t="s">
        <v>290</v>
      </c>
      <c r="C4146" s="39" t="s">
        <v>494</v>
      </c>
      <c r="D4146" s="39"/>
      <c r="E4146" s="39" t="s">
        <v>476</v>
      </c>
      <c r="F4146" s="86"/>
      <c r="G4146" s="14"/>
      <c r="H4146" s="14"/>
      <c r="I4146" s="11"/>
      <c r="J4146" s="14"/>
      <c r="K4146" s="16">
        <v>3</v>
      </c>
      <c r="L4146" s="15">
        <v>52</v>
      </c>
      <c r="M4146" s="14"/>
      <c r="N4146" s="14">
        <v>1707</v>
      </c>
      <c r="O4146" s="23" t="s">
        <v>977</v>
      </c>
      <c r="P4146" s="23"/>
      <c r="Q4146"/>
      <c r="R4146" s="14"/>
    </row>
    <row r="4147" spans="1:18">
      <c r="A4147" s="39"/>
      <c r="B4147" s="67" t="s">
        <v>291</v>
      </c>
      <c r="C4147" s="39" t="s">
        <v>494</v>
      </c>
      <c r="D4147" s="39"/>
      <c r="E4147" s="39" t="s">
        <v>476</v>
      </c>
      <c r="F4147" s="86"/>
      <c r="G4147" s="14"/>
      <c r="H4147" s="14"/>
      <c r="I4147" s="11"/>
      <c r="J4147" s="14"/>
      <c r="K4147" s="16">
        <v>4</v>
      </c>
      <c r="L4147" s="15">
        <v>3</v>
      </c>
      <c r="M4147" s="14"/>
      <c r="N4147" s="62" t="s">
        <v>285</v>
      </c>
      <c r="O4147" s="23" t="s">
        <v>992</v>
      </c>
      <c r="P4147" s="60" t="s">
        <v>993</v>
      </c>
      <c r="Q4147" s="14"/>
      <c r="R4147" s="14"/>
    </row>
    <row r="4148" spans="1:18">
      <c r="A4148" s="39"/>
      <c r="B4148" s="88" t="s">
        <v>292</v>
      </c>
      <c r="C4148" s="39" t="s">
        <v>494</v>
      </c>
      <c r="D4148" s="39"/>
      <c r="E4148" s="39"/>
      <c r="F4148" s="86"/>
      <c r="G4148" s="14"/>
      <c r="H4148" s="14"/>
      <c r="I4148" s="11"/>
      <c r="J4148" s="14"/>
      <c r="K4148" s="16">
        <v>5</v>
      </c>
      <c r="L4148" s="15">
        <v>6</v>
      </c>
      <c r="M4148" s="14"/>
      <c r="P4148" s="23"/>
      <c r="Q4148" s="14"/>
      <c r="R4148" s="14"/>
    </row>
    <row r="4149" spans="1:18">
      <c r="A4149" s="39"/>
      <c r="B4149" s="67" t="s">
        <v>293</v>
      </c>
      <c r="C4149" s="39" t="s">
        <v>494</v>
      </c>
      <c r="D4149" s="39"/>
      <c r="E4149" s="39"/>
      <c r="F4149" s="86"/>
      <c r="G4149" s="14"/>
      <c r="H4149" s="14"/>
      <c r="I4149" s="11"/>
      <c r="J4149" s="14"/>
      <c r="K4149" s="16">
        <v>6</v>
      </c>
      <c r="L4149" s="15">
        <v>8</v>
      </c>
      <c r="M4149" s="14"/>
      <c r="P4149" s="14"/>
      <c r="Q4149" s="14"/>
      <c r="R4149" s="14"/>
    </row>
    <row r="4150" spans="1:18">
      <c r="A4150" s="39"/>
      <c r="B4150" s="88" t="s">
        <v>294</v>
      </c>
      <c r="C4150" s="39" t="s">
        <v>520</v>
      </c>
      <c r="D4150" s="39"/>
      <c r="E4150" s="39"/>
      <c r="F4150" s="86"/>
      <c r="G4150" s="14"/>
      <c r="H4150" s="14"/>
      <c r="I4150" s="11"/>
      <c r="J4150" s="14"/>
      <c r="K4150" s="16">
        <v>7</v>
      </c>
      <c r="L4150" s="15"/>
      <c r="M4150" s="14"/>
      <c r="P4150" s="14"/>
      <c r="Q4150" s="14"/>
      <c r="R4150" s="14"/>
    </row>
    <row r="4151" spans="1:18">
      <c r="A4151" s="39"/>
      <c r="B4151" s="88" t="s">
        <v>1110</v>
      </c>
      <c r="C4151" s="39" t="s">
        <v>493</v>
      </c>
      <c r="D4151" s="39">
        <v>10</v>
      </c>
      <c r="E4151" s="39"/>
      <c r="F4151" s="86"/>
      <c r="G4151" s="14"/>
      <c r="H4151" s="14"/>
      <c r="I4151" s="11"/>
      <c r="J4151" s="14"/>
      <c r="K4151" s="16">
        <v>8</v>
      </c>
      <c r="L4151" s="15"/>
      <c r="M4151" s="14"/>
      <c r="P4151" s="14"/>
      <c r="Q4151" s="14"/>
      <c r="R4151" s="14"/>
    </row>
    <row r="4152" spans="1:18">
      <c r="B4152" s="29"/>
      <c r="F4152" s="14"/>
      <c r="G4152" s="14"/>
      <c r="H4152" s="14"/>
      <c r="I4152" s="11"/>
      <c r="J4152" s="14"/>
      <c r="K4152" s="16"/>
      <c r="L4152" s="15"/>
      <c r="M4152" s="14"/>
      <c r="P4152" s="14"/>
      <c r="Q4152" s="14"/>
      <c r="R4152" s="14"/>
    </row>
    <row r="4153" spans="1:18">
      <c r="A4153" s="1" t="s">
        <v>269</v>
      </c>
      <c r="B4153" s="23" t="s">
        <v>270</v>
      </c>
      <c r="C4153" s="25" t="s">
        <v>494</v>
      </c>
      <c r="E4153" s="1" t="s">
        <v>476</v>
      </c>
      <c r="F4153" s="14">
        <v>17</v>
      </c>
      <c r="G4153" s="14">
        <v>9915</v>
      </c>
      <c r="H4153" s="47" t="s">
        <v>1761</v>
      </c>
      <c r="I4153" s="48" t="s">
        <v>1762</v>
      </c>
      <c r="J4153" s="14">
        <v>99</v>
      </c>
      <c r="K4153" s="16">
        <v>1</v>
      </c>
      <c r="L4153" s="15"/>
      <c r="M4153" s="14"/>
      <c r="N4153" s="23"/>
      <c r="O4153" s="14"/>
      <c r="P4153" s="14"/>
      <c r="Q4153" s="14"/>
      <c r="R4153" s="14"/>
    </row>
    <row r="4154" spans="1:18">
      <c r="B4154" s="23" t="s">
        <v>271</v>
      </c>
      <c r="C4154" s="25" t="s">
        <v>493</v>
      </c>
      <c r="D4154" s="1">
        <v>100</v>
      </c>
      <c r="F4154" s="14"/>
      <c r="G4154" s="14"/>
      <c r="H4154" s="14"/>
      <c r="I4154" s="11"/>
      <c r="J4154" s="14"/>
      <c r="K4154" s="16">
        <v>2</v>
      </c>
      <c r="L4154" s="15"/>
      <c r="M4154" s="14"/>
      <c r="N4154" s="23"/>
      <c r="O4154" s="14"/>
      <c r="P4154" s="14"/>
      <c r="Q4154" s="14"/>
      <c r="R4154" s="14"/>
    </row>
    <row r="4155" spans="1:18">
      <c r="B4155" s="60" t="s">
        <v>1759</v>
      </c>
      <c r="C4155" s="60" t="s">
        <v>494</v>
      </c>
      <c r="F4155" s="14"/>
      <c r="G4155" s="14"/>
      <c r="H4155" s="14"/>
      <c r="I4155" s="11"/>
      <c r="J4155" s="14"/>
      <c r="K4155" s="16">
        <v>3</v>
      </c>
      <c r="L4155" s="15"/>
      <c r="M4155" s="14"/>
      <c r="N4155" s="23"/>
      <c r="O4155" s="14"/>
      <c r="P4155" s="14"/>
      <c r="Q4155" s="14"/>
      <c r="R4155" s="14"/>
    </row>
    <row r="4156" spans="1:18">
      <c r="B4156" s="60" t="s">
        <v>1760</v>
      </c>
      <c r="C4156" s="60" t="s">
        <v>493</v>
      </c>
      <c r="D4156" s="1">
        <v>10</v>
      </c>
      <c r="F4156" s="14"/>
      <c r="G4156" s="14"/>
      <c r="H4156" s="14"/>
      <c r="I4156" s="11"/>
      <c r="J4156" s="14"/>
      <c r="K4156" s="16">
        <v>4</v>
      </c>
      <c r="L4156" s="15"/>
      <c r="M4156" s="14"/>
      <c r="N4156" s="23"/>
      <c r="O4156" s="14"/>
      <c r="P4156" s="14"/>
      <c r="Q4156" s="14"/>
      <c r="R4156" s="14"/>
    </row>
    <row r="4157" spans="1:18">
      <c r="B4157" s="60" t="s">
        <v>1818</v>
      </c>
      <c r="C4157" s="25" t="s">
        <v>493</v>
      </c>
      <c r="D4157" s="1">
        <v>100</v>
      </c>
      <c r="F4157" s="14"/>
      <c r="G4157" s="14"/>
      <c r="H4157" s="14"/>
      <c r="I4157" s="11"/>
      <c r="J4157" s="14"/>
      <c r="K4157" s="16">
        <v>5</v>
      </c>
      <c r="L4157" s="15"/>
      <c r="M4157" s="14"/>
      <c r="N4157" s="23"/>
      <c r="O4157" s="14"/>
      <c r="P4157" s="14"/>
      <c r="Q4157" s="14"/>
      <c r="R4157" s="14"/>
    </row>
    <row r="4158" spans="1:18">
      <c r="B4158" s="60" t="s">
        <v>1820</v>
      </c>
      <c r="C4158" s="60" t="s">
        <v>494</v>
      </c>
      <c r="F4158" s="14"/>
      <c r="G4158" s="14"/>
      <c r="H4158" s="14"/>
      <c r="I4158" s="11"/>
      <c r="J4158" s="14"/>
      <c r="K4158" s="16">
        <v>6</v>
      </c>
      <c r="L4158" s="15"/>
      <c r="M4158" s="14"/>
      <c r="N4158" s="23"/>
      <c r="O4158" s="14"/>
      <c r="P4158" s="14"/>
      <c r="Q4158" s="14"/>
      <c r="R4158" s="14"/>
    </row>
    <row r="4159" spans="1:18">
      <c r="B4159" s="60" t="s">
        <v>1819</v>
      </c>
      <c r="C4159" s="60" t="s">
        <v>493</v>
      </c>
      <c r="D4159" s="1">
        <v>10</v>
      </c>
      <c r="F4159" s="14"/>
      <c r="G4159" s="14"/>
      <c r="H4159" s="14"/>
      <c r="I4159" s="11"/>
      <c r="J4159" s="14"/>
      <c r="K4159" s="16">
        <v>7</v>
      </c>
      <c r="L4159" s="15"/>
      <c r="M4159" s="14"/>
      <c r="N4159" s="23"/>
      <c r="O4159" s="14"/>
      <c r="P4159" s="14"/>
      <c r="Q4159" s="14"/>
      <c r="R4159" s="14"/>
    </row>
    <row r="4160" spans="1:18">
      <c r="B4160" s="60"/>
      <c r="C4160" s="60"/>
      <c r="F4160" s="14"/>
      <c r="G4160" s="14"/>
      <c r="H4160" s="14"/>
      <c r="I4160" s="11"/>
      <c r="J4160" s="14"/>
      <c r="K4160" s="16"/>
      <c r="L4160" s="15"/>
      <c r="M4160" s="14"/>
      <c r="N4160" s="23"/>
      <c r="O4160" s="14"/>
      <c r="P4160" s="14"/>
      <c r="Q4160" s="14"/>
      <c r="R4160" s="14"/>
    </row>
    <row r="4161" spans="1:18">
      <c r="A4161" s="46" t="s">
        <v>1038</v>
      </c>
      <c r="B4161" s="33" t="s">
        <v>1039</v>
      </c>
      <c r="C4161" s="1" t="s">
        <v>494</v>
      </c>
      <c r="E4161" s="1" t="s">
        <v>476</v>
      </c>
      <c r="F4161" s="14">
        <v>17</v>
      </c>
      <c r="G4161" s="14">
        <v>1718</v>
      </c>
      <c r="H4161" s="14" t="s">
        <v>1145</v>
      </c>
      <c r="I4161" s="11" t="s">
        <v>1155</v>
      </c>
      <c r="J4161" s="14">
        <v>1</v>
      </c>
      <c r="K4161" s="16">
        <v>1</v>
      </c>
      <c r="L4161" s="15"/>
      <c r="M4161" s="14"/>
      <c r="P4161" s="14"/>
      <c r="Q4161" s="14"/>
      <c r="R4161" s="14"/>
    </row>
    <row r="4162" spans="1:18">
      <c r="A4162" s="35"/>
      <c r="B4162" s="33" t="s">
        <v>1040</v>
      </c>
      <c r="C4162" s="1" t="s">
        <v>494</v>
      </c>
      <c r="F4162" s="14"/>
      <c r="G4162" s="14"/>
      <c r="H4162" s="14"/>
      <c r="I4162" s="11"/>
      <c r="J4162" s="14"/>
      <c r="K4162" s="16">
        <v>2</v>
      </c>
      <c r="L4162" s="15">
        <v>6</v>
      </c>
      <c r="M4162" s="14"/>
      <c r="N4162" s="23"/>
      <c r="O4162" s="14"/>
      <c r="P4162" s="14"/>
      <c r="Q4162" s="14"/>
      <c r="R4162" s="14"/>
    </row>
    <row r="4163" spans="1:18">
      <c r="A4163" s="35"/>
      <c r="B4163" s="33" t="s">
        <v>1041</v>
      </c>
      <c r="C4163" s="1" t="s">
        <v>493</v>
      </c>
      <c r="D4163" s="1">
        <v>255</v>
      </c>
      <c r="F4163" s="14"/>
      <c r="G4163" s="14"/>
      <c r="H4163" s="14"/>
      <c r="I4163" s="11"/>
      <c r="J4163" s="14"/>
      <c r="K4163" s="16">
        <v>3</v>
      </c>
      <c r="L4163" s="15"/>
      <c r="M4163" s="14"/>
      <c r="N4163" s="23"/>
      <c r="O4163" s="14"/>
      <c r="P4163" s="14"/>
      <c r="Q4163" s="14"/>
      <c r="R4163" s="14"/>
    </row>
    <row r="4164" spans="1:18">
      <c r="B4164" s="23"/>
      <c r="F4164" s="14"/>
      <c r="G4164" s="14"/>
      <c r="H4164" s="14"/>
      <c r="I4164" s="11"/>
      <c r="J4164" s="14"/>
      <c r="K4164" s="16"/>
      <c r="L4164" s="15"/>
      <c r="M4164" s="14"/>
      <c r="N4164" s="23"/>
      <c r="O4164" s="14"/>
      <c r="P4164" s="14"/>
      <c r="Q4164" s="14"/>
      <c r="R4164" s="14"/>
    </row>
    <row r="4165" spans="1:18">
      <c r="A4165" s="1" t="s">
        <v>269</v>
      </c>
      <c r="B4165" s="23" t="s">
        <v>270</v>
      </c>
      <c r="C4165" s="25" t="s">
        <v>494</v>
      </c>
      <c r="E4165" s="1" t="s">
        <v>476</v>
      </c>
      <c r="F4165" s="14">
        <v>17</v>
      </c>
      <c r="G4165" s="14">
        <v>9915</v>
      </c>
      <c r="H4165" s="47" t="s">
        <v>1761</v>
      </c>
      <c r="I4165" s="48" t="s">
        <v>1762</v>
      </c>
      <c r="J4165" s="14">
        <v>99</v>
      </c>
      <c r="K4165" s="16">
        <v>1</v>
      </c>
      <c r="L4165" s="15"/>
      <c r="M4165" s="14"/>
      <c r="N4165" s="23"/>
      <c r="O4165" s="14"/>
      <c r="P4165" s="14"/>
      <c r="Q4165" s="14"/>
      <c r="R4165" s="14"/>
    </row>
    <row r="4166" spans="1:18">
      <c r="B4166" s="23" t="s">
        <v>271</v>
      </c>
      <c r="C4166" s="25" t="s">
        <v>493</v>
      </c>
      <c r="D4166" s="1">
        <v>100</v>
      </c>
      <c r="F4166" s="14"/>
      <c r="G4166" s="14"/>
      <c r="H4166" s="14"/>
      <c r="I4166" s="11"/>
      <c r="J4166" s="14"/>
      <c r="K4166" s="16">
        <v>2</v>
      </c>
      <c r="L4166" s="15"/>
      <c r="M4166" s="14"/>
      <c r="N4166" s="23"/>
      <c r="O4166" s="14"/>
      <c r="P4166" s="14"/>
      <c r="Q4166" s="14"/>
      <c r="R4166" s="14"/>
    </row>
    <row r="4167" spans="1:18">
      <c r="B4167" s="60" t="s">
        <v>1759</v>
      </c>
      <c r="C4167" s="60" t="s">
        <v>494</v>
      </c>
      <c r="F4167" s="14"/>
      <c r="G4167" s="14"/>
      <c r="H4167" s="14"/>
      <c r="I4167" s="11"/>
      <c r="J4167" s="14"/>
      <c r="K4167" s="16">
        <v>3</v>
      </c>
      <c r="L4167" s="15"/>
      <c r="M4167" s="14"/>
      <c r="N4167" s="23"/>
      <c r="O4167" s="14"/>
      <c r="P4167" s="14"/>
      <c r="Q4167" s="14"/>
      <c r="R4167" s="14"/>
    </row>
    <row r="4168" spans="1:18">
      <c r="B4168" s="60" t="s">
        <v>1760</v>
      </c>
      <c r="C4168" s="60" t="s">
        <v>493</v>
      </c>
      <c r="D4168" s="1">
        <v>10</v>
      </c>
      <c r="F4168" s="14"/>
      <c r="G4168" s="14"/>
      <c r="H4168" s="14"/>
      <c r="I4168" s="11"/>
      <c r="J4168" s="14"/>
      <c r="K4168" s="16">
        <v>4</v>
      </c>
      <c r="L4168" s="15"/>
      <c r="M4168" s="14"/>
      <c r="N4168" s="23"/>
      <c r="O4168" s="14"/>
      <c r="P4168" s="14"/>
      <c r="Q4168" s="14"/>
      <c r="R4168" s="14"/>
    </row>
    <row r="4169" spans="1:18">
      <c r="B4169" s="23"/>
      <c r="F4169" s="14"/>
      <c r="G4169" s="14"/>
      <c r="H4169" s="14"/>
      <c r="I4169" s="11"/>
      <c r="J4169" s="14"/>
      <c r="K4169" s="16"/>
      <c r="L4169" s="15"/>
      <c r="M4169" s="14"/>
      <c r="N4169" s="23"/>
      <c r="O4169" s="14"/>
      <c r="P4169" s="14"/>
      <c r="Q4169" s="14"/>
      <c r="R4169" s="14"/>
    </row>
    <row r="4170" spans="1:18">
      <c r="A4170" s="1" t="s">
        <v>11</v>
      </c>
      <c r="B4170" s="23" t="s">
        <v>12</v>
      </c>
      <c r="C4170" s="1" t="s">
        <v>494</v>
      </c>
      <c r="E4170" s="1" t="s">
        <v>476</v>
      </c>
      <c r="F4170" s="14"/>
      <c r="G4170" s="14"/>
      <c r="H4170" s="14"/>
      <c r="I4170" s="11"/>
      <c r="J4170" s="14"/>
      <c r="K4170" s="16"/>
      <c r="L4170" s="15"/>
      <c r="M4170" s="14"/>
      <c r="N4170" s="23"/>
      <c r="O4170" s="14"/>
      <c r="P4170" s="14"/>
      <c r="Q4170" s="14"/>
      <c r="R4170" s="14"/>
    </row>
    <row r="4171" spans="1:18">
      <c r="B4171" s="23" t="s">
        <v>13</v>
      </c>
      <c r="C4171" s="1" t="s">
        <v>493</v>
      </c>
      <c r="D4171" s="1">
        <v>50</v>
      </c>
      <c r="F4171" s="14"/>
      <c r="G4171" s="14"/>
      <c r="H4171" s="14"/>
      <c r="I4171" s="11"/>
      <c r="J4171" s="14"/>
      <c r="K4171" s="16"/>
      <c r="L4171" s="15"/>
      <c r="M4171" s="14"/>
      <c r="N4171" s="23"/>
      <c r="O4171" s="14"/>
      <c r="P4171" s="14"/>
      <c r="Q4171" s="14"/>
      <c r="R4171" s="14"/>
    </row>
    <row r="4172" spans="1:18">
      <c r="B4172" s="23"/>
      <c r="F4172" s="14"/>
      <c r="G4172" s="14"/>
      <c r="H4172" s="14"/>
      <c r="I4172" s="11"/>
      <c r="J4172" s="14"/>
      <c r="K4172" s="16"/>
      <c r="L4172" s="15"/>
      <c r="M4172" s="14"/>
      <c r="N4172" s="23"/>
      <c r="O4172" s="14"/>
      <c r="P4172" s="14"/>
      <c r="Q4172" s="14"/>
      <c r="R4172" s="14"/>
    </row>
    <row r="4173" spans="1:18">
      <c r="A4173" s="10" t="s">
        <v>242</v>
      </c>
      <c r="B4173" s="10" t="s">
        <v>243</v>
      </c>
      <c r="C4173" s="10" t="s">
        <v>494</v>
      </c>
      <c r="D4173" s="10"/>
      <c r="E4173" s="10" t="s">
        <v>476</v>
      </c>
      <c r="F4173" s="10">
        <v>17</v>
      </c>
      <c r="G4173" s="10">
        <v>1717</v>
      </c>
      <c r="H4173" s="10" t="s">
        <v>262</v>
      </c>
      <c r="I4173" s="10" t="s">
        <v>263</v>
      </c>
      <c r="J4173" s="10">
        <v>1702</v>
      </c>
      <c r="K4173" s="16">
        <v>1</v>
      </c>
      <c r="L4173" s="31"/>
      <c r="M4173" s="10"/>
      <c r="N4173" s="64" t="s">
        <v>506</v>
      </c>
      <c r="O4173" s="64" t="s">
        <v>514</v>
      </c>
      <c r="P4173" s="1" t="s">
        <v>516</v>
      </c>
      <c r="Q4173" s="10"/>
      <c r="R4173" s="10"/>
    </row>
    <row r="4174" spans="1:18">
      <c r="A4174" s="10"/>
      <c r="B4174" s="10" t="s">
        <v>244</v>
      </c>
      <c r="C4174" s="10" t="s">
        <v>494</v>
      </c>
      <c r="D4174" s="10"/>
      <c r="E4174" s="10" t="s">
        <v>476</v>
      </c>
      <c r="F4174" s="10"/>
      <c r="G4174" s="10"/>
      <c r="H4174" s="10"/>
      <c r="I4174" s="10"/>
      <c r="J4174" s="10"/>
      <c r="K4174" s="16">
        <v>2</v>
      </c>
      <c r="L4174" s="31"/>
      <c r="M4174" s="10"/>
      <c r="N4174" s="10"/>
      <c r="O4174" s="10"/>
      <c r="P4174" s="10"/>
      <c r="Q4174" s="10"/>
      <c r="R4174" s="10"/>
    </row>
    <row r="4175" spans="1:18">
      <c r="A4175" s="10"/>
      <c r="B4175" s="10" t="s">
        <v>255</v>
      </c>
      <c r="C4175" s="10" t="s">
        <v>494</v>
      </c>
      <c r="D4175" s="10"/>
      <c r="E4175" s="10" t="s">
        <v>476</v>
      </c>
      <c r="F4175" s="10"/>
      <c r="G4175" s="10"/>
      <c r="H4175" s="10" t="s">
        <v>256</v>
      </c>
      <c r="I4175" s="10"/>
      <c r="J4175" s="10"/>
      <c r="K4175" s="16">
        <v>3</v>
      </c>
      <c r="L4175" s="31"/>
      <c r="M4175" s="10"/>
      <c r="N4175" s="10"/>
      <c r="O4175" s="10"/>
      <c r="P4175" s="10"/>
      <c r="Q4175" s="10"/>
      <c r="R4175" s="10"/>
    </row>
    <row r="4176" spans="1:18">
      <c r="A4176" s="10"/>
      <c r="B4176" s="10" t="s">
        <v>245</v>
      </c>
      <c r="C4176" s="10" t="s">
        <v>494</v>
      </c>
      <c r="D4176" s="10"/>
      <c r="E4176" s="10"/>
      <c r="F4176" s="10"/>
      <c r="G4176" s="10"/>
      <c r="H4176" s="10"/>
      <c r="I4176" s="10"/>
      <c r="J4176" s="10"/>
      <c r="K4176" s="16">
        <v>4</v>
      </c>
      <c r="L4176" s="31"/>
      <c r="M4176" s="10"/>
      <c r="N4176" s="10"/>
      <c r="O4176" s="10"/>
      <c r="P4176" s="10"/>
      <c r="Q4176" s="10"/>
      <c r="R4176" s="10"/>
    </row>
    <row r="4177" spans="1:18">
      <c r="A4177" s="10"/>
      <c r="B4177" s="10" t="s">
        <v>246</v>
      </c>
      <c r="C4177" s="10" t="s">
        <v>494</v>
      </c>
      <c r="D4177" s="10"/>
      <c r="E4177" s="10"/>
      <c r="F4177" s="10"/>
      <c r="G4177" s="10"/>
      <c r="H4177" s="10"/>
      <c r="I4177" s="10"/>
      <c r="J4177" s="10"/>
      <c r="K4177" s="16">
        <v>5</v>
      </c>
      <c r="L4177" s="31"/>
      <c r="M4177" s="10"/>
      <c r="N4177" s="10"/>
      <c r="O4177" s="10"/>
      <c r="P4177" s="10"/>
      <c r="Q4177" s="10"/>
      <c r="R4177" s="10"/>
    </row>
    <row r="4178" spans="1:18">
      <c r="A4178" s="10"/>
      <c r="B4178" s="10" t="s">
        <v>251</v>
      </c>
      <c r="C4178" s="10" t="s">
        <v>494</v>
      </c>
      <c r="D4178" s="10"/>
      <c r="E4178" s="10"/>
      <c r="F4178" s="10"/>
      <c r="G4178" s="10"/>
      <c r="H4178" s="10"/>
      <c r="I4178" s="10"/>
      <c r="J4178" s="10"/>
      <c r="K4178" s="16">
        <v>6</v>
      </c>
      <c r="L4178" s="31"/>
      <c r="M4178" s="10"/>
      <c r="N4178" s="10"/>
      <c r="O4178" s="10"/>
      <c r="P4178" s="10"/>
      <c r="Q4178" s="10"/>
      <c r="R4178" s="10"/>
    </row>
    <row r="4179" spans="1:18">
      <c r="A4179" s="10"/>
      <c r="B4179" s="10" t="s">
        <v>258</v>
      </c>
      <c r="C4179" s="10" t="s">
        <v>494</v>
      </c>
      <c r="D4179" s="10"/>
      <c r="E4179" s="10"/>
      <c r="F4179" s="10"/>
      <c r="G4179" s="10"/>
      <c r="H4179" s="10"/>
      <c r="I4179" s="10"/>
      <c r="J4179" s="10"/>
      <c r="K4179" s="16">
        <v>7</v>
      </c>
      <c r="L4179" s="31"/>
      <c r="M4179" s="10"/>
      <c r="N4179" s="10"/>
      <c r="O4179" s="10"/>
      <c r="P4179" s="10"/>
      <c r="Q4179" s="10"/>
      <c r="R4179" s="10"/>
    </row>
    <row r="4180" spans="1:18">
      <c r="A4180" s="10"/>
      <c r="B4180" s="10"/>
      <c r="C4180" s="10"/>
      <c r="D4180" s="10"/>
      <c r="E4180" s="10"/>
      <c r="F4180" s="10"/>
      <c r="G4180" s="10"/>
      <c r="H4180" s="10"/>
      <c r="I4180" s="10"/>
      <c r="J4180" s="10"/>
      <c r="K4180" s="16"/>
      <c r="L4180" s="31"/>
      <c r="M4180" s="10"/>
      <c r="N4180" s="10"/>
      <c r="O4180" s="10"/>
      <c r="P4180" s="10"/>
      <c r="Q4180" s="10"/>
      <c r="R4180" s="10"/>
    </row>
    <row r="4181" spans="1:18">
      <c r="A4181" s="10" t="s">
        <v>15</v>
      </c>
      <c r="B4181" s="29" t="s">
        <v>16</v>
      </c>
      <c r="C4181" s="1" t="s">
        <v>494</v>
      </c>
      <c r="D4181" s="10"/>
      <c r="E4181" s="10" t="s">
        <v>476</v>
      </c>
      <c r="F4181" s="10"/>
      <c r="G4181" s="10"/>
      <c r="H4181" s="10"/>
      <c r="I4181" s="10"/>
      <c r="J4181" s="10"/>
      <c r="K4181" s="16">
        <v>1</v>
      </c>
      <c r="L4181" s="31"/>
      <c r="M4181" s="10"/>
      <c r="N4181" s="10"/>
      <c r="O4181" s="10"/>
      <c r="P4181" s="10"/>
      <c r="Q4181" s="10"/>
      <c r="R4181" s="10"/>
    </row>
    <row r="4182" spans="1:18">
      <c r="A4182" s="10"/>
      <c r="B4182" s="29" t="s">
        <v>17</v>
      </c>
      <c r="C4182" s="1" t="s">
        <v>493</v>
      </c>
      <c r="D4182" s="10">
        <v>50</v>
      </c>
      <c r="E4182" s="10"/>
      <c r="F4182" s="10"/>
      <c r="G4182" s="10"/>
      <c r="H4182" s="10"/>
      <c r="I4182" s="10"/>
      <c r="J4182" s="10"/>
      <c r="K4182" s="16">
        <v>2</v>
      </c>
      <c r="L4182" s="31"/>
      <c r="M4182" s="10"/>
      <c r="N4182" s="10"/>
      <c r="O4182" s="10"/>
      <c r="P4182" s="10"/>
      <c r="Q4182" s="10"/>
      <c r="R4182" s="10"/>
    </row>
    <row r="4183" spans="1:18">
      <c r="A4183" s="10"/>
      <c r="B4183" s="29"/>
      <c r="D4183" s="10"/>
      <c r="E4183" s="10"/>
      <c r="F4183" s="10"/>
      <c r="G4183" s="10"/>
      <c r="H4183" s="10"/>
      <c r="I4183" s="10"/>
      <c r="J4183" s="10"/>
      <c r="K4183" s="16"/>
      <c r="L4183" s="31"/>
      <c r="M4183" s="10"/>
      <c r="N4183" s="10"/>
      <c r="O4183" s="10"/>
      <c r="P4183" s="10"/>
      <c r="Q4183" s="10"/>
      <c r="R4183" s="10"/>
    </row>
    <row r="4184" spans="1:18">
      <c r="A4184" s="10" t="s">
        <v>1072</v>
      </c>
      <c r="B4184" s="10" t="s">
        <v>1073</v>
      </c>
      <c r="C4184" s="1" t="s">
        <v>494</v>
      </c>
      <c r="D4184" s="10"/>
      <c r="E4184" s="10" t="s">
        <v>476</v>
      </c>
      <c r="F4184" s="10">
        <v>17</v>
      </c>
      <c r="G4184" s="10">
        <v>1721</v>
      </c>
      <c r="H4184" s="10" t="s">
        <v>964</v>
      </c>
      <c r="I4184" s="10" t="s">
        <v>241</v>
      </c>
      <c r="J4184" s="10">
        <v>1702</v>
      </c>
      <c r="K4184" s="16">
        <v>1</v>
      </c>
      <c r="L4184" s="31">
        <v>8</v>
      </c>
      <c r="M4184" s="10"/>
      <c r="N4184" s="10"/>
      <c r="O4184" s="10"/>
      <c r="P4184" s="10"/>
      <c r="Q4184" s="10"/>
      <c r="R4184" s="10"/>
    </row>
    <row r="4185" spans="1:18">
      <c r="A4185" s="10"/>
      <c r="B4185" s="10" t="s">
        <v>1074</v>
      </c>
      <c r="C4185" s="1" t="s">
        <v>494</v>
      </c>
      <c r="D4185" s="10"/>
      <c r="E4185" s="10" t="s">
        <v>476</v>
      </c>
      <c r="F4185" s="10"/>
      <c r="G4185" s="10"/>
      <c r="H4185" s="10"/>
      <c r="I4185" s="10"/>
      <c r="J4185" s="10"/>
      <c r="K4185" s="16">
        <v>2</v>
      </c>
      <c r="L4185" s="31">
        <v>3</v>
      </c>
      <c r="M4185" s="10"/>
      <c r="N4185" t="s">
        <v>916</v>
      </c>
      <c r="O4185" t="s">
        <v>917</v>
      </c>
      <c r="P4185" t="s">
        <v>918</v>
      </c>
      <c r="Q4185" s="10"/>
      <c r="R4185" s="10"/>
    </row>
    <row r="4186" spans="1:18">
      <c r="A4186" s="10"/>
      <c r="B4186" s="10" t="s">
        <v>1075</v>
      </c>
      <c r="C4186" s="1" t="s">
        <v>494</v>
      </c>
      <c r="D4186" s="10"/>
      <c r="E4186" s="10" t="s">
        <v>476</v>
      </c>
      <c r="F4186" s="10"/>
      <c r="G4186" s="10"/>
      <c r="H4186" s="10"/>
      <c r="I4186" s="10"/>
      <c r="J4186" s="10"/>
      <c r="K4186" s="16">
        <v>3</v>
      </c>
      <c r="L4186" s="31">
        <v>3</v>
      </c>
      <c r="M4186" s="10"/>
      <c r="N4186" s="1" t="s">
        <v>1038</v>
      </c>
      <c r="O4186" s="23" t="s">
        <v>1040</v>
      </c>
      <c r="P4186" s="23" t="s">
        <v>1041</v>
      </c>
      <c r="Q4186" s="10"/>
      <c r="R4186" s="10"/>
    </row>
    <row r="4187" spans="1:18">
      <c r="A4187" s="10"/>
      <c r="B4187" s="10" t="s">
        <v>264</v>
      </c>
      <c r="C4187" s="1" t="s">
        <v>494</v>
      </c>
      <c r="D4187" s="10"/>
      <c r="E4187" s="10" t="s">
        <v>476</v>
      </c>
      <c r="F4187" s="10"/>
      <c r="G4187" s="10"/>
      <c r="H4187" s="10"/>
      <c r="I4187" s="10"/>
      <c r="J4187" s="10"/>
      <c r="K4187" s="16">
        <v>4</v>
      </c>
      <c r="L4187" s="31"/>
      <c r="M4187" s="10">
        <v>1</v>
      </c>
      <c r="O4187" s="23"/>
      <c r="P4187" s="23"/>
      <c r="Q4187" s="10"/>
      <c r="R4187" s="10"/>
    </row>
    <row r="4188" spans="1:18">
      <c r="B4188" s="23" t="s">
        <v>1076</v>
      </c>
      <c r="C4188" s="1" t="s">
        <v>494</v>
      </c>
      <c r="E4188" s="1" t="s">
        <v>476</v>
      </c>
      <c r="F4188" s="14"/>
      <c r="G4188" s="14"/>
      <c r="H4188" s="14"/>
      <c r="I4188" s="11"/>
      <c r="J4188" s="14"/>
      <c r="K4188" s="16">
        <v>5</v>
      </c>
      <c r="L4188" s="15">
        <v>3</v>
      </c>
      <c r="M4188" s="14"/>
      <c r="N4188" s="1" t="s">
        <v>947</v>
      </c>
      <c r="O4188" s="23" t="s">
        <v>938</v>
      </c>
      <c r="P4188" s="23" t="s">
        <v>940</v>
      </c>
      <c r="Q4188" s="14"/>
      <c r="R4188" s="14"/>
    </row>
    <row r="4189" spans="1:18">
      <c r="B4189" s="23" t="s">
        <v>1077</v>
      </c>
      <c r="C4189" s="1" t="s">
        <v>494</v>
      </c>
      <c r="E4189" s="1" t="s">
        <v>476</v>
      </c>
      <c r="F4189" s="14"/>
      <c r="G4189" s="14"/>
      <c r="H4189" s="14"/>
      <c r="I4189" s="11"/>
      <c r="J4189" s="14"/>
      <c r="K4189" s="16">
        <v>6</v>
      </c>
      <c r="L4189" s="15">
        <v>3</v>
      </c>
      <c r="M4189" s="14"/>
      <c r="N4189" s="1" t="s">
        <v>950</v>
      </c>
      <c r="O4189" s="23" t="s">
        <v>941</v>
      </c>
      <c r="P4189" s="23" t="s">
        <v>952</v>
      </c>
      <c r="Q4189" s="14"/>
      <c r="R4189" s="14"/>
    </row>
    <row r="4190" spans="1:18">
      <c r="B4190" s="23" t="s">
        <v>1078</v>
      </c>
      <c r="C4190" s="1" t="s">
        <v>494</v>
      </c>
      <c r="E4190" s="1" t="s">
        <v>476</v>
      </c>
      <c r="F4190" s="14"/>
      <c r="G4190" s="14"/>
      <c r="H4190" s="14"/>
      <c r="I4190" s="11"/>
      <c r="J4190" s="14"/>
      <c r="K4190" s="16">
        <v>7</v>
      </c>
      <c r="L4190" s="15">
        <v>3</v>
      </c>
      <c r="M4190" s="14"/>
      <c r="N4190" s="1" t="s">
        <v>961</v>
      </c>
      <c r="O4190" s="23" t="s">
        <v>942</v>
      </c>
      <c r="P4190" s="23" t="s">
        <v>945</v>
      </c>
      <c r="Q4190" s="14"/>
      <c r="R4190" s="14"/>
    </row>
    <row r="4191" spans="1:18">
      <c r="B4191" s="23" t="s">
        <v>1085</v>
      </c>
      <c r="C4191" s="1" t="s">
        <v>494</v>
      </c>
      <c r="E4191" s="1" t="s">
        <v>476</v>
      </c>
      <c r="F4191" s="14"/>
      <c r="G4191" s="14"/>
      <c r="H4191" s="14"/>
      <c r="I4191" s="11"/>
      <c r="J4191" s="14"/>
      <c r="K4191" s="16">
        <v>8</v>
      </c>
      <c r="L4191" s="15">
        <v>6</v>
      </c>
      <c r="M4191" s="14"/>
      <c r="O4191" s="23"/>
      <c r="P4191" s="23"/>
      <c r="Q4191" s="14"/>
      <c r="R4191" s="14"/>
    </row>
    <row r="4192" spans="1:18">
      <c r="B4192" s="23" t="s">
        <v>1079</v>
      </c>
      <c r="C4192" s="1" t="s">
        <v>494</v>
      </c>
      <c r="F4192" s="14"/>
      <c r="G4192" s="14"/>
      <c r="H4192" s="14"/>
      <c r="I4192" s="11"/>
      <c r="J4192" s="14"/>
      <c r="K4192" s="16">
        <v>9</v>
      </c>
      <c r="L4192" s="15">
        <v>6</v>
      </c>
      <c r="M4192" s="14"/>
      <c r="N4192" s="23"/>
      <c r="P4192" s="14"/>
      <c r="Q4192" s="14"/>
      <c r="R4192" s="14"/>
    </row>
    <row r="4193" spans="1:18">
      <c r="B4193" s="23" t="s">
        <v>265</v>
      </c>
      <c r="C4193" s="1" t="s">
        <v>494</v>
      </c>
      <c r="F4193" s="14"/>
      <c r="G4193" s="14"/>
      <c r="H4193" s="11" t="s">
        <v>240</v>
      </c>
      <c r="I4193" s="11"/>
      <c r="J4193" s="14"/>
      <c r="K4193" s="16">
        <v>10</v>
      </c>
      <c r="L4193" s="15">
        <v>3</v>
      </c>
      <c r="M4193" s="14">
        <v>1</v>
      </c>
      <c r="N4193" s="10" t="s">
        <v>237</v>
      </c>
      <c r="O4193" s="29" t="s">
        <v>238</v>
      </c>
      <c r="P4193" s="29" t="s">
        <v>239</v>
      </c>
      <c r="Q4193" s="14"/>
      <c r="R4193" s="14"/>
    </row>
    <row r="4194" spans="1:18">
      <c r="B4194" s="23" t="s">
        <v>1080</v>
      </c>
      <c r="C4194" s="1" t="s">
        <v>494</v>
      </c>
      <c r="F4194" s="14"/>
      <c r="G4194" s="14"/>
      <c r="H4194" s="14"/>
      <c r="I4194" s="11"/>
      <c r="J4194" s="14"/>
      <c r="K4194" s="16">
        <v>11</v>
      </c>
      <c r="L4194" s="15"/>
      <c r="M4194" s="14"/>
      <c r="N4194" s="23"/>
      <c r="O4194" s="14"/>
      <c r="P4194" s="14"/>
      <c r="Q4194" s="14"/>
      <c r="R4194" s="14"/>
    </row>
    <row r="4195" spans="1:18">
      <c r="B4195" s="23" t="s">
        <v>1081</v>
      </c>
      <c r="C4195" s="1" t="s">
        <v>493</v>
      </c>
      <c r="D4195" s="1">
        <v>10</v>
      </c>
      <c r="F4195" s="14"/>
      <c r="G4195" s="14"/>
      <c r="H4195" s="14"/>
      <c r="I4195" s="11"/>
      <c r="J4195" s="14"/>
      <c r="K4195" s="16">
        <v>12</v>
      </c>
      <c r="L4195" s="15">
        <v>7</v>
      </c>
      <c r="M4195" s="14"/>
      <c r="O4195" s="23"/>
      <c r="P4195" s="14"/>
      <c r="Q4195" s="14"/>
      <c r="R4195" s="14"/>
    </row>
    <row r="4196" spans="1:18">
      <c r="B4196" s="23" t="s">
        <v>1082</v>
      </c>
      <c r="C4196" s="1" t="s">
        <v>493</v>
      </c>
      <c r="D4196" s="1">
        <v>10</v>
      </c>
      <c r="F4196" s="14"/>
      <c r="G4196" s="14"/>
      <c r="H4196" s="14"/>
      <c r="I4196" s="11"/>
      <c r="J4196" s="14"/>
      <c r="K4196" s="16">
        <v>13</v>
      </c>
      <c r="L4196" s="15">
        <v>7</v>
      </c>
      <c r="M4196" s="14"/>
      <c r="O4196" s="23"/>
      <c r="P4196" s="14"/>
      <c r="Q4196" s="14"/>
      <c r="R4196" s="14"/>
    </row>
    <row r="4197" spans="1:18">
      <c r="B4197" s="23" t="s">
        <v>1083</v>
      </c>
      <c r="C4197" s="1" t="s">
        <v>493</v>
      </c>
      <c r="D4197" s="1">
        <v>10</v>
      </c>
      <c r="F4197" s="14"/>
      <c r="G4197" s="14"/>
      <c r="H4197" s="14"/>
      <c r="I4197" s="11"/>
      <c r="J4197" s="14"/>
      <c r="K4197" s="16">
        <v>14</v>
      </c>
      <c r="L4197" s="15">
        <v>7</v>
      </c>
      <c r="M4197" s="14"/>
      <c r="O4197" s="23"/>
      <c r="P4197" s="14"/>
      <c r="Q4197" s="14"/>
      <c r="R4197" s="14"/>
    </row>
    <row r="4198" spans="1:18">
      <c r="B4198" s="23" t="s">
        <v>1084</v>
      </c>
      <c r="C4198" s="1" t="s">
        <v>494</v>
      </c>
      <c r="F4198" s="14"/>
      <c r="G4198" s="14"/>
      <c r="H4198" s="14"/>
      <c r="I4198" s="11"/>
      <c r="J4198" s="14"/>
      <c r="K4198" s="16">
        <v>15</v>
      </c>
      <c r="L4198" s="15"/>
      <c r="M4198" s="14"/>
      <c r="N4198" s="23"/>
      <c r="O4198" s="14"/>
      <c r="P4198" s="14"/>
      <c r="Q4198" s="14"/>
      <c r="R4198" s="14"/>
    </row>
    <row r="4199" spans="1:18">
      <c r="B4199" s="23" t="s">
        <v>1090</v>
      </c>
      <c r="C4199" s="1" t="s">
        <v>520</v>
      </c>
      <c r="F4199" s="14"/>
      <c r="G4199" s="14"/>
      <c r="H4199" s="14"/>
      <c r="I4199" s="11"/>
      <c r="J4199" s="14"/>
      <c r="K4199" s="16">
        <v>16</v>
      </c>
      <c r="L4199" s="15"/>
      <c r="M4199" s="14"/>
      <c r="N4199" s="23"/>
      <c r="O4199" s="14"/>
      <c r="P4199" s="14"/>
      <c r="Q4199" s="14"/>
      <c r="R4199" s="14"/>
    </row>
    <row r="4200" spans="1:18">
      <c r="A4200" s="10"/>
      <c r="B4200" s="24" t="s">
        <v>1086</v>
      </c>
      <c r="C4200" s="1" t="s">
        <v>494</v>
      </c>
      <c r="D4200" s="10"/>
      <c r="E4200" s="10"/>
      <c r="F4200" s="10"/>
      <c r="G4200" s="10"/>
      <c r="H4200" s="10"/>
      <c r="I4200" s="10"/>
      <c r="J4200" s="10"/>
      <c r="K4200" s="16">
        <v>17</v>
      </c>
      <c r="L4200" s="31">
        <v>8</v>
      </c>
      <c r="M4200" s="10"/>
      <c r="N4200" s="10"/>
      <c r="O4200" s="10"/>
      <c r="P4200" s="10"/>
      <c r="Q4200" s="10"/>
      <c r="R4200" s="10"/>
    </row>
    <row r="4201" spans="1:18">
      <c r="A4201" s="10"/>
      <c r="B4201" s="29" t="s">
        <v>1088</v>
      </c>
      <c r="C4201" s="1" t="s">
        <v>493</v>
      </c>
      <c r="D4201" s="10">
        <v>1</v>
      </c>
      <c r="E4201" s="10"/>
      <c r="F4201" s="10"/>
      <c r="G4201" s="10"/>
      <c r="H4201" s="10" t="s">
        <v>1089</v>
      </c>
      <c r="I4201" s="10"/>
      <c r="J4201" s="10"/>
      <c r="K4201" s="16">
        <v>18</v>
      </c>
      <c r="L4201" s="31">
        <v>3</v>
      </c>
      <c r="M4201" s="10"/>
      <c r="N4201" s="10"/>
      <c r="O4201" s="10"/>
      <c r="P4201" s="10"/>
      <c r="Q4201" s="10"/>
      <c r="R4201" s="10"/>
    </row>
    <row r="4202" spans="1:18">
      <c r="A4202" s="10"/>
      <c r="B4202" s="29"/>
      <c r="D4202" s="10"/>
      <c r="E4202" s="10"/>
      <c r="F4202" s="10"/>
      <c r="G4202" s="10"/>
      <c r="H4202" s="10"/>
      <c r="I4202" s="10"/>
      <c r="J4202" s="10"/>
      <c r="K4202" s="16"/>
      <c r="L4202" s="31"/>
      <c r="M4202" s="10"/>
      <c r="N4202" s="10"/>
      <c r="O4202" s="10"/>
      <c r="P4202" s="10"/>
      <c r="Q4202" s="10"/>
      <c r="R4202" s="10"/>
    </row>
    <row r="4203" spans="1:18">
      <c r="A4203" s="10" t="s">
        <v>1124</v>
      </c>
      <c r="B4203" s="29" t="s">
        <v>1126</v>
      </c>
      <c r="C4203" s="1" t="s">
        <v>494</v>
      </c>
      <c r="D4203" s="10"/>
      <c r="E4203" s="10" t="s">
        <v>476</v>
      </c>
      <c r="F4203" s="10">
        <v>17</v>
      </c>
      <c r="G4203" s="10">
        <v>1722</v>
      </c>
      <c r="H4203" s="52" t="s">
        <v>1130</v>
      </c>
      <c r="I4203" s="10" t="s">
        <v>1131</v>
      </c>
      <c r="J4203" s="10">
        <v>1702</v>
      </c>
      <c r="K4203" s="16">
        <v>1</v>
      </c>
      <c r="L4203" s="31"/>
      <c r="M4203" s="10"/>
      <c r="N4203" s="10"/>
      <c r="O4203" s="10"/>
      <c r="P4203" s="10"/>
      <c r="Q4203" s="10"/>
      <c r="R4203" s="10"/>
    </row>
    <row r="4204" spans="1:18">
      <c r="A4204" s="10"/>
      <c r="B4204" s="29" t="s">
        <v>1127</v>
      </c>
      <c r="C4204" s="1" t="s">
        <v>494</v>
      </c>
      <c r="D4204" s="10"/>
      <c r="E4204" s="10" t="s">
        <v>476</v>
      </c>
      <c r="F4204" s="10"/>
      <c r="G4204" s="10"/>
      <c r="H4204" s="10"/>
      <c r="I4204" s="10"/>
      <c r="J4204" s="10"/>
      <c r="K4204" s="16">
        <v>2</v>
      </c>
      <c r="L4204" s="31"/>
      <c r="M4204" s="10"/>
      <c r="N4204" s="10"/>
      <c r="O4204" s="10"/>
      <c r="P4204" s="10"/>
      <c r="Q4204" s="10"/>
      <c r="R4204" s="10"/>
    </row>
    <row r="4205" spans="1:18">
      <c r="A4205" s="10"/>
      <c r="B4205" s="29" t="s">
        <v>1128</v>
      </c>
      <c r="C4205" s="1" t="s">
        <v>494</v>
      </c>
      <c r="D4205" s="10"/>
      <c r="E4205" s="10" t="s">
        <v>476</v>
      </c>
      <c r="F4205" s="10"/>
      <c r="G4205" s="10"/>
      <c r="H4205" s="10"/>
      <c r="I4205" s="10"/>
      <c r="J4205" s="10"/>
      <c r="K4205" s="16">
        <v>3</v>
      </c>
      <c r="L4205" s="31"/>
      <c r="M4205" s="10"/>
      <c r="N4205" s="10"/>
      <c r="O4205" s="10"/>
      <c r="P4205" s="10"/>
      <c r="Q4205" s="10"/>
      <c r="R4205" s="10"/>
    </row>
    <row r="4206" spans="1:18">
      <c r="A4206" s="10"/>
      <c r="B4206" s="29" t="s">
        <v>1125</v>
      </c>
      <c r="C4206" s="1" t="s">
        <v>494</v>
      </c>
      <c r="D4206" s="10"/>
      <c r="E4206" s="10" t="s">
        <v>476</v>
      </c>
      <c r="F4206" s="10"/>
      <c r="G4206" s="10"/>
      <c r="H4206" s="10"/>
      <c r="I4206" s="10"/>
      <c r="J4206" s="10"/>
      <c r="K4206" s="16">
        <v>4</v>
      </c>
      <c r="L4206" s="31"/>
      <c r="M4206" s="10"/>
      <c r="N4206" s="10"/>
      <c r="O4206" s="10"/>
      <c r="P4206" s="10"/>
      <c r="Q4206" s="10"/>
      <c r="R4206" s="10"/>
    </row>
    <row r="4207" spans="1:18">
      <c r="A4207" s="10"/>
      <c r="B4207" s="24" t="s">
        <v>1129</v>
      </c>
      <c r="C4207" s="10" t="s">
        <v>520</v>
      </c>
      <c r="D4207" s="10"/>
      <c r="E4207" s="10"/>
      <c r="F4207" s="10"/>
      <c r="G4207" s="10"/>
      <c r="H4207" s="10"/>
      <c r="I4207" s="10"/>
      <c r="J4207" s="10"/>
      <c r="K4207" s="16">
        <v>5</v>
      </c>
      <c r="L4207" s="31"/>
      <c r="M4207" s="10"/>
      <c r="N4207" s="10"/>
      <c r="O4207" s="10"/>
      <c r="P4207" s="10"/>
      <c r="Q4207" s="10"/>
      <c r="R4207" s="10"/>
    </row>
    <row r="4208" spans="1:18">
      <c r="A4208" s="10"/>
      <c r="B4208" s="24"/>
      <c r="C4208" s="10"/>
      <c r="D4208" s="10"/>
      <c r="E4208" s="10"/>
      <c r="F4208" s="10"/>
      <c r="G4208" s="10"/>
      <c r="H4208" s="10"/>
      <c r="I4208" s="10"/>
      <c r="J4208" s="10"/>
      <c r="K4208" s="16"/>
      <c r="L4208" s="31"/>
      <c r="M4208" s="10"/>
      <c r="N4208" s="10"/>
      <c r="O4208" s="10"/>
      <c r="P4208" s="10"/>
      <c r="Q4208" s="10"/>
      <c r="R4208" s="10"/>
    </row>
    <row r="4209" spans="1:18">
      <c r="A4209" s="10" t="s">
        <v>1099</v>
      </c>
      <c r="B4209" s="10" t="s">
        <v>1103</v>
      </c>
      <c r="C4209" s="10" t="s">
        <v>494</v>
      </c>
      <c r="D4209" s="10"/>
      <c r="E4209" s="10" t="s">
        <v>476</v>
      </c>
      <c r="F4209" s="10">
        <v>17</v>
      </c>
      <c r="G4209" s="10">
        <v>1722</v>
      </c>
      <c r="H4209" s="52" t="s">
        <v>18</v>
      </c>
      <c r="I4209" s="10" t="s">
        <v>19</v>
      </c>
      <c r="J4209" s="10">
        <v>2</v>
      </c>
      <c r="K4209" s="16">
        <v>1</v>
      </c>
      <c r="L4209" s="31">
        <v>6</v>
      </c>
      <c r="M4209" s="10"/>
      <c r="N4209" s="10"/>
      <c r="O4209" s="10"/>
      <c r="P4209" s="10"/>
      <c r="Q4209" s="10"/>
      <c r="R4209" s="10"/>
    </row>
    <row r="4210" spans="1:18">
      <c r="A4210" s="10"/>
      <c r="B4210" s="10" t="s">
        <v>238</v>
      </c>
      <c r="C4210" s="10" t="s">
        <v>494</v>
      </c>
      <c r="D4210" s="10"/>
      <c r="E4210" s="10"/>
      <c r="F4210" s="10"/>
      <c r="G4210" s="10"/>
      <c r="H4210" s="10" t="s">
        <v>1100</v>
      </c>
      <c r="I4210" s="10"/>
      <c r="J4210" s="10"/>
      <c r="K4210" s="16">
        <v>2</v>
      </c>
      <c r="L4210" s="31">
        <v>6</v>
      </c>
      <c r="M4210" s="10"/>
      <c r="N4210" s="10"/>
      <c r="O4210" s="10"/>
      <c r="P4210" s="10"/>
      <c r="Q4210" s="10"/>
      <c r="R4210" s="10"/>
    </row>
    <row r="4211" spans="1:18">
      <c r="A4211" s="10"/>
      <c r="B4211" s="10" t="s">
        <v>239</v>
      </c>
      <c r="C4211" s="10" t="s">
        <v>493</v>
      </c>
      <c r="D4211" s="10">
        <v>100</v>
      </c>
      <c r="E4211" s="10"/>
      <c r="F4211" s="10"/>
      <c r="G4211" s="10"/>
      <c r="H4211" s="10"/>
      <c r="I4211" s="10"/>
      <c r="J4211" s="10"/>
      <c r="K4211" s="16">
        <v>3</v>
      </c>
      <c r="L4211" s="31"/>
      <c r="M4211" s="10"/>
      <c r="N4211" s="10"/>
      <c r="O4211" s="10"/>
      <c r="P4211" s="10"/>
      <c r="Q4211" s="10"/>
      <c r="R4211" s="10"/>
    </row>
    <row r="4212" spans="1:18">
      <c r="A4212" s="10"/>
      <c r="B4212" s="45" t="s">
        <v>1385</v>
      </c>
      <c r="C4212" s="45" t="s">
        <v>494</v>
      </c>
      <c r="D4212" s="10"/>
      <c r="E4212" s="10"/>
      <c r="F4212" s="10"/>
      <c r="G4212" s="10"/>
      <c r="H4212" s="10"/>
      <c r="I4212" s="10"/>
      <c r="J4212" s="10"/>
      <c r="K4212" s="16">
        <v>4</v>
      </c>
      <c r="L4212" s="31"/>
      <c r="M4212" s="10"/>
      <c r="N4212" s="10"/>
      <c r="O4212" s="10"/>
      <c r="P4212" s="10"/>
      <c r="Q4212" s="10"/>
      <c r="R4212" s="10"/>
    </row>
    <row r="4213" spans="1:18">
      <c r="A4213" s="10"/>
      <c r="B4213" s="45"/>
      <c r="C4213" s="45"/>
      <c r="D4213" s="10"/>
      <c r="E4213" s="10"/>
      <c r="F4213" s="10"/>
      <c r="G4213" s="10"/>
      <c r="H4213" s="10"/>
      <c r="I4213" s="10"/>
      <c r="J4213" s="10"/>
      <c r="K4213" s="16"/>
      <c r="L4213" s="31"/>
      <c r="M4213" s="10"/>
      <c r="N4213" s="10"/>
      <c r="O4213" s="10"/>
      <c r="P4213" s="10"/>
      <c r="Q4213" s="10"/>
      <c r="R4213" s="10"/>
    </row>
    <row r="4214" spans="1:18">
      <c r="A4214" s="1" t="s">
        <v>1146</v>
      </c>
      <c r="B4214" s="29" t="s">
        <v>1147</v>
      </c>
      <c r="C4214" s="1" t="s">
        <v>494</v>
      </c>
      <c r="E4214" s="1" t="s">
        <v>476</v>
      </c>
      <c r="F4214" s="14"/>
      <c r="G4214" s="14"/>
      <c r="H4214" s="14"/>
      <c r="I4214" s="11"/>
      <c r="J4214" s="14"/>
      <c r="K4214" s="16"/>
      <c r="L4214" s="15"/>
      <c r="M4214" s="14"/>
      <c r="O4214" s="23"/>
      <c r="P4214" s="23"/>
      <c r="Q4214" s="14"/>
      <c r="R4214" s="14"/>
    </row>
    <row r="4215" spans="1:18">
      <c r="B4215" s="29" t="s">
        <v>1148</v>
      </c>
      <c r="C4215" s="1" t="s">
        <v>493</v>
      </c>
      <c r="D4215" s="1">
        <v>50</v>
      </c>
      <c r="F4215" s="14"/>
      <c r="G4215" s="14"/>
      <c r="H4215" s="14"/>
      <c r="I4215" s="11"/>
      <c r="J4215" s="14"/>
      <c r="K4215" s="16"/>
      <c r="L4215" s="15"/>
      <c r="M4215" s="14"/>
      <c r="O4215" s="23"/>
      <c r="P4215" s="23"/>
      <c r="Q4215" s="14"/>
      <c r="R4215" s="14"/>
    </row>
    <row r="4216" spans="1:18">
      <c r="B4216" s="66" t="s">
        <v>2631</v>
      </c>
      <c r="C4216" s="62" t="s">
        <v>493</v>
      </c>
      <c r="D4216" s="62">
        <v>1</v>
      </c>
      <c r="F4216" s="14"/>
      <c r="G4216" s="14"/>
      <c r="H4216" s="14"/>
      <c r="I4216" s="11"/>
      <c r="J4216" s="14"/>
      <c r="K4216" s="16"/>
      <c r="L4216" s="15"/>
      <c r="M4216" s="14"/>
      <c r="O4216" s="23"/>
      <c r="P4216" s="23"/>
      <c r="Q4216" s="14"/>
      <c r="R4216" s="14"/>
    </row>
    <row r="4217" spans="1:18">
      <c r="B4217" s="29"/>
      <c r="F4217" s="14"/>
      <c r="G4217" s="14"/>
      <c r="H4217" s="14"/>
      <c r="I4217" s="11"/>
      <c r="J4217" s="14"/>
      <c r="K4217" s="16"/>
      <c r="L4217" s="15"/>
      <c r="M4217" s="14"/>
      <c r="O4217" s="23"/>
      <c r="P4217" s="23"/>
      <c r="Q4217" s="14"/>
      <c r="R4217" s="14"/>
    </row>
    <row r="4218" spans="1:18">
      <c r="A4218" s="1" t="s">
        <v>309</v>
      </c>
      <c r="B4218" s="29" t="s">
        <v>310</v>
      </c>
      <c r="C4218" s="1" t="s">
        <v>494</v>
      </c>
      <c r="E4218" s="1" t="s">
        <v>476</v>
      </c>
      <c r="F4218" s="14"/>
      <c r="G4218" s="14"/>
      <c r="H4218" s="14"/>
      <c r="I4218" s="11"/>
      <c r="J4218" s="14"/>
      <c r="K4218" s="16"/>
      <c r="L4218" s="15"/>
      <c r="M4218" s="14"/>
      <c r="O4218" s="23"/>
      <c r="P4218" s="23"/>
      <c r="Q4218" s="14"/>
      <c r="R4218" s="14"/>
    </row>
    <row r="4219" spans="1:18">
      <c r="B4219" s="29" t="s">
        <v>311</v>
      </c>
      <c r="C4219" s="1" t="s">
        <v>493</v>
      </c>
      <c r="D4219" s="1">
        <v>50</v>
      </c>
      <c r="F4219" s="14"/>
      <c r="G4219" s="14"/>
      <c r="H4219" s="14"/>
      <c r="I4219" s="11"/>
      <c r="J4219" s="14"/>
      <c r="K4219" s="16"/>
      <c r="L4219" s="15"/>
      <c r="M4219" s="14"/>
      <c r="O4219" s="23"/>
      <c r="P4219" s="23"/>
      <c r="Q4219" s="14"/>
      <c r="R4219" s="14"/>
    </row>
    <row r="4220" spans="1:18">
      <c r="B4220" s="29"/>
      <c r="F4220" s="14"/>
      <c r="G4220" s="14"/>
      <c r="H4220" s="14"/>
      <c r="I4220" s="11"/>
      <c r="J4220" s="14"/>
      <c r="K4220" s="16"/>
      <c r="L4220" s="15"/>
      <c r="M4220" s="14"/>
      <c r="O4220" s="23"/>
      <c r="P4220" s="23"/>
      <c r="Q4220" s="14"/>
      <c r="R4220" s="14"/>
    </row>
    <row r="4221" spans="1:18">
      <c r="A4221" s="10" t="s">
        <v>616</v>
      </c>
      <c r="B4221" s="10" t="s">
        <v>617</v>
      </c>
      <c r="C4221" s="10" t="s">
        <v>494</v>
      </c>
      <c r="D4221" s="10"/>
      <c r="E4221" s="10" t="s">
        <v>476</v>
      </c>
      <c r="F4221" s="10">
        <v>17</v>
      </c>
      <c r="G4221" s="10">
        <v>1733</v>
      </c>
      <c r="H4221" s="10" t="s">
        <v>621</v>
      </c>
      <c r="I4221" s="10" t="s">
        <v>622</v>
      </c>
      <c r="J4221" s="10">
        <v>2</v>
      </c>
      <c r="K4221" s="16">
        <v>1</v>
      </c>
      <c r="L4221" s="31">
        <v>6</v>
      </c>
      <c r="M4221" s="10"/>
      <c r="N4221" s="10"/>
      <c r="O4221" s="10"/>
      <c r="P4221" s="10"/>
      <c r="Q4221" s="10"/>
      <c r="R4221" s="10"/>
    </row>
    <row r="4222" spans="1:18">
      <c r="A4222" s="10"/>
      <c r="B4222" s="10" t="s">
        <v>618</v>
      </c>
      <c r="C4222" s="10" t="s">
        <v>494</v>
      </c>
      <c r="D4222" s="10"/>
      <c r="E4222" s="10"/>
      <c r="F4222" s="10"/>
      <c r="G4222" s="10"/>
      <c r="H4222" s="10"/>
      <c r="I4222" s="10"/>
      <c r="J4222" s="10"/>
      <c r="K4222" s="16">
        <v>2</v>
      </c>
      <c r="L4222" s="31">
        <v>6</v>
      </c>
      <c r="M4222" s="10"/>
      <c r="N4222" s="10"/>
      <c r="O4222" s="10"/>
      <c r="P4222" s="10"/>
      <c r="Q4222" s="10"/>
      <c r="R4222" s="10"/>
    </row>
    <row r="4223" spans="1:18">
      <c r="A4223" s="10"/>
      <c r="B4223" s="10" t="s">
        <v>620</v>
      </c>
      <c r="C4223" s="10" t="s">
        <v>493</v>
      </c>
      <c r="D4223" s="10">
        <v>1</v>
      </c>
      <c r="E4223" s="10"/>
      <c r="F4223" s="10"/>
      <c r="G4223" s="10"/>
      <c r="H4223" s="10"/>
      <c r="I4223" s="10"/>
      <c r="J4223" s="10"/>
      <c r="K4223" s="16">
        <v>3</v>
      </c>
      <c r="L4223" s="31">
        <v>3</v>
      </c>
      <c r="M4223" s="10"/>
      <c r="N4223" s="10"/>
      <c r="O4223" s="10"/>
      <c r="P4223" s="10"/>
      <c r="Q4223" s="10"/>
      <c r="R4223" s="10"/>
    </row>
    <row r="4224" spans="1:18">
      <c r="A4224" s="10"/>
      <c r="B4224" s="10" t="s">
        <v>619</v>
      </c>
      <c r="C4224" s="10" t="s">
        <v>493</v>
      </c>
      <c r="D4224" s="10">
        <v>100</v>
      </c>
      <c r="E4224" s="10"/>
      <c r="F4224" s="10"/>
      <c r="G4224" s="10"/>
      <c r="H4224" s="10"/>
      <c r="I4224" s="10"/>
      <c r="J4224" s="10"/>
      <c r="K4224" s="16">
        <v>4</v>
      </c>
      <c r="L4224" s="31"/>
      <c r="M4224" s="10"/>
      <c r="N4224" s="10"/>
      <c r="O4224" s="10"/>
      <c r="P4224" s="10"/>
      <c r="Q4224" s="10"/>
      <c r="R4224" s="10"/>
    </row>
    <row r="4225" spans="1:18">
      <c r="A4225" s="10"/>
      <c r="B4225" s="10"/>
      <c r="C4225" s="10"/>
      <c r="D4225" s="10"/>
      <c r="E4225" s="10"/>
      <c r="F4225" s="10"/>
      <c r="G4225" s="10"/>
      <c r="H4225" s="10"/>
      <c r="I4225" s="10"/>
      <c r="J4225" s="10"/>
      <c r="K4225" s="16"/>
      <c r="L4225" s="31"/>
      <c r="M4225" s="10"/>
      <c r="N4225" s="10"/>
      <c r="O4225" s="10"/>
      <c r="P4225" s="10"/>
      <c r="Q4225" s="10"/>
      <c r="R4225" s="10"/>
    </row>
    <row r="4226" spans="1:18">
      <c r="A4226" s="10" t="s">
        <v>631</v>
      </c>
      <c r="B4226" s="10" t="s">
        <v>632</v>
      </c>
      <c r="C4226" s="10" t="s">
        <v>494</v>
      </c>
      <c r="D4226" s="10"/>
      <c r="E4226" s="10" t="s">
        <v>476</v>
      </c>
      <c r="F4226" s="10"/>
      <c r="G4226" s="10">
        <v>1734</v>
      </c>
      <c r="H4226" s="10" t="s">
        <v>368</v>
      </c>
      <c r="I4226" s="10" t="s">
        <v>369</v>
      </c>
      <c r="J4226" s="10"/>
      <c r="K4226" s="16"/>
      <c r="L4226" s="31"/>
      <c r="M4226" s="10"/>
      <c r="N4226" s="10"/>
      <c r="O4226" s="10"/>
      <c r="P4226" s="10"/>
      <c r="Q4226" s="10"/>
      <c r="R4226" s="10"/>
    </row>
    <row r="4227" spans="1:18">
      <c r="A4227" s="10"/>
      <c r="B4227" s="10" t="s">
        <v>633</v>
      </c>
      <c r="C4227" s="10" t="s">
        <v>493</v>
      </c>
      <c r="D4227" s="10">
        <v>50</v>
      </c>
      <c r="E4227" s="10"/>
      <c r="F4227" s="10"/>
      <c r="G4227" s="10"/>
      <c r="H4227" s="10"/>
      <c r="I4227" s="10"/>
      <c r="J4227" s="10"/>
      <c r="K4227" s="16"/>
      <c r="L4227" s="31"/>
      <c r="M4227" s="10"/>
      <c r="N4227" s="10"/>
      <c r="O4227" s="10"/>
      <c r="P4227" s="10"/>
      <c r="Q4227" s="10"/>
      <c r="R4227" s="10"/>
    </row>
    <row r="4228" spans="1:18">
      <c r="A4228" s="10"/>
      <c r="B4228" s="10"/>
      <c r="C4228" s="10"/>
      <c r="D4228" s="10"/>
      <c r="E4228" s="10"/>
      <c r="F4228" s="10"/>
      <c r="G4228" s="10"/>
      <c r="H4228" s="10"/>
      <c r="I4228" s="10"/>
      <c r="J4228" s="10"/>
      <c r="K4228" s="16"/>
      <c r="L4228" s="31"/>
      <c r="M4228" s="10"/>
      <c r="N4228" s="10"/>
      <c r="O4228" s="10"/>
      <c r="P4228" s="10"/>
      <c r="Q4228" s="10"/>
      <c r="R4228" s="10"/>
    </row>
    <row r="4229" spans="1:18">
      <c r="A4229" s="64" t="s">
        <v>2013</v>
      </c>
      <c r="B4229" s="66" t="s">
        <v>2014</v>
      </c>
      <c r="C4229" s="62" t="s">
        <v>493</v>
      </c>
      <c r="D4229" s="64">
        <v>1</v>
      </c>
      <c r="E4229" s="64" t="s">
        <v>476</v>
      </c>
      <c r="F4229" s="10"/>
      <c r="G4229" s="10"/>
      <c r="H4229" s="10"/>
      <c r="I4229" s="10"/>
      <c r="J4229" s="10"/>
      <c r="K4229" s="16"/>
      <c r="L4229" s="15"/>
      <c r="M4229" s="14"/>
      <c r="O4229" s="23"/>
      <c r="P4229" s="23"/>
      <c r="Q4229" s="10"/>
      <c r="R4229" s="10"/>
    </row>
    <row r="4230" spans="1:18">
      <c r="A4230" s="10"/>
      <c r="B4230" s="66" t="s">
        <v>2015</v>
      </c>
      <c r="C4230" s="62" t="s">
        <v>493</v>
      </c>
      <c r="D4230" s="64">
        <v>20</v>
      </c>
      <c r="E4230" s="10"/>
      <c r="F4230" s="10"/>
      <c r="G4230" s="10"/>
      <c r="H4230" s="10"/>
      <c r="I4230" s="10"/>
      <c r="J4230" s="10"/>
      <c r="K4230" s="16"/>
      <c r="L4230" s="15"/>
      <c r="M4230" s="14"/>
      <c r="O4230" s="23"/>
      <c r="P4230" s="23"/>
      <c r="Q4230" s="10"/>
      <c r="R4230" s="10"/>
    </row>
    <row r="4231" spans="1:18">
      <c r="A4231" s="10"/>
      <c r="B4231" s="66" t="s">
        <v>2016</v>
      </c>
      <c r="C4231" s="62" t="s">
        <v>493</v>
      </c>
      <c r="D4231" s="64">
        <v>1</v>
      </c>
      <c r="E4231" s="10"/>
      <c r="F4231" s="10"/>
      <c r="G4231" s="10"/>
      <c r="H4231" s="10"/>
      <c r="I4231" s="10"/>
      <c r="J4231" s="10"/>
      <c r="K4231" s="16"/>
      <c r="L4231" s="15"/>
      <c r="M4231" s="14"/>
      <c r="O4231" s="23"/>
      <c r="P4231" s="23"/>
      <c r="Q4231" s="10"/>
      <c r="R4231" s="10"/>
    </row>
    <row r="4232" spans="1:18">
      <c r="A4232" s="10"/>
      <c r="B4232" s="66" t="s">
        <v>2017</v>
      </c>
      <c r="C4232" s="62" t="s">
        <v>494</v>
      </c>
      <c r="D4232" s="10"/>
      <c r="E4232" s="10"/>
      <c r="F4232" s="10"/>
      <c r="G4232" s="10"/>
      <c r="H4232" s="64" t="s">
        <v>2026</v>
      </c>
      <c r="I4232" s="10"/>
      <c r="J4232" s="10"/>
      <c r="K4232" s="16"/>
      <c r="L4232" s="15"/>
      <c r="M4232" s="14"/>
      <c r="O4232" s="23"/>
      <c r="P4232" s="23"/>
      <c r="Q4232" s="10"/>
      <c r="R4232" s="10"/>
    </row>
    <row r="4233" spans="1:18">
      <c r="A4233" s="10"/>
      <c r="B4233" s="66"/>
      <c r="C4233" s="62"/>
      <c r="D4233" s="10"/>
      <c r="E4233" s="10"/>
      <c r="F4233" s="10"/>
      <c r="G4233" s="10"/>
      <c r="H4233" s="10"/>
      <c r="I4233" s="10"/>
      <c r="J4233" s="10"/>
      <c r="K4233" s="16"/>
      <c r="L4233" s="15"/>
      <c r="M4233" s="14"/>
      <c r="O4233" s="23"/>
      <c r="P4233" s="23"/>
      <c r="Q4233" s="10"/>
      <c r="R4233" s="10"/>
    </row>
    <row r="4234" spans="1:18">
      <c r="A4234" s="64" t="s">
        <v>2851</v>
      </c>
      <c r="B4234" s="64" t="s">
        <v>2852</v>
      </c>
      <c r="C4234" s="64" t="s">
        <v>494</v>
      </c>
      <c r="D4234" s="10"/>
      <c r="E4234" s="64" t="s">
        <v>476</v>
      </c>
      <c r="F4234" s="10">
        <v>17</v>
      </c>
      <c r="G4234" s="10">
        <v>1739</v>
      </c>
      <c r="H4234" s="64" t="s">
        <v>2861</v>
      </c>
      <c r="I4234" s="64" t="s">
        <v>2862</v>
      </c>
      <c r="J4234" s="10">
        <v>1</v>
      </c>
      <c r="K4234" s="16">
        <v>1</v>
      </c>
      <c r="L4234" s="15">
        <v>3</v>
      </c>
      <c r="M4234" s="14"/>
      <c r="N4234" s="64" t="s">
        <v>506</v>
      </c>
      <c r="O4234" s="64" t="s">
        <v>514</v>
      </c>
      <c r="P4234" s="1" t="s">
        <v>515</v>
      </c>
      <c r="Q4234" s="10"/>
      <c r="R4234" s="10"/>
    </row>
    <row r="4235" spans="1:18">
      <c r="A4235" s="10"/>
      <c r="B4235" s="64" t="s">
        <v>2853</v>
      </c>
      <c r="C4235" s="64" t="s">
        <v>494</v>
      </c>
      <c r="D4235" s="10"/>
      <c r="E4235" s="64" t="s">
        <v>476</v>
      </c>
      <c r="F4235" s="10"/>
      <c r="G4235" s="10"/>
      <c r="H4235" s="10"/>
      <c r="I4235" s="10"/>
      <c r="J4235" s="10"/>
      <c r="K4235" s="16">
        <v>2</v>
      </c>
      <c r="L4235" s="15">
        <v>3</v>
      </c>
      <c r="M4235" s="14"/>
      <c r="N4235" s="62" t="s">
        <v>269</v>
      </c>
      <c r="O4235" s="23" t="s">
        <v>270</v>
      </c>
      <c r="P4235" s="23" t="s">
        <v>271</v>
      </c>
      <c r="Q4235" s="10"/>
      <c r="R4235" s="10"/>
    </row>
    <row r="4236" spans="1:18">
      <c r="A4236" s="10"/>
      <c r="B4236" s="64" t="s">
        <v>2854</v>
      </c>
      <c r="C4236" s="64" t="s">
        <v>494</v>
      </c>
      <c r="D4236" s="10"/>
      <c r="E4236" s="64" t="s">
        <v>476</v>
      </c>
      <c r="F4236" s="10"/>
      <c r="G4236" s="10"/>
      <c r="H4236" s="10"/>
      <c r="I4236" s="10"/>
      <c r="J4236" s="10"/>
      <c r="K4236" s="16">
        <v>3</v>
      </c>
      <c r="L4236" s="15">
        <v>6</v>
      </c>
      <c r="M4236" s="14"/>
      <c r="O4236" s="23"/>
      <c r="P4236" s="23"/>
      <c r="Q4236" s="10"/>
      <c r="R4236" s="10"/>
    </row>
    <row r="4237" spans="1:18">
      <c r="A4237" s="10"/>
      <c r="B4237" s="64" t="s">
        <v>2855</v>
      </c>
      <c r="C4237" s="64" t="s">
        <v>494</v>
      </c>
      <c r="D4237" s="10"/>
      <c r="E4237" s="10"/>
      <c r="F4237" s="10"/>
      <c r="G4237" s="10"/>
      <c r="H4237" s="10"/>
      <c r="I4237" s="10"/>
      <c r="J4237" s="10"/>
      <c r="K4237" s="16">
        <v>4</v>
      </c>
      <c r="L4237" s="15">
        <v>6</v>
      </c>
      <c r="M4237" s="14"/>
      <c r="O4237" s="23"/>
      <c r="P4237" s="23"/>
      <c r="Q4237" s="10"/>
      <c r="R4237" s="10"/>
    </row>
    <row r="4238" spans="1:18">
      <c r="A4238" s="10"/>
      <c r="B4238" s="64" t="s">
        <v>2864</v>
      </c>
      <c r="C4238" s="64" t="s">
        <v>493</v>
      </c>
      <c r="D4238" s="10">
        <v>1</v>
      </c>
      <c r="E4238" s="10"/>
      <c r="F4238" s="10"/>
      <c r="G4238" s="10"/>
      <c r="H4238" s="10"/>
      <c r="I4238" s="10"/>
      <c r="J4238" s="10"/>
      <c r="K4238" s="16">
        <v>5</v>
      </c>
      <c r="L4238" s="15">
        <v>3</v>
      </c>
      <c r="M4238" s="14"/>
      <c r="O4238" s="23"/>
      <c r="P4238" s="23"/>
      <c r="Q4238" s="10"/>
      <c r="R4238" s="10"/>
    </row>
    <row r="4239" spans="1:18">
      <c r="A4239" s="10"/>
      <c r="B4239" s="64" t="s">
        <v>2851</v>
      </c>
      <c r="C4239" s="64" t="s">
        <v>520</v>
      </c>
      <c r="D4239" s="10"/>
      <c r="E4239" s="10"/>
      <c r="F4239" s="10"/>
      <c r="G4239" s="10"/>
      <c r="H4239" s="10"/>
      <c r="I4239" s="10"/>
      <c r="J4239" s="10"/>
      <c r="K4239" s="16">
        <v>6</v>
      </c>
      <c r="L4239" s="15"/>
      <c r="M4239" s="14"/>
      <c r="O4239" s="23"/>
      <c r="P4239" s="23"/>
      <c r="Q4239" s="10"/>
      <c r="R4239" s="10"/>
    </row>
    <row r="4240" spans="1:18">
      <c r="A4240" s="10"/>
      <c r="B4240" s="45"/>
      <c r="C4240" s="45"/>
      <c r="D4240" s="10"/>
      <c r="E4240" s="10"/>
      <c r="F4240" s="10"/>
      <c r="G4240" s="10"/>
      <c r="H4240" s="10"/>
      <c r="I4240" s="10"/>
      <c r="J4240" s="10"/>
      <c r="K4240" s="16"/>
      <c r="L4240" s="15"/>
      <c r="M4240" s="14"/>
      <c r="O4240" s="23"/>
      <c r="P4240" s="23"/>
      <c r="Q4240" s="10"/>
      <c r="R4240" s="10"/>
    </row>
    <row r="4241" spans="1:18">
      <c r="A4241" s="64" t="s">
        <v>2856</v>
      </c>
      <c r="B4241" s="64" t="s">
        <v>2857</v>
      </c>
      <c r="C4241" s="64" t="s">
        <v>494</v>
      </c>
      <c r="D4241" s="10"/>
      <c r="E4241" s="64" t="s">
        <v>476</v>
      </c>
      <c r="F4241" s="10">
        <v>17</v>
      </c>
      <c r="G4241" s="10">
        <v>1740</v>
      </c>
      <c r="H4241" s="64" t="s">
        <v>2863</v>
      </c>
      <c r="I4241" s="10"/>
      <c r="J4241" s="10"/>
      <c r="K4241" s="16">
        <v>1</v>
      </c>
      <c r="L4241" s="15">
        <v>52</v>
      </c>
      <c r="M4241" s="14"/>
      <c r="N4241" s="1">
        <v>1739</v>
      </c>
      <c r="O4241" s="64" t="s">
        <v>2855</v>
      </c>
      <c r="P4241" s="23"/>
      <c r="Q4241" s="10"/>
      <c r="R4241" s="10"/>
    </row>
    <row r="4242" spans="1:18">
      <c r="A4242" s="10"/>
      <c r="B4242" s="64" t="s">
        <v>2858</v>
      </c>
      <c r="C4242" s="64" t="s">
        <v>494</v>
      </c>
      <c r="D4242" s="10"/>
      <c r="E4242" s="64" t="s">
        <v>476</v>
      </c>
      <c r="F4242" s="10"/>
      <c r="G4242" s="10"/>
      <c r="H4242" s="10"/>
      <c r="I4242" s="10"/>
      <c r="J4242" s="10"/>
      <c r="K4242" s="16">
        <v>2</v>
      </c>
      <c r="L4242" s="15">
        <v>3</v>
      </c>
      <c r="M4242" s="14"/>
      <c r="N4242" s="62" t="s">
        <v>285</v>
      </c>
      <c r="O4242" s="23" t="s">
        <v>992</v>
      </c>
      <c r="P4242" s="60" t="s">
        <v>993</v>
      </c>
      <c r="Q4242" s="10"/>
      <c r="R4242" s="10"/>
    </row>
    <row r="4243" spans="1:18">
      <c r="A4243" s="10"/>
      <c r="B4243" s="64" t="s">
        <v>2859</v>
      </c>
      <c r="C4243" s="64" t="s">
        <v>494</v>
      </c>
      <c r="D4243" s="10"/>
      <c r="E4243" s="10"/>
      <c r="F4243" s="10"/>
      <c r="G4243" s="10"/>
      <c r="H4243" s="10"/>
      <c r="I4243" s="10"/>
      <c r="J4243" s="10"/>
      <c r="K4243" s="16">
        <v>3</v>
      </c>
      <c r="L4243" s="15">
        <v>6</v>
      </c>
      <c r="M4243" s="14"/>
      <c r="O4243" s="23"/>
      <c r="P4243" s="23"/>
      <c r="Q4243" s="10"/>
      <c r="R4243" s="10"/>
    </row>
    <row r="4244" spans="1:18">
      <c r="A4244" s="10"/>
      <c r="B4244" s="64" t="s">
        <v>2860</v>
      </c>
      <c r="C4244" s="64" t="s">
        <v>493</v>
      </c>
      <c r="D4244" s="10">
        <v>1</v>
      </c>
      <c r="E4244" s="10"/>
      <c r="F4244" s="10"/>
      <c r="G4244" s="10"/>
      <c r="H4244" s="10"/>
      <c r="I4244" s="10"/>
      <c r="J4244" s="10"/>
      <c r="K4244" s="16">
        <v>4</v>
      </c>
      <c r="L4244" s="15">
        <v>3</v>
      </c>
      <c r="M4244" s="14"/>
      <c r="O4244" s="23"/>
      <c r="P4244" s="23"/>
      <c r="Q4244" s="10"/>
      <c r="R4244" s="10"/>
    </row>
    <row r="4245" spans="1:18">
      <c r="A4245" s="10"/>
      <c r="B4245" s="45"/>
      <c r="C4245" s="45"/>
      <c r="D4245" s="10"/>
      <c r="E4245" s="10"/>
      <c r="F4245" s="10"/>
      <c r="G4245" s="10"/>
      <c r="H4245" s="10"/>
      <c r="I4245" s="10"/>
      <c r="J4245" s="10"/>
      <c r="K4245" s="16"/>
      <c r="L4245" s="15"/>
      <c r="M4245" s="14"/>
      <c r="O4245" s="23"/>
      <c r="P4245" s="23"/>
      <c r="Q4245" s="10"/>
      <c r="R4245" s="10"/>
    </row>
    <row r="4246" spans="1:18" s="3" customFormat="1">
      <c r="A4246" s="62" t="s">
        <v>2886</v>
      </c>
      <c r="B4246" s="62" t="s">
        <v>2887</v>
      </c>
      <c r="C4246" s="62" t="s">
        <v>493</v>
      </c>
      <c r="D4246" s="62">
        <v>50</v>
      </c>
      <c r="E4246" s="62" t="s">
        <v>476</v>
      </c>
      <c r="F4246" s="62">
        <v>17</v>
      </c>
      <c r="G4246" s="62">
        <v>1741</v>
      </c>
      <c r="H4246" s="62" t="s">
        <v>2890</v>
      </c>
      <c r="I4246" s="62" t="s">
        <v>2891</v>
      </c>
      <c r="J4246" s="62">
        <v>1</v>
      </c>
      <c r="K4246" s="76">
        <v>1</v>
      </c>
      <c r="L4246" s="62"/>
      <c r="M4246" s="62"/>
      <c r="N4246" s="62"/>
      <c r="O4246" s="62"/>
      <c r="P4246" s="62"/>
      <c r="Q4246" s="12"/>
      <c r="R4246" s="12"/>
    </row>
    <row r="4247" spans="1:18" s="3" customFormat="1">
      <c r="A4247" s="62"/>
      <c r="B4247" s="62" t="s">
        <v>2888</v>
      </c>
      <c r="C4247" s="62" t="s">
        <v>494</v>
      </c>
      <c r="D4247" s="62"/>
      <c r="E4247" s="62"/>
      <c r="F4247" s="62"/>
      <c r="G4247" s="62"/>
      <c r="H4247" s="62"/>
      <c r="I4247" s="62"/>
      <c r="J4247" s="62"/>
      <c r="K4247" s="76">
        <v>2</v>
      </c>
      <c r="L4247" s="62">
        <v>6</v>
      </c>
      <c r="M4247" s="62"/>
      <c r="N4247" s="62"/>
      <c r="O4247" s="62"/>
      <c r="P4247" s="62"/>
      <c r="Q4247" s="12"/>
      <c r="R4247" s="12"/>
    </row>
    <row r="4248" spans="1:18" s="3" customFormat="1">
      <c r="A4248" s="62"/>
      <c r="B4248" s="62" t="s">
        <v>2889</v>
      </c>
      <c r="C4248" s="62" t="s">
        <v>493</v>
      </c>
      <c r="D4248" s="62">
        <v>250</v>
      </c>
      <c r="E4248" s="62"/>
      <c r="F4248" s="62"/>
      <c r="G4248" s="62"/>
      <c r="H4248" s="62"/>
      <c r="I4248" s="62"/>
      <c r="J4248" s="62"/>
      <c r="K4248" s="76">
        <v>3</v>
      </c>
      <c r="L4248" s="62"/>
      <c r="M4248" s="62"/>
      <c r="N4248" s="62"/>
      <c r="O4248" s="62"/>
      <c r="P4248" s="62"/>
      <c r="Q4248" s="12"/>
      <c r="R4248" s="12"/>
    </row>
    <row r="4249" spans="1:18" s="3" customFormat="1">
      <c r="A4249" s="62"/>
      <c r="B4249" s="62"/>
      <c r="C4249" s="62"/>
      <c r="D4249" s="62"/>
      <c r="E4249" s="62"/>
      <c r="F4249" s="62"/>
      <c r="G4249" s="62"/>
      <c r="H4249" s="62"/>
      <c r="I4249" s="62"/>
      <c r="J4249" s="62"/>
      <c r="K4249" s="76"/>
      <c r="L4249" s="62"/>
      <c r="M4249" s="62"/>
      <c r="N4249" s="62"/>
      <c r="O4249" s="62"/>
      <c r="P4249" s="62"/>
      <c r="Q4249" s="12"/>
      <c r="R4249" s="12"/>
    </row>
    <row r="4250" spans="1:18">
      <c r="A4250" s="45" t="s">
        <v>1394</v>
      </c>
      <c r="B4250" s="45" t="s">
        <v>1395</v>
      </c>
      <c r="C4250" s="45" t="s">
        <v>494</v>
      </c>
      <c r="D4250" s="10"/>
      <c r="E4250" s="45" t="s">
        <v>476</v>
      </c>
      <c r="F4250" s="10">
        <v>17</v>
      </c>
      <c r="G4250" s="10">
        <v>1795</v>
      </c>
      <c r="H4250" s="45" t="s">
        <v>1397</v>
      </c>
      <c r="I4250" s="45" t="s">
        <v>1398</v>
      </c>
      <c r="J4250" s="10">
        <v>11</v>
      </c>
      <c r="K4250" s="16">
        <v>1</v>
      </c>
      <c r="L4250" s="53">
        <v>3</v>
      </c>
      <c r="M4250" s="10"/>
      <c r="N4250" s="45" t="s">
        <v>506</v>
      </c>
      <c r="O4250" s="10" t="s">
        <v>514</v>
      </c>
      <c r="P4250" s="1" t="s">
        <v>515</v>
      </c>
      <c r="Q4250" s="10"/>
      <c r="R4250" s="10"/>
    </row>
    <row r="4251" spans="1:18">
      <c r="A4251" s="10"/>
      <c r="B4251" s="45" t="s">
        <v>1396</v>
      </c>
      <c r="C4251" s="45" t="s">
        <v>494</v>
      </c>
      <c r="D4251" s="10"/>
      <c r="E4251" s="45" t="s">
        <v>476</v>
      </c>
      <c r="F4251" s="10"/>
      <c r="G4251" s="10"/>
      <c r="H4251" s="10"/>
      <c r="I4251" s="10"/>
      <c r="J4251" s="10"/>
      <c r="K4251" s="16">
        <v>2</v>
      </c>
      <c r="L4251" s="31">
        <v>3</v>
      </c>
      <c r="M4251" s="10"/>
      <c r="N4251" s="1" t="s">
        <v>995</v>
      </c>
      <c r="O4251" s="23" t="s">
        <v>997</v>
      </c>
      <c r="P4251" s="23" t="s">
        <v>996</v>
      </c>
      <c r="Q4251" s="10"/>
      <c r="R4251" s="10"/>
    </row>
    <row r="4252" spans="1:18">
      <c r="A4252" s="10"/>
      <c r="B4252" s="45" t="s">
        <v>1399</v>
      </c>
      <c r="C4252" s="45" t="s">
        <v>494</v>
      </c>
      <c r="D4252" s="10"/>
      <c r="E4252" s="45" t="s">
        <v>476</v>
      </c>
      <c r="F4252" s="10"/>
      <c r="G4252" s="10"/>
      <c r="H4252" s="10"/>
      <c r="I4252" s="10"/>
      <c r="J4252" s="10"/>
      <c r="K4252" s="16">
        <v>3</v>
      </c>
      <c r="L4252" s="31">
        <v>3</v>
      </c>
      <c r="M4252" s="10"/>
      <c r="N4252" s="1" t="s">
        <v>1056</v>
      </c>
      <c r="O4252" s="23" t="s">
        <v>1058</v>
      </c>
      <c r="P4252" s="23" t="s">
        <v>1059</v>
      </c>
      <c r="Q4252" s="10"/>
      <c r="R4252" s="10"/>
    </row>
    <row r="4253" spans="1:18">
      <c r="A4253" s="10"/>
      <c r="B4253" s="64" t="s">
        <v>1873</v>
      </c>
      <c r="C4253" s="64" t="s">
        <v>493</v>
      </c>
      <c r="D4253" s="10">
        <v>1</v>
      </c>
      <c r="E4253" s="45" t="s">
        <v>476</v>
      </c>
      <c r="F4253" s="10"/>
      <c r="G4253" s="10"/>
      <c r="H4253" s="10"/>
      <c r="I4253" s="10"/>
      <c r="J4253" s="10"/>
      <c r="K4253" s="16">
        <v>4</v>
      </c>
      <c r="L4253" s="68">
        <v>3</v>
      </c>
      <c r="M4253" s="10"/>
      <c r="O4253" s="23"/>
      <c r="P4253" s="23"/>
      <c r="Q4253" s="10"/>
      <c r="R4253" s="10"/>
    </row>
    <row r="4254" spans="1:18">
      <c r="A4254" s="10"/>
      <c r="B4254" s="45" t="s">
        <v>1413</v>
      </c>
      <c r="C4254" s="45" t="s">
        <v>494</v>
      </c>
      <c r="D4254" s="10"/>
      <c r="E4254" s="45"/>
      <c r="F4254" s="10"/>
      <c r="G4254" s="10"/>
      <c r="H4254" s="10"/>
      <c r="I4254" s="10"/>
      <c r="J4254" s="10"/>
      <c r="K4254" s="16">
        <v>5</v>
      </c>
      <c r="L4254" s="54">
        <v>6</v>
      </c>
      <c r="M4254" s="10"/>
      <c r="O4254" s="23"/>
      <c r="P4254" s="23"/>
      <c r="Q4254" s="10"/>
      <c r="R4254" s="10"/>
    </row>
    <row r="4255" spans="1:18">
      <c r="A4255" s="10"/>
      <c r="B4255" s="45" t="s">
        <v>1412</v>
      </c>
      <c r="C4255" s="45" t="s">
        <v>494</v>
      </c>
      <c r="D4255" s="10"/>
      <c r="E4255" s="10"/>
      <c r="F4255" s="10"/>
      <c r="G4255" s="10"/>
      <c r="H4255" s="10"/>
      <c r="I4255" s="10"/>
      <c r="J4255" s="10"/>
      <c r="K4255" s="16">
        <v>6</v>
      </c>
      <c r="L4255" s="31"/>
      <c r="M4255" s="10"/>
      <c r="O4255" s="23"/>
      <c r="P4255" s="23"/>
      <c r="Q4255" s="10"/>
      <c r="R4255" s="10"/>
    </row>
    <row r="4256" spans="1:18">
      <c r="A4256" s="10"/>
      <c r="B4256" s="45" t="s">
        <v>1400</v>
      </c>
      <c r="C4256" s="45" t="s">
        <v>494</v>
      </c>
      <c r="D4256" s="10"/>
      <c r="E4256" s="10"/>
      <c r="F4256" s="10"/>
      <c r="G4256" s="10"/>
      <c r="H4256" s="10"/>
      <c r="I4256" s="10"/>
      <c r="J4256" s="10"/>
      <c r="K4256" s="16">
        <v>7</v>
      </c>
      <c r="L4256" s="31"/>
      <c r="M4256" s="10"/>
      <c r="O4256" s="23"/>
      <c r="P4256" s="23"/>
      <c r="Q4256" s="10"/>
      <c r="R4256" s="10"/>
    </row>
    <row r="4257" spans="1:18">
      <c r="A4257" s="10"/>
      <c r="B4257" s="45" t="s">
        <v>1401</v>
      </c>
      <c r="C4257" s="45" t="s">
        <v>494</v>
      </c>
      <c r="D4257" s="10"/>
      <c r="E4257" s="10"/>
      <c r="F4257" s="10"/>
      <c r="G4257" s="10"/>
      <c r="H4257" s="10"/>
      <c r="I4257" s="10"/>
      <c r="J4257" s="10"/>
      <c r="K4257" s="16">
        <v>8</v>
      </c>
      <c r="L4257" s="31"/>
      <c r="M4257" s="10"/>
      <c r="O4257" s="23"/>
      <c r="P4257" s="23"/>
      <c r="Q4257" s="10"/>
      <c r="R4257" s="10"/>
    </row>
    <row r="4258" spans="1:18">
      <c r="A4258" s="10"/>
      <c r="B4258" s="45" t="s">
        <v>1402</v>
      </c>
      <c r="C4258" s="45" t="s">
        <v>494</v>
      </c>
      <c r="D4258" s="10"/>
      <c r="E4258" s="10"/>
      <c r="F4258" s="10"/>
      <c r="G4258" s="10"/>
      <c r="H4258" s="10"/>
      <c r="I4258" s="10"/>
      <c r="J4258" s="10"/>
      <c r="K4258" s="16">
        <v>9</v>
      </c>
      <c r="L4258" s="31"/>
      <c r="M4258" s="10"/>
      <c r="O4258" s="23"/>
      <c r="P4258" s="23"/>
      <c r="Q4258" s="10"/>
      <c r="R4258" s="10"/>
    </row>
    <row r="4259" spans="1:18">
      <c r="A4259" s="10"/>
      <c r="B4259" s="45" t="s">
        <v>1403</v>
      </c>
      <c r="C4259" s="45" t="s">
        <v>494</v>
      </c>
      <c r="D4259" s="10"/>
      <c r="E4259" s="10"/>
      <c r="F4259" s="10"/>
      <c r="G4259" s="10"/>
      <c r="H4259" s="10"/>
      <c r="I4259" s="10"/>
      <c r="J4259" s="10"/>
      <c r="K4259" s="16">
        <v>10</v>
      </c>
      <c r="L4259" s="31"/>
      <c r="M4259" s="10"/>
      <c r="O4259" s="23"/>
      <c r="P4259" s="23"/>
      <c r="Q4259" s="10"/>
      <c r="R4259" s="10"/>
    </row>
    <row r="4260" spans="1:18">
      <c r="A4260" s="10"/>
      <c r="B4260" s="45" t="s">
        <v>1404</v>
      </c>
      <c r="C4260" s="45" t="s">
        <v>494</v>
      </c>
      <c r="D4260" s="10"/>
      <c r="E4260" s="10"/>
      <c r="F4260" s="10"/>
      <c r="G4260" s="10"/>
      <c r="H4260" s="10"/>
      <c r="I4260" s="10"/>
      <c r="J4260" s="10"/>
      <c r="K4260" s="16">
        <v>11</v>
      </c>
      <c r="L4260" s="31"/>
      <c r="M4260" s="10"/>
      <c r="O4260" s="23"/>
      <c r="P4260" s="23"/>
      <c r="Q4260" s="10"/>
      <c r="R4260" s="10"/>
    </row>
    <row r="4261" spans="1:18">
      <c r="A4261" s="10"/>
      <c r="B4261" s="45" t="s">
        <v>1405</v>
      </c>
      <c r="C4261" s="45" t="s">
        <v>494</v>
      </c>
      <c r="D4261" s="10"/>
      <c r="E4261" s="10"/>
      <c r="F4261" s="10"/>
      <c r="G4261" s="10"/>
      <c r="H4261" s="10"/>
      <c r="I4261" s="10"/>
      <c r="J4261" s="10"/>
      <c r="K4261" s="16">
        <v>12</v>
      </c>
      <c r="L4261" s="31"/>
      <c r="M4261" s="10"/>
      <c r="O4261" s="23"/>
      <c r="P4261" s="23"/>
      <c r="Q4261" s="10"/>
      <c r="R4261" s="10"/>
    </row>
    <row r="4262" spans="1:18">
      <c r="A4262" s="10"/>
      <c r="B4262" s="45" t="s">
        <v>1406</v>
      </c>
      <c r="C4262" s="45" t="s">
        <v>494</v>
      </c>
      <c r="D4262" s="10"/>
      <c r="E4262" s="10"/>
      <c r="F4262" s="10"/>
      <c r="G4262" s="10"/>
      <c r="H4262" s="10"/>
      <c r="I4262" s="10"/>
      <c r="J4262" s="10"/>
      <c r="K4262" s="16">
        <v>13</v>
      </c>
      <c r="L4262" s="31"/>
      <c r="M4262" s="10"/>
      <c r="O4262" s="23"/>
      <c r="P4262" s="23"/>
      <c r="Q4262" s="10"/>
      <c r="R4262" s="10"/>
    </row>
    <row r="4263" spans="1:18">
      <c r="A4263" s="10"/>
      <c r="B4263" s="45" t="s">
        <v>1407</v>
      </c>
      <c r="C4263" s="45" t="s">
        <v>494</v>
      </c>
      <c r="D4263" s="10"/>
      <c r="E4263" s="10"/>
      <c r="F4263" s="10"/>
      <c r="G4263" s="10"/>
      <c r="H4263" s="10"/>
      <c r="I4263" s="10"/>
      <c r="J4263" s="10"/>
      <c r="K4263" s="16">
        <v>14</v>
      </c>
      <c r="L4263" s="31"/>
      <c r="M4263" s="10"/>
      <c r="O4263" s="23"/>
      <c r="P4263" s="23"/>
      <c r="Q4263" s="10"/>
      <c r="R4263" s="10"/>
    </row>
    <row r="4264" spans="1:18">
      <c r="A4264" s="10"/>
      <c r="B4264" s="45" t="s">
        <v>1408</v>
      </c>
      <c r="C4264" s="45" t="s">
        <v>494</v>
      </c>
      <c r="D4264" s="10"/>
      <c r="E4264" s="10"/>
      <c r="F4264" s="10"/>
      <c r="G4264" s="10"/>
      <c r="H4264" s="10"/>
      <c r="I4264" s="10"/>
      <c r="J4264" s="10"/>
      <c r="K4264" s="16">
        <v>15</v>
      </c>
      <c r="L4264" s="31"/>
      <c r="M4264" s="10"/>
      <c r="O4264" s="23"/>
      <c r="P4264" s="23"/>
      <c r="Q4264" s="10"/>
      <c r="R4264" s="10"/>
    </row>
    <row r="4265" spans="1:18">
      <c r="A4265" s="10"/>
      <c r="B4265" s="64" t="s">
        <v>1872</v>
      </c>
      <c r="C4265" s="45" t="s">
        <v>494</v>
      </c>
      <c r="D4265" s="10"/>
      <c r="E4265" s="10"/>
      <c r="F4265" s="10"/>
      <c r="G4265" s="10"/>
      <c r="H4265" s="10"/>
      <c r="I4265" s="10"/>
      <c r="J4265" s="10"/>
      <c r="K4265" s="16">
        <v>16</v>
      </c>
      <c r="L4265" s="31"/>
      <c r="M4265" s="10"/>
      <c r="O4265" s="23"/>
      <c r="P4265" s="23"/>
      <c r="Q4265" s="10"/>
      <c r="R4265" s="10"/>
    </row>
    <row r="4266" spans="1:18">
      <c r="A4266" s="10"/>
      <c r="B4266" s="45" t="s">
        <v>1409</v>
      </c>
      <c r="C4266" s="45" t="s">
        <v>494</v>
      </c>
      <c r="D4266" s="10"/>
      <c r="E4266" s="10"/>
      <c r="F4266" s="10"/>
      <c r="G4266" s="10"/>
      <c r="H4266" s="10"/>
      <c r="I4266" s="10"/>
      <c r="J4266" s="10"/>
      <c r="K4266" s="16">
        <v>17</v>
      </c>
      <c r="L4266" s="31"/>
      <c r="M4266" s="10"/>
      <c r="O4266" s="23"/>
      <c r="P4266" s="23"/>
      <c r="Q4266" s="10"/>
      <c r="R4266" s="10"/>
    </row>
    <row r="4267" spans="1:18">
      <c r="A4267" s="10"/>
      <c r="B4267" s="45" t="s">
        <v>1410</v>
      </c>
      <c r="C4267" s="45" t="s">
        <v>494</v>
      </c>
      <c r="D4267" s="10"/>
      <c r="E4267" s="10"/>
      <c r="F4267" s="10"/>
      <c r="G4267" s="10"/>
      <c r="H4267" s="10"/>
      <c r="I4267" s="10"/>
      <c r="J4267" s="10"/>
      <c r="K4267" s="16">
        <v>18</v>
      </c>
      <c r="L4267" s="31"/>
      <c r="M4267" s="10"/>
      <c r="O4267" s="23"/>
      <c r="P4267" s="23"/>
      <c r="Q4267" s="10"/>
      <c r="R4267" s="10"/>
    </row>
    <row r="4268" spans="1:18">
      <c r="A4268" s="10"/>
      <c r="B4268" s="45" t="s">
        <v>1411</v>
      </c>
      <c r="C4268" s="45" t="s">
        <v>494</v>
      </c>
      <c r="D4268" s="10"/>
      <c r="E4268" s="10"/>
      <c r="F4268" s="10"/>
      <c r="G4268" s="10"/>
      <c r="H4268" s="10"/>
      <c r="I4268" s="10"/>
      <c r="J4268" s="10"/>
      <c r="K4268" s="16">
        <v>19</v>
      </c>
      <c r="L4268" s="31"/>
      <c r="M4268" s="10"/>
      <c r="O4268" s="23"/>
      <c r="P4268" s="23"/>
      <c r="Q4268" s="10"/>
      <c r="R4268" s="10"/>
    </row>
    <row r="4269" spans="1:18">
      <c r="A4269" s="10"/>
      <c r="B4269" s="45"/>
      <c r="C4269" s="45"/>
      <c r="D4269" s="10"/>
      <c r="E4269" s="10"/>
      <c r="F4269" s="10"/>
      <c r="G4269" s="10"/>
      <c r="H4269" s="10"/>
      <c r="I4269" s="10"/>
      <c r="J4269" s="10"/>
      <c r="K4269" s="16"/>
      <c r="L4269" s="31"/>
      <c r="M4269" s="10"/>
      <c r="O4269" s="23"/>
      <c r="P4269" s="23"/>
      <c r="Q4269" s="10"/>
      <c r="R4269" s="10"/>
    </row>
    <row r="4270" spans="1:18">
      <c r="A4270" s="44" t="s">
        <v>1346</v>
      </c>
      <c r="B4270" s="43" t="s">
        <v>1347</v>
      </c>
      <c r="C4270" s="44" t="s">
        <v>494</v>
      </c>
      <c r="E4270" s="44" t="s">
        <v>476</v>
      </c>
      <c r="F4270" s="14">
        <v>17</v>
      </c>
      <c r="G4270" s="14">
        <v>1797</v>
      </c>
      <c r="H4270" s="47" t="s">
        <v>1379</v>
      </c>
      <c r="I4270" s="48" t="s">
        <v>1380</v>
      </c>
      <c r="J4270" s="14">
        <v>11</v>
      </c>
      <c r="K4270" s="16">
        <v>1</v>
      </c>
      <c r="L4270" s="15"/>
      <c r="M4270" s="14"/>
      <c r="P4270" s="14"/>
      <c r="Q4270" s="14"/>
      <c r="R4270" s="14"/>
    </row>
    <row r="4271" spans="1:18">
      <c r="B4271" s="43" t="s">
        <v>1348</v>
      </c>
      <c r="C4271" s="44" t="s">
        <v>494</v>
      </c>
      <c r="E4271" s="44" t="s">
        <v>476</v>
      </c>
      <c r="F4271" s="14"/>
      <c r="G4271" s="14"/>
      <c r="H4271" s="14"/>
      <c r="I4271" s="11"/>
      <c r="J4271" s="14"/>
      <c r="K4271" s="16">
        <v>2</v>
      </c>
      <c r="L4271" s="15"/>
      <c r="M4271" s="14"/>
      <c r="P4271" s="14"/>
      <c r="Q4271" s="14"/>
      <c r="R4271" s="14"/>
    </row>
    <row r="4272" spans="1:18">
      <c r="B4272" s="43" t="s">
        <v>1349</v>
      </c>
      <c r="C4272" s="44" t="s">
        <v>494</v>
      </c>
      <c r="F4272" s="14"/>
      <c r="G4272" s="14"/>
      <c r="H4272" s="14"/>
      <c r="I4272" s="11"/>
      <c r="J4272" s="14"/>
      <c r="K4272" s="16">
        <v>3</v>
      </c>
      <c r="L4272" s="15"/>
      <c r="M4272" s="14"/>
      <c r="P4272" s="14"/>
      <c r="Q4272" s="14"/>
      <c r="R4272" s="14"/>
    </row>
    <row r="4273" spans="2:18">
      <c r="B4273" s="43" t="s">
        <v>1350</v>
      </c>
      <c r="C4273" s="44" t="s">
        <v>493</v>
      </c>
      <c r="D4273" s="1">
        <v>13</v>
      </c>
      <c r="F4273" s="14"/>
      <c r="G4273" s="14"/>
      <c r="H4273" s="14"/>
      <c r="I4273" s="11"/>
      <c r="J4273" s="14"/>
      <c r="K4273" s="16">
        <v>4</v>
      </c>
      <c r="L4273" s="15"/>
      <c r="M4273" s="14"/>
      <c r="P4273" s="14"/>
      <c r="Q4273" s="14"/>
      <c r="R4273" s="14"/>
    </row>
    <row r="4274" spans="2:18">
      <c r="B4274" s="43" t="s">
        <v>1351</v>
      </c>
      <c r="C4274" s="44" t="s">
        <v>493</v>
      </c>
      <c r="D4274" s="1">
        <v>100</v>
      </c>
      <c r="F4274" s="14"/>
      <c r="G4274" s="14"/>
      <c r="H4274" s="14"/>
      <c r="I4274" s="11"/>
      <c r="J4274" s="14"/>
      <c r="K4274" s="16">
        <v>5</v>
      </c>
      <c r="L4274" s="15"/>
      <c r="M4274" s="14"/>
      <c r="P4274" s="14"/>
      <c r="Q4274" s="14"/>
      <c r="R4274" s="14"/>
    </row>
    <row r="4275" spans="2:18">
      <c r="B4275" s="43" t="s">
        <v>1352</v>
      </c>
      <c r="C4275" s="44" t="s">
        <v>493</v>
      </c>
      <c r="D4275" s="1">
        <v>30</v>
      </c>
      <c r="F4275" s="14"/>
      <c r="G4275" s="14"/>
      <c r="H4275" s="14"/>
      <c r="I4275" s="11"/>
      <c r="J4275" s="14"/>
      <c r="K4275" s="16">
        <v>6</v>
      </c>
      <c r="L4275" s="15"/>
      <c r="M4275" s="14"/>
      <c r="P4275" s="14"/>
      <c r="Q4275" s="14"/>
      <c r="R4275" s="14"/>
    </row>
    <row r="4276" spans="2:18">
      <c r="B4276" s="43" t="s">
        <v>1353</v>
      </c>
      <c r="C4276" s="44" t="s">
        <v>493</v>
      </c>
      <c r="D4276" s="44">
        <v>50</v>
      </c>
      <c r="F4276" s="14"/>
      <c r="G4276" s="14"/>
      <c r="H4276" s="14"/>
      <c r="I4276" s="11"/>
      <c r="J4276" s="14"/>
      <c r="K4276" s="16">
        <v>7</v>
      </c>
      <c r="L4276" s="15"/>
      <c r="M4276" s="14"/>
      <c r="P4276" s="14"/>
      <c r="Q4276" s="14"/>
      <c r="R4276" s="14"/>
    </row>
    <row r="4277" spans="2:18">
      <c r="B4277" s="43" t="s">
        <v>1354</v>
      </c>
      <c r="C4277" s="44" t="s">
        <v>494</v>
      </c>
      <c r="F4277" s="14"/>
      <c r="G4277" s="14"/>
      <c r="H4277" s="14"/>
      <c r="I4277" s="11"/>
      <c r="J4277" s="14"/>
      <c r="K4277" s="16">
        <v>8</v>
      </c>
      <c r="L4277" s="15"/>
      <c r="M4277" s="14"/>
      <c r="P4277" s="14"/>
      <c r="Q4277" s="14"/>
      <c r="R4277" s="14"/>
    </row>
    <row r="4278" spans="2:18">
      <c r="B4278" s="43" t="s">
        <v>1355</v>
      </c>
      <c r="C4278" s="44" t="s">
        <v>493</v>
      </c>
      <c r="D4278" s="1">
        <v>13</v>
      </c>
      <c r="F4278" s="14"/>
      <c r="G4278" s="14"/>
      <c r="H4278" s="14"/>
      <c r="I4278" s="11"/>
      <c r="J4278" s="14"/>
      <c r="K4278" s="16">
        <v>9</v>
      </c>
      <c r="L4278" s="15"/>
      <c r="M4278" s="14"/>
      <c r="P4278" s="14"/>
      <c r="Q4278" s="14"/>
      <c r="R4278" s="14"/>
    </row>
    <row r="4279" spans="2:18">
      <c r="B4279" s="43" t="s">
        <v>1356</v>
      </c>
      <c r="C4279" s="44" t="s">
        <v>493</v>
      </c>
      <c r="D4279" s="1">
        <v>100</v>
      </c>
      <c r="F4279" s="14"/>
      <c r="G4279" s="14"/>
      <c r="H4279" s="14"/>
      <c r="I4279" s="11"/>
      <c r="J4279" s="14"/>
      <c r="K4279" s="16">
        <v>10</v>
      </c>
      <c r="L4279" s="15"/>
      <c r="M4279" s="14"/>
      <c r="P4279" s="14"/>
      <c r="Q4279" s="14"/>
      <c r="R4279" s="14"/>
    </row>
    <row r="4280" spans="2:18">
      <c r="B4280" s="43" t="s">
        <v>1357</v>
      </c>
      <c r="C4280" s="44" t="s">
        <v>493</v>
      </c>
      <c r="D4280" s="1">
        <v>30</v>
      </c>
      <c r="F4280" s="14"/>
      <c r="G4280" s="14"/>
      <c r="H4280" s="14"/>
      <c r="I4280" s="11"/>
      <c r="J4280" s="14"/>
      <c r="K4280" s="16">
        <v>11</v>
      </c>
      <c r="L4280" s="15"/>
      <c r="M4280" s="14"/>
      <c r="P4280" s="14"/>
      <c r="Q4280" s="14"/>
      <c r="R4280" s="14"/>
    </row>
    <row r="4281" spans="2:18">
      <c r="B4281" s="43" t="s">
        <v>1358</v>
      </c>
      <c r="C4281" s="44" t="s">
        <v>493</v>
      </c>
      <c r="D4281" s="44">
        <v>50</v>
      </c>
      <c r="F4281" s="14"/>
      <c r="G4281" s="14"/>
      <c r="H4281" s="14"/>
      <c r="I4281" s="11"/>
      <c r="J4281" s="14"/>
      <c r="K4281" s="16">
        <v>12</v>
      </c>
      <c r="L4281" s="15"/>
      <c r="M4281" s="14"/>
      <c r="P4281" s="14"/>
      <c r="Q4281" s="14"/>
      <c r="R4281" s="14"/>
    </row>
    <row r="4282" spans="2:18">
      <c r="B4282" s="43" t="s">
        <v>1359</v>
      </c>
      <c r="C4282" s="44" t="s">
        <v>494</v>
      </c>
      <c r="F4282" s="14"/>
      <c r="G4282" s="14"/>
      <c r="H4282" s="14"/>
      <c r="I4282" s="11"/>
      <c r="J4282" s="14"/>
      <c r="K4282" s="16">
        <v>13</v>
      </c>
      <c r="L4282" s="15"/>
      <c r="M4282" s="14"/>
      <c r="P4282" s="14"/>
      <c r="Q4282" s="14"/>
      <c r="R4282" s="14"/>
    </row>
    <row r="4283" spans="2:18">
      <c r="B4283" s="43" t="s">
        <v>1360</v>
      </c>
      <c r="C4283" s="44" t="s">
        <v>493</v>
      </c>
      <c r="D4283" s="1">
        <v>13</v>
      </c>
      <c r="F4283" s="14"/>
      <c r="G4283" s="14"/>
      <c r="H4283" s="14"/>
      <c r="I4283" s="11"/>
      <c r="J4283" s="14"/>
      <c r="K4283" s="16">
        <v>14</v>
      </c>
      <c r="L4283" s="15"/>
      <c r="M4283" s="14"/>
      <c r="P4283" s="14"/>
      <c r="Q4283" s="14"/>
      <c r="R4283" s="14"/>
    </row>
    <row r="4284" spans="2:18">
      <c r="B4284" s="43" t="s">
        <v>1361</v>
      </c>
      <c r="C4284" s="44" t="s">
        <v>493</v>
      </c>
      <c r="D4284" s="1">
        <v>100</v>
      </c>
      <c r="F4284" s="14"/>
      <c r="G4284" s="14"/>
      <c r="H4284" s="14"/>
      <c r="I4284" s="11"/>
      <c r="J4284" s="14"/>
      <c r="K4284" s="16">
        <v>15</v>
      </c>
      <c r="L4284" s="15"/>
      <c r="M4284" s="14"/>
      <c r="P4284" s="14"/>
      <c r="Q4284" s="14"/>
      <c r="R4284" s="14"/>
    </row>
    <row r="4285" spans="2:18">
      <c r="B4285" s="43" t="s">
        <v>1362</v>
      </c>
      <c r="C4285" s="44" t="s">
        <v>493</v>
      </c>
      <c r="D4285" s="1">
        <v>30</v>
      </c>
      <c r="F4285" s="14"/>
      <c r="G4285" s="14"/>
      <c r="H4285" s="14"/>
      <c r="I4285" s="11"/>
      <c r="J4285" s="14"/>
      <c r="K4285" s="16">
        <v>16</v>
      </c>
      <c r="L4285" s="15"/>
      <c r="M4285" s="14"/>
      <c r="P4285" s="14"/>
      <c r="Q4285" s="14"/>
      <c r="R4285" s="14"/>
    </row>
    <row r="4286" spans="2:18">
      <c r="B4286" s="43" t="s">
        <v>1363</v>
      </c>
      <c r="C4286" s="44" t="s">
        <v>493</v>
      </c>
      <c r="D4286" s="44">
        <v>50</v>
      </c>
      <c r="F4286" s="14"/>
      <c r="G4286" s="14"/>
      <c r="H4286" s="14"/>
      <c r="I4286" s="11"/>
      <c r="J4286" s="14"/>
      <c r="K4286" s="16">
        <v>17</v>
      </c>
      <c r="L4286" s="15"/>
      <c r="M4286" s="14"/>
      <c r="P4286" s="14"/>
      <c r="Q4286" s="14"/>
      <c r="R4286" s="14"/>
    </row>
    <row r="4287" spans="2:18">
      <c r="B4287" s="43" t="s">
        <v>1364</v>
      </c>
      <c r="C4287" s="44" t="s">
        <v>494</v>
      </c>
      <c r="F4287" s="14"/>
      <c r="G4287" s="14"/>
      <c r="H4287" s="14"/>
      <c r="I4287" s="11"/>
      <c r="J4287" s="14"/>
      <c r="K4287" s="16">
        <v>18</v>
      </c>
      <c r="L4287" s="15"/>
      <c r="M4287" s="14"/>
      <c r="P4287" s="14"/>
      <c r="Q4287" s="14"/>
      <c r="R4287" s="14"/>
    </row>
    <row r="4288" spans="2:18">
      <c r="B4288" s="43" t="s">
        <v>1365</v>
      </c>
      <c r="C4288" s="44" t="s">
        <v>493</v>
      </c>
      <c r="D4288" s="1">
        <v>13</v>
      </c>
      <c r="F4288" s="14"/>
      <c r="G4288" s="14"/>
      <c r="H4288" s="14"/>
      <c r="I4288" s="11"/>
      <c r="J4288" s="14"/>
      <c r="K4288" s="16">
        <v>19</v>
      </c>
      <c r="L4288" s="15"/>
      <c r="M4288" s="14"/>
      <c r="P4288" s="14"/>
      <c r="Q4288" s="14"/>
      <c r="R4288" s="14"/>
    </row>
    <row r="4289" spans="1:18">
      <c r="B4289" s="43" t="s">
        <v>1366</v>
      </c>
      <c r="C4289" s="44" t="s">
        <v>493</v>
      </c>
      <c r="D4289" s="1">
        <v>100</v>
      </c>
      <c r="F4289" s="14"/>
      <c r="G4289" s="14"/>
      <c r="H4289" s="14"/>
      <c r="I4289" s="11"/>
      <c r="J4289" s="14"/>
      <c r="K4289" s="16">
        <v>20</v>
      </c>
      <c r="L4289" s="15"/>
      <c r="M4289" s="14"/>
      <c r="P4289" s="14"/>
      <c r="Q4289" s="14"/>
      <c r="R4289" s="14"/>
    </row>
    <row r="4290" spans="1:18">
      <c r="B4290" s="43" t="s">
        <v>1367</v>
      </c>
      <c r="C4290" s="44" t="s">
        <v>493</v>
      </c>
      <c r="D4290" s="1">
        <v>30</v>
      </c>
      <c r="F4290" s="14"/>
      <c r="G4290" s="14"/>
      <c r="H4290" s="14"/>
      <c r="I4290" s="11"/>
      <c r="J4290" s="14"/>
      <c r="K4290" s="16">
        <v>21</v>
      </c>
      <c r="L4290" s="15"/>
      <c r="M4290" s="14"/>
      <c r="P4290" s="14"/>
      <c r="Q4290" s="14"/>
      <c r="R4290" s="14"/>
    </row>
    <row r="4291" spans="1:18">
      <c r="B4291" s="43" t="s">
        <v>1368</v>
      </c>
      <c r="C4291" s="44" t="s">
        <v>493</v>
      </c>
      <c r="D4291" s="44">
        <v>50</v>
      </c>
      <c r="F4291" s="14"/>
      <c r="G4291" s="14"/>
      <c r="H4291" s="14"/>
      <c r="I4291" s="11"/>
      <c r="J4291" s="14"/>
      <c r="K4291" s="16">
        <v>22</v>
      </c>
      <c r="L4291" s="15"/>
      <c r="M4291" s="14"/>
      <c r="P4291" s="14"/>
      <c r="Q4291" s="14"/>
      <c r="R4291" s="14"/>
    </row>
    <row r="4292" spans="1:18">
      <c r="B4292" s="43" t="s">
        <v>1369</v>
      </c>
      <c r="C4292" s="44" t="s">
        <v>494</v>
      </c>
      <c r="F4292" s="14"/>
      <c r="G4292" s="14"/>
      <c r="H4292" s="14"/>
      <c r="I4292" s="11"/>
      <c r="J4292" s="14"/>
      <c r="K4292" s="16">
        <v>23</v>
      </c>
      <c r="L4292" s="15"/>
      <c r="M4292" s="14"/>
      <c r="P4292" s="14"/>
      <c r="Q4292" s="14"/>
      <c r="R4292" s="14"/>
    </row>
    <row r="4293" spans="1:18">
      <c r="B4293" s="43" t="s">
        <v>1370</v>
      </c>
      <c r="C4293" s="44" t="s">
        <v>493</v>
      </c>
      <c r="D4293" s="1">
        <v>13</v>
      </c>
      <c r="F4293" s="14"/>
      <c r="G4293" s="14"/>
      <c r="H4293" s="14"/>
      <c r="I4293" s="11"/>
      <c r="J4293" s="14"/>
      <c r="K4293" s="16">
        <v>24</v>
      </c>
      <c r="L4293" s="15"/>
      <c r="M4293" s="14"/>
      <c r="P4293" s="14"/>
      <c r="Q4293" s="14"/>
      <c r="R4293" s="14"/>
    </row>
    <row r="4294" spans="1:18">
      <c r="B4294" s="43" t="s">
        <v>1371</v>
      </c>
      <c r="C4294" s="44" t="s">
        <v>493</v>
      </c>
      <c r="D4294" s="1">
        <v>100</v>
      </c>
      <c r="F4294" s="14"/>
      <c r="G4294" s="14"/>
      <c r="H4294" s="14"/>
      <c r="I4294" s="11"/>
      <c r="J4294" s="14"/>
      <c r="K4294" s="16">
        <v>25</v>
      </c>
      <c r="L4294" s="15"/>
      <c r="M4294" s="14"/>
      <c r="P4294" s="14"/>
      <c r="Q4294" s="14"/>
      <c r="R4294" s="14"/>
    </row>
    <row r="4295" spans="1:18">
      <c r="B4295" s="43" t="s">
        <v>1372</v>
      </c>
      <c r="C4295" s="44" t="s">
        <v>493</v>
      </c>
      <c r="D4295" s="1">
        <v>30</v>
      </c>
      <c r="F4295" s="14"/>
      <c r="G4295" s="14"/>
      <c r="H4295" s="14"/>
      <c r="I4295" s="11"/>
      <c r="J4295" s="14"/>
      <c r="K4295" s="16">
        <v>26</v>
      </c>
      <c r="L4295" s="15"/>
      <c r="M4295" s="14"/>
      <c r="P4295" s="14"/>
      <c r="Q4295" s="14"/>
      <c r="R4295" s="14"/>
    </row>
    <row r="4296" spans="1:18">
      <c r="B4296" s="43" t="s">
        <v>1373</v>
      </c>
      <c r="C4296" s="44" t="s">
        <v>493</v>
      </c>
      <c r="D4296" s="44">
        <v>50</v>
      </c>
      <c r="F4296" s="14"/>
      <c r="G4296" s="14"/>
      <c r="H4296" s="14"/>
      <c r="I4296" s="11"/>
      <c r="J4296" s="14"/>
      <c r="K4296" s="16">
        <v>27</v>
      </c>
      <c r="L4296" s="15"/>
      <c r="M4296" s="14"/>
      <c r="P4296" s="14"/>
      <c r="Q4296" s="14"/>
      <c r="R4296" s="14"/>
    </row>
    <row r="4297" spans="1:18">
      <c r="B4297" s="43" t="s">
        <v>1374</v>
      </c>
      <c r="C4297" s="44" t="s">
        <v>494</v>
      </c>
      <c r="F4297" s="14"/>
      <c r="G4297" s="14"/>
      <c r="H4297" s="14"/>
      <c r="I4297" s="11"/>
      <c r="J4297" s="14"/>
      <c r="K4297" s="16">
        <v>28</v>
      </c>
      <c r="L4297" s="15"/>
      <c r="M4297" s="14"/>
      <c r="P4297" s="14"/>
      <c r="Q4297" s="14"/>
      <c r="R4297" s="14"/>
    </row>
    <row r="4298" spans="1:18">
      <c r="B4298" s="43" t="s">
        <v>1375</v>
      </c>
      <c r="C4298" s="44" t="s">
        <v>493</v>
      </c>
      <c r="D4298" s="1">
        <v>13</v>
      </c>
      <c r="F4298" s="14"/>
      <c r="G4298" s="14"/>
      <c r="H4298" s="14"/>
      <c r="I4298" s="11"/>
      <c r="J4298" s="14"/>
      <c r="K4298" s="16">
        <v>29</v>
      </c>
      <c r="L4298" s="15"/>
      <c r="M4298" s="14"/>
      <c r="P4298" s="14"/>
      <c r="Q4298" s="14"/>
      <c r="R4298" s="14"/>
    </row>
    <row r="4299" spans="1:18">
      <c r="B4299" s="43" t="s">
        <v>1376</v>
      </c>
      <c r="C4299" s="44" t="s">
        <v>493</v>
      </c>
      <c r="D4299" s="1">
        <v>100</v>
      </c>
      <c r="F4299" s="14"/>
      <c r="G4299" s="14"/>
      <c r="H4299" s="14"/>
      <c r="I4299" s="11"/>
      <c r="J4299" s="14"/>
      <c r="K4299" s="16">
        <v>30</v>
      </c>
      <c r="L4299" s="15"/>
      <c r="M4299" s="14"/>
      <c r="P4299" s="14"/>
      <c r="Q4299" s="14"/>
      <c r="R4299" s="14"/>
    </row>
    <row r="4300" spans="1:18">
      <c r="B4300" s="43" t="s">
        <v>1377</v>
      </c>
      <c r="C4300" s="44" t="s">
        <v>493</v>
      </c>
      <c r="D4300" s="1">
        <v>30</v>
      </c>
      <c r="F4300" s="14"/>
      <c r="G4300" s="14"/>
      <c r="H4300" s="14"/>
      <c r="I4300" s="11"/>
      <c r="J4300" s="14"/>
      <c r="K4300" s="16">
        <v>31</v>
      </c>
      <c r="L4300" s="15"/>
      <c r="M4300" s="14"/>
      <c r="P4300" s="14"/>
      <c r="Q4300" s="14"/>
      <c r="R4300" s="14"/>
    </row>
    <row r="4301" spans="1:18">
      <c r="B4301" s="43" t="s">
        <v>1378</v>
      </c>
      <c r="C4301" s="44" t="s">
        <v>493</v>
      </c>
      <c r="D4301" s="44">
        <v>50</v>
      </c>
      <c r="F4301" s="14"/>
      <c r="G4301" s="14"/>
      <c r="H4301" s="14"/>
      <c r="I4301" s="11"/>
      <c r="J4301" s="14"/>
      <c r="K4301" s="16">
        <v>32</v>
      </c>
      <c r="L4301" s="15"/>
      <c r="M4301" s="14"/>
      <c r="N4301" s="14"/>
      <c r="O4301" s="14"/>
      <c r="P4301" s="14"/>
      <c r="Q4301" s="14"/>
      <c r="R4301" s="14"/>
    </row>
    <row r="4302" spans="1:18">
      <c r="B4302" s="43"/>
      <c r="C4302" s="44"/>
      <c r="D4302" s="44"/>
      <c r="F4302" s="14"/>
      <c r="G4302" s="14"/>
      <c r="H4302" s="14"/>
      <c r="I4302" s="11"/>
      <c r="J4302" s="14"/>
      <c r="K4302" s="16"/>
      <c r="L4302" s="15"/>
      <c r="M4302" s="14"/>
      <c r="N4302" s="14"/>
      <c r="O4302" s="14"/>
      <c r="P4302" s="14"/>
      <c r="Q4302" s="14"/>
      <c r="R4302" s="14"/>
    </row>
    <row r="4303" spans="1:18" s="62" customFormat="1">
      <c r="A4303" s="62" t="s">
        <v>2079</v>
      </c>
      <c r="B4303" s="64" t="s">
        <v>2080</v>
      </c>
      <c r="C4303" s="62" t="s">
        <v>494</v>
      </c>
      <c r="E4303" s="62" t="s">
        <v>476</v>
      </c>
      <c r="F4303" s="62">
        <v>21</v>
      </c>
      <c r="G4303" s="62">
        <v>2114</v>
      </c>
      <c r="H4303" s="62" t="s">
        <v>2066</v>
      </c>
      <c r="I4303" s="22" t="s">
        <v>2067</v>
      </c>
      <c r="J4303" s="62">
        <v>2</v>
      </c>
      <c r="K4303" s="57">
        <v>1</v>
      </c>
      <c r="L4303" s="76">
        <v>6</v>
      </c>
    </row>
    <row r="4304" spans="1:18" s="62" customFormat="1">
      <c r="B4304" s="64" t="s">
        <v>2069</v>
      </c>
      <c r="C4304" s="62" t="s">
        <v>494</v>
      </c>
      <c r="I4304" s="22"/>
      <c r="K4304" s="57">
        <v>2</v>
      </c>
      <c r="L4304" s="76">
        <v>6</v>
      </c>
    </row>
    <row r="4305" spans="1:16" s="62" customFormat="1">
      <c r="B4305" s="64" t="s">
        <v>2070</v>
      </c>
      <c r="C4305" s="62" t="s">
        <v>493</v>
      </c>
      <c r="D4305" s="62">
        <v>10</v>
      </c>
      <c r="I4305" s="22"/>
      <c r="K4305" s="57">
        <v>3</v>
      </c>
      <c r="L4305" s="76">
        <v>7</v>
      </c>
    </row>
    <row r="4306" spans="1:16" s="62" customFormat="1">
      <c r="B4306" s="64" t="s">
        <v>2081</v>
      </c>
      <c r="C4306" s="62" t="s">
        <v>493</v>
      </c>
      <c r="D4306" s="62">
        <v>1</v>
      </c>
      <c r="I4306" s="22"/>
      <c r="K4306" s="57">
        <v>4</v>
      </c>
      <c r="L4306" s="76">
        <v>3</v>
      </c>
    </row>
    <row r="4307" spans="1:16" s="62" customFormat="1">
      <c r="B4307" s="64" t="s">
        <v>2082</v>
      </c>
      <c r="C4307" s="62" t="s">
        <v>493</v>
      </c>
      <c r="D4307" s="62">
        <v>200</v>
      </c>
      <c r="I4307" s="22"/>
      <c r="K4307" s="57">
        <v>5</v>
      </c>
      <c r="L4307" s="76"/>
    </row>
    <row r="4308" spans="1:16" s="62" customFormat="1">
      <c r="B4308" s="64" t="s">
        <v>2083</v>
      </c>
      <c r="C4308" s="62" t="s">
        <v>520</v>
      </c>
      <c r="I4308" s="22"/>
      <c r="K4308" s="57">
        <v>6</v>
      </c>
      <c r="L4308" s="76"/>
    </row>
    <row r="4309" spans="1:16" s="62" customFormat="1">
      <c r="B4309" s="64"/>
      <c r="I4309" s="22"/>
      <c r="K4309" s="57"/>
      <c r="L4309" s="76"/>
    </row>
    <row r="4310" spans="1:16" s="62" customFormat="1">
      <c r="A4310" s="62" t="s">
        <v>2071</v>
      </c>
      <c r="B4310" s="64" t="s">
        <v>2072</v>
      </c>
      <c r="C4310" s="62" t="s">
        <v>494</v>
      </c>
      <c r="E4310" s="62" t="s">
        <v>476</v>
      </c>
      <c r="F4310" s="62">
        <v>21</v>
      </c>
      <c r="G4310" s="62">
        <v>2115</v>
      </c>
      <c r="H4310" s="62" t="s">
        <v>2068</v>
      </c>
      <c r="I4310" s="22"/>
      <c r="J4310" s="62">
        <v>2</v>
      </c>
      <c r="K4310" s="57">
        <v>1</v>
      </c>
      <c r="L4310" s="76">
        <v>52</v>
      </c>
      <c r="N4310" s="62">
        <v>2114</v>
      </c>
      <c r="O4310" s="62" t="s">
        <v>2069</v>
      </c>
    </row>
    <row r="4311" spans="1:16" s="62" customFormat="1">
      <c r="B4311" s="64" t="s">
        <v>2073</v>
      </c>
      <c r="C4311" s="62" t="s">
        <v>494</v>
      </c>
      <c r="E4311" s="62" t="s">
        <v>476</v>
      </c>
      <c r="I4311" s="22"/>
      <c r="K4311" s="57">
        <v>2</v>
      </c>
      <c r="L4311" s="76">
        <v>3</v>
      </c>
      <c r="N4311" s="64" t="s">
        <v>506</v>
      </c>
      <c r="O4311" s="64" t="s">
        <v>514</v>
      </c>
      <c r="P4311" s="1" t="s">
        <v>515</v>
      </c>
    </row>
    <row r="4312" spans="1:16" s="62" customFormat="1">
      <c r="B4312" s="64" t="s">
        <v>2074</v>
      </c>
      <c r="C4312" s="62" t="s">
        <v>494</v>
      </c>
      <c r="E4312" s="62" t="s">
        <v>476</v>
      </c>
      <c r="I4312" s="22"/>
      <c r="K4312" s="57">
        <v>3</v>
      </c>
      <c r="L4312" s="76">
        <v>8</v>
      </c>
    </row>
    <row r="4313" spans="1:16" s="62" customFormat="1">
      <c r="B4313" s="64" t="s">
        <v>2075</v>
      </c>
      <c r="C4313" s="62" t="s">
        <v>494</v>
      </c>
      <c r="I4313" s="22"/>
      <c r="K4313" s="57">
        <v>4</v>
      </c>
      <c r="L4313" s="76">
        <v>6</v>
      </c>
    </row>
    <row r="4314" spans="1:16" s="62" customFormat="1">
      <c r="B4314" s="64" t="s">
        <v>2076</v>
      </c>
      <c r="C4314" s="62" t="s">
        <v>493</v>
      </c>
      <c r="D4314" s="62">
        <v>10</v>
      </c>
      <c r="I4314" s="22"/>
      <c r="K4314" s="57">
        <v>5</v>
      </c>
      <c r="L4314" s="76">
        <v>7</v>
      </c>
      <c r="M4314" s="62">
        <v>1</v>
      </c>
    </row>
    <row r="4315" spans="1:16" s="62" customFormat="1">
      <c r="B4315" s="64" t="s">
        <v>2077</v>
      </c>
      <c r="C4315" s="62" t="s">
        <v>494</v>
      </c>
      <c r="I4315" s="22"/>
      <c r="K4315" s="57">
        <v>6</v>
      </c>
      <c r="L4315" s="76"/>
      <c r="M4315" s="62">
        <v>73</v>
      </c>
    </row>
    <row r="4316" spans="1:16" s="62" customFormat="1">
      <c r="B4316" s="64" t="s">
        <v>2078</v>
      </c>
      <c r="C4316" s="62" t="s">
        <v>494</v>
      </c>
      <c r="I4316" s="22"/>
      <c r="K4316" s="57">
        <v>7</v>
      </c>
      <c r="L4316" s="76"/>
      <c r="M4316" s="62">
        <v>74</v>
      </c>
    </row>
    <row r="4317" spans="1:16" s="62" customFormat="1">
      <c r="B4317" s="64"/>
      <c r="I4317" s="22"/>
      <c r="K4317" s="57"/>
      <c r="L4317" s="76"/>
    </row>
    <row r="4318" spans="1:16">
      <c r="A4318" s="62" t="s">
        <v>2173</v>
      </c>
      <c r="B4318" s="62" t="s">
        <v>2175</v>
      </c>
      <c r="C4318" s="62" t="s">
        <v>494</v>
      </c>
      <c r="E4318" s="62" t="s">
        <v>476</v>
      </c>
      <c r="F4318" s="1">
        <v>21</v>
      </c>
      <c r="G4318" s="1">
        <v>2121</v>
      </c>
      <c r="H4318" s="62" t="s">
        <v>2185</v>
      </c>
      <c r="I4318" s="62" t="s">
        <v>2186</v>
      </c>
      <c r="J4318" s="1">
        <v>2101</v>
      </c>
      <c r="K4318" s="82">
        <v>1</v>
      </c>
      <c r="L4318" s="9">
        <v>6</v>
      </c>
    </row>
    <row r="4319" spans="1:16">
      <c r="B4319" s="62" t="s">
        <v>2176</v>
      </c>
      <c r="C4319" s="62" t="s">
        <v>494</v>
      </c>
      <c r="K4319" s="82">
        <v>2</v>
      </c>
      <c r="L4319" s="9">
        <v>6</v>
      </c>
    </row>
    <row r="4320" spans="1:16">
      <c r="B4320" s="62" t="s">
        <v>2174</v>
      </c>
      <c r="C4320" s="62" t="s">
        <v>494</v>
      </c>
      <c r="K4320" s="82">
        <v>3</v>
      </c>
      <c r="L4320" s="9">
        <v>8</v>
      </c>
    </row>
    <row r="4321" spans="1:18">
      <c r="B4321" s="62" t="s">
        <v>2182</v>
      </c>
      <c r="C4321" s="62" t="s">
        <v>494</v>
      </c>
      <c r="K4321" s="82">
        <v>4</v>
      </c>
      <c r="L4321" s="68">
        <v>3</v>
      </c>
      <c r="M4321" s="1">
        <v>31</v>
      </c>
      <c r="N4321" s="1" t="s">
        <v>1977</v>
      </c>
      <c r="O4321" s="62" t="s">
        <v>1978</v>
      </c>
      <c r="P4321" s="62" t="s">
        <v>1979</v>
      </c>
      <c r="Q4321" s="62" t="s">
        <v>1993</v>
      </c>
      <c r="R4321" s="1">
        <v>3</v>
      </c>
    </row>
    <row r="4322" spans="1:18">
      <c r="B4322" s="62" t="s">
        <v>2177</v>
      </c>
      <c r="C4322" s="62" t="s">
        <v>493</v>
      </c>
      <c r="D4322" s="1">
        <v>10</v>
      </c>
      <c r="K4322" s="82">
        <v>5</v>
      </c>
      <c r="L4322" s="68">
        <v>7</v>
      </c>
      <c r="M4322" s="1">
        <v>1</v>
      </c>
    </row>
    <row r="4323" spans="1:18">
      <c r="B4323" s="62" t="s">
        <v>2178</v>
      </c>
      <c r="C4323" s="62" t="s">
        <v>494</v>
      </c>
      <c r="K4323" s="82">
        <v>6</v>
      </c>
      <c r="M4323" s="1">
        <v>73</v>
      </c>
    </row>
    <row r="4324" spans="1:18">
      <c r="B4324" s="62" t="s">
        <v>2179</v>
      </c>
      <c r="C4324" s="62" t="s">
        <v>494</v>
      </c>
      <c r="K4324" s="82">
        <v>7</v>
      </c>
      <c r="M4324" s="1">
        <v>74</v>
      </c>
    </row>
    <row r="4325" spans="1:18">
      <c r="B4325" s="62" t="s">
        <v>2180</v>
      </c>
      <c r="C4325" s="62" t="s">
        <v>494</v>
      </c>
      <c r="K4325" s="82">
        <v>8</v>
      </c>
      <c r="L4325" s="9">
        <v>8</v>
      </c>
    </row>
    <row r="4326" spans="1:18">
      <c r="B4326" s="62" t="s">
        <v>2181</v>
      </c>
      <c r="C4326" s="62" t="s">
        <v>520</v>
      </c>
      <c r="K4326" s="82">
        <v>9</v>
      </c>
    </row>
    <row r="4327" spans="1:18">
      <c r="B4327" s="62" t="s">
        <v>2183</v>
      </c>
      <c r="C4327" s="62" t="s">
        <v>493</v>
      </c>
      <c r="D4327" s="1">
        <v>1</v>
      </c>
      <c r="K4327" s="82">
        <v>10</v>
      </c>
      <c r="L4327" s="9">
        <v>3</v>
      </c>
    </row>
    <row r="4328" spans="1:18">
      <c r="B4328" s="62" t="s">
        <v>2184</v>
      </c>
      <c r="C4328" s="62" t="s">
        <v>520</v>
      </c>
      <c r="K4328" s="82">
        <v>11</v>
      </c>
    </row>
    <row r="4329" spans="1:18">
      <c r="B4329" s="62"/>
    </row>
    <row r="4334" spans="1:18" s="3" customFormat="1">
      <c r="A4334" s="70" t="s">
        <v>1977</v>
      </c>
      <c r="B4334" s="70" t="s">
        <v>1992</v>
      </c>
      <c r="C4334" s="70" t="s">
        <v>494</v>
      </c>
      <c r="D4334" s="70"/>
      <c r="E4334" s="62" t="s">
        <v>476</v>
      </c>
      <c r="F4334" s="62">
        <v>21</v>
      </c>
      <c r="G4334" s="62">
        <v>2111</v>
      </c>
      <c r="H4334" s="62" t="s">
        <v>1998</v>
      </c>
      <c r="I4334" s="62"/>
      <c r="J4334" s="62">
        <v>2101</v>
      </c>
      <c r="K4334" s="76">
        <v>1</v>
      </c>
      <c r="L4334" s="62"/>
      <c r="M4334" s="62"/>
      <c r="N4334" s="62"/>
      <c r="O4334" s="62"/>
      <c r="P4334" s="62"/>
      <c r="Q4334" s="12"/>
      <c r="R4334" s="12"/>
    </row>
    <row r="4335" spans="1:18" s="3" customFormat="1">
      <c r="A4335" s="70"/>
      <c r="B4335" s="70" t="s">
        <v>1978</v>
      </c>
      <c r="C4335" s="70" t="s">
        <v>494</v>
      </c>
      <c r="D4335" s="70"/>
      <c r="E4335" s="62" t="s">
        <v>476</v>
      </c>
      <c r="F4335" s="62"/>
      <c r="G4335" s="62"/>
      <c r="H4335" s="62"/>
      <c r="I4335" s="62"/>
      <c r="J4335" s="62"/>
      <c r="K4335" s="76">
        <v>2</v>
      </c>
      <c r="L4335" s="62">
        <v>6</v>
      </c>
      <c r="M4335" s="62"/>
      <c r="N4335" s="62"/>
      <c r="O4335" s="62"/>
      <c r="P4335" s="62"/>
      <c r="Q4335" s="12"/>
      <c r="R4335" s="12"/>
    </row>
    <row r="4336" spans="1:18" s="3" customFormat="1">
      <c r="A4336" s="70"/>
      <c r="B4336" s="70" t="s">
        <v>1979</v>
      </c>
      <c r="C4336" s="70" t="s">
        <v>494</v>
      </c>
      <c r="D4336" s="70"/>
      <c r="E4336" s="62"/>
      <c r="F4336" s="62"/>
      <c r="G4336" s="62"/>
      <c r="H4336" s="62"/>
      <c r="I4336" s="62"/>
      <c r="J4336" s="62"/>
      <c r="K4336" s="76">
        <v>3</v>
      </c>
      <c r="L4336" s="62">
        <v>6</v>
      </c>
      <c r="M4336" s="62"/>
      <c r="N4336" s="62"/>
      <c r="O4336" s="62"/>
      <c r="P4336" s="62"/>
      <c r="Q4336" s="12"/>
      <c r="R4336" s="12"/>
    </row>
    <row r="4337" spans="1:18" s="3" customFormat="1">
      <c r="A4337" s="70"/>
      <c r="B4337" s="70" t="s">
        <v>1993</v>
      </c>
      <c r="C4337" s="70" t="s">
        <v>494</v>
      </c>
      <c r="D4337" s="70"/>
      <c r="E4337" s="62"/>
      <c r="F4337" s="62"/>
      <c r="G4337" s="62"/>
      <c r="H4337" s="62"/>
      <c r="I4337" s="62"/>
      <c r="J4337" s="62"/>
      <c r="K4337" s="76">
        <v>4</v>
      </c>
      <c r="L4337" s="62">
        <v>52</v>
      </c>
      <c r="M4337" s="62"/>
      <c r="N4337" s="62">
        <v>2122</v>
      </c>
      <c r="O4337" s="62" t="s">
        <v>2188</v>
      </c>
      <c r="P4337" s="62"/>
      <c r="Q4337" s="12"/>
      <c r="R4337" s="12"/>
    </row>
    <row r="4338" spans="1:18" s="3" customFormat="1">
      <c r="A4338" s="70"/>
      <c r="B4338" s="70" t="s">
        <v>2000</v>
      </c>
      <c r="C4338" s="70" t="s">
        <v>493</v>
      </c>
      <c r="D4338" s="70">
        <v>10</v>
      </c>
      <c r="E4338" s="62"/>
      <c r="F4338" s="62"/>
      <c r="G4338" s="62"/>
      <c r="H4338" s="62"/>
      <c r="I4338" s="62"/>
      <c r="J4338" s="62"/>
      <c r="K4338" s="76">
        <v>5</v>
      </c>
      <c r="L4338" s="62">
        <v>7</v>
      </c>
      <c r="M4338" s="62">
        <v>1</v>
      </c>
      <c r="N4338" s="62"/>
      <c r="O4338" s="62"/>
      <c r="P4338" s="62"/>
      <c r="Q4338" s="12"/>
      <c r="R4338" s="12"/>
    </row>
    <row r="4339" spans="1:18" s="3" customFormat="1">
      <c r="A4339" s="70"/>
      <c r="B4339" s="70" t="s">
        <v>2001</v>
      </c>
      <c r="C4339" s="70" t="s">
        <v>494</v>
      </c>
      <c r="D4339" s="70"/>
      <c r="E4339" s="62"/>
      <c r="F4339" s="62"/>
      <c r="G4339" s="62"/>
      <c r="H4339" s="62"/>
      <c r="I4339" s="62"/>
      <c r="J4339" s="62"/>
      <c r="K4339" s="76">
        <v>6</v>
      </c>
      <c r="L4339" s="62"/>
      <c r="M4339" s="62">
        <v>71</v>
      </c>
      <c r="N4339" s="62"/>
      <c r="O4339" s="62"/>
      <c r="P4339" s="62"/>
      <c r="Q4339" s="12"/>
      <c r="R4339" s="12"/>
    </row>
    <row r="4340" spans="1:18" s="3" customFormat="1">
      <c r="A4340" s="70"/>
      <c r="B4340" s="70" t="s">
        <v>2002</v>
      </c>
      <c r="C4340" s="70" t="s">
        <v>494</v>
      </c>
      <c r="D4340" s="70"/>
      <c r="E4340" s="62"/>
      <c r="F4340" s="62"/>
      <c r="G4340" s="62"/>
      <c r="H4340" s="62"/>
      <c r="I4340" s="62"/>
      <c r="J4340" s="62"/>
      <c r="K4340" s="76">
        <v>7</v>
      </c>
      <c r="L4340" s="62"/>
      <c r="M4340" s="62">
        <v>72</v>
      </c>
      <c r="N4340" s="62"/>
      <c r="O4340" s="62"/>
      <c r="P4340" s="62"/>
      <c r="Q4340" s="12"/>
      <c r="R4340" s="12"/>
    </row>
    <row r="4341" spans="1:18" s="3" customFormat="1">
      <c r="A4341" s="70"/>
      <c r="B4341" s="70" t="s">
        <v>2053</v>
      </c>
      <c r="C4341" s="70" t="s">
        <v>493</v>
      </c>
      <c r="D4341" s="70">
        <v>1</v>
      </c>
      <c r="E4341" s="62"/>
      <c r="F4341" s="62"/>
      <c r="G4341" s="62"/>
      <c r="H4341" s="62"/>
      <c r="I4341" s="62"/>
      <c r="J4341" s="62"/>
      <c r="K4341" s="76">
        <v>8</v>
      </c>
      <c r="L4341" s="62">
        <v>3</v>
      </c>
      <c r="M4341" s="62"/>
      <c r="N4341" s="62"/>
      <c r="O4341" s="62"/>
      <c r="P4341" s="62"/>
      <c r="Q4341" s="12"/>
      <c r="R4341" s="12"/>
    </row>
    <row r="4342" spans="1:18" s="3" customFormat="1">
      <c r="A4342" s="70"/>
      <c r="B4342" s="70" t="s">
        <v>2052</v>
      </c>
      <c r="C4342" s="70" t="s">
        <v>493</v>
      </c>
      <c r="D4342" s="70">
        <v>1</v>
      </c>
      <c r="E4342" s="62"/>
      <c r="F4342" s="62"/>
      <c r="G4342" s="62"/>
      <c r="H4342" s="62"/>
      <c r="I4342" s="62"/>
      <c r="J4342" s="62"/>
      <c r="K4342" s="76">
        <v>9</v>
      </c>
      <c r="L4342" s="62">
        <v>3</v>
      </c>
      <c r="M4342" s="62"/>
      <c r="N4342" s="62"/>
      <c r="O4342" s="62"/>
      <c r="P4342" s="62"/>
      <c r="Q4342" s="12"/>
      <c r="R4342" s="12"/>
    </row>
    <row r="4343" spans="1:18" s="3" customFormat="1">
      <c r="A4343" s="70"/>
      <c r="B4343" s="70" t="s">
        <v>2054</v>
      </c>
      <c r="C4343" s="70" t="s">
        <v>493</v>
      </c>
      <c r="D4343" s="70">
        <v>1</v>
      </c>
      <c r="E4343" s="62"/>
      <c r="F4343" s="62"/>
      <c r="G4343" s="62"/>
      <c r="H4343" s="62"/>
      <c r="I4343" s="62"/>
      <c r="J4343" s="62"/>
      <c r="K4343" s="76">
        <v>10</v>
      </c>
      <c r="L4343" s="62">
        <v>3</v>
      </c>
      <c r="M4343" s="62"/>
      <c r="N4343" s="62"/>
      <c r="O4343" s="62"/>
      <c r="P4343" s="62"/>
      <c r="Q4343" s="12"/>
      <c r="R4343" s="12"/>
    </row>
    <row r="4344" spans="1:18" s="3" customFormat="1">
      <c r="A4344" s="70"/>
      <c r="B4344" s="70" t="s">
        <v>2055</v>
      </c>
      <c r="C4344" s="70" t="s">
        <v>493</v>
      </c>
      <c r="D4344" s="70">
        <v>1</v>
      </c>
      <c r="E4344" s="62"/>
      <c r="F4344" s="62"/>
      <c r="G4344" s="62"/>
      <c r="H4344" s="62"/>
      <c r="I4344" s="62"/>
      <c r="J4344" s="62"/>
      <c r="K4344" s="76">
        <v>11</v>
      </c>
      <c r="L4344" s="62">
        <v>3</v>
      </c>
      <c r="M4344" s="62"/>
      <c r="N4344" s="62"/>
      <c r="O4344" s="62"/>
      <c r="P4344" s="62"/>
      <c r="Q4344" s="12"/>
      <c r="R4344" s="12"/>
    </row>
    <row r="4345" spans="1:18" s="3" customFormat="1">
      <c r="A4345" s="70"/>
      <c r="B4345" s="70" t="s">
        <v>2056</v>
      </c>
      <c r="C4345" s="70" t="s">
        <v>493</v>
      </c>
      <c r="D4345" s="70">
        <v>1</v>
      </c>
      <c r="E4345" s="62"/>
      <c r="F4345" s="62"/>
      <c r="G4345" s="62"/>
      <c r="H4345" s="62"/>
      <c r="I4345" s="62"/>
      <c r="J4345" s="62"/>
      <c r="K4345" s="76">
        <v>12</v>
      </c>
      <c r="L4345" s="62">
        <v>3</v>
      </c>
      <c r="M4345" s="62"/>
      <c r="N4345" s="62"/>
      <c r="O4345" s="62"/>
      <c r="P4345" s="62"/>
      <c r="Q4345" s="12"/>
      <c r="R4345" s="12"/>
    </row>
    <row r="4346" spans="1:18" s="3" customFormat="1">
      <c r="A4346" s="70"/>
      <c r="B4346" s="70" t="s">
        <v>2058</v>
      </c>
      <c r="C4346" s="70" t="s">
        <v>702</v>
      </c>
      <c r="D4346" s="70"/>
      <c r="E4346" s="62"/>
      <c r="F4346" s="62"/>
      <c r="G4346" s="62"/>
      <c r="H4346" s="62"/>
      <c r="I4346" s="62"/>
      <c r="J4346" s="62"/>
      <c r="K4346" s="76">
        <v>13</v>
      </c>
      <c r="L4346" s="62"/>
      <c r="M4346" s="62"/>
      <c r="N4346" s="62"/>
      <c r="O4346" s="62"/>
      <c r="P4346" s="62"/>
      <c r="Q4346" s="12"/>
      <c r="R4346" s="12"/>
    </row>
    <row r="4347" spans="1:18" s="3" customFormat="1">
      <c r="A4347" s="70"/>
      <c r="B4347" s="70" t="s">
        <v>2059</v>
      </c>
      <c r="C4347" s="70" t="s">
        <v>702</v>
      </c>
      <c r="D4347" s="70"/>
      <c r="E4347" s="62"/>
      <c r="F4347" s="62"/>
      <c r="G4347" s="62"/>
      <c r="H4347" s="62"/>
      <c r="I4347" s="62"/>
      <c r="J4347" s="62"/>
      <c r="K4347" s="76">
        <v>14</v>
      </c>
      <c r="L4347" s="62"/>
      <c r="M4347" s="62"/>
      <c r="N4347" s="62"/>
      <c r="O4347" s="62"/>
      <c r="P4347" s="62"/>
      <c r="Q4347" s="12"/>
      <c r="R4347" s="12"/>
    </row>
    <row r="4348" spans="1:18" s="3" customFormat="1">
      <c r="A4348" s="70"/>
      <c r="B4348" s="70" t="s">
        <v>2060</v>
      </c>
      <c r="C4348" s="70" t="s">
        <v>702</v>
      </c>
      <c r="D4348" s="70"/>
      <c r="E4348" s="62"/>
      <c r="F4348" s="62"/>
      <c r="G4348" s="62"/>
      <c r="H4348" s="62"/>
      <c r="I4348" s="62"/>
      <c r="J4348" s="62"/>
      <c r="K4348" s="76">
        <v>15</v>
      </c>
      <c r="L4348" s="62"/>
      <c r="M4348" s="62"/>
      <c r="N4348" s="62"/>
      <c r="O4348" s="62"/>
      <c r="P4348" s="62"/>
      <c r="Q4348" s="12"/>
      <c r="R4348" s="12"/>
    </row>
    <row r="4349" spans="1:18" s="3" customFormat="1">
      <c r="A4349" s="70"/>
      <c r="B4349" s="70" t="s">
        <v>2061</v>
      </c>
      <c r="C4349" s="70" t="s">
        <v>702</v>
      </c>
      <c r="D4349" s="70"/>
      <c r="E4349" s="62"/>
      <c r="F4349" s="62"/>
      <c r="G4349" s="62"/>
      <c r="H4349" s="62"/>
      <c r="I4349" s="62"/>
      <c r="J4349" s="62"/>
      <c r="K4349" s="76">
        <v>16</v>
      </c>
      <c r="L4349" s="62"/>
      <c r="M4349" s="62"/>
      <c r="N4349" s="62"/>
      <c r="O4349" s="62"/>
      <c r="P4349" s="62"/>
      <c r="Q4349" s="12"/>
      <c r="R4349" s="12"/>
    </row>
    <row r="4350" spans="1:18" s="3" customFormat="1">
      <c r="A4350" s="70"/>
      <c r="B4350" s="70" t="s">
        <v>2062</v>
      </c>
      <c r="C4350" s="70" t="s">
        <v>702</v>
      </c>
      <c r="D4350" s="70"/>
      <c r="E4350" s="62"/>
      <c r="F4350" s="62"/>
      <c r="G4350" s="62"/>
      <c r="H4350" s="62"/>
      <c r="I4350" s="62"/>
      <c r="J4350" s="62"/>
      <c r="K4350" s="76">
        <v>17</v>
      </c>
      <c r="L4350" s="62"/>
      <c r="M4350" s="62"/>
      <c r="N4350" s="62"/>
      <c r="O4350" s="62"/>
      <c r="P4350" s="62"/>
      <c r="Q4350" s="12"/>
      <c r="R4350" s="12"/>
    </row>
    <row r="4351" spans="1:18" s="3" customFormat="1">
      <c r="A4351" s="70"/>
      <c r="B4351" s="70" t="s">
        <v>2057</v>
      </c>
      <c r="C4351" s="70" t="s">
        <v>702</v>
      </c>
      <c r="D4351" s="70"/>
      <c r="E4351" s="62"/>
      <c r="F4351" s="62"/>
      <c r="G4351" s="62"/>
      <c r="H4351" s="62"/>
      <c r="I4351" s="62"/>
      <c r="J4351" s="62"/>
      <c r="K4351" s="76">
        <v>18</v>
      </c>
      <c r="L4351" s="62"/>
      <c r="M4351" s="62"/>
      <c r="N4351" s="62"/>
      <c r="O4351" s="62"/>
      <c r="P4351" s="62"/>
      <c r="Q4351" s="12"/>
      <c r="R4351" s="12"/>
    </row>
    <row r="4352" spans="1:18" s="3" customFormat="1">
      <c r="A4352" s="62"/>
      <c r="B4352" s="62"/>
      <c r="C4352" s="62"/>
      <c r="D4352" s="62"/>
      <c r="E4352" s="62"/>
      <c r="F4352" s="62"/>
      <c r="G4352" s="62"/>
      <c r="H4352" s="62"/>
      <c r="I4352" s="62"/>
      <c r="J4352" s="62"/>
      <c r="K4352" s="76"/>
      <c r="L4352" s="62"/>
      <c r="M4352" s="62"/>
      <c r="N4352" s="62"/>
      <c r="O4352" s="62"/>
      <c r="P4352" s="62"/>
      <c r="Q4352" s="12"/>
      <c r="R4352" s="12"/>
    </row>
    <row r="4353" spans="1:18">
      <c r="A4353" s="62" t="s">
        <v>2197</v>
      </c>
      <c r="B4353" s="62" t="s">
        <v>2198</v>
      </c>
      <c r="C4353" s="62" t="s">
        <v>494</v>
      </c>
      <c r="D4353" s="62"/>
      <c r="E4353" s="62" t="s">
        <v>476</v>
      </c>
      <c r="F4353" s="1">
        <v>21</v>
      </c>
      <c r="G4353" s="1">
        <v>2123</v>
      </c>
      <c r="H4353" s="62" t="s">
        <v>2206</v>
      </c>
      <c r="I4353" s="22" t="s">
        <v>2207</v>
      </c>
      <c r="J4353" s="1">
        <v>1501</v>
      </c>
      <c r="K4353" s="82">
        <v>1</v>
      </c>
    </row>
    <row r="4354" spans="1:18">
      <c r="B4354" s="62" t="s">
        <v>2199</v>
      </c>
      <c r="C4354" s="62" t="s">
        <v>494</v>
      </c>
      <c r="D4354" s="62"/>
      <c r="E4354" s="62" t="s">
        <v>476</v>
      </c>
      <c r="K4354" s="82">
        <v>2</v>
      </c>
    </row>
    <row r="4355" spans="1:18">
      <c r="B4355" s="62" t="s">
        <v>2204</v>
      </c>
      <c r="C4355" s="62" t="s">
        <v>494</v>
      </c>
      <c r="D4355" s="62"/>
      <c r="E4355" s="62" t="s">
        <v>476</v>
      </c>
      <c r="K4355" s="82">
        <v>3</v>
      </c>
      <c r="L4355" s="9">
        <v>3</v>
      </c>
      <c r="N4355" s="64" t="s">
        <v>506</v>
      </c>
      <c r="O4355" s="64" t="s">
        <v>514</v>
      </c>
      <c r="P4355" s="1" t="s">
        <v>515</v>
      </c>
    </row>
    <row r="4356" spans="1:18">
      <c r="B4356" s="62" t="s">
        <v>2203</v>
      </c>
      <c r="C4356" s="62" t="s">
        <v>494</v>
      </c>
      <c r="D4356" s="62"/>
      <c r="E4356" s="62" t="s">
        <v>476</v>
      </c>
      <c r="K4356" s="82">
        <v>4</v>
      </c>
      <c r="L4356" s="9">
        <v>3</v>
      </c>
      <c r="N4356" s="62" t="s">
        <v>1038</v>
      </c>
      <c r="O4356" s="23" t="s">
        <v>1040</v>
      </c>
      <c r="P4356" s="60" t="s">
        <v>1041</v>
      </c>
    </row>
    <row r="4357" spans="1:18">
      <c r="B4357" s="62" t="s">
        <v>2205</v>
      </c>
      <c r="C4357" s="62" t="s">
        <v>494</v>
      </c>
      <c r="D4357" s="62"/>
      <c r="E4357" s="62" t="s">
        <v>476</v>
      </c>
      <c r="K4357" s="82">
        <v>5</v>
      </c>
      <c r="L4357" s="9">
        <v>3</v>
      </c>
      <c r="N4357" s="62" t="s">
        <v>1002</v>
      </c>
      <c r="O4357" s="23" t="s">
        <v>1004</v>
      </c>
      <c r="P4357" s="23" t="s">
        <v>1023</v>
      </c>
    </row>
    <row r="4358" spans="1:18">
      <c r="B4358" s="62" t="s">
        <v>2200</v>
      </c>
      <c r="C4358" s="62" t="s">
        <v>494</v>
      </c>
      <c r="D4358" s="62"/>
      <c r="E4358" s="62" t="s">
        <v>476</v>
      </c>
      <c r="K4358" s="82">
        <v>6</v>
      </c>
      <c r="L4358" s="9">
        <v>8</v>
      </c>
    </row>
    <row r="4359" spans="1:18">
      <c r="B4359" s="62" t="s">
        <v>2201</v>
      </c>
      <c r="C4359" s="62" t="s">
        <v>494</v>
      </c>
      <c r="K4359" s="82">
        <v>7</v>
      </c>
    </row>
    <row r="4360" spans="1:18">
      <c r="B4360" s="62" t="s">
        <v>2202</v>
      </c>
      <c r="C4360" s="62" t="s">
        <v>520</v>
      </c>
      <c r="K4360" s="82">
        <v>8</v>
      </c>
    </row>
    <row r="4362" spans="1:18">
      <c r="A4362" s="62" t="s">
        <v>2329</v>
      </c>
      <c r="B4362" s="66" t="s">
        <v>2331</v>
      </c>
      <c r="C4362" s="64" t="s">
        <v>494</v>
      </c>
      <c r="E4362" s="62" t="s">
        <v>476</v>
      </c>
      <c r="F4362" s="14">
        <v>21</v>
      </c>
      <c r="G4362" s="14">
        <v>2127</v>
      </c>
      <c r="H4362" s="47" t="s">
        <v>2421</v>
      </c>
      <c r="I4362" s="48" t="s">
        <v>2422</v>
      </c>
      <c r="J4362" s="47">
        <v>2101</v>
      </c>
      <c r="K4362" s="57">
        <v>1</v>
      </c>
      <c r="L4362" s="15">
        <v>6</v>
      </c>
      <c r="M4362" s="14"/>
      <c r="N4362" s="62"/>
      <c r="O4362" s="60"/>
      <c r="P4362" s="23"/>
      <c r="Q4362" s="14"/>
      <c r="R4362" s="14"/>
    </row>
    <row r="4363" spans="1:18">
      <c r="A4363" s="62"/>
      <c r="B4363" s="66" t="s">
        <v>2330</v>
      </c>
      <c r="C4363" s="64" t="s">
        <v>494</v>
      </c>
      <c r="F4363" s="14"/>
      <c r="G4363" s="14"/>
      <c r="H4363" s="14"/>
      <c r="I4363" s="11"/>
      <c r="J4363" s="14"/>
      <c r="K4363" s="76">
        <v>2</v>
      </c>
      <c r="L4363" s="15">
        <v>6</v>
      </c>
      <c r="M4363" s="14"/>
      <c r="N4363" s="62"/>
      <c r="O4363" s="60"/>
      <c r="P4363" s="23"/>
      <c r="Q4363" s="14"/>
      <c r="R4363" s="14"/>
    </row>
    <row r="4364" spans="1:18">
      <c r="A4364" s="62"/>
      <c r="B4364" s="66" t="s">
        <v>2332</v>
      </c>
      <c r="C4364" s="64" t="s">
        <v>493</v>
      </c>
      <c r="D4364" s="1">
        <v>1</v>
      </c>
      <c r="F4364" s="14"/>
      <c r="G4364" s="14"/>
      <c r="H4364" s="14"/>
      <c r="I4364" s="11"/>
      <c r="J4364" s="14"/>
      <c r="K4364" s="76">
        <v>3</v>
      </c>
      <c r="L4364" s="15">
        <v>30</v>
      </c>
      <c r="M4364" s="14"/>
      <c r="N4364" s="62"/>
      <c r="O4364" s="60"/>
      <c r="P4364" s="23"/>
      <c r="Q4364" s="14"/>
      <c r="R4364" s="14"/>
    </row>
    <row r="4365" spans="1:18">
      <c r="A4365" s="62"/>
      <c r="B4365" s="66" t="s">
        <v>2333</v>
      </c>
      <c r="C4365" s="64" t="s">
        <v>494</v>
      </c>
      <c r="F4365" s="14"/>
      <c r="G4365" s="14"/>
      <c r="H4365" s="14"/>
      <c r="I4365" s="11"/>
      <c r="J4365" s="14"/>
      <c r="K4365" s="76">
        <v>4</v>
      </c>
      <c r="L4365" s="62">
        <v>3</v>
      </c>
      <c r="M4365" s="62">
        <v>3</v>
      </c>
      <c r="N4365" s="64" t="s">
        <v>506</v>
      </c>
      <c r="O4365" s="64" t="s">
        <v>514</v>
      </c>
      <c r="P4365" s="1" t="s">
        <v>515</v>
      </c>
      <c r="Q4365" s="14"/>
      <c r="R4365" s="14"/>
    </row>
    <row r="4366" spans="1:18">
      <c r="A4366" s="62"/>
      <c r="B4366" s="66" t="s">
        <v>2334</v>
      </c>
      <c r="C4366" s="64" t="s">
        <v>494</v>
      </c>
      <c r="F4366" s="14"/>
      <c r="G4366" s="14"/>
      <c r="H4366" s="14"/>
      <c r="I4366" s="11"/>
      <c r="J4366" s="14"/>
      <c r="K4366" s="76">
        <v>5</v>
      </c>
      <c r="L4366" s="62">
        <v>9</v>
      </c>
      <c r="M4366" s="62">
        <v>3</v>
      </c>
      <c r="N4366" s="62" t="s">
        <v>1038</v>
      </c>
      <c r="O4366" s="23" t="s">
        <v>1040</v>
      </c>
      <c r="P4366" s="60" t="s">
        <v>1041</v>
      </c>
      <c r="Q4366" s="23" t="s">
        <v>1040</v>
      </c>
      <c r="R4366" s="14">
        <v>140</v>
      </c>
    </row>
    <row r="4367" spans="1:18">
      <c r="A4367" s="62"/>
      <c r="B4367" s="66" t="s">
        <v>2335</v>
      </c>
      <c r="C4367" s="64" t="s">
        <v>494</v>
      </c>
      <c r="F4367" s="14"/>
      <c r="G4367" s="14"/>
      <c r="H4367" s="14"/>
      <c r="I4367" s="11"/>
      <c r="J4367" s="14"/>
      <c r="K4367" s="76">
        <v>6</v>
      </c>
      <c r="L4367" s="15">
        <v>8</v>
      </c>
      <c r="M4367" s="14"/>
      <c r="N4367" s="62"/>
      <c r="O4367" s="60"/>
      <c r="P4367" s="23"/>
      <c r="Q4367" s="14"/>
      <c r="R4367" s="14"/>
    </row>
    <row r="4368" spans="1:18">
      <c r="A4368" s="62"/>
      <c r="B4368" s="66" t="s">
        <v>2336</v>
      </c>
      <c r="C4368" s="64" t="s">
        <v>494</v>
      </c>
      <c r="F4368" s="14"/>
      <c r="G4368" s="14"/>
      <c r="H4368" s="14"/>
      <c r="I4368" s="11"/>
      <c r="J4368" s="14"/>
      <c r="K4368" s="76">
        <v>7</v>
      </c>
      <c r="L4368" s="15">
        <v>3</v>
      </c>
      <c r="M4368" s="1">
        <v>31</v>
      </c>
      <c r="N4368" s="1" t="s">
        <v>1977</v>
      </c>
      <c r="O4368" s="62" t="s">
        <v>1978</v>
      </c>
      <c r="P4368" s="62" t="s">
        <v>1979</v>
      </c>
      <c r="Q4368" s="62" t="s">
        <v>1993</v>
      </c>
      <c r="R4368" s="1">
        <v>6</v>
      </c>
    </row>
    <row r="4369" spans="1:18">
      <c r="A4369" s="62"/>
      <c r="B4369" s="66" t="s">
        <v>2352</v>
      </c>
      <c r="C4369" s="64" t="s">
        <v>702</v>
      </c>
      <c r="F4369" s="14"/>
      <c r="G4369" s="14"/>
      <c r="H4369" s="14"/>
      <c r="I4369" s="11"/>
      <c r="J4369" s="14"/>
      <c r="K4369" s="76">
        <v>8</v>
      </c>
      <c r="L4369" s="15"/>
      <c r="M4369" s="14">
        <v>1</v>
      </c>
      <c r="N4369" s="62"/>
      <c r="O4369" s="60"/>
      <c r="P4369" s="23"/>
      <c r="Q4369" s="14"/>
      <c r="R4369" s="14"/>
    </row>
    <row r="4370" spans="1:18">
      <c r="A4370" s="62"/>
      <c r="B4370" s="66" t="s">
        <v>2337</v>
      </c>
      <c r="C4370" s="64" t="s">
        <v>702</v>
      </c>
      <c r="F4370" s="14"/>
      <c r="G4370" s="14"/>
      <c r="H4370" s="14"/>
      <c r="I4370" s="11"/>
      <c r="J4370" s="14"/>
      <c r="K4370" s="76">
        <v>9</v>
      </c>
      <c r="L4370" s="15"/>
      <c r="M4370" s="14"/>
      <c r="N4370" s="62"/>
      <c r="O4370" s="60"/>
      <c r="P4370" s="23"/>
      <c r="Q4370" s="14"/>
      <c r="R4370" s="14"/>
    </row>
    <row r="4371" spans="1:18">
      <c r="A4371" s="62"/>
      <c r="B4371" s="66" t="s">
        <v>2351</v>
      </c>
      <c r="C4371" s="64" t="s">
        <v>494</v>
      </c>
      <c r="F4371" s="14"/>
      <c r="G4371" s="14"/>
      <c r="H4371" s="14"/>
      <c r="I4371" s="11"/>
      <c r="J4371" s="14"/>
      <c r="K4371" s="76">
        <v>10</v>
      </c>
      <c r="L4371" s="15"/>
      <c r="M4371" s="14">
        <v>1</v>
      </c>
      <c r="N4371" s="62"/>
      <c r="O4371" s="60"/>
      <c r="P4371" s="23"/>
      <c r="Q4371" s="14"/>
      <c r="R4371" s="14"/>
    </row>
    <row r="4372" spans="1:18">
      <c r="A4372" s="62"/>
      <c r="B4372" s="66" t="s">
        <v>2338</v>
      </c>
      <c r="C4372" s="64" t="s">
        <v>520</v>
      </c>
      <c r="F4372" s="14"/>
      <c r="G4372" s="14"/>
      <c r="H4372" s="14"/>
      <c r="I4372" s="11"/>
      <c r="J4372" s="14"/>
      <c r="K4372" s="76">
        <v>11</v>
      </c>
      <c r="L4372" s="15"/>
      <c r="M4372" s="14"/>
      <c r="N4372" s="62"/>
      <c r="O4372" s="60"/>
      <c r="P4372" s="23"/>
      <c r="Q4372" s="14"/>
      <c r="R4372" s="14"/>
    </row>
    <row r="4373" spans="1:18">
      <c r="A4373" s="62"/>
      <c r="B4373" s="66" t="s">
        <v>2339</v>
      </c>
      <c r="C4373" s="64" t="s">
        <v>494</v>
      </c>
      <c r="F4373" s="14"/>
      <c r="G4373" s="14"/>
      <c r="H4373" s="14"/>
      <c r="I4373" s="11"/>
      <c r="J4373" s="14"/>
      <c r="K4373" s="76">
        <v>12</v>
      </c>
      <c r="L4373" s="15">
        <v>8</v>
      </c>
      <c r="M4373" s="14"/>
      <c r="N4373" s="62"/>
      <c r="O4373" s="60"/>
      <c r="P4373" s="23"/>
      <c r="Q4373" s="14"/>
      <c r="R4373" s="14"/>
    </row>
    <row r="4374" spans="1:18">
      <c r="A4374" s="62"/>
      <c r="B4374" s="66" t="s">
        <v>2340</v>
      </c>
      <c r="C4374" s="64" t="s">
        <v>493</v>
      </c>
      <c r="D4374" s="1">
        <v>10</v>
      </c>
      <c r="F4374" s="14"/>
      <c r="G4374" s="14"/>
      <c r="H4374" s="14"/>
      <c r="I4374" s="11"/>
      <c r="J4374" s="14"/>
      <c r="K4374" s="76">
        <v>13</v>
      </c>
      <c r="L4374" s="15">
        <v>7</v>
      </c>
      <c r="M4374" s="14"/>
      <c r="N4374" s="62"/>
      <c r="O4374" s="60"/>
      <c r="P4374" s="23"/>
      <c r="Q4374" s="14"/>
      <c r="R4374" s="14"/>
    </row>
    <row r="4375" spans="1:18">
      <c r="A4375" s="62"/>
      <c r="B4375" s="66" t="s">
        <v>2341</v>
      </c>
      <c r="C4375" s="64" t="s">
        <v>494</v>
      </c>
      <c r="F4375" s="14"/>
      <c r="G4375" s="14"/>
      <c r="H4375" s="14"/>
      <c r="I4375" s="11"/>
      <c r="J4375" s="14"/>
      <c r="K4375" s="76">
        <v>14</v>
      </c>
      <c r="L4375" s="15"/>
      <c r="M4375" s="14">
        <v>71</v>
      </c>
      <c r="N4375" s="62"/>
      <c r="O4375" s="60"/>
      <c r="P4375" s="23"/>
      <c r="Q4375" s="14"/>
      <c r="R4375" s="14"/>
    </row>
    <row r="4376" spans="1:18">
      <c r="A4376" s="62"/>
      <c r="B4376" s="66" t="s">
        <v>2342</v>
      </c>
      <c r="C4376" s="64" t="s">
        <v>494</v>
      </c>
      <c r="F4376" s="14"/>
      <c r="G4376" s="14"/>
      <c r="H4376" s="14"/>
      <c r="I4376" s="11"/>
      <c r="J4376" s="14"/>
      <c r="K4376" s="76">
        <v>15</v>
      </c>
      <c r="L4376" s="15"/>
      <c r="M4376" s="14">
        <v>72</v>
      </c>
      <c r="N4376" s="62"/>
      <c r="O4376" s="60"/>
      <c r="P4376" s="23"/>
      <c r="Q4376" s="14"/>
      <c r="R4376" s="14"/>
    </row>
    <row r="4377" spans="1:18">
      <c r="A4377" s="62"/>
      <c r="B4377" s="66" t="s">
        <v>2343</v>
      </c>
      <c r="C4377" s="64" t="s">
        <v>494</v>
      </c>
      <c r="F4377" s="14"/>
      <c r="G4377" s="14"/>
      <c r="H4377" s="14"/>
      <c r="I4377" s="11"/>
      <c r="J4377" s="14"/>
      <c r="K4377" s="76">
        <v>16</v>
      </c>
      <c r="L4377" s="15">
        <v>8</v>
      </c>
      <c r="M4377" s="14"/>
      <c r="N4377" s="62"/>
      <c r="O4377" s="60"/>
      <c r="P4377" s="23"/>
      <c r="Q4377" s="14"/>
      <c r="R4377" s="14"/>
    </row>
    <row r="4378" spans="1:18">
      <c r="A4378" s="62"/>
      <c r="B4378" s="66" t="s">
        <v>2344</v>
      </c>
      <c r="C4378" s="64" t="s">
        <v>493</v>
      </c>
      <c r="D4378" s="1">
        <v>10</v>
      </c>
      <c r="F4378" s="14"/>
      <c r="G4378" s="14"/>
      <c r="H4378" s="14"/>
      <c r="I4378" s="11"/>
      <c r="J4378" s="14"/>
      <c r="K4378" s="76">
        <v>17</v>
      </c>
      <c r="L4378" s="15">
        <v>7</v>
      </c>
      <c r="M4378" s="14"/>
      <c r="N4378" s="62"/>
      <c r="O4378" s="60"/>
      <c r="P4378" s="23"/>
      <c r="Q4378" s="14"/>
      <c r="R4378" s="14"/>
    </row>
    <row r="4379" spans="1:18">
      <c r="A4379" s="62"/>
      <c r="B4379" s="66" t="s">
        <v>2345</v>
      </c>
      <c r="C4379" s="64" t="s">
        <v>494</v>
      </c>
      <c r="F4379" s="14"/>
      <c r="G4379" s="14"/>
      <c r="H4379" s="14"/>
      <c r="I4379" s="11"/>
      <c r="J4379" s="14"/>
      <c r="K4379" s="76">
        <v>18</v>
      </c>
      <c r="L4379" s="15"/>
      <c r="M4379" s="14">
        <v>71</v>
      </c>
      <c r="N4379" s="62"/>
      <c r="O4379" s="60"/>
      <c r="P4379" s="23"/>
      <c r="Q4379" s="14"/>
      <c r="R4379" s="14"/>
    </row>
    <row r="4380" spans="1:18">
      <c r="A4380" s="62"/>
      <c r="B4380" s="66" t="s">
        <v>2347</v>
      </c>
      <c r="C4380" s="64" t="s">
        <v>494</v>
      </c>
      <c r="F4380" s="14"/>
      <c r="G4380" s="14"/>
      <c r="H4380" s="14"/>
      <c r="I4380" s="11"/>
      <c r="J4380" s="14"/>
      <c r="K4380" s="76">
        <v>19</v>
      </c>
      <c r="L4380" s="15"/>
      <c r="M4380" s="14">
        <v>72</v>
      </c>
      <c r="N4380" s="62"/>
      <c r="O4380" s="60"/>
      <c r="P4380" s="23"/>
      <c r="Q4380" s="14"/>
      <c r="R4380" s="14"/>
    </row>
    <row r="4381" spans="1:18">
      <c r="A4381" s="62"/>
      <c r="B4381" s="66" t="s">
        <v>2346</v>
      </c>
      <c r="C4381" s="64" t="s">
        <v>520</v>
      </c>
      <c r="F4381" s="14"/>
      <c r="G4381" s="14"/>
      <c r="H4381" s="14"/>
      <c r="I4381" s="11"/>
      <c r="J4381" s="14"/>
      <c r="K4381" s="76">
        <v>20</v>
      </c>
      <c r="L4381" s="15"/>
      <c r="M4381" s="14"/>
      <c r="N4381" s="62"/>
      <c r="O4381" s="60"/>
      <c r="P4381" s="23"/>
      <c r="Q4381" s="14"/>
      <c r="R4381" s="14"/>
    </row>
    <row r="4382" spans="1:18">
      <c r="A4382" s="62"/>
      <c r="B4382" s="66" t="s">
        <v>2348</v>
      </c>
      <c r="C4382" s="64" t="s">
        <v>493</v>
      </c>
      <c r="D4382" s="1">
        <v>1</v>
      </c>
      <c r="F4382" s="14"/>
      <c r="G4382" s="14"/>
      <c r="H4382" s="14"/>
      <c r="I4382" s="11"/>
      <c r="J4382" s="14"/>
      <c r="K4382" s="76">
        <v>21</v>
      </c>
      <c r="L4382" s="15">
        <v>3</v>
      </c>
      <c r="M4382" s="14"/>
      <c r="N4382" s="62"/>
      <c r="O4382" s="60"/>
      <c r="P4382" s="23"/>
      <c r="Q4382" s="14"/>
      <c r="R4382" s="14"/>
    </row>
    <row r="4383" spans="1:18">
      <c r="A4383" s="62"/>
      <c r="B4383" s="66" t="s">
        <v>2349</v>
      </c>
      <c r="C4383" s="64" t="s">
        <v>493</v>
      </c>
      <c r="D4383" s="1">
        <v>10</v>
      </c>
      <c r="F4383" s="14"/>
      <c r="G4383" s="14"/>
      <c r="H4383" s="14"/>
      <c r="I4383" s="11"/>
      <c r="J4383" s="14"/>
      <c r="K4383" s="76">
        <v>22</v>
      </c>
      <c r="L4383" s="15">
        <v>7</v>
      </c>
      <c r="M4383" s="14"/>
      <c r="N4383" s="62"/>
      <c r="O4383" s="60"/>
      <c r="P4383" s="23"/>
      <c r="Q4383" s="14"/>
      <c r="R4383" s="14"/>
    </row>
    <row r="4384" spans="1:18">
      <c r="A4384" s="62"/>
      <c r="B4384" s="66" t="s">
        <v>2350</v>
      </c>
      <c r="C4384" s="64" t="s">
        <v>494</v>
      </c>
      <c r="F4384" s="14"/>
      <c r="G4384" s="14"/>
      <c r="H4384" s="14"/>
      <c r="I4384" s="11"/>
      <c r="J4384" s="14"/>
      <c r="K4384" s="76">
        <v>23</v>
      </c>
      <c r="L4384" s="15">
        <v>8</v>
      </c>
      <c r="M4384" s="14"/>
      <c r="N4384" s="62"/>
      <c r="O4384" s="60"/>
      <c r="P4384" s="23"/>
      <c r="Q4384" s="14"/>
      <c r="R4384" s="14"/>
    </row>
    <row r="4385" spans="1:18">
      <c r="A4385" s="62"/>
      <c r="B4385" s="66" t="s">
        <v>2427</v>
      </c>
      <c r="C4385" s="64" t="s">
        <v>493</v>
      </c>
      <c r="D4385" s="1">
        <v>1</v>
      </c>
      <c r="F4385" s="14"/>
      <c r="G4385" s="14"/>
      <c r="H4385" s="14"/>
      <c r="I4385" s="11"/>
      <c r="J4385" s="14"/>
      <c r="K4385" s="76">
        <v>24</v>
      </c>
      <c r="L4385" s="15">
        <v>1</v>
      </c>
      <c r="M4385" s="14"/>
      <c r="N4385" s="62"/>
      <c r="O4385" s="60"/>
      <c r="P4385" s="23"/>
      <c r="Q4385" s="14"/>
      <c r="R4385" s="14"/>
    </row>
    <row r="4386" spans="1:18">
      <c r="A4386" s="62"/>
      <c r="B4386" s="66"/>
      <c r="C4386" s="64"/>
      <c r="F4386" s="14"/>
      <c r="G4386" s="14"/>
      <c r="H4386" s="14"/>
      <c r="I4386" s="11"/>
      <c r="J4386" s="14"/>
      <c r="K4386" s="76"/>
      <c r="L4386" s="15"/>
      <c r="M4386" s="14"/>
      <c r="N4386" s="62"/>
      <c r="O4386" s="60"/>
      <c r="P4386" s="23"/>
      <c r="Q4386" s="14"/>
      <c r="R4386" s="14"/>
    </row>
    <row r="4387" spans="1:18">
      <c r="A4387" s="62" t="s">
        <v>2329</v>
      </c>
      <c r="B4387" s="66" t="s">
        <v>2331</v>
      </c>
      <c r="C4387" s="64" t="s">
        <v>494</v>
      </c>
      <c r="E4387" s="62" t="s">
        <v>476</v>
      </c>
      <c r="F4387" s="14">
        <v>21</v>
      </c>
      <c r="G4387" s="14">
        <v>2128</v>
      </c>
      <c r="H4387" s="47" t="s">
        <v>2423</v>
      </c>
      <c r="I4387" s="48" t="s">
        <v>2424</v>
      </c>
      <c r="J4387" s="14">
        <v>9999</v>
      </c>
      <c r="K4387" s="57">
        <v>1</v>
      </c>
      <c r="L4387" s="15"/>
      <c r="M4387" s="14"/>
      <c r="N4387" s="62"/>
      <c r="O4387" s="60"/>
      <c r="P4387" s="23"/>
      <c r="Q4387" s="14"/>
      <c r="R4387" s="14"/>
    </row>
    <row r="4388" spans="1:18">
      <c r="A4388" s="62"/>
      <c r="B4388" s="66"/>
      <c r="C4388" s="64"/>
      <c r="F4388" s="14"/>
      <c r="G4388" s="14"/>
      <c r="H4388" s="14"/>
      <c r="I4388" s="11"/>
      <c r="J4388" s="14"/>
      <c r="K4388" s="76"/>
      <c r="L4388" s="15"/>
      <c r="M4388" s="14"/>
      <c r="N4388" s="62"/>
      <c r="O4388" s="60"/>
      <c r="P4388" s="23"/>
      <c r="Q4388" s="14"/>
      <c r="R4388" s="14"/>
    </row>
    <row r="4389" spans="1:18">
      <c r="A4389" s="62" t="s">
        <v>2329</v>
      </c>
      <c r="B4389" s="66" t="s">
        <v>2331</v>
      </c>
      <c r="C4389" s="64" t="s">
        <v>494</v>
      </c>
      <c r="E4389" s="62" t="s">
        <v>476</v>
      </c>
      <c r="F4389" s="14">
        <v>21</v>
      </c>
      <c r="G4389" s="14">
        <v>2129</v>
      </c>
      <c r="H4389" s="47" t="s">
        <v>2425</v>
      </c>
      <c r="I4389" s="48" t="s">
        <v>2426</v>
      </c>
      <c r="J4389" s="14">
        <v>9999</v>
      </c>
      <c r="K4389" s="57">
        <v>1</v>
      </c>
      <c r="L4389" s="15"/>
      <c r="M4389" s="14"/>
      <c r="N4389" s="62"/>
      <c r="O4389" s="60"/>
      <c r="P4389" s="23"/>
      <c r="Q4389" s="14"/>
      <c r="R4389" s="14"/>
    </row>
    <row r="4390" spans="1:18">
      <c r="A4390" s="62"/>
      <c r="B4390" s="66"/>
      <c r="C4390" s="64"/>
      <c r="E4390" s="62"/>
      <c r="F4390" s="14"/>
      <c r="G4390" s="14"/>
      <c r="H4390" s="47"/>
      <c r="I4390" s="48"/>
      <c r="J4390" s="14"/>
      <c r="K4390" s="57"/>
      <c r="L4390" s="15"/>
      <c r="M4390" s="14"/>
      <c r="N4390" s="62"/>
      <c r="O4390" s="60"/>
      <c r="P4390" s="23"/>
      <c r="Q4390" s="14"/>
      <c r="R4390" s="14"/>
    </row>
    <row r="4391" spans="1:18">
      <c r="A4391" s="1" t="s">
        <v>690</v>
      </c>
      <c r="B4391" s="1" t="s">
        <v>691</v>
      </c>
      <c r="C4391" s="1" t="s">
        <v>494</v>
      </c>
      <c r="E4391" s="1" t="s">
        <v>476</v>
      </c>
      <c r="F4391" s="14">
        <v>1</v>
      </c>
      <c r="G4391" s="14">
        <v>110</v>
      </c>
      <c r="H4391" s="14" t="s">
        <v>710</v>
      </c>
      <c r="I4391" s="48" t="s">
        <v>711</v>
      </c>
      <c r="J4391" s="14">
        <v>2</v>
      </c>
      <c r="K4391" s="16">
        <v>1</v>
      </c>
      <c r="L4391" s="15"/>
      <c r="M4391" s="14"/>
      <c r="N4391" s="14"/>
      <c r="O4391" s="14"/>
      <c r="P4391" s="14"/>
      <c r="Q4391" s="14"/>
      <c r="R4391" s="14"/>
    </row>
    <row r="4392" spans="1:18">
      <c r="B4392" s="1" t="s">
        <v>692</v>
      </c>
      <c r="C4392" s="1" t="s">
        <v>702</v>
      </c>
      <c r="F4392" s="14"/>
      <c r="G4392" s="14"/>
      <c r="H4392" s="14"/>
      <c r="I4392" s="11"/>
      <c r="J4392" s="14"/>
      <c r="K4392" s="16">
        <v>2</v>
      </c>
      <c r="L4392" s="15"/>
      <c r="M4392" s="14"/>
      <c r="N4392" s="14"/>
      <c r="O4392" s="14"/>
      <c r="P4392" s="14"/>
      <c r="Q4392" s="14"/>
      <c r="R4392" s="14"/>
    </row>
    <row r="4393" spans="1:18">
      <c r="F4393" s="14"/>
      <c r="G4393" s="14"/>
      <c r="H4393" s="14"/>
      <c r="I4393" s="11"/>
      <c r="J4393" s="14"/>
      <c r="K4393" s="16"/>
      <c r="L4393" s="15"/>
      <c r="M4393" s="14"/>
      <c r="N4393" s="14"/>
      <c r="O4393" s="14"/>
      <c r="P4393" s="14"/>
      <c r="Q4393" s="14"/>
      <c r="R4393" s="14"/>
    </row>
    <row r="4394" spans="1:18" ht="12.75" customHeight="1">
      <c r="A4394" s="1" t="s">
        <v>820</v>
      </c>
      <c r="B4394" s="10" t="s">
        <v>821</v>
      </c>
      <c r="C4394" s="1" t="s">
        <v>494</v>
      </c>
      <c r="E4394" s="1" t="s">
        <v>476</v>
      </c>
      <c r="F4394" s="14">
        <v>1</v>
      </c>
      <c r="G4394" s="14">
        <v>112</v>
      </c>
      <c r="H4394" s="14" t="s">
        <v>796</v>
      </c>
      <c r="I4394" s="11" t="s">
        <v>353</v>
      </c>
      <c r="J4394" s="14">
        <v>11</v>
      </c>
      <c r="K4394" s="16">
        <v>1</v>
      </c>
      <c r="L4394" s="9">
        <v>6</v>
      </c>
      <c r="M4394" s="14"/>
      <c r="N4394" s="14"/>
      <c r="O4394" s="14"/>
      <c r="P4394" s="14"/>
    </row>
    <row r="4395" spans="1:18">
      <c r="B4395" s="10" t="s">
        <v>819</v>
      </c>
      <c r="C4395" s="1" t="s">
        <v>494</v>
      </c>
      <c r="F4395" s="14"/>
      <c r="G4395" s="14"/>
      <c r="H4395" s="14"/>
      <c r="I4395" s="11"/>
      <c r="J4395" s="14"/>
      <c r="K4395" s="16">
        <v>3</v>
      </c>
      <c r="L4395" s="9">
        <v>6</v>
      </c>
      <c r="M4395" s="14"/>
      <c r="N4395" s="14"/>
      <c r="O4395" s="14"/>
      <c r="P4395" s="14"/>
    </row>
    <row r="4396" spans="1:18">
      <c r="B4396" s="10" t="s">
        <v>822</v>
      </c>
      <c r="C4396" s="1" t="s">
        <v>494</v>
      </c>
      <c r="F4396" s="14"/>
      <c r="G4396" s="14"/>
      <c r="H4396" s="14"/>
      <c r="I4396" s="11"/>
      <c r="J4396" s="14"/>
      <c r="K4396" s="16">
        <v>4</v>
      </c>
      <c r="L4396" s="9">
        <v>3</v>
      </c>
      <c r="M4396" s="14">
        <v>3</v>
      </c>
      <c r="N4396" s="1" t="s">
        <v>536</v>
      </c>
      <c r="O4396" s="1" t="s">
        <v>537</v>
      </c>
      <c r="P4396" s="1" t="s">
        <v>538</v>
      </c>
    </row>
    <row r="4397" spans="1:18">
      <c r="B4397" s="10" t="s">
        <v>823</v>
      </c>
      <c r="C4397" s="1" t="s">
        <v>494</v>
      </c>
      <c r="F4397" s="14"/>
      <c r="G4397" s="14"/>
      <c r="H4397" s="14"/>
      <c r="I4397" s="11"/>
      <c r="J4397" s="14"/>
      <c r="K4397" s="16">
        <v>5</v>
      </c>
      <c r="L4397" s="9">
        <v>3</v>
      </c>
      <c r="M4397" s="14">
        <v>3</v>
      </c>
      <c r="N4397" s="14" t="s">
        <v>317</v>
      </c>
      <c r="O4397" s="14" t="s">
        <v>318</v>
      </c>
      <c r="P4397" s="14" t="s">
        <v>319</v>
      </c>
    </row>
    <row r="4398" spans="1:18">
      <c r="B4398" s="10" t="s">
        <v>824</v>
      </c>
      <c r="C4398" s="1" t="s">
        <v>493</v>
      </c>
      <c r="D4398" s="1">
        <v>1</v>
      </c>
      <c r="F4398" s="14"/>
      <c r="G4398" s="14"/>
      <c r="H4398" s="14"/>
      <c r="I4398" s="11"/>
      <c r="J4398" s="14"/>
      <c r="K4398" s="16">
        <v>6</v>
      </c>
      <c r="L4398" s="15">
        <v>3</v>
      </c>
      <c r="M4398" s="14">
        <v>3</v>
      </c>
      <c r="N4398" s="14"/>
      <c r="O4398" s="14"/>
      <c r="P4398" s="14"/>
    </row>
    <row r="4399" spans="1:18">
      <c r="B4399" s="10" t="s">
        <v>803</v>
      </c>
      <c r="C4399" s="1" t="s">
        <v>493</v>
      </c>
      <c r="D4399" s="1">
        <v>100</v>
      </c>
      <c r="F4399" s="14"/>
      <c r="G4399" s="14"/>
      <c r="H4399" s="14"/>
      <c r="I4399" s="11"/>
      <c r="J4399" s="14"/>
      <c r="K4399" s="16">
        <v>7</v>
      </c>
      <c r="M4399" s="14"/>
      <c r="N4399" s="14"/>
      <c r="O4399" s="14"/>
      <c r="P4399" s="14"/>
    </row>
    <row r="4400" spans="1:18">
      <c r="B4400" s="10" t="s">
        <v>804</v>
      </c>
      <c r="C4400" s="1" t="s">
        <v>493</v>
      </c>
      <c r="D4400" s="1">
        <v>10</v>
      </c>
      <c r="F4400" s="14"/>
      <c r="G4400" s="14"/>
      <c r="H4400" s="14"/>
      <c r="I4400" s="11"/>
      <c r="J4400" s="14"/>
      <c r="K4400" s="16">
        <v>8</v>
      </c>
      <c r="L4400" s="15">
        <v>3</v>
      </c>
      <c r="M4400" s="14"/>
      <c r="N4400" t="s">
        <v>355</v>
      </c>
      <c r="O4400" t="s">
        <v>356</v>
      </c>
      <c r="P4400" t="s">
        <v>357</v>
      </c>
    </row>
    <row r="4401" spans="1:16">
      <c r="B4401" s="10" t="s">
        <v>805</v>
      </c>
      <c r="C4401" s="10" t="s">
        <v>493</v>
      </c>
      <c r="D4401" s="10">
        <v>1</v>
      </c>
      <c r="E4401" s="10"/>
      <c r="F4401" s="14"/>
      <c r="G4401" s="14"/>
      <c r="H4401" s="14"/>
      <c r="I4401" s="11"/>
      <c r="J4401" s="14"/>
      <c r="K4401" s="16">
        <v>9</v>
      </c>
      <c r="L4401" s="15"/>
      <c r="M4401" s="14"/>
      <c r="N4401"/>
      <c r="P4401" s="14"/>
    </row>
    <row r="4402" spans="1:16">
      <c r="B4402" s="10" t="s">
        <v>806</v>
      </c>
      <c r="C4402" s="1" t="s">
        <v>493</v>
      </c>
      <c r="D4402" s="1">
        <v>20</v>
      </c>
      <c r="F4402" s="14"/>
      <c r="G4402" s="14"/>
      <c r="H4402" s="14"/>
      <c r="I4402" s="11"/>
      <c r="J4402" s="14"/>
      <c r="K4402" s="16">
        <v>10</v>
      </c>
      <c r="L4402" s="15">
        <v>3</v>
      </c>
      <c r="M4402" s="14"/>
      <c r="N4402" s="1" t="s">
        <v>329</v>
      </c>
      <c r="O4402" s="1" t="s">
        <v>330</v>
      </c>
      <c r="P4402" s="1" t="s">
        <v>331</v>
      </c>
    </row>
    <row r="4403" spans="1:16" ht="15">
      <c r="B4403" s="10" t="s">
        <v>807</v>
      </c>
      <c r="C4403" s="1" t="s">
        <v>494</v>
      </c>
      <c r="F4403" s="14"/>
      <c r="G4403" s="14"/>
      <c r="H4403" s="14"/>
      <c r="I4403" s="11"/>
      <c r="J4403" s="14"/>
      <c r="K4403" s="16">
        <v>11</v>
      </c>
      <c r="L4403" s="15">
        <v>3</v>
      </c>
      <c r="M4403" s="14"/>
      <c r="N4403" s="18" t="s">
        <v>332</v>
      </c>
      <c r="O4403" s="14" t="s">
        <v>333</v>
      </c>
      <c r="P4403" s="14" t="s">
        <v>334</v>
      </c>
    </row>
    <row r="4404" spans="1:16">
      <c r="B4404" s="10" t="s">
        <v>808</v>
      </c>
      <c r="C4404" s="1" t="s">
        <v>494</v>
      </c>
      <c r="F4404" s="14"/>
      <c r="G4404" s="14"/>
      <c r="H4404" s="14"/>
      <c r="I4404" s="11"/>
      <c r="J4404" s="14"/>
      <c r="K4404" s="16">
        <v>12</v>
      </c>
      <c r="L4404" s="15"/>
      <c r="M4404" s="14"/>
      <c r="N4404" s="14"/>
      <c r="O4404" s="14"/>
      <c r="P4404" s="14"/>
    </row>
    <row r="4405" spans="1:16">
      <c r="B4405" s="10" t="s">
        <v>809</v>
      </c>
      <c r="C4405" s="1" t="s">
        <v>494</v>
      </c>
      <c r="F4405" s="14"/>
      <c r="G4405" s="14"/>
      <c r="H4405" s="14"/>
      <c r="I4405" s="11"/>
      <c r="J4405" s="14"/>
      <c r="K4405" s="16">
        <v>13</v>
      </c>
      <c r="L4405" s="15"/>
      <c r="M4405" s="14"/>
      <c r="N4405" s="14"/>
      <c r="O4405" s="14"/>
      <c r="P4405" s="14"/>
    </row>
    <row r="4406" spans="1:16">
      <c r="B4406" s="10" t="s">
        <v>810</v>
      </c>
      <c r="C4406" s="1" t="s">
        <v>494</v>
      </c>
      <c r="F4406" s="14"/>
      <c r="G4406" s="14"/>
      <c r="H4406" s="14"/>
      <c r="I4406" s="11"/>
      <c r="J4406" s="14"/>
      <c r="K4406" s="16">
        <v>14</v>
      </c>
      <c r="L4406" s="15"/>
      <c r="M4406" s="14"/>
      <c r="N4406" s="14"/>
      <c r="O4406" s="14"/>
      <c r="P4406" s="14"/>
    </row>
    <row r="4407" spans="1:16">
      <c r="B4407" s="10" t="s">
        <v>811</v>
      </c>
      <c r="C4407" s="1" t="s">
        <v>494</v>
      </c>
      <c r="F4407" s="14"/>
      <c r="G4407" s="14"/>
      <c r="H4407" s="14"/>
      <c r="I4407" s="11"/>
      <c r="J4407" s="14"/>
      <c r="K4407" s="16">
        <v>15</v>
      </c>
      <c r="L4407" s="15"/>
      <c r="M4407" s="14"/>
      <c r="N4407" s="14"/>
      <c r="O4407" s="14"/>
      <c r="P4407" s="14"/>
    </row>
    <row r="4408" spans="1:16">
      <c r="B4408" s="10" t="s">
        <v>812</v>
      </c>
      <c r="C4408" s="1" t="s">
        <v>494</v>
      </c>
      <c r="F4408" s="14"/>
      <c r="G4408" s="14"/>
      <c r="H4408" s="14"/>
      <c r="I4408" s="11"/>
      <c r="J4408" s="14"/>
      <c r="K4408" s="16">
        <v>16</v>
      </c>
      <c r="L4408" s="15"/>
      <c r="M4408" s="14"/>
      <c r="N4408" s="14"/>
      <c r="O4408" s="14"/>
      <c r="P4408" s="14"/>
    </row>
    <row r="4409" spans="1:16">
      <c r="B4409" s="10" t="s">
        <v>813</v>
      </c>
      <c r="C4409" s="1" t="s">
        <v>494</v>
      </c>
      <c r="F4409" s="14"/>
      <c r="G4409" s="14"/>
      <c r="H4409" s="14"/>
      <c r="I4409" s="11"/>
      <c r="J4409" s="14"/>
      <c r="K4409" s="16">
        <v>17</v>
      </c>
      <c r="L4409" s="15"/>
      <c r="M4409" s="14"/>
      <c r="N4409" s="14"/>
      <c r="O4409" s="14"/>
      <c r="P4409" s="14"/>
    </row>
    <row r="4410" spans="1:16">
      <c r="B4410" s="10" t="s">
        <v>814</v>
      </c>
      <c r="C4410" s="10" t="s">
        <v>493</v>
      </c>
      <c r="D4410" s="10">
        <v>50</v>
      </c>
      <c r="E4410" s="10"/>
      <c r="F4410" s="14"/>
      <c r="G4410" s="14"/>
      <c r="H4410" s="14"/>
      <c r="I4410" s="11"/>
      <c r="J4410" s="14"/>
      <c r="K4410" s="16">
        <v>18</v>
      </c>
      <c r="L4410" s="15"/>
      <c r="M4410" s="14"/>
      <c r="N4410" s="14"/>
      <c r="O4410" s="14"/>
      <c r="P4410" s="14"/>
    </row>
    <row r="4411" spans="1:16">
      <c r="B4411" s="10" t="s">
        <v>815</v>
      </c>
      <c r="C4411" s="10" t="s">
        <v>494</v>
      </c>
      <c r="D4411" s="10"/>
      <c r="E4411" s="10"/>
      <c r="F4411" s="14"/>
      <c r="G4411" s="14"/>
      <c r="H4411" s="14"/>
      <c r="I4411" s="11"/>
      <c r="J4411" s="14"/>
      <c r="K4411" s="16">
        <v>19</v>
      </c>
      <c r="L4411" s="15"/>
      <c r="M4411" s="14"/>
      <c r="N4411" s="14"/>
      <c r="O4411" s="14"/>
      <c r="P4411" s="14"/>
    </row>
    <row r="4412" spans="1:16">
      <c r="B4412" s="10" t="s">
        <v>816</v>
      </c>
      <c r="C4412" s="10" t="s">
        <v>494</v>
      </c>
      <c r="D4412" s="10"/>
      <c r="E4412" s="10"/>
      <c r="F4412" s="14"/>
      <c r="G4412" s="14"/>
      <c r="H4412" s="14"/>
      <c r="I4412" s="11"/>
      <c r="J4412" s="14"/>
      <c r="K4412" s="16">
        <v>20</v>
      </c>
      <c r="L4412" s="15">
        <v>3</v>
      </c>
      <c r="M4412" s="14"/>
      <c r="N4412" s="1" t="s">
        <v>314</v>
      </c>
      <c r="O4412" s="1" t="s">
        <v>315</v>
      </c>
      <c r="P4412" s="1" t="s">
        <v>316</v>
      </c>
    </row>
    <row r="4413" spans="1:16">
      <c r="B4413" s="19" t="s">
        <v>817</v>
      </c>
      <c r="C4413" s="10" t="s">
        <v>493</v>
      </c>
      <c r="D4413" s="10">
        <v>1</v>
      </c>
      <c r="E4413" s="10"/>
      <c r="F4413" s="14"/>
      <c r="G4413" s="14"/>
      <c r="H4413" s="14"/>
      <c r="I4413" s="11"/>
      <c r="J4413" s="14"/>
      <c r="K4413" s="16">
        <v>21</v>
      </c>
      <c r="L4413" s="15">
        <v>3</v>
      </c>
      <c r="M4413" s="14"/>
    </row>
    <row r="4414" spans="1:16">
      <c r="B4414" s="19" t="s">
        <v>818</v>
      </c>
      <c r="C4414" s="10" t="s">
        <v>493</v>
      </c>
      <c r="D4414" s="10">
        <v>1</v>
      </c>
      <c r="E4414" s="10"/>
      <c r="F4414" s="14"/>
      <c r="G4414" s="14"/>
      <c r="H4414" s="14"/>
      <c r="I4414" s="11"/>
      <c r="J4414" s="14"/>
      <c r="K4414" s="16">
        <v>22</v>
      </c>
      <c r="L4414" s="15">
        <v>3</v>
      </c>
      <c r="M4414" s="14"/>
    </row>
    <row r="4415" spans="1:16">
      <c r="B4415" s="10"/>
      <c r="C4415" s="10"/>
      <c r="D4415" s="10"/>
      <c r="E4415" s="10"/>
      <c r="F4415" s="14"/>
      <c r="G4415" s="14"/>
      <c r="H4415" s="14"/>
      <c r="I4415" s="11"/>
      <c r="J4415" s="14"/>
      <c r="K4415" s="16"/>
      <c r="L4415" s="15"/>
      <c r="M4415" s="14"/>
      <c r="N4415" s="14"/>
      <c r="O4415" s="14"/>
      <c r="P4415" s="14"/>
    </row>
    <row r="4416" spans="1:16">
      <c r="A4416" s="1" t="s">
        <v>825</v>
      </c>
      <c r="B4416" s="10" t="s">
        <v>826</v>
      </c>
      <c r="C4416" s="1" t="s">
        <v>494</v>
      </c>
      <c r="E4416" s="1" t="s">
        <v>476</v>
      </c>
      <c r="F4416" s="1">
        <v>1</v>
      </c>
      <c r="G4416" s="1">
        <v>113</v>
      </c>
      <c r="H4416" s="1" t="s">
        <v>797</v>
      </c>
      <c r="I4416" s="2" t="s">
        <v>352</v>
      </c>
      <c r="J4416" s="1">
        <v>11</v>
      </c>
      <c r="K4416" s="16">
        <v>1</v>
      </c>
      <c r="L4416" s="9">
        <v>52</v>
      </c>
      <c r="N4416" s="1">
        <v>112</v>
      </c>
      <c r="O4416" s="1" t="s">
        <v>819</v>
      </c>
    </row>
    <row r="4417" spans="2:18">
      <c r="B4417" s="10" t="s">
        <v>827</v>
      </c>
      <c r="C4417" s="1" t="s">
        <v>494</v>
      </c>
      <c r="E4417" s="1" t="s">
        <v>476</v>
      </c>
      <c r="K4417" s="16">
        <v>3</v>
      </c>
      <c r="L4417" s="9">
        <v>6</v>
      </c>
    </row>
    <row r="4418" spans="2:18">
      <c r="B4418" s="10" t="s">
        <v>828</v>
      </c>
      <c r="C4418" s="1" t="s">
        <v>494</v>
      </c>
      <c r="K4418" s="16">
        <v>4</v>
      </c>
      <c r="L4418" s="9">
        <v>6</v>
      </c>
    </row>
    <row r="4419" spans="2:18">
      <c r="B4419" s="1" t="s">
        <v>829</v>
      </c>
      <c r="C4419" s="1" t="s">
        <v>494</v>
      </c>
      <c r="K4419" s="16">
        <v>5</v>
      </c>
      <c r="L4419" s="9">
        <v>3</v>
      </c>
      <c r="N4419" s="1" t="s">
        <v>317</v>
      </c>
      <c r="O4419" s="1" t="s">
        <v>318</v>
      </c>
      <c r="P4419" s="1" t="s">
        <v>319</v>
      </c>
    </row>
    <row r="4420" spans="2:18">
      <c r="B4420" s="19" t="s">
        <v>830</v>
      </c>
      <c r="C4420" s="1" t="s">
        <v>494</v>
      </c>
      <c r="K4420" s="16">
        <v>6</v>
      </c>
      <c r="L4420" s="9">
        <v>3</v>
      </c>
      <c r="M4420" s="1">
        <v>31</v>
      </c>
      <c r="N4420" s="1" t="s">
        <v>871</v>
      </c>
      <c r="O4420" s="10" t="s">
        <v>874</v>
      </c>
      <c r="P4420" s="10" t="s">
        <v>874</v>
      </c>
      <c r="Q4420" s="10" t="s">
        <v>798</v>
      </c>
      <c r="R4420" s="1">
        <f>+K4419</f>
        <v>5</v>
      </c>
    </row>
    <row r="4421" spans="2:18">
      <c r="B4421" s="1" t="s">
        <v>831</v>
      </c>
      <c r="C4421" s="1" t="s">
        <v>494</v>
      </c>
      <c r="F4421" s="14"/>
      <c r="G4421" s="14"/>
      <c r="H4421" s="14"/>
      <c r="I4421" s="11"/>
      <c r="J4421" s="14"/>
      <c r="K4421" s="16">
        <v>7</v>
      </c>
      <c r="L4421" s="15">
        <v>3</v>
      </c>
      <c r="M4421" s="14">
        <v>31</v>
      </c>
      <c r="N4421" s="1" t="s">
        <v>320</v>
      </c>
      <c r="O4421" s="1" t="s">
        <v>321</v>
      </c>
      <c r="P4421" s="1" t="s">
        <v>322</v>
      </c>
      <c r="Q4421" s="1" t="s">
        <v>799</v>
      </c>
      <c r="R4421" s="1">
        <f>+K4420</f>
        <v>6</v>
      </c>
    </row>
    <row r="4422" spans="2:18">
      <c r="B4422" s="1" t="s">
        <v>832</v>
      </c>
      <c r="C4422" s="1" t="s">
        <v>494</v>
      </c>
      <c r="F4422" s="14"/>
      <c r="G4422" s="14"/>
      <c r="H4422" s="14"/>
      <c r="I4422" s="11"/>
      <c r="J4422" s="14"/>
      <c r="K4422" s="16">
        <v>8</v>
      </c>
      <c r="L4422" s="15">
        <v>3</v>
      </c>
      <c r="M4422" s="14"/>
      <c r="N4422" s="1" t="s">
        <v>323</v>
      </c>
      <c r="O4422" s="1" t="s">
        <v>324</v>
      </c>
      <c r="P4422" s="1" t="s">
        <v>325</v>
      </c>
    </row>
    <row r="4423" spans="2:18">
      <c r="B4423" s="1" t="s">
        <v>833</v>
      </c>
      <c r="C4423" s="1" t="s">
        <v>494</v>
      </c>
      <c r="F4423" s="14"/>
      <c r="G4423" s="14"/>
      <c r="H4423" s="14"/>
      <c r="I4423" s="11"/>
      <c r="J4423" s="14"/>
      <c r="K4423" s="16">
        <v>9</v>
      </c>
      <c r="L4423" s="15"/>
      <c r="M4423" s="14"/>
      <c r="N4423" s="14"/>
      <c r="O4423" s="14"/>
      <c r="P4423" s="14"/>
    </row>
    <row r="4424" spans="2:18">
      <c r="B4424" s="1" t="s">
        <v>834</v>
      </c>
      <c r="C4424" s="1" t="s">
        <v>494</v>
      </c>
      <c r="F4424" s="14"/>
      <c r="G4424" s="14"/>
      <c r="H4424" s="14"/>
      <c r="I4424" s="11"/>
      <c r="J4424" s="14"/>
      <c r="K4424" s="16">
        <v>10</v>
      </c>
      <c r="L4424" s="15"/>
      <c r="M4424" s="14"/>
      <c r="P4424" s="14"/>
    </row>
    <row r="4425" spans="2:18">
      <c r="B4425" s="1" t="s">
        <v>835</v>
      </c>
      <c r="C4425" s="1" t="s">
        <v>494</v>
      </c>
      <c r="F4425" s="14"/>
      <c r="G4425" s="14"/>
      <c r="H4425" s="14"/>
      <c r="I4425" s="11"/>
      <c r="J4425" s="14"/>
      <c r="K4425" s="16">
        <v>11</v>
      </c>
      <c r="L4425" s="15"/>
      <c r="M4425" s="14"/>
      <c r="P4425" s="14"/>
    </row>
    <row r="4426" spans="2:18">
      <c r="B4426" s="1" t="s">
        <v>836</v>
      </c>
      <c r="C4426" s="1" t="s">
        <v>494</v>
      </c>
      <c r="F4426" s="14"/>
      <c r="G4426" s="14"/>
      <c r="H4426" s="14"/>
      <c r="I4426" s="11"/>
      <c r="J4426" s="14"/>
      <c r="K4426" s="16">
        <v>12</v>
      </c>
      <c r="L4426" s="15">
        <v>3</v>
      </c>
      <c r="M4426" s="14"/>
      <c r="N4426" s="14"/>
      <c r="O4426" s="14"/>
      <c r="P4426" s="14"/>
    </row>
    <row r="4427" spans="2:18">
      <c r="B4427" s="1" t="s">
        <v>837</v>
      </c>
      <c r="C4427" s="1" t="s">
        <v>494</v>
      </c>
      <c r="F4427" s="14"/>
      <c r="G4427" s="14"/>
      <c r="H4427" s="14"/>
      <c r="I4427" s="11"/>
      <c r="J4427" s="14"/>
      <c r="K4427" s="16">
        <v>13</v>
      </c>
      <c r="L4427" s="15"/>
      <c r="M4427" s="14"/>
      <c r="N4427" s="14"/>
      <c r="O4427" s="14"/>
      <c r="P4427" s="14"/>
    </row>
    <row r="4428" spans="2:18">
      <c r="B4428" s="1" t="s">
        <v>838</v>
      </c>
      <c r="C4428" s="1" t="s">
        <v>494</v>
      </c>
      <c r="F4428" s="14"/>
      <c r="G4428" s="14"/>
      <c r="H4428" s="14"/>
      <c r="I4428" s="11"/>
      <c r="J4428" s="14"/>
      <c r="K4428" s="16">
        <v>14</v>
      </c>
      <c r="L4428" s="15"/>
      <c r="M4428" s="14"/>
      <c r="N4428" s="14"/>
      <c r="O4428" s="14"/>
      <c r="P4428" s="14"/>
    </row>
    <row r="4429" spans="2:18">
      <c r="B4429" s="1" t="s">
        <v>839</v>
      </c>
      <c r="C4429" s="1" t="s">
        <v>520</v>
      </c>
      <c r="F4429" s="14"/>
      <c r="G4429" s="14"/>
      <c r="H4429" s="14"/>
      <c r="I4429" s="11"/>
      <c r="J4429" s="14"/>
      <c r="K4429" s="16">
        <v>15</v>
      </c>
      <c r="L4429" s="15"/>
      <c r="M4429" s="14"/>
      <c r="N4429" s="14"/>
      <c r="O4429" s="14"/>
      <c r="P4429" s="14"/>
    </row>
    <row r="4430" spans="2:18">
      <c r="B4430" s="1" t="s">
        <v>840</v>
      </c>
      <c r="C4430" s="1" t="s">
        <v>493</v>
      </c>
      <c r="D4430" s="1">
        <v>1</v>
      </c>
      <c r="F4430" s="14"/>
      <c r="G4430" s="14"/>
      <c r="H4430" s="14"/>
      <c r="I4430" s="11"/>
      <c r="J4430" s="14"/>
      <c r="K4430" s="16">
        <v>16</v>
      </c>
      <c r="L4430" s="15">
        <v>3</v>
      </c>
      <c r="M4430" s="14"/>
      <c r="N4430" s="1" t="s">
        <v>326</v>
      </c>
      <c r="O4430" s="1" t="s">
        <v>327</v>
      </c>
      <c r="P4430" s="1" t="s">
        <v>328</v>
      </c>
    </row>
    <row r="4431" spans="2:18">
      <c r="B4431" s="1" t="s">
        <v>841</v>
      </c>
      <c r="C4431" s="1" t="s">
        <v>493</v>
      </c>
      <c r="D4431" s="1">
        <v>20</v>
      </c>
      <c r="F4431" s="14"/>
      <c r="G4431" s="14"/>
      <c r="H4431" s="14"/>
      <c r="I4431" s="11"/>
      <c r="J4431" s="14"/>
      <c r="K4431" s="16">
        <v>17</v>
      </c>
      <c r="L4431" s="15">
        <v>3</v>
      </c>
      <c r="M4431" s="14"/>
      <c r="N4431" s="1" t="s">
        <v>329</v>
      </c>
      <c r="O4431" s="1" t="s">
        <v>330</v>
      </c>
      <c r="P4431" s="1" t="s">
        <v>331</v>
      </c>
    </row>
    <row r="4432" spans="2:18">
      <c r="B4432" s="1" t="s">
        <v>842</v>
      </c>
      <c r="C4432" s="1" t="s">
        <v>493</v>
      </c>
      <c r="D4432" s="1">
        <v>1</v>
      </c>
      <c r="F4432" s="14"/>
      <c r="G4432" s="14"/>
      <c r="H4432" s="14"/>
      <c r="I4432" s="11"/>
      <c r="J4432" s="14"/>
      <c r="K4432" s="16">
        <v>18</v>
      </c>
      <c r="L4432" s="15">
        <v>3</v>
      </c>
      <c r="M4432" s="14"/>
      <c r="N4432" s="1" t="s">
        <v>332</v>
      </c>
      <c r="O4432" s="1" t="s">
        <v>333</v>
      </c>
      <c r="P4432" s="1" t="s">
        <v>334</v>
      </c>
    </row>
    <row r="4433" spans="1:16">
      <c r="B4433" s="1" t="s">
        <v>843</v>
      </c>
      <c r="C4433" s="1" t="s">
        <v>494</v>
      </c>
      <c r="F4433" s="14"/>
      <c r="G4433" s="14"/>
      <c r="H4433" s="14"/>
      <c r="I4433" s="11"/>
      <c r="J4433" s="14"/>
      <c r="K4433" s="16">
        <v>19</v>
      </c>
      <c r="L4433" s="15">
        <v>3</v>
      </c>
      <c r="M4433" s="14"/>
      <c r="P4433" s="14"/>
    </row>
    <row r="4434" spans="1:16">
      <c r="B4434" s="1" t="s">
        <v>844</v>
      </c>
      <c r="C4434" s="1" t="s">
        <v>493</v>
      </c>
      <c r="D4434" s="1">
        <v>10</v>
      </c>
      <c r="F4434" s="14"/>
      <c r="G4434" s="14"/>
      <c r="H4434" s="14"/>
      <c r="I4434" s="11"/>
      <c r="J4434" s="14"/>
      <c r="K4434" s="16">
        <v>20</v>
      </c>
      <c r="L4434" s="15"/>
      <c r="M4434" s="14"/>
      <c r="P4434" s="14"/>
    </row>
    <row r="4435" spans="1:16">
      <c r="B4435" s="1" t="s">
        <v>854</v>
      </c>
      <c r="C4435" s="1" t="s">
        <v>493</v>
      </c>
      <c r="D4435" s="1">
        <v>1</v>
      </c>
      <c r="F4435" s="14"/>
      <c r="G4435" s="14"/>
      <c r="H4435" s="14"/>
      <c r="I4435" s="11"/>
      <c r="J4435" s="14"/>
      <c r="K4435" s="16">
        <v>21</v>
      </c>
      <c r="L4435" s="15">
        <v>3</v>
      </c>
      <c r="M4435" s="14"/>
      <c r="N4435" s="14"/>
      <c r="O4435" s="14"/>
      <c r="P4435" s="14"/>
    </row>
    <row r="4436" spans="1:16">
      <c r="B4436" s="1" t="s">
        <v>855</v>
      </c>
      <c r="C4436" s="1" t="s">
        <v>493</v>
      </c>
      <c r="D4436" s="1">
        <v>10</v>
      </c>
      <c r="F4436" s="14"/>
      <c r="G4436" s="14"/>
      <c r="H4436" s="14"/>
      <c r="I4436" s="11"/>
      <c r="J4436" s="14"/>
      <c r="K4436" s="16">
        <v>22</v>
      </c>
      <c r="L4436" s="15"/>
      <c r="M4436" s="14"/>
      <c r="P4436" s="14"/>
    </row>
    <row r="4437" spans="1:16">
      <c r="B4437" s="1" t="s">
        <v>856</v>
      </c>
      <c r="C4437" s="1" t="s">
        <v>493</v>
      </c>
      <c r="D4437" s="1">
        <v>1</v>
      </c>
      <c r="F4437" s="14"/>
      <c r="G4437" s="14"/>
      <c r="H4437" s="14"/>
      <c r="I4437" s="11"/>
      <c r="J4437" s="14"/>
      <c r="K4437" s="16">
        <v>23</v>
      </c>
      <c r="L4437" s="15">
        <v>3</v>
      </c>
      <c r="M4437" s="14"/>
      <c r="P4437" s="14"/>
    </row>
    <row r="4438" spans="1:16">
      <c r="B4438" s="1" t="s">
        <v>857</v>
      </c>
      <c r="C4438" s="1" t="s">
        <v>493</v>
      </c>
      <c r="D4438" s="1">
        <v>10</v>
      </c>
      <c r="F4438" s="14"/>
      <c r="G4438" s="14"/>
      <c r="H4438" s="14"/>
      <c r="I4438" s="11"/>
      <c r="J4438" s="14"/>
      <c r="K4438" s="16">
        <v>24</v>
      </c>
      <c r="L4438" s="15"/>
      <c r="M4438" s="14"/>
      <c r="N4438" s="14"/>
      <c r="O4438" s="14"/>
      <c r="P4438" s="14"/>
    </row>
    <row r="4439" spans="1:16">
      <c r="B4439" s="1" t="s">
        <v>858</v>
      </c>
      <c r="C4439" s="1" t="s">
        <v>494</v>
      </c>
      <c r="F4439" s="14"/>
      <c r="G4439" s="14"/>
      <c r="H4439" s="14"/>
      <c r="I4439" s="11"/>
      <c r="J4439" s="14"/>
      <c r="K4439" s="16">
        <v>25</v>
      </c>
      <c r="L4439" s="15"/>
      <c r="M4439" s="14"/>
      <c r="N4439" s="14"/>
      <c r="O4439" s="14"/>
      <c r="P4439" s="14"/>
    </row>
    <row r="4440" spans="1:16">
      <c r="B4440" s="1" t="s">
        <v>859</v>
      </c>
      <c r="C4440" s="1" t="s">
        <v>494</v>
      </c>
      <c r="F4440" s="14"/>
      <c r="G4440" s="14"/>
      <c r="H4440" s="14"/>
      <c r="I4440" s="11"/>
      <c r="J4440" s="14"/>
      <c r="K4440" s="16">
        <v>26</v>
      </c>
      <c r="L4440" s="15"/>
      <c r="M4440" s="14"/>
      <c r="N4440" s="14"/>
      <c r="O4440" s="14"/>
      <c r="P4440" s="14"/>
    </row>
    <row r="4441" spans="1:16">
      <c r="B4441" s="1" t="s">
        <v>860</v>
      </c>
      <c r="C4441" s="1" t="s">
        <v>494</v>
      </c>
      <c r="F4441" s="14"/>
      <c r="G4441" s="14"/>
      <c r="H4441" s="14"/>
      <c r="I4441" s="11"/>
      <c r="J4441" s="14"/>
      <c r="K4441" s="16">
        <v>27</v>
      </c>
      <c r="L4441" s="15">
        <v>3</v>
      </c>
      <c r="M4441" s="14"/>
      <c r="N4441" s="1" t="s">
        <v>349</v>
      </c>
      <c r="O4441" s="1" t="s">
        <v>350</v>
      </c>
      <c r="P4441" s="1" t="s">
        <v>351</v>
      </c>
    </row>
    <row r="4442" spans="1:16">
      <c r="F4442" s="14"/>
      <c r="G4442" s="14"/>
      <c r="H4442" s="14"/>
      <c r="I4442" s="11"/>
      <c r="J4442" s="14"/>
      <c r="K4442" s="16"/>
      <c r="L4442" s="15"/>
      <c r="M4442" s="14"/>
      <c r="N4442" s="14"/>
      <c r="O4442" s="14"/>
      <c r="P4442" s="14"/>
    </row>
    <row r="4443" spans="1:16">
      <c r="A4443" s="1" t="s">
        <v>861</v>
      </c>
      <c r="B4443" s="1" t="s">
        <v>862</v>
      </c>
      <c r="C4443" s="1" t="s">
        <v>494</v>
      </c>
      <c r="E4443" s="1" t="s">
        <v>476</v>
      </c>
      <c r="F4443" s="14">
        <v>1</v>
      </c>
      <c r="G4443" s="14">
        <v>114</v>
      </c>
      <c r="H4443" s="14" t="s">
        <v>800</v>
      </c>
      <c r="I4443" s="11" t="s">
        <v>361</v>
      </c>
      <c r="J4443" s="14">
        <v>11</v>
      </c>
      <c r="K4443" s="16">
        <v>1</v>
      </c>
      <c r="L4443" s="9">
        <v>52</v>
      </c>
      <c r="N4443" s="1">
        <v>112</v>
      </c>
      <c r="O4443" s="1" t="s">
        <v>819</v>
      </c>
      <c r="P4443" s="1">
        <v>1002</v>
      </c>
    </row>
    <row r="4444" spans="1:16">
      <c r="B4444" s="1" t="s">
        <v>863</v>
      </c>
      <c r="C4444" s="1" t="s">
        <v>494</v>
      </c>
      <c r="E4444" s="1" t="s">
        <v>476</v>
      </c>
      <c r="F4444" s="14"/>
      <c r="G4444" s="14"/>
      <c r="H4444" s="14"/>
      <c r="I4444" s="11"/>
      <c r="J4444" s="14"/>
      <c r="K4444" s="16">
        <v>3</v>
      </c>
      <c r="L4444" s="9">
        <v>6</v>
      </c>
    </row>
    <row r="4445" spans="1:16">
      <c r="B4445" s="10" t="s">
        <v>864</v>
      </c>
      <c r="C4445" s="1" t="s">
        <v>494</v>
      </c>
      <c r="F4445" s="14"/>
      <c r="G4445" s="14"/>
      <c r="H4445" s="14"/>
      <c r="I4445" s="11"/>
      <c r="J4445" s="14"/>
      <c r="K4445" s="16">
        <v>4</v>
      </c>
      <c r="L4445" s="9">
        <v>6</v>
      </c>
    </row>
    <row r="4446" spans="1:16">
      <c r="B4446" s="1" t="s">
        <v>865</v>
      </c>
      <c r="C4446" s="1" t="s">
        <v>494</v>
      </c>
      <c r="F4446" s="14"/>
      <c r="G4446" s="14"/>
      <c r="H4446" s="14"/>
      <c r="I4446" s="11"/>
      <c r="J4446" s="14"/>
      <c r="K4446" s="16">
        <v>5</v>
      </c>
      <c r="L4446" s="15">
        <v>3</v>
      </c>
      <c r="M4446" s="14"/>
      <c r="N4446" s="14"/>
      <c r="O4446" s="14"/>
      <c r="P4446" s="14"/>
    </row>
    <row r="4447" spans="1:16">
      <c r="B4447" s="1" t="s">
        <v>866</v>
      </c>
      <c r="C4447" s="1" t="s">
        <v>493</v>
      </c>
      <c r="D4447" s="1">
        <v>50</v>
      </c>
      <c r="F4447" s="14"/>
      <c r="G4447" s="14"/>
      <c r="H4447" s="14"/>
      <c r="I4447" s="11"/>
      <c r="J4447" s="14"/>
      <c r="K4447" s="16">
        <v>6</v>
      </c>
      <c r="L4447" s="15"/>
      <c r="M4447" s="14"/>
      <c r="N4447" s="14"/>
      <c r="O4447" s="14"/>
      <c r="P4447" s="14"/>
    </row>
    <row r="4448" spans="1:16">
      <c r="B4448" s="1" t="s">
        <v>867</v>
      </c>
      <c r="C4448" s="1" t="s">
        <v>493</v>
      </c>
      <c r="D4448" s="1">
        <v>50</v>
      </c>
      <c r="F4448" s="14"/>
      <c r="G4448" s="14"/>
      <c r="H4448" s="14"/>
      <c r="I4448" s="11"/>
      <c r="J4448" s="14"/>
      <c r="K4448" s="16">
        <v>7</v>
      </c>
      <c r="L4448" s="15"/>
      <c r="M4448" s="14"/>
      <c r="N4448" s="14"/>
      <c r="O4448" s="14"/>
      <c r="P4448" s="14"/>
    </row>
    <row r="4449" spans="1:16">
      <c r="B4449" s="1" t="s">
        <v>868</v>
      </c>
      <c r="C4449" s="1" t="s">
        <v>494</v>
      </c>
      <c r="F4449" s="14"/>
      <c r="G4449" s="14"/>
      <c r="H4449" s="14"/>
      <c r="I4449" s="11"/>
      <c r="J4449" s="14"/>
      <c r="K4449" s="16">
        <v>8</v>
      </c>
      <c r="L4449" s="15">
        <v>3</v>
      </c>
      <c r="M4449" s="14"/>
      <c r="N4449" s="14" t="s">
        <v>335</v>
      </c>
      <c r="O4449" s="14" t="s">
        <v>336</v>
      </c>
      <c r="P4449" s="14" t="s">
        <v>337</v>
      </c>
    </row>
    <row r="4450" spans="1:16">
      <c r="B4450" s="1" t="s">
        <v>869</v>
      </c>
      <c r="C4450" s="1" t="s">
        <v>493</v>
      </c>
      <c r="D4450" s="1">
        <v>50</v>
      </c>
      <c r="F4450" s="14"/>
      <c r="G4450" s="14"/>
      <c r="H4450" s="14"/>
      <c r="I4450" s="11"/>
      <c r="J4450" s="14"/>
      <c r="K4450" s="16">
        <v>9</v>
      </c>
      <c r="L4450" s="15"/>
      <c r="M4450" s="14"/>
      <c r="N4450" s="14"/>
      <c r="O4450" s="14"/>
      <c r="P4450" s="14"/>
    </row>
    <row r="4451" spans="1:16">
      <c r="B4451" s="1" t="s">
        <v>870</v>
      </c>
      <c r="C4451" s="1" t="s">
        <v>494</v>
      </c>
      <c r="F4451" s="14"/>
      <c r="G4451" s="14"/>
      <c r="H4451" s="14"/>
      <c r="I4451" s="11"/>
      <c r="J4451" s="14"/>
      <c r="K4451" s="16">
        <v>10</v>
      </c>
      <c r="L4451" s="15">
        <v>3</v>
      </c>
      <c r="M4451" s="14"/>
      <c r="N4451" s="1" t="s">
        <v>343</v>
      </c>
      <c r="O4451" s="1" t="s">
        <v>344</v>
      </c>
      <c r="P4451" s="1" t="s">
        <v>345</v>
      </c>
    </row>
    <row r="4452" spans="1:16">
      <c r="F4452" s="14"/>
      <c r="G4452" s="14"/>
      <c r="H4452" s="14"/>
      <c r="I4452" s="11"/>
      <c r="J4452" s="14"/>
      <c r="K4452" s="16"/>
      <c r="L4452" s="15"/>
      <c r="M4452" s="14"/>
      <c r="P4452" s="14"/>
    </row>
    <row r="4453" spans="1:16">
      <c r="A4453" s="1" t="s">
        <v>871</v>
      </c>
      <c r="B4453" s="1" t="s">
        <v>872</v>
      </c>
      <c r="C4453" s="1" t="s">
        <v>494</v>
      </c>
      <c r="E4453" s="1" t="s">
        <v>476</v>
      </c>
      <c r="F4453" s="14">
        <v>1</v>
      </c>
      <c r="G4453" s="14">
        <v>115</v>
      </c>
      <c r="H4453" s="14" t="s">
        <v>801</v>
      </c>
      <c r="I4453" s="11" t="s">
        <v>904</v>
      </c>
      <c r="J4453" s="14">
        <v>11</v>
      </c>
      <c r="K4453" s="16">
        <v>1</v>
      </c>
      <c r="L4453" s="9">
        <v>52</v>
      </c>
      <c r="N4453" s="1">
        <v>112</v>
      </c>
      <c r="O4453" s="1" t="s">
        <v>819</v>
      </c>
      <c r="P4453" s="1">
        <v>1003</v>
      </c>
    </row>
    <row r="4454" spans="1:16">
      <c r="B4454" s="1" t="s">
        <v>873</v>
      </c>
      <c r="C4454" s="1" t="s">
        <v>494</v>
      </c>
      <c r="E4454" s="1" t="s">
        <v>476</v>
      </c>
      <c r="F4454" s="14"/>
      <c r="G4454" s="14"/>
      <c r="H4454" s="14"/>
      <c r="I4454" s="11"/>
      <c r="J4454" s="14"/>
      <c r="K4454" s="16">
        <v>3</v>
      </c>
      <c r="L4454" s="15">
        <v>3</v>
      </c>
      <c r="M4454" s="14"/>
      <c r="N4454" s="1" t="s">
        <v>317</v>
      </c>
      <c r="O4454" s="1" t="s">
        <v>318</v>
      </c>
      <c r="P4454" s="1" t="s">
        <v>319</v>
      </c>
    </row>
    <row r="4455" spans="1:16">
      <c r="B4455" s="19" t="s">
        <v>874</v>
      </c>
      <c r="C4455" s="19" t="s">
        <v>494</v>
      </c>
      <c r="E4455" s="1" t="s">
        <v>476</v>
      </c>
      <c r="F4455" s="14"/>
      <c r="G4455" s="14"/>
      <c r="H4455" s="14"/>
      <c r="I4455" s="11"/>
      <c r="J4455" s="14"/>
      <c r="K4455" s="16">
        <v>4</v>
      </c>
      <c r="L4455" s="15"/>
      <c r="M4455" s="14"/>
    </row>
    <row r="4456" spans="1:16">
      <c r="B4456" s="10" t="s">
        <v>875</v>
      </c>
      <c r="C4456" s="1" t="s">
        <v>494</v>
      </c>
      <c r="F4456" s="14"/>
      <c r="G4456" s="14"/>
      <c r="H4456" s="14"/>
      <c r="I4456" s="11"/>
      <c r="J4456" s="14"/>
      <c r="K4456" s="16">
        <v>5</v>
      </c>
      <c r="L4456" s="15">
        <v>6</v>
      </c>
      <c r="M4456" s="14"/>
      <c r="P4456" s="14"/>
    </row>
    <row r="4457" spans="1:16">
      <c r="B4457" s="1" t="s">
        <v>876</v>
      </c>
      <c r="C4457" s="1" t="s">
        <v>494</v>
      </c>
      <c r="F4457" s="14"/>
      <c r="G4457" s="14"/>
      <c r="H4457" s="14"/>
      <c r="I4457" s="11"/>
      <c r="J4457" s="14"/>
      <c r="K4457" s="16">
        <v>6</v>
      </c>
      <c r="L4457" s="15"/>
      <c r="M4457" s="14"/>
      <c r="N4457" s="14"/>
      <c r="O4457" s="14"/>
      <c r="P4457" s="14"/>
    </row>
    <row r="4458" spans="1:16">
      <c r="B4458" s="1" t="s">
        <v>877</v>
      </c>
      <c r="C4458" s="1" t="s">
        <v>520</v>
      </c>
      <c r="F4458" s="14"/>
      <c r="G4458" s="14"/>
      <c r="H4458" s="14"/>
      <c r="I4458" s="11"/>
      <c r="J4458" s="14"/>
      <c r="K4458" s="16">
        <v>7</v>
      </c>
      <c r="L4458" s="15"/>
      <c r="M4458" s="14"/>
      <c r="N4458" s="14"/>
      <c r="O4458" s="14"/>
      <c r="P4458" s="14"/>
    </row>
    <row r="4459" spans="1:16">
      <c r="B4459" s="1" t="s">
        <v>878</v>
      </c>
      <c r="C4459" s="1" t="s">
        <v>520</v>
      </c>
      <c r="F4459" s="14"/>
      <c r="G4459" s="14"/>
      <c r="H4459" s="14"/>
      <c r="I4459" s="11"/>
      <c r="J4459" s="14"/>
      <c r="K4459" s="16">
        <v>8</v>
      </c>
      <c r="L4459" s="15"/>
      <c r="M4459" s="14"/>
      <c r="N4459" s="14"/>
      <c r="O4459" s="14"/>
      <c r="P4459" s="14"/>
    </row>
    <row r="4460" spans="1:16">
      <c r="B4460" s="1" t="s">
        <v>879</v>
      </c>
      <c r="C4460" s="1" t="s">
        <v>520</v>
      </c>
      <c r="F4460" s="14"/>
      <c r="G4460" s="14"/>
      <c r="H4460" s="14"/>
      <c r="I4460" s="11"/>
      <c r="J4460" s="14"/>
      <c r="K4460" s="16">
        <v>9</v>
      </c>
      <c r="L4460" s="15"/>
      <c r="M4460" s="14"/>
      <c r="N4460" s="14"/>
      <c r="O4460" s="14"/>
      <c r="P4460" s="14"/>
    </row>
    <row r="4461" spans="1:16">
      <c r="B4461" s="1" t="s">
        <v>880</v>
      </c>
      <c r="C4461" s="1" t="s">
        <v>520</v>
      </c>
      <c r="F4461" s="14"/>
      <c r="G4461" s="14"/>
      <c r="H4461" s="14"/>
      <c r="I4461" s="11"/>
      <c r="J4461" s="14"/>
      <c r="K4461" s="16">
        <v>10</v>
      </c>
      <c r="L4461" s="15"/>
      <c r="M4461" s="14"/>
      <c r="N4461" s="14"/>
      <c r="O4461" s="14"/>
      <c r="P4461" s="14"/>
    </row>
    <row r="4462" spans="1:16">
      <c r="B4462" s="1" t="s">
        <v>881</v>
      </c>
      <c r="C4462" s="1" t="s">
        <v>520</v>
      </c>
      <c r="F4462" s="14"/>
      <c r="G4462" s="14"/>
      <c r="H4462" s="14"/>
      <c r="I4462" s="11"/>
      <c r="J4462" s="14"/>
      <c r="K4462" s="16">
        <v>11</v>
      </c>
      <c r="L4462" s="15"/>
      <c r="M4462" s="14"/>
      <c r="N4462" s="14"/>
      <c r="O4462" s="14"/>
      <c r="P4462" s="14"/>
    </row>
    <row r="4463" spans="1:16">
      <c r="B4463" s="1" t="s">
        <v>882</v>
      </c>
      <c r="C4463" s="1" t="s">
        <v>520</v>
      </c>
      <c r="F4463" s="14"/>
      <c r="G4463" s="14"/>
      <c r="H4463" s="14"/>
      <c r="I4463" s="11"/>
      <c r="J4463" s="14"/>
      <c r="K4463" s="16">
        <v>12</v>
      </c>
      <c r="L4463" s="15"/>
      <c r="M4463" s="14"/>
      <c r="N4463" s="14"/>
      <c r="O4463" s="14"/>
      <c r="P4463" s="14"/>
    </row>
    <row r="4464" spans="1:16">
      <c r="B4464" s="1" t="s">
        <v>883</v>
      </c>
      <c r="C4464" s="1" t="s">
        <v>520</v>
      </c>
      <c r="F4464" s="14"/>
      <c r="G4464" s="14"/>
      <c r="H4464" s="14"/>
      <c r="I4464" s="11"/>
      <c r="J4464" s="14"/>
      <c r="K4464" s="16">
        <v>13</v>
      </c>
      <c r="L4464" s="15"/>
      <c r="M4464" s="14"/>
      <c r="N4464" s="14"/>
      <c r="O4464" s="14"/>
      <c r="P4464" s="14"/>
    </row>
    <row r="4465" spans="1:16">
      <c r="B4465" s="1" t="s">
        <v>884</v>
      </c>
      <c r="C4465" s="1" t="s">
        <v>520</v>
      </c>
      <c r="F4465" s="14"/>
      <c r="G4465" s="14"/>
      <c r="H4465" s="14"/>
      <c r="I4465" s="11"/>
      <c r="J4465" s="14"/>
      <c r="K4465" s="16">
        <v>14</v>
      </c>
      <c r="L4465" s="15"/>
      <c r="M4465" s="14"/>
      <c r="N4465" s="14"/>
      <c r="O4465" s="14"/>
      <c r="P4465" s="14"/>
    </row>
    <row r="4466" spans="1:16">
      <c r="B4466" s="10" t="s">
        <v>885</v>
      </c>
      <c r="C4466" s="1" t="s">
        <v>493</v>
      </c>
      <c r="D4466" s="1">
        <v>1</v>
      </c>
      <c r="F4466" s="14"/>
      <c r="G4466" s="14"/>
      <c r="H4466" s="14"/>
      <c r="I4466" s="11"/>
      <c r="J4466" s="14"/>
      <c r="K4466" s="16">
        <v>15</v>
      </c>
      <c r="L4466" s="15">
        <v>3</v>
      </c>
      <c r="M4466" s="14"/>
      <c r="N4466" s="14"/>
      <c r="O4466" s="14"/>
      <c r="P4466" s="14"/>
    </row>
    <row r="4467" spans="1:16">
      <c r="B4467" s="10" t="s">
        <v>886</v>
      </c>
      <c r="C4467" s="1" t="s">
        <v>493</v>
      </c>
      <c r="D4467" s="1">
        <v>1</v>
      </c>
      <c r="F4467" s="14"/>
      <c r="G4467" s="14"/>
      <c r="H4467" s="14"/>
      <c r="I4467" s="11"/>
      <c r="J4467" s="14"/>
      <c r="K4467" s="16">
        <v>16</v>
      </c>
      <c r="L4467" s="15">
        <v>3</v>
      </c>
      <c r="M4467" s="14"/>
      <c r="N4467" s="14"/>
      <c r="O4467" s="14"/>
      <c r="P4467" s="14"/>
    </row>
    <row r="4468" spans="1:16">
      <c r="B4468" s="10" t="s">
        <v>887</v>
      </c>
      <c r="C4468" s="1" t="s">
        <v>493</v>
      </c>
      <c r="D4468" s="1">
        <v>1</v>
      </c>
      <c r="F4468" s="14"/>
      <c r="G4468" s="14"/>
      <c r="H4468" s="14"/>
      <c r="I4468" s="11"/>
      <c r="J4468" s="14"/>
      <c r="K4468" s="16">
        <v>17</v>
      </c>
      <c r="L4468" s="15">
        <v>3</v>
      </c>
      <c r="M4468" s="14"/>
      <c r="N4468" s="14"/>
      <c r="O4468" s="14"/>
      <c r="P4468" s="14"/>
    </row>
    <row r="4469" spans="1:16">
      <c r="B4469" s="19" t="s">
        <v>888</v>
      </c>
      <c r="C4469" s="1" t="s">
        <v>493</v>
      </c>
      <c r="D4469" s="1">
        <v>1</v>
      </c>
      <c r="F4469" s="14"/>
      <c r="G4469" s="14"/>
      <c r="H4469" s="14"/>
      <c r="I4469" s="11"/>
      <c r="J4469" s="14"/>
      <c r="K4469" s="16">
        <v>18</v>
      </c>
      <c r="L4469" s="15">
        <v>3</v>
      </c>
      <c r="M4469" s="14"/>
      <c r="N4469" s="14"/>
      <c r="O4469" s="14"/>
      <c r="P4469" s="14"/>
    </row>
    <row r="4470" spans="1:16">
      <c r="F4470" s="14"/>
      <c r="G4470" s="14"/>
      <c r="H4470" s="14"/>
      <c r="I4470" s="11"/>
      <c r="J4470" s="14"/>
      <c r="K4470" s="16"/>
      <c r="L4470" s="15"/>
      <c r="M4470" s="14"/>
      <c r="N4470" s="14"/>
      <c r="O4470" s="14"/>
      <c r="P4470" s="14"/>
    </row>
    <row r="4471" spans="1:16">
      <c r="A4471" s="1" t="s">
        <v>889</v>
      </c>
      <c r="B4471" s="10" t="s">
        <v>890</v>
      </c>
      <c r="C4471" s="1" t="s">
        <v>494</v>
      </c>
      <c r="E4471" s="1" t="s">
        <v>476</v>
      </c>
      <c r="F4471" s="14">
        <v>1</v>
      </c>
      <c r="G4471" s="14">
        <v>116</v>
      </c>
      <c r="H4471" s="14" t="s">
        <v>802</v>
      </c>
      <c r="I4471" s="11" t="s">
        <v>905</v>
      </c>
      <c r="J4471" s="14">
        <v>11</v>
      </c>
      <c r="K4471" s="82">
        <v>1</v>
      </c>
      <c r="L4471" s="15">
        <v>52</v>
      </c>
      <c r="M4471" s="14"/>
      <c r="N4471" s="7">
        <v>115</v>
      </c>
      <c r="O4471" s="7" t="s">
        <v>875</v>
      </c>
    </row>
    <row r="4472" spans="1:16">
      <c r="B4472" s="10" t="s">
        <v>891</v>
      </c>
      <c r="C4472" s="1" t="s">
        <v>494</v>
      </c>
      <c r="E4472" s="1" t="s">
        <v>476</v>
      </c>
      <c r="K4472" s="82">
        <v>3</v>
      </c>
      <c r="L4472" s="9">
        <v>6</v>
      </c>
    </row>
    <row r="4473" spans="1:16">
      <c r="B4473" s="10" t="s">
        <v>892</v>
      </c>
      <c r="C4473" s="1" t="s">
        <v>494</v>
      </c>
      <c r="K4473" s="82">
        <v>4</v>
      </c>
      <c r="L4473" s="9">
        <v>6</v>
      </c>
    </row>
    <row r="4474" spans="1:16">
      <c r="B4474" s="10" t="s">
        <v>893</v>
      </c>
      <c r="C4474" s="1" t="s">
        <v>493</v>
      </c>
      <c r="D4474" s="1">
        <v>10</v>
      </c>
      <c r="K4474" s="82">
        <v>5</v>
      </c>
    </row>
    <row r="4475" spans="1:16">
      <c r="B4475" s="10" t="s">
        <v>894</v>
      </c>
      <c r="C4475" s="1" t="s">
        <v>493</v>
      </c>
      <c r="D4475" s="1">
        <v>30</v>
      </c>
      <c r="K4475" s="82">
        <v>6</v>
      </c>
    </row>
    <row r="4476" spans="1:16">
      <c r="B4476" s="10" t="s">
        <v>895</v>
      </c>
      <c r="C4476" s="1" t="s">
        <v>493</v>
      </c>
      <c r="D4476" s="1">
        <v>30</v>
      </c>
      <c r="K4476" s="82">
        <v>7</v>
      </c>
    </row>
    <row r="4477" spans="1:16">
      <c r="B4477" s="10"/>
    </row>
    <row r="4478" spans="1:16">
      <c r="A4478" s="1" t="s">
        <v>404</v>
      </c>
      <c r="B4478" s="1" t="s">
        <v>405</v>
      </c>
      <c r="C4478" s="1" t="s">
        <v>493</v>
      </c>
      <c r="D4478" s="1">
        <v>5</v>
      </c>
      <c r="E4478" s="1" t="s">
        <v>476</v>
      </c>
      <c r="F4478" s="1">
        <v>1</v>
      </c>
      <c r="G4478" s="1">
        <v>119</v>
      </c>
      <c r="H4478" s="1" t="s">
        <v>408</v>
      </c>
      <c r="I4478" s="2" t="s">
        <v>409</v>
      </c>
      <c r="J4478" s="1">
        <v>2</v>
      </c>
      <c r="K4478" s="82">
        <v>1</v>
      </c>
    </row>
    <row r="4479" spans="1:16">
      <c r="B4479" s="1" t="s">
        <v>406</v>
      </c>
      <c r="C4479" s="1" t="s">
        <v>493</v>
      </c>
      <c r="D4479" s="1">
        <v>50</v>
      </c>
      <c r="K4479" s="82">
        <v>2</v>
      </c>
    </row>
    <row r="4480" spans="1:16">
      <c r="B4480" s="1" t="s">
        <v>407</v>
      </c>
      <c r="C4480" s="1" t="s">
        <v>493</v>
      </c>
      <c r="D4480" s="1">
        <v>3</v>
      </c>
      <c r="K4480" s="82">
        <v>3</v>
      </c>
      <c r="L4480" s="9">
        <v>3</v>
      </c>
      <c r="M4480" s="1">
        <v>3</v>
      </c>
      <c r="N4480" s="1" t="s">
        <v>399</v>
      </c>
      <c r="O4480" s="1" t="s">
        <v>401</v>
      </c>
      <c r="P4480" s="1" t="s">
        <v>400</v>
      </c>
    </row>
    <row r="4482" spans="1:18">
      <c r="A4482" s="62" t="s">
        <v>410</v>
      </c>
      <c r="B4482" s="62" t="s">
        <v>413</v>
      </c>
      <c r="C4482" s="1" t="s">
        <v>493</v>
      </c>
      <c r="D4482" s="1">
        <v>8</v>
      </c>
      <c r="E4482" s="1" t="s">
        <v>476</v>
      </c>
      <c r="F4482" s="1">
        <v>1</v>
      </c>
      <c r="G4482" s="1">
        <v>120</v>
      </c>
      <c r="H4482" s="1" t="s">
        <v>411</v>
      </c>
      <c r="I4482" s="2" t="s">
        <v>412</v>
      </c>
      <c r="J4482" s="1">
        <v>2</v>
      </c>
      <c r="K4482" s="82">
        <v>1</v>
      </c>
    </row>
    <row r="4483" spans="1:18">
      <c r="B4483" s="1" t="s">
        <v>414</v>
      </c>
      <c r="C4483" s="1" t="s">
        <v>493</v>
      </c>
      <c r="D4483" s="1">
        <v>50</v>
      </c>
      <c r="F4483" s="14"/>
      <c r="G4483" s="14"/>
      <c r="H4483" s="14"/>
      <c r="I4483" s="11"/>
      <c r="J4483" s="14"/>
      <c r="K4483" s="16">
        <v>2</v>
      </c>
      <c r="L4483" s="15"/>
      <c r="M4483" s="14"/>
      <c r="N4483" s="14"/>
      <c r="O4483" s="14"/>
      <c r="P4483" s="14"/>
    </row>
    <row r="4484" spans="1:18" s="3" customFormat="1">
      <c r="B4484" s="1" t="s">
        <v>416</v>
      </c>
      <c r="C4484" s="1" t="s">
        <v>493</v>
      </c>
      <c r="D4484" s="1">
        <v>3</v>
      </c>
      <c r="E4484" s="1"/>
      <c r="F4484" s="12"/>
      <c r="G4484" s="12"/>
      <c r="H4484" s="12"/>
      <c r="I4484" s="13"/>
      <c r="J4484" s="14"/>
      <c r="K4484" s="16">
        <v>3</v>
      </c>
      <c r="L4484" s="15">
        <v>3</v>
      </c>
      <c r="M4484" s="14">
        <v>3</v>
      </c>
      <c r="N4484" s="1" t="s">
        <v>399</v>
      </c>
      <c r="O4484" s="1" t="s">
        <v>401</v>
      </c>
      <c r="P4484" s="1" t="s">
        <v>400</v>
      </c>
      <c r="Q4484" s="12"/>
      <c r="R4484" s="12"/>
    </row>
    <row r="4485" spans="1:18" s="3" customFormat="1">
      <c r="B4485" s="1" t="s">
        <v>415</v>
      </c>
      <c r="C4485" s="1" t="s">
        <v>493</v>
      </c>
      <c r="D4485" s="1">
        <v>5</v>
      </c>
      <c r="E4485" s="1"/>
      <c r="F4485" s="12"/>
      <c r="G4485" s="12"/>
      <c r="H4485" s="12"/>
      <c r="I4485" s="13"/>
      <c r="J4485" s="14"/>
      <c r="K4485" s="16">
        <v>4</v>
      </c>
      <c r="L4485" s="15">
        <v>3</v>
      </c>
      <c r="M4485" s="14">
        <v>31</v>
      </c>
      <c r="N4485" s="1" t="s">
        <v>404</v>
      </c>
      <c r="O4485" s="1" t="s">
        <v>405</v>
      </c>
      <c r="P4485" s="1" t="s">
        <v>406</v>
      </c>
      <c r="Q4485" s="1" t="s">
        <v>407</v>
      </c>
      <c r="R4485" s="14">
        <f>+K4485-1</f>
        <v>3</v>
      </c>
    </row>
    <row r="4486" spans="1:18">
      <c r="F4486" s="14"/>
      <c r="G4486" s="14"/>
      <c r="H4486" s="14"/>
      <c r="I4486" s="11"/>
      <c r="J4486" s="14"/>
      <c r="K4486" s="16"/>
      <c r="L4486" s="15"/>
      <c r="M4486" s="14"/>
      <c r="N4486" s="14"/>
      <c r="O4486" s="14"/>
      <c r="P4486" s="14"/>
      <c r="Q4486" s="14"/>
      <c r="R4486" s="14"/>
    </row>
    <row r="4487" spans="1:18">
      <c r="A4487" s="1" t="s">
        <v>424</v>
      </c>
      <c r="B4487" s="1" t="s">
        <v>417</v>
      </c>
      <c r="C4487" s="1" t="s">
        <v>493</v>
      </c>
      <c r="D4487" s="1">
        <v>1</v>
      </c>
      <c r="E4487" s="1" t="s">
        <v>476</v>
      </c>
      <c r="F4487" s="14">
        <v>1</v>
      </c>
      <c r="G4487" s="14">
        <v>121</v>
      </c>
      <c r="H4487" s="14" t="s">
        <v>422</v>
      </c>
      <c r="I4487" s="11" t="s">
        <v>423</v>
      </c>
      <c r="J4487" s="14">
        <v>2</v>
      </c>
      <c r="K4487" s="16">
        <v>1</v>
      </c>
      <c r="L4487" s="15"/>
      <c r="M4487" s="14"/>
      <c r="N4487" s="14"/>
      <c r="O4487" s="14"/>
      <c r="P4487" s="14"/>
      <c r="Q4487" s="14"/>
      <c r="R4487" s="14"/>
    </row>
    <row r="4488" spans="1:18">
      <c r="B4488" s="1" t="s">
        <v>420</v>
      </c>
      <c r="C4488" s="1" t="s">
        <v>494</v>
      </c>
      <c r="F4488" s="14"/>
      <c r="G4488" s="14"/>
      <c r="H4488" s="14"/>
      <c r="I4488" s="11"/>
      <c r="J4488" s="14"/>
      <c r="K4488" s="16">
        <v>2</v>
      </c>
      <c r="L4488" s="15">
        <v>6</v>
      </c>
      <c r="M4488" s="14"/>
      <c r="N4488" s="14"/>
      <c r="O4488" s="14"/>
      <c r="P4488" s="14"/>
      <c r="Q4488" s="14"/>
      <c r="R4488" s="14"/>
    </row>
    <row r="4489" spans="1:18">
      <c r="B4489" s="1" t="s">
        <v>418</v>
      </c>
      <c r="C4489" s="1" t="s">
        <v>493</v>
      </c>
      <c r="D4489" s="1">
        <v>50</v>
      </c>
      <c r="F4489" s="14"/>
      <c r="G4489" s="14"/>
      <c r="H4489" s="14"/>
      <c r="I4489" s="11"/>
      <c r="J4489" s="14"/>
      <c r="K4489" s="16">
        <v>3</v>
      </c>
      <c r="L4489" s="15"/>
      <c r="M4489" s="14"/>
      <c r="N4489" s="14"/>
      <c r="O4489" s="14"/>
      <c r="P4489" s="14"/>
      <c r="Q4489" s="14"/>
      <c r="R4489" s="14"/>
    </row>
    <row r="4490" spans="1:18">
      <c r="B4490" s="1" t="s">
        <v>419</v>
      </c>
      <c r="C4490" s="1" t="s">
        <v>493</v>
      </c>
      <c r="D4490" s="1">
        <v>1</v>
      </c>
      <c r="F4490" s="14"/>
      <c r="G4490" s="14"/>
      <c r="H4490" s="14"/>
      <c r="I4490" s="11"/>
      <c r="J4490" s="14"/>
      <c r="K4490" s="16">
        <v>4</v>
      </c>
      <c r="L4490" s="15">
        <v>3</v>
      </c>
      <c r="M4490" s="14"/>
      <c r="N4490" s="14"/>
      <c r="O4490" s="14"/>
      <c r="P4490" s="14"/>
      <c r="Q4490" s="14"/>
      <c r="R4490" s="14"/>
    </row>
    <row r="4491" spans="1:18">
      <c r="B4491" s="1" t="s">
        <v>421</v>
      </c>
      <c r="C4491" s="1" t="s">
        <v>494</v>
      </c>
      <c r="F4491" s="14"/>
      <c r="G4491" s="14"/>
      <c r="H4491" s="14"/>
      <c r="I4491" s="11"/>
      <c r="J4491" s="14"/>
      <c r="K4491" s="16">
        <v>5</v>
      </c>
      <c r="L4491" s="15"/>
      <c r="M4491" s="14"/>
      <c r="N4491" s="14"/>
      <c r="O4491" s="14"/>
      <c r="P4491" s="14"/>
      <c r="Q4491" s="14"/>
      <c r="R4491" s="14"/>
    </row>
    <row r="4492" spans="1:18">
      <c r="F4492" s="14"/>
      <c r="G4492" s="14"/>
      <c r="H4492" s="14"/>
      <c r="I4492" s="11"/>
      <c r="J4492" s="14"/>
      <c r="K4492" s="16"/>
      <c r="L4492" s="15"/>
      <c r="M4492" s="14"/>
      <c r="N4492" s="14"/>
      <c r="O4492" s="14"/>
      <c r="P4492" s="14"/>
      <c r="Q4492" s="14"/>
      <c r="R4492" s="14"/>
    </row>
    <row r="4493" spans="1:18">
      <c r="A4493" s="1" t="s">
        <v>425</v>
      </c>
      <c r="B4493" s="1" t="s">
        <v>426</v>
      </c>
      <c r="C4493" s="1" t="s">
        <v>494</v>
      </c>
      <c r="E4493" s="1" t="s">
        <v>476</v>
      </c>
      <c r="F4493" s="14">
        <v>1</v>
      </c>
      <c r="G4493" s="14">
        <v>122</v>
      </c>
      <c r="H4493" s="14" t="s">
        <v>432</v>
      </c>
      <c r="I4493" s="11" t="s">
        <v>433</v>
      </c>
      <c r="J4493" s="14">
        <v>2</v>
      </c>
      <c r="K4493" s="16">
        <v>1</v>
      </c>
      <c r="L4493" s="15"/>
      <c r="M4493" s="14"/>
      <c r="N4493" s="1" t="s">
        <v>540</v>
      </c>
      <c r="O4493" s="1" t="s">
        <v>541</v>
      </c>
      <c r="P4493" s="1" t="s">
        <v>542</v>
      </c>
      <c r="Q4493" s="14"/>
      <c r="R4493" s="14"/>
    </row>
    <row r="4494" spans="1:18">
      <c r="B4494" s="1" t="s">
        <v>427</v>
      </c>
      <c r="C4494" s="1" t="s">
        <v>494</v>
      </c>
      <c r="E4494" s="1" t="s">
        <v>476</v>
      </c>
      <c r="F4494" s="14"/>
      <c r="G4494" s="14"/>
      <c r="H4494" s="14"/>
      <c r="I4494" s="11"/>
      <c r="J4494" s="14"/>
      <c r="K4494" s="16">
        <v>2</v>
      </c>
      <c r="L4494" s="15"/>
      <c r="M4494" s="14"/>
      <c r="P4494" s="14"/>
      <c r="Q4494" s="14"/>
      <c r="R4494" s="14"/>
    </row>
    <row r="4495" spans="1:18">
      <c r="B4495" s="1" t="s">
        <v>428</v>
      </c>
      <c r="C4495" s="1" t="s">
        <v>493</v>
      </c>
      <c r="D4495" s="1">
        <v>10</v>
      </c>
      <c r="E4495" s="1" t="s">
        <v>476</v>
      </c>
      <c r="F4495" s="14"/>
      <c r="G4495" s="14"/>
      <c r="H4495" s="14"/>
      <c r="I4495" s="11"/>
      <c r="J4495" s="14"/>
      <c r="K4495" s="16">
        <v>3</v>
      </c>
      <c r="L4495" s="15"/>
      <c r="M4495" s="14"/>
      <c r="N4495" s="14"/>
      <c r="O4495" s="14"/>
      <c r="P4495" s="14"/>
      <c r="Q4495" s="14"/>
      <c r="R4495" s="14"/>
    </row>
    <row r="4496" spans="1:18">
      <c r="B4496" s="1" t="s">
        <v>429</v>
      </c>
      <c r="C4496" s="1" t="s">
        <v>493</v>
      </c>
      <c r="D4496" s="1">
        <v>100</v>
      </c>
      <c r="F4496" s="14"/>
      <c r="G4496" s="14"/>
      <c r="H4496" s="14"/>
      <c r="I4496" s="11"/>
      <c r="J4496" s="14"/>
      <c r="K4496" s="16">
        <v>4</v>
      </c>
      <c r="L4496" s="15"/>
      <c r="M4496" s="14"/>
      <c r="N4496" s="14"/>
      <c r="O4496" s="14"/>
      <c r="P4496" s="14"/>
      <c r="Q4496" s="14"/>
      <c r="R4496" s="14"/>
    </row>
    <row r="4497" spans="1:18">
      <c r="B4497" s="1" t="s">
        <v>430</v>
      </c>
      <c r="C4497" s="1" t="s">
        <v>494</v>
      </c>
      <c r="F4497" s="14"/>
      <c r="G4497" s="14"/>
      <c r="H4497" s="14"/>
      <c r="I4497" s="11"/>
      <c r="J4497" s="14"/>
      <c r="K4497" s="16">
        <v>5</v>
      </c>
      <c r="L4497" s="15"/>
      <c r="M4497" s="14"/>
      <c r="N4497" s="14"/>
      <c r="O4497" s="14"/>
      <c r="P4497" s="14"/>
      <c r="Q4497" s="14"/>
      <c r="R4497" s="14"/>
    </row>
    <row r="4498" spans="1:18">
      <c r="B4498" s="1" t="s">
        <v>431</v>
      </c>
      <c r="C4498" s="1" t="s">
        <v>493</v>
      </c>
      <c r="D4498" s="1">
        <v>1</v>
      </c>
      <c r="F4498" s="14"/>
      <c r="G4498" s="14"/>
      <c r="H4498" s="14"/>
      <c r="I4498" s="11"/>
      <c r="J4498" s="14"/>
      <c r="K4498" s="16">
        <v>6</v>
      </c>
      <c r="L4498" s="15">
        <v>3</v>
      </c>
      <c r="M4498" s="14"/>
      <c r="N4498" s="14"/>
      <c r="O4498" s="14"/>
      <c r="P4498" s="14"/>
      <c r="Q4498" s="14"/>
      <c r="R4498" s="14"/>
    </row>
    <row r="4499" spans="1:18">
      <c r="F4499" s="14"/>
      <c r="G4499" s="14"/>
      <c r="H4499" s="14"/>
      <c r="I4499" s="11"/>
      <c r="J4499" s="14"/>
      <c r="K4499" s="16"/>
      <c r="L4499" s="15"/>
      <c r="M4499" s="14"/>
      <c r="N4499" s="14"/>
      <c r="O4499" s="14"/>
      <c r="P4499" s="14"/>
      <c r="Q4499" s="14"/>
      <c r="R4499" s="14"/>
    </row>
    <row r="4500" spans="1:18">
      <c r="A4500" s="1" t="s">
        <v>705</v>
      </c>
      <c r="B4500" s="1" t="s">
        <v>707</v>
      </c>
      <c r="C4500" s="1" t="s">
        <v>494</v>
      </c>
      <c r="E4500" s="1" t="s">
        <v>476</v>
      </c>
      <c r="F4500" s="14">
        <v>1</v>
      </c>
      <c r="G4500" s="14">
        <v>125</v>
      </c>
      <c r="H4500" s="14" t="s">
        <v>719</v>
      </c>
      <c r="I4500" s="11" t="s">
        <v>720</v>
      </c>
      <c r="J4500" s="14">
        <v>1</v>
      </c>
      <c r="K4500" s="16">
        <v>1</v>
      </c>
      <c r="L4500" s="15">
        <v>6</v>
      </c>
      <c r="M4500" s="14"/>
      <c r="N4500" s="14"/>
      <c r="O4500" s="14"/>
      <c r="P4500" s="14"/>
      <c r="Q4500" s="14"/>
      <c r="R4500" s="14"/>
    </row>
    <row r="4501" spans="1:18">
      <c r="B4501" s="1" t="s">
        <v>706</v>
      </c>
      <c r="C4501" s="1" t="s">
        <v>494</v>
      </c>
      <c r="F4501" s="14"/>
      <c r="G4501" s="14"/>
      <c r="H4501" s="14"/>
      <c r="I4501" s="11"/>
      <c r="J4501" s="14"/>
      <c r="K4501" s="16">
        <v>2</v>
      </c>
      <c r="L4501" s="15">
        <v>6</v>
      </c>
      <c r="M4501" s="14"/>
      <c r="N4501" s="14"/>
      <c r="O4501" s="14"/>
      <c r="P4501" s="14"/>
      <c r="Q4501" s="14"/>
      <c r="R4501" s="14"/>
    </row>
    <row r="4502" spans="1:18">
      <c r="B4502" s="1" t="s">
        <v>708</v>
      </c>
      <c r="C4502" s="1" t="s">
        <v>493</v>
      </c>
      <c r="D4502" s="1">
        <v>100</v>
      </c>
      <c r="F4502" s="14"/>
      <c r="G4502" s="14"/>
      <c r="H4502" s="14"/>
      <c r="I4502" s="11"/>
      <c r="J4502" s="14"/>
      <c r="K4502" s="16">
        <v>3</v>
      </c>
      <c r="L4502" s="15"/>
      <c r="M4502" s="14"/>
      <c r="N4502" s="14"/>
      <c r="O4502" s="14"/>
      <c r="P4502" s="14"/>
      <c r="Q4502" s="14"/>
      <c r="R4502" s="14"/>
    </row>
    <row r="4503" spans="1:18">
      <c r="B4503" s="1" t="s">
        <v>709</v>
      </c>
      <c r="C4503" s="1" t="s">
        <v>493</v>
      </c>
      <c r="D4503" s="1">
        <v>1</v>
      </c>
      <c r="F4503" s="14"/>
      <c r="G4503" s="14"/>
      <c r="H4503" s="14"/>
      <c r="I4503" s="11"/>
      <c r="J4503" s="14"/>
      <c r="K4503" s="16">
        <v>4</v>
      </c>
      <c r="L4503" s="15">
        <v>3</v>
      </c>
      <c r="M4503" s="14"/>
      <c r="N4503" s="14"/>
      <c r="O4503" s="14"/>
      <c r="P4503" s="14"/>
      <c r="Q4503" s="14"/>
      <c r="R4503" s="14"/>
    </row>
    <row r="4504" spans="1:18">
      <c r="F4504" s="14"/>
      <c r="G4504" s="14"/>
      <c r="H4504" s="14"/>
      <c r="I4504" s="11"/>
      <c r="J4504" s="14"/>
      <c r="K4504" s="16"/>
      <c r="L4504" s="15"/>
      <c r="M4504" s="14"/>
      <c r="N4504" s="14"/>
      <c r="O4504" s="14"/>
      <c r="P4504" s="14"/>
      <c r="Q4504" s="14"/>
      <c r="R4504" s="14"/>
    </row>
    <row r="4505" spans="1:18">
      <c r="A4505" s="1" t="s">
        <v>387</v>
      </c>
      <c r="B4505" s="1" t="s">
        <v>388</v>
      </c>
      <c r="C4505" s="1" t="s">
        <v>494</v>
      </c>
      <c r="E4505" s="1" t="s">
        <v>476</v>
      </c>
      <c r="F4505" s="14">
        <v>1</v>
      </c>
      <c r="G4505" s="14">
        <v>126</v>
      </c>
      <c r="H4505" s="14" t="s">
        <v>385</v>
      </c>
      <c r="I4505" s="11" t="s">
        <v>386</v>
      </c>
      <c r="J4505" s="14">
        <v>2</v>
      </c>
      <c r="K4505" s="16">
        <v>1</v>
      </c>
      <c r="L4505" s="15">
        <v>6</v>
      </c>
      <c r="M4505" s="14"/>
      <c r="N4505" s="14"/>
      <c r="O4505" s="14"/>
      <c r="P4505" s="14"/>
      <c r="Q4505" s="14"/>
      <c r="R4505" s="14"/>
    </row>
    <row r="4506" spans="1:18">
      <c r="B4506" s="1" t="s">
        <v>389</v>
      </c>
      <c r="C4506" s="1" t="s">
        <v>494</v>
      </c>
      <c r="F4506" s="14"/>
      <c r="G4506" s="14"/>
      <c r="H4506" s="14"/>
      <c r="I4506" s="11"/>
      <c r="J4506" s="14"/>
      <c r="K4506" s="16">
        <v>2</v>
      </c>
      <c r="L4506" s="15">
        <v>6</v>
      </c>
      <c r="M4506" s="14"/>
      <c r="N4506" s="14"/>
      <c r="O4506" s="14"/>
      <c r="P4506" s="14"/>
      <c r="Q4506" s="14"/>
      <c r="R4506" s="14"/>
    </row>
    <row r="4507" spans="1:18">
      <c r="B4507" s="1" t="s">
        <v>390</v>
      </c>
      <c r="C4507" s="1" t="s">
        <v>493</v>
      </c>
      <c r="D4507" s="1">
        <v>100</v>
      </c>
      <c r="F4507" s="14"/>
      <c r="G4507" s="14"/>
      <c r="H4507" s="14"/>
      <c r="I4507" s="11"/>
      <c r="J4507" s="14"/>
      <c r="K4507" s="16">
        <v>3</v>
      </c>
      <c r="L4507" s="15"/>
      <c r="M4507" s="14"/>
      <c r="N4507" s="14"/>
      <c r="O4507" s="14"/>
      <c r="P4507" s="14"/>
      <c r="Q4507" s="14"/>
      <c r="R4507" s="14"/>
    </row>
    <row r="4508" spans="1:18">
      <c r="F4508" s="14"/>
      <c r="G4508" s="14"/>
      <c r="H4508" s="14"/>
      <c r="I4508" s="11"/>
      <c r="J4508" s="14"/>
      <c r="K4508" s="16"/>
      <c r="L4508" s="15"/>
      <c r="M4508" s="14"/>
      <c r="N4508" s="14"/>
      <c r="O4508" s="14"/>
      <c r="P4508" s="14"/>
      <c r="Q4508" s="14"/>
      <c r="R4508" s="14"/>
    </row>
    <row r="4509" spans="1:18">
      <c r="A4509" s="1" t="s">
        <v>317</v>
      </c>
      <c r="B4509" s="1" t="s">
        <v>318</v>
      </c>
      <c r="C4509" s="1" t="s">
        <v>494</v>
      </c>
      <c r="E4509" s="1" t="s">
        <v>476</v>
      </c>
      <c r="F4509" s="14">
        <v>1</v>
      </c>
      <c r="G4509" s="14">
        <v>129</v>
      </c>
      <c r="H4509" s="14" t="s">
        <v>898</v>
      </c>
      <c r="I4509" s="11"/>
      <c r="J4509" s="14">
        <v>99</v>
      </c>
      <c r="K4509" s="16">
        <v>1</v>
      </c>
      <c r="L4509" s="15"/>
      <c r="M4509" s="14"/>
      <c r="N4509" s="14"/>
      <c r="O4509" s="14"/>
      <c r="P4509" s="14"/>
    </row>
    <row r="4510" spans="1:18">
      <c r="B4510" s="1" t="s">
        <v>319</v>
      </c>
      <c r="C4510" s="1" t="s">
        <v>493</v>
      </c>
      <c r="D4510" s="1">
        <v>100</v>
      </c>
      <c r="F4510" s="14"/>
      <c r="G4510" s="14"/>
      <c r="H4510" s="14"/>
      <c r="I4510" s="11"/>
      <c r="J4510" s="14"/>
      <c r="K4510" s="16">
        <v>2</v>
      </c>
      <c r="L4510" s="15"/>
      <c r="M4510" s="14"/>
      <c r="N4510" s="14"/>
      <c r="O4510" s="14"/>
      <c r="P4510" s="14"/>
    </row>
    <row r="4511" spans="1:18">
      <c r="F4511" s="14"/>
      <c r="G4511" s="14"/>
      <c r="H4511" s="14"/>
      <c r="I4511" s="11"/>
      <c r="J4511" s="14"/>
      <c r="K4511" s="16"/>
      <c r="L4511" s="15"/>
      <c r="M4511" s="14"/>
      <c r="N4511" s="14"/>
      <c r="O4511" s="14"/>
      <c r="P4511" s="14"/>
    </row>
    <row r="4512" spans="1:18">
      <c r="A4512" s="1" t="s">
        <v>320</v>
      </c>
      <c r="B4512" s="1" t="s">
        <v>321</v>
      </c>
      <c r="C4512" s="1" t="s">
        <v>494</v>
      </c>
      <c r="E4512" s="1" t="s">
        <v>476</v>
      </c>
      <c r="F4512" s="14">
        <v>1</v>
      </c>
      <c r="G4512" s="14">
        <v>130</v>
      </c>
      <c r="H4512" s="14" t="s">
        <v>899</v>
      </c>
      <c r="I4512" s="11"/>
      <c r="J4512" s="14">
        <v>99</v>
      </c>
      <c r="K4512" s="16">
        <v>1</v>
      </c>
      <c r="L4512" s="15"/>
      <c r="M4512" s="14"/>
      <c r="N4512" s="14"/>
      <c r="O4512" s="14"/>
      <c r="P4512" s="14"/>
    </row>
    <row r="4513" spans="1:16">
      <c r="B4513" s="1" t="s">
        <v>322</v>
      </c>
      <c r="C4513" s="1" t="s">
        <v>493</v>
      </c>
      <c r="D4513" s="1">
        <v>100</v>
      </c>
      <c r="F4513" s="14"/>
      <c r="G4513" s="14"/>
      <c r="H4513" s="14"/>
      <c r="I4513" s="11"/>
      <c r="J4513" s="14"/>
      <c r="K4513" s="16">
        <v>2</v>
      </c>
      <c r="L4513" s="15"/>
      <c r="M4513" s="14"/>
      <c r="N4513" s="14"/>
      <c r="O4513" s="14"/>
      <c r="P4513" s="14"/>
    </row>
    <row r="4514" spans="1:16">
      <c r="F4514" s="14"/>
      <c r="G4514" s="14"/>
      <c r="H4514" s="14"/>
      <c r="I4514" s="11"/>
      <c r="J4514" s="14"/>
      <c r="K4514" s="16"/>
      <c r="L4514" s="15"/>
      <c r="M4514" s="14"/>
      <c r="N4514" s="14"/>
      <c r="O4514" s="14"/>
      <c r="P4514" s="14"/>
    </row>
    <row r="4515" spans="1:16">
      <c r="A4515" s="62" t="s">
        <v>323</v>
      </c>
      <c r="B4515" s="1" t="s">
        <v>324</v>
      </c>
      <c r="C4515" s="1" t="s">
        <v>494</v>
      </c>
      <c r="E4515" s="1" t="s">
        <v>476</v>
      </c>
      <c r="F4515" s="14">
        <v>1</v>
      </c>
      <c r="G4515" s="14">
        <v>131</v>
      </c>
      <c r="H4515" s="14" t="s">
        <v>900</v>
      </c>
      <c r="I4515" s="11"/>
      <c r="J4515" s="14">
        <v>99</v>
      </c>
      <c r="K4515" s="16">
        <v>1</v>
      </c>
      <c r="L4515" s="15"/>
      <c r="M4515" s="14"/>
      <c r="N4515" s="14"/>
      <c r="O4515" s="14"/>
      <c r="P4515" s="14"/>
    </row>
    <row r="4516" spans="1:16">
      <c r="B4516" s="1" t="s">
        <v>325</v>
      </c>
      <c r="C4516" s="1" t="s">
        <v>493</v>
      </c>
      <c r="D4516" s="1">
        <v>100</v>
      </c>
      <c r="F4516" s="14"/>
      <c r="G4516" s="14"/>
      <c r="H4516" s="14"/>
      <c r="I4516" s="11"/>
      <c r="J4516" s="14"/>
      <c r="K4516" s="16">
        <v>2</v>
      </c>
      <c r="L4516" s="15"/>
      <c r="M4516" s="14"/>
      <c r="N4516" s="14"/>
      <c r="O4516" s="14"/>
      <c r="P4516" s="14"/>
    </row>
    <row r="4517" spans="1:16">
      <c r="F4517" s="14"/>
      <c r="G4517" s="14"/>
      <c r="H4517" s="14"/>
      <c r="I4517" s="11"/>
      <c r="J4517" s="14"/>
      <c r="K4517" s="16"/>
      <c r="L4517" s="15"/>
      <c r="M4517" s="14"/>
      <c r="N4517" s="14"/>
      <c r="O4517" s="14"/>
      <c r="P4517" s="14"/>
    </row>
    <row r="4518" spans="1:16">
      <c r="A4518" s="1" t="s">
        <v>326</v>
      </c>
      <c r="B4518" s="1" t="s">
        <v>327</v>
      </c>
      <c r="C4518" s="1" t="s">
        <v>493</v>
      </c>
      <c r="D4518" s="1">
        <v>1</v>
      </c>
      <c r="E4518" s="1" t="s">
        <v>476</v>
      </c>
      <c r="F4518" s="14">
        <v>1</v>
      </c>
      <c r="G4518" s="14">
        <v>132</v>
      </c>
      <c r="H4518" s="14" t="s">
        <v>901</v>
      </c>
      <c r="I4518" s="11"/>
      <c r="J4518" s="14">
        <v>99</v>
      </c>
      <c r="K4518" s="16">
        <v>1</v>
      </c>
      <c r="L4518" s="15"/>
      <c r="M4518" s="14"/>
      <c r="N4518" s="14"/>
      <c r="O4518" s="14"/>
      <c r="P4518" s="14"/>
    </row>
    <row r="4519" spans="1:16">
      <c r="B4519" s="1" t="s">
        <v>328</v>
      </c>
      <c r="C4519" s="1" t="s">
        <v>493</v>
      </c>
      <c r="D4519" s="1">
        <v>50</v>
      </c>
      <c r="F4519" s="14"/>
      <c r="G4519" s="14"/>
      <c r="H4519" s="14"/>
      <c r="I4519" s="11"/>
      <c r="J4519" s="14"/>
      <c r="K4519" s="16">
        <v>2</v>
      </c>
      <c r="L4519" s="15"/>
      <c r="M4519" s="14"/>
      <c r="N4519" s="14"/>
      <c r="O4519" s="14"/>
      <c r="P4519" s="14"/>
    </row>
    <row r="4520" spans="1:16">
      <c r="F4520" s="14"/>
      <c r="G4520" s="14"/>
      <c r="H4520" s="14"/>
      <c r="I4520" s="11"/>
      <c r="J4520" s="14"/>
      <c r="K4520" s="16"/>
      <c r="L4520" s="15"/>
      <c r="M4520" s="14"/>
      <c r="N4520" s="14"/>
      <c r="O4520" s="14"/>
      <c r="P4520" s="14"/>
    </row>
    <row r="4521" spans="1:16">
      <c r="A4521" s="1" t="s">
        <v>329</v>
      </c>
      <c r="B4521" s="1" t="s">
        <v>330</v>
      </c>
      <c r="C4521" s="1" t="s">
        <v>493</v>
      </c>
      <c r="D4521" s="1">
        <v>20</v>
      </c>
      <c r="E4521" s="1" t="s">
        <v>476</v>
      </c>
      <c r="F4521" s="14">
        <v>1</v>
      </c>
      <c r="G4521" s="14">
        <v>133</v>
      </c>
      <c r="H4521" s="14" t="s">
        <v>902</v>
      </c>
      <c r="I4521" s="11"/>
      <c r="J4521" s="14">
        <v>99</v>
      </c>
      <c r="K4521" s="16">
        <v>1</v>
      </c>
      <c r="L4521" s="15"/>
      <c r="M4521" s="14"/>
      <c r="N4521" s="14"/>
      <c r="O4521" s="14"/>
      <c r="P4521" s="14"/>
    </row>
    <row r="4522" spans="1:16">
      <c r="B4522" s="1" t="s">
        <v>331</v>
      </c>
      <c r="C4522" s="1" t="s">
        <v>493</v>
      </c>
      <c r="D4522" s="1">
        <v>50</v>
      </c>
      <c r="F4522" s="14"/>
      <c r="G4522" s="14"/>
      <c r="H4522" s="14"/>
      <c r="I4522" s="11"/>
      <c r="J4522" s="14"/>
      <c r="K4522" s="16">
        <v>2</v>
      </c>
      <c r="L4522" s="15"/>
      <c r="M4522" s="14"/>
      <c r="N4522" s="14"/>
      <c r="O4522" s="14"/>
      <c r="P4522" s="14"/>
    </row>
    <row r="4523" spans="1:16">
      <c r="F4523" s="14"/>
      <c r="G4523" s="14"/>
      <c r="H4523" s="14"/>
      <c r="I4523" s="11"/>
      <c r="J4523" s="14"/>
      <c r="K4523" s="16"/>
      <c r="L4523" s="15"/>
      <c r="M4523" s="14"/>
      <c r="N4523" s="14"/>
      <c r="O4523" s="14"/>
      <c r="P4523" s="14"/>
    </row>
    <row r="4524" spans="1:16">
      <c r="A4524" s="1" t="s">
        <v>332</v>
      </c>
      <c r="B4524" s="1" t="s">
        <v>333</v>
      </c>
      <c r="C4524" s="1" t="s">
        <v>493</v>
      </c>
      <c r="D4524" s="1">
        <v>1</v>
      </c>
      <c r="E4524" s="1" t="s">
        <v>476</v>
      </c>
      <c r="F4524" s="14">
        <v>1</v>
      </c>
      <c r="G4524" s="14">
        <v>134</v>
      </c>
      <c r="H4524" s="14" t="s">
        <v>903</v>
      </c>
      <c r="I4524" s="11"/>
      <c r="J4524" s="14">
        <v>99</v>
      </c>
      <c r="K4524" s="16">
        <v>1</v>
      </c>
      <c r="L4524" s="15"/>
      <c r="M4524" s="14"/>
      <c r="N4524" s="14"/>
      <c r="O4524" s="14"/>
      <c r="P4524" s="14"/>
    </row>
    <row r="4525" spans="1:16">
      <c r="B4525" s="1" t="s">
        <v>334</v>
      </c>
      <c r="C4525" s="1" t="s">
        <v>493</v>
      </c>
      <c r="D4525" s="1">
        <v>50</v>
      </c>
      <c r="F4525" s="14"/>
      <c r="G4525" s="14"/>
      <c r="H4525" s="14"/>
      <c r="I4525" s="11"/>
      <c r="J4525" s="14"/>
      <c r="K4525" s="16">
        <v>2</v>
      </c>
      <c r="L4525" s="15"/>
      <c r="M4525" s="14"/>
      <c r="N4525" s="14"/>
      <c r="O4525" s="14"/>
      <c r="P4525" s="14"/>
    </row>
    <row r="4526" spans="1:16">
      <c r="F4526" s="14"/>
      <c r="G4526" s="14"/>
      <c r="H4526" s="14"/>
      <c r="I4526" s="11"/>
      <c r="J4526" s="14"/>
      <c r="K4526" s="16"/>
      <c r="L4526" s="15"/>
      <c r="M4526" s="14"/>
      <c r="N4526" s="14"/>
      <c r="O4526" s="14"/>
      <c r="P4526" s="14"/>
    </row>
    <row r="4527" spans="1:16">
      <c r="A4527" s="1" t="s">
        <v>335</v>
      </c>
      <c r="B4527" s="1" t="s">
        <v>336</v>
      </c>
      <c r="C4527" s="1" t="s">
        <v>494</v>
      </c>
      <c r="E4527" s="1" t="s">
        <v>476</v>
      </c>
      <c r="F4527" s="14">
        <v>1</v>
      </c>
      <c r="G4527" s="14">
        <v>135</v>
      </c>
      <c r="H4527" s="14" t="s">
        <v>313</v>
      </c>
      <c r="I4527" s="11"/>
      <c r="J4527" s="14">
        <v>99</v>
      </c>
      <c r="K4527" s="16">
        <v>1</v>
      </c>
      <c r="L4527" s="15"/>
      <c r="M4527" s="14"/>
      <c r="N4527" s="14"/>
      <c r="O4527" s="14"/>
      <c r="P4527" s="14"/>
    </row>
    <row r="4528" spans="1:16">
      <c r="B4528" s="1" t="s">
        <v>337</v>
      </c>
      <c r="C4528" s="1" t="s">
        <v>493</v>
      </c>
      <c r="D4528" s="1">
        <v>100</v>
      </c>
      <c r="F4528" s="14"/>
      <c r="G4528" s="14"/>
      <c r="H4528" s="14"/>
      <c r="I4528" s="11"/>
      <c r="J4528" s="14"/>
      <c r="K4528" s="16">
        <v>2</v>
      </c>
      <c r="L4528" s="15"/>
      <c r="M4528" s="14"/>
      <c r="N4528" s="14"/>
      <c r="O4528" s="14"/>
      <c r="P4528" s="14"/>
    </row>
    <row r="4529" spans="1:18">
      <c r="F4529" s="14"/>
      <c r="G4529" s="14"/>
      <c r="H4529" s="14"/>
      <c r="I4529" s="11"/>
      <c r="J4529" s="14"/>
      <c r="K4529" s="16"/>
      <c r="L4529" s="15"/>
      <c r="M4529" s="14"/>
      <c r="N4529" s="14"/>
      <c r="O4529" s="14"/>
      <c r="P4529" s="14"/>
    </row>
    <row r="4530" spans="1:18">
      <c r="A4530" s="1" t="s">
        <v>343</v>
      </c>
      <c r="B4530" s="19" t="s">
        <v>346</v>
      </c>
      <c r="C4530" s="1" t="s">
        <v>494</v>
      </c>
      <c r="E4530" s="1" t="s">
        <v>476</v>
      </c>
      <c r="F4530" s="14">
        <v>1</v>
      </c>
      <c r="G4530" s="14">
        <v>136</v>
      </c>
      <c r="H4530" s="14" t="s">
        <v>338</v>
      </c>
      <c r="I4530" s="11" t="s">
        <v>907</v>
      </c>
      <c r="J4530" s="14">
        <v>11</v>
      </c>
      <c r="K4530" s="16">
        <v>1</v>
      </c>
      <c r="L4530" s="15">
        <v>6</v>
      </c>
      <c r="M4530" s="14"/>
      <c r="N4530" s="14"/>
      <c r="O4530" s="14"/>
      <c r="P4530" s="14"/>
    </row>
    <row r="4531" spans="1:18">
      <c r="B4531" s="1" t="s">
        <v>344</v>
      </c>
      <c r="C4531" s="1" t="s">
        <v>494</v>
      </c>
      <c r="F4531" s="14"/>
      <c r="G4531" s="14"/>
      <c r="H4531" s="14"/>
      <c r="I4531" s="11"/>
      <c r="J4531" s="14"/>
      <c r="K4531" s="16">
        <v>3</v>
      </c>
      <c r="L4531" s="15">
        <v>6</v>
      </c>
      <c r="M4531" s="14"/>
      <c r="N4531" s="14"/>
      <c r="O4531" s="14"/>
      <c r="P4531" s="14"/>
    </row>
    <row r="4532" spans="1:18">
      <c r="B4532" s="1" t="s">
        <v>345</v>
      </c>
      <c r="C4532" s="1" t="s">
        <v>493</v>
      </c>
      <c r="D4532" s="1">
        <v>50</v>
      </c>
      <c r="F4532" s="14"/>
      <c r="G4532" s="14"/>
      <c r="H4532" s="14"/>
      <c r="I4532" s="11"/>
      <c r="J4532" s="14"/>
      <c r="K4532" s="16">
        <v>4</v>
      </c>
      <c r="L4532" s="15"/>
      <c r="M4532" s="14"/>
      <c r="N4532" s="14"/>
      <c r="O4532" s="14"/>
      <c r="P4532" s="14"/>
    </row>
    <row r="4533" spans="1:18">
      <c r="B4533" s="1" t="s">
        <v>347</v>
      </c>
      <c r="C4533" s="1" t="s">
        <v>493</v>
      </c>
      <c r="D4533" s="1">
        <v>250</v>
      </c>
      <c r="F4533" s="14"/>
      <c r="G4533" s="14"/>
      <c r="H4533" s="14"/>
      <c r="I4533" s="11"/>
      <c r="J4533" s="14"/>
      <c r="K4533" s="16">
        <v>5</v>
      </c>
      <c r="L4533" s="15"/>
      <c r="M4533" s="14"/>
      <c r="N4533" s="14"/>
      <c r="O4533" s="14"/>
      <c r="P4533" s="14"/>
    </row>
    <row r="4534" spans="1:18">
      <c r="B4534" s="1" t="s">
        <v>348</v>
      </c>
      <c r="C4534" s="1" t="s">
        <v>493</v>
      </c>
      <c r="D4534" s="1">
        <v>250</v>
      </c>
      <c r="F4534" s="14"/>
      <c r="G4534" s="14"/>
      <c r="H4534" s="14"/>
      <c r="I4534" s="11"/>
      <c r="J4534" s="14"/>
      <c r="K4534" s="16">
        <v>6</v>
      </c>
      <c r="L4534" s="15"/>
      <c r="M4534" s="14"/>
      <c r="N4534" s="14"/>
      <c r="O4534" s="14"/>
      <c r="P4534" s="14"/>
    </row>
    <row r="4535" spans="1:18">
      <c r="B4535" s="1" t="s">
        <v>340</v>
      </c>
      <c r="C4535" s="1" t="s">
        <v>493</v>
      </c>
      <c r="D4535" s="1">
        <v>250</v>
      </c>
      <c r="F4535" s="14"/>
      <c r="G4535" s="14"/>
      <c r="H4535" s="14"/>
      <c r="I4535" s="11"/>
      <c r="J4535" s="14"/>
      <c r="K4535" s="16">
        <v>7</v>
      </c>
      <c r="L4535" s="15"/>
      <c r="M4535" s="14"/>
      <c r="N4535" s="14"/>
      <c r="O4535" s="14"/>
      <c r="P4535" s="14"/>
    </row>
    <row r="4536" spans="1:18">
      <c r="B4536" s="1" t="s">
        <v>341</v>
      </c>
      <c r="C4536" s="1" t="s">
        <v>493</v>
      </c>
      <c r="D4536" s="1">
        <v>250</v>
      </c>
      <c r="F4536" s="14"/>
      <c r="G4536" s="14"/>
      <c r="H4536" s="14"/>
      <c r="I4536" s="11"/>
      <c r="J4536" s="14"/>
      <c r="K4536" s="16">
        <v>8</v>
      </c>
      <c r="L4536" s="15"/>
      <c r="M4536" s="14"/>
      <c r="N4536" s="14"/>
      <c r="O4536" s="14"/>
      <c r="P4536" s="14"/>
    </row>
    <row r="4537" spans="1:18">
      <c r="B4537" s="1" t="s">
        <v>342</v>
      </c>
      <c r="C4537" s="1" t="s">
        <v>493</v>
      </c>
      <c r="D4537" s="1">
        <v>250</v>
      </c>
      <c r="F4537" s="14"/>
      <c r="G4537" s="14"/>
      <c r="H4537" s="14"/>
      <c r="I4537" s="11"/>
      <c r="J4537" s="14"/>
      <c r="K4537" s="16">
        <v>9</v>
      </c>
      <c r="L4537" s="15"/>
      <c r="M4537" s="14"/>
      <c r="N4537" s="14"/>
      <c r="O4537" s="14"/>
      <c r="P4537" s="14"/>
    </row>
    <row r="4538" spans="1:18">
      <c r="F4538" s="14"/>
      <c r="G4538" s="14"/>
      <c r="H4538" s="14"/>
      <c r="I4538" s="11"/>
      <c r="J4538" s="14"/>
      <c r="K4538" s="16"/>
      <c r="L4538" s="15"/>
      <c r="M4538" s="14"/>
      <c r="N4538" s="14"/>
      <c r="O4538" s="14"/>
      <c r="P4538" s="14"/>
    </row>
    <row r="4539" spans="1:18">
      <c r="A4539" s="1" t="s">
        <v>349</v>
      </c>
      <c r="B4539" s="1" t="s">
        <v>350</v>
      </c>
      <c r="C4539" s="1" t="s">
        <v>494</v>
      </c>
      <c r="E4539" s="1" t="s">
        <v>476</v>
      </c>
      <c r="F4539" s="14">
        <v>1</v>
      </c>
      <c r="G4539" s="14">
        <v>137</v>
      </c>
      <c r="H4539" s="14" t="s">
        <v>339</v>
      </c>
      <c r="I4539" s="11"/>
      <c r="J4539" s="14"/>
      <c r="K4539" s="16">
        <v>1</v>
      </c>
      <c r="L4539" s="15"/>
      <c r="M4539" s="14"/>
      <c r="N4539" s="14"/>
      <c r="O4539" s="14"/>
      <c r="P4539" s="14"/>
    </row>
    <row r="4540" spans="1:18">
      <c r="B4540" s="1" t="s">
        <v>351</v>
      </c>
      <c r="C4540" s="1" t="s">
        <v>493</v>
      </c>
      <c r="D4540" s="1">
        <v>50</v>
      </c>
      <c r="F4540" s="14"/>
      <c r="G4540" s="14"/>
      <c r="H4540" s="14"/>
      <c r="I4540" s="11"/>
      <c r="J4540" s="14"/>
      <c r="K4540" s="16">
        <v>2</v>
      </c>
      <c r="L4540" s="15"/>
      <c r="M4540" s="14"/>
      <c r="N4540" s="14"/>
      <c r="O4540" s="14"/>
      <c r="P4540" s="14"/>
    </row>
    <row r="4541" spans="1:18">
      <c r="F4541" s="11"/>
      <c r="G4541" s="11"/>
      <c r="H4541" s="11"/>
      <c r="I4541" s="11"/>
      <c r="J4541" s="11"/>
      <c r="K4541" s="16"/>
      <c r="L4541" s="15"/>
      <c r="M4541" s="11"/>
      <c r="N4541" s="11"/>
      <c r="O4541" s="11"/>
      <c r="P4541" s="11"/>
      <c r="Q4541" s="2"/>
      <c r="R4541" s="2"/>
    </row>
    <row r="4542" spans="1:18" customFormat="1" ht="12.75" customHeight="1">
      <c r="A4542" t="s">
        <v>355</v>
      </c>
      <c r="B4542" t="s">
        <v>356</v>
      </c>
      <c r="C4542" t="s">
        <v>494</v>
      </c>
      <c r="E4542" t="s">
        <v>476</v>
      </c>
      <c r="F4542" s="20">
        <v>1</v>
      </c>
      <c r="G4542" s="20">
        <v>138</v>
      </c>
      <c r="H4542" s="20" t="s">
        <v>354</v>
      </c>
      <c r="I4542" s="20" t="s">
        <v>908</v>
      </c>
      <c r="J4542" s="20">
        <v>11</v>
      </c>
      <c r="K4542" s="30">
        <v>1</v>
      </c>
      <c r="L4542" s="21"/>
      <c r="M4542" s="20"/>
      <c r="N4542" s="20"/>
      <c r="O4542" s="20"/>
      <c r="P4542" s="20"/>
      <c r="Q4542" s="22"/>
      <c r="R4542" s="22"/>
    </row>
    <row r="4543" spans="1:18" customFormat="1" ht="12.75" customHeight="1">
      <c r="B4543" t="s">
        <v>357</v>
      </c>
      <c r="C4543" t="s">
        <v>493</v>
      </c>
      <c r="D4543">
        <v>50</v>
      </c>
      <c r="F4543" s="20"/>
      <c r="G4543" s="20"/>
      <c r="H4543" s="20"/>
      <c r="I4543" s="20"/>
      <c r="J4543" s="20"/>
      <c r="K4543" s="30">
        <v>2</v>
      </c>
      <c r="L4543" s="21"/>
      <c r="M4543" s="20"/>
      <c r="N4543" s="20"/>
      <c r="O4543" s="20"/>
      <c r="P4543" s="20"/>
      <c r="Q4543" s="22"/>
      <c r="R4543" s="22"/>
    </row>
    <row r="4544" spans="1:18" customFormat="1" ht="12.75" customHeight="1">
      <c r="B4544" t="s">
        <v>358</v>
      </c>
      <c r="C4544" t="s">
        <v>494</v>
      </c>
      <c r="F4544" s="20"/>
      <c r="G4544" s="20"/>
      <c r="H4544" s="20"/>
      <c r="I4544" s="20"/>
      <c r="J4544" s="20"/>
      <c r="K4544" s="30">
        <v>3</v>
      </c>
      <c r="L4544" s="21"/>
      <c r="M4544" s="20"/>
      <c r="N4544" s="20"/>
      <c r="O4544" s="20"/>
      <c r="P4544" s="20"/>
      <c r="Q4544" s="22"/>
      <c r="R4544" s="22"/>
    </row>
    <row r="4545" spans="1:18" customFormat="1" ht="12.75" customHeight="1">
      <c r="B4545" t="s">
        <v>359</v>
      </c>
      <c r="C4545" t="s">
        <v>494</v>
      </c>
      <c r="F4545" s="20"/>
      <c r="G4545" s="20"/>
      <c r="H4545" s="20"/>
      <c r="I4545" s="20"/>
      <c r="J4545" s="20"/>
      <c r="K4545" s="30">
        <v>4</v>
      </c>
      <c r="L4545" s="21"/>
      <c r="M4545" s="20"/>
      <c r="N4545" s="20"/>
      <c r="O4545" s="20"/>
      <c r="P4545" s="20"/>
      <c r="Q4545" s="22"/>
      <c r="R4545" s="22"/>
    </row>
    <row r="4546" spans="1:18" customFormat="1" ht="12.75" customHeight="1">
      <c r="B4546" t="s">
        <v>360</v>
      </c>
      <c r="C4546" t="s">
        <v>493</v>
      </c>
      <c r="D4546">
        <v>50</v>
      </c>
      <c r="F4546" s="20"/>
      <c r="G4546" s="20"/>
      <c r="H4546" s="20"/>
      <c r="I4546" s="20"/>
      <c r="J4546" s="20"/>
      <c r="K4546" s="30">
        <v>5</v>
      </c>
      <c r="L4546" s="21"/>
      <c r="M4546" s="20"/>
      <c r="N4546" s="20"/>
      <c r="O4546" s="20"/>
      <c r="P4546" s="20"/>
      <c r="Q4546" s="22"/>
      <c r="R4546" s="22"/>
    </row>
    <row r="4547" spans="1:18" customFormat="1" ht="12.75" customHeight="1">
      <c r="F4547" s="20"/>
      <c r="G4547" s="20"/>
      <c r="H4547" s="20"/>
      <c r="I4547" s="20"/>
      <c r="J4547" s="20"/>
      <c r="K4547" s="30"/>
      <c r="L4547" s="21"/>
      <c r="M4547" s="20"/>
      <c r="N4547" s="20"/>
      <c r="O4547" s="20"/>
      <c r="P4547" s="20"/>
      <c r="Q4547" s="22"/>
      <c r="R4547" s="22"/>
    </row>
    <row r="4548" spans="1:18">
      <c r="A4548" s="62" t="s">
        <v>1766</v>
      </c>
      <c r="B4548" s="66" t="s">
        <v>1767</v>
      </c>
      <c r="C4548" s="64" t="s">
        <v>494</v>
      </c>
      <c r="D4548" s="10"/>
      <c r="E4548" s="64" t="s">
        <v>476</v>
      </c>
      <c r="F4548" s="14">
        <v>1</v>
      </c>
      <c r="G4548" s="14">
        <v>154</v>
      </c>
      <c r="H4548" s="47" t="s">
        <v>1789</v>
      </c>
      <c r="I4548" s="48" t="s">
        <v>1775</v>
      </c>
      <c r="J4548" s="14">
        <v>2</v>
      </c>
      <c r="K4548" s="16">
        <v>1</v>
      </c>
      <c r="L4548" s="15">
        <v>52</v>
      </c>
      <c r="M4548" s="14"/>
      <c r="N4548" s="1">
        <v>139</v>
      </c>
      <c r="O4548" s="62" t="s">
        <v>1004</v>
      </c>
      <c r="Q4548" s="14"/>
      <c r="R4548" s="14"/>
    </row>
    <row r="4549" spans="1:18">
      <c r="B4549" s="66" t="s">
        <v>1768</v>
      </c>
      <c r="C4549" s="64" t="s">
        <v>494</v>
      </c>
      <c r="D4549" s="10"/>
      <c r="E4549" s="62" t="s">
        <v>476</v>
      </c>
      <c r="F4549" s="14"/>
      <c r="G4549" s="14"/>
      <c r="H4549" s="14"/>
      <c r="I4549" s="11"/>
      <c r="J4549" s="14"/>
      <c r="K4549" s="16">
        <v>2</v>
      </c>
      <c r="L4549" s="15">
        <v>3</v>
      </c>
      <c r="M4549" s="14"/>
      <c r="N4549" s="64" t="s">
        <v>506</v>
      </c>
      <c r="O4549" s="64" t="s">
        <v>514</v>
      </c>
      <c r="P4549" s="1" t="s">
        <v>515</v>
      </c>
      <c r="Q4549" s="14"/>
      <c r="R4549" s="14"/>
    </row>
    <row r="4550" spans="1:18">
      <c r="B4550" s="66" t="s">
        <v>1769</v>
      </c>
      <c r="C4550" s="64" t="s">
        <v>494</v>
      </c>
      <c r="D4550" s="10"/>
      <c r="F4550" s="14"/>
      <c r="G4550" s="14"/>
      <c r="H4550" s="14"/>
      <c r="I4550" s="11"/>
      <c r="J4550" s="14"/>
      <c r="K4550" s="16">
        <v>3</v>
      </c>
      <c r="L4550" s="15">
        <v>6</v>
      </c>
      <c r="M4550" s="14"/>
      <c r="Q4550" s="14"/>
      <c r="R4550" s="14"/>
    </row>
    <row r="4551" spans="1:18">
      <c r="B4551" s="66" t="s">
        <v>1771</v>
      </c>
      <c r="C4551" s="64" t="s">
        <v>493</v>
      </c>
      <c r="D4551" s="10">
        <v>1</v>
      </c>
      <c r="F4551" s="14"/>
      <c r="G4551" s="14"/>
      <c r="H4551" s="14"/>
      <c r="I4551" s="11"/>
      <c r="J4551" s="14"/>
      <c r="K4551" s="16">
        <v>4</v>
      </c>
      <c r="L4551" s="15">
        <v>3</v>
      </c>
      <c r="M4551" s="14"/>
      <c r="Q4551" s="14"/>
      <c r="R4551" s="14"/>
    </row>
    <row r="4552" spans="1:18">
      <c r="B4552" s="66" t="s">
        <v>1772</v>
      </c>
      <c r="C4552" s="64" t="s">
        <v>493</v>
      </c>
      <c r="D4552" s="10">
        <v>100</v>
      </c>
      <c r="F4552" s="14"/>
      <c r="G4552" s="14"/>
      <c r="H4552" s="14"/>
      <c r="I4552" s="11"/>
      <c r="J4552" s="14"/>
      <c r="K4552" s="16">
        <v>5</v>
      </c>
      <c r="L4552" s="15"/>
      <c r="M4552" s="14"/>
      <c r="Q4552" s="14"/>
      <c r="R4552" s="14"/>
    </row>
    <row r="4553" spans="1:18">
      <c r="B4553" s="66" t="s">
        <v>1770</v>
      </c>
      <c r="C4553" s="45" t="s">
        <v>493</v>
      </c>
      <c r="D4553" s="45">
        <v>250</v>
      </c>
      <c r="F4553" s="14"/>
      <c r="G4553" s="14"/>
      <c r="H4553" s="14"/>
      <c r="I4553" s="11"/>
      <c r="J4553" s="14"/>
      <c r="K4553" s="16">
        <v>6</v>
      </c>
      <c r="L4553" s="15"/>
      <c r="M4553" s="14"/>
      <c r="P4553" s="14"/>
      <c r="Q4553" s="14"/>
      <c r="R4553" s="14"/>
    </row>
    <row r="4554" spans="1:18">
      <c r="B4554" s="66" t="s">
        <v>1788</v>
      </c>
      <c r="C4554" s="64" t="s">
        <v>494</v>
      </c>
      <c r="D4554" s="45"/>
      <c r="F4554" s="14"/>
      <c r="G4554" s="14"/>
      <c r="H4554" s="14"/>
      <c r="I4554" s="11"/>
      <c r="J4554" s="14"/>
      <c r="K4554" s="16">
        <v>7</v>
      </c>
      <c r="L4554" s="15">
        <v>3</v>
      </c>
      <c r="M4554" s="14"/>
      <c r="N4554" s="62" t="s">
        <v>1776</v>
      </c>
      <c r="O4554" s="66" t="s">
        <v>1778</v>
      </c>
      <c r="P4554" s="66" t="s">
        <v>1779</v>
      </c>
      <c r="Q4554" s="14"/>
      <c r="R4554" s="14"/>
    </row>
    <row r="4555" spans="1:18">
      <c r="B4555" s="66" t="s">
        <v>1773</v>
      </c>
      <c r="C4555" s="64" t="s">
        <v>494</v>
      </c>
      <c r="D4555" s="10"/>
      <c r="F4555" s="14"/>
      <c r="G4555" s="14"/>
      <c r="H4555" s="14"/>
      <c r="I4555" s="11"/>
      <c r="J4555" s="14"/>
      <c r="K4555" s="16">
        <v>8</v>
      </c>
      <c r="L4555" s="15"/>
      <c r="M4555" s="14">
        <v>1</v>
      </c>
      <c r="Q4555" s="14"/>
      <c r="R4555" s="14"/>
    </row>
    <row r="4556" spans="1:18">
      <c r="B4556" s="66"/>
      <c r="C4556" s="64"/>
      <c r="D4556" s="10"/>
      <c r="F4556" s="14"/>
      <c r="G4556" s="14"/>
      <c r="H4556" s="14"/>
      <c r="I4556" s="11"/>
      <c r="J4556" s="14"/>
      <c r="K4556" s="16"/>
      <c r="L4556" s="15"/>
      <c r="M4556" s="14"/>
      <c r="Q4556" s="14"/>
      <c r="R4556" s="14"/>
    </row>
    <row r="4557" spans="1:18">
      <c r="A4557" s="62" t="s">
        <v>1049</v>
      </c>
      <c r="B4557" s="23" t="s">
        <v>1052</v>
      </c>
      <c r="C4557" s="1" t="s">
        <v>494</v>
      </c>
      <c r="E4557" s="1" t="s">
        <v>476</v>
      </c>
      <c r="F4557" s="14">
        <v>17</v>
      </c>
      <c r="G4557" s="14">
        <v>141</v>
      </c>
      <c r="H4557" s="14" t="s">
        <v>1053</v>
      </c>
      <c r="I4557" s="11" t="s">
        <v>1054</v>
      </c>
      <c r="J4557" s="14">
        <v>2</v>
      </c>
      <c r="K4557" s="16">
        <v>1</v>
      </c>
      <c r="L4557" s="15">
        <v>6</v>
      </c>
      <c r="M4557" s="14"/>
      <c r="N4557" s="23"/>
      <c r="O4557" s="14"/>
      <c r="P4557" s="14"/>
      <c r="Q4557" s="14"/>
      <c r="R4557" s="14"/>
    </row>
    <row r="4558" spans="1:18">
      <c r="B4558" s="23" t="s">
        <v>1050</v>
      </c>
      <c r="C4558" s="1" t="s">
        <v>494</v>
      </c>
      <c r="F4558" s="14"/>
      <c r="G4558" s="14"/>
      <c r="H4558" s="14"/>
      <c r="I4558" s="11"/>
      <c r="J4558" s="14"/>
      <c r="K4558" s="16">
        <v>2</v>
      </c>
      <c r="L4558" s="15">
        <v>6</v>
      </c>
      <c r="M4558" s="14"/>
      <c r="N4558" s="23"/>
      <c r="O4558" s="14"/>
      <c r="P4558" s="14"/>
      <c r="Q4558" s="14"/>
      <c r="R4558" s="14"/>
    </row>
    <row r="4559" spans="1:18">
      <c r="B4559" s="23" t="s">
        <v>1051</v>
      </c>
      <c r="C4559" s="1" t="s">
        <v>493</v>
      </c>
      <c r="D4559" s="1">
        <v>50</v>
      </c>
      <c r="F4559" s="14"/>
      <c r="G4559" s="14"/>
      <c r="H4559" s="14"/>
      <c r="I4559" s="11"/>
      <c r="J4559" s="14"/>
      <c r="K4559" s="16">
        <v>3</v>
      </c>
      <c r="L4559" s="15"/>
      <c r="M4559" s="14"/>
      <c r="N4559" s="23"/>
      <c r="O4559" s="14"/>
      <c r="P4559" s="14"/>
      <c r="Q4559" s="14"/>
      <c r="R4559" s="14"/>
    </row>
    <row r="4560" spans="1:18">
      <c r="B4560" s="23"/>
      <c r="F4560" s="14"/>
      <c r="G4560" s="14"/>
      <c r="H4560" s="14"/>
      <c r="I4560" s="11"/>
      <c r="J4560" s="14"/>
      <c r="K4560" s="16"/>
      <c r="L4560" s="15"/>
      <c r="M4560" s="14"/>
      <c r="N4560" s="23"/>
      <c r="O4560" s="14"/>
      <c r="P4560" s="14"/>
      <c r="Q4560" s="14"/>
      <c r="R4560" s="14"/>
    </row>
    <row r="4561" spans="1:18">
      <c r="A4561" s="1" t="s">
        <v>1063</v>
      </c>
      <c r="B4561" s="23" t="s">
        <v>1064</v>
      </c>
      <c r="C4561" s="1" t="s">
        <v>494</v>
      </c>
      <c r="E4561" s="1" t="s">
        <v>476</v>
      </c>
      <c r="F4561" s="14">
        <v>17</v>
      </c>
      <c r="G4561" s="14">
        <v>143</v>
      </c>
      <c r="H4561" s="14" t="s">
        <v>1067</v>
      </c>
      <c r="I4561" s="11" t="s">
        <v>1068</v>
      </c>
      <c r="J4561" s="14">
        <v>2</v>
      </c>
      <c r="K4561" s="16">
        <v>1</v>
      </c>
      <c r="L4561" s="15">
        <v>6</v>
      </c>
      <c r="M4561" s="14"/>
      <c r="N4561" s="23"/>
      <c r="O4561" s="14"/>
      <c r="P4561" s="14"/>
      <c r="Q4561" s="14"/>
      <c r="R4561" s="14"/>
    </row>
    <row r="4562" spans="1:18">
      <c r="B4562" s="23" t="s">
        <v>1065</v>
      </c>
      <c r="C4562" s="1" t="s">
        <v>494</v>
      </c>
      <c r="F4562" s="14"/>
      <c r="G4562" s="14"/>
      <c r="H4562" s="14"/>
      <c r="I4562" s="11"/>
      <c r="J4562" s="14"/>
      <c r="K4562" s="16">
        <v>2</v>
      </c>
      <c r="L4562" s="15">
        <v>6</v>
      </c>
      <c r="M4562" s="14"/>
      <c r="N4562" s="23"/>
      <c r="O4562" s="14"/>
      <c r="P4562" s="14"/>
      <c r="Q4562" s="14"/>
      <c r="R4562" s="14"/>
    </row>
    <row r="4563" spans="1:18" s="7" customFormat="1" ht="12.75" customHeight="1">
      <c r="B4563" s="29" t="s">
        <v>1066</v>
      </c>
      <c r="C4563" s="1" t="s">
        <v>493</v>
      </c>
      <c r="D4563" s="1">
        <v>50</v>
      </c>
      <c r="E4563" s="1"/>
      <c r="F4563" s="14"/>
      <c r="K4563" s="16">
        <v>3</v>
      </c>
      <c r="L4563" s="15"/>
    </row>
    <row r="4564" spans="1:18" s="7" customFormat="1" ht="12.75" customHeight="1">
      <c r="B4564" s="29"/>
      <c r="C4564" s="1"/>
      <c r="D4564" s="1"/>
      <c r="E4564" s="1"/>
      <c r="F4564" s="14"/>
      <c r="K4564" s="16"/>
      <c r="L4564" s="15"/>
    </row>
    <row r="4565" spans="1:18">
      <c r="A4565" s="44" t="s">
        <v>1139</v>
      </c>
      <c r="B4565" s="44" t="s">
        <v>1332</v>
      </c>
      <c r="C4565" s="1" t="s">
        <v>494</v>
      </c>
      <c r="E4565" s="1" t="s">
        <v>476</v>
      </c>
      <c r="F4565" s="14">
        <v>1</v>
      </c>
      <c r="G4565" s="14">
        <v>244</v>
      </c>
      <c r="H4565" s="47" t="s">
        <v>1328</v>
      </c>
      <c r="I4565" s="48" t="s">
        <v>1329</v>
      </c>
      <c r="J4565" s="14">
        <v>2</v>
      </c>
      <c r="K4565" s="16">
        <v>1</v>
      </c>
      <c r="L4565" s="15">
        <v>6</v>
      </c>
      <c r="M4565" s="14"/>
      <c r="N4565" s="14"/>
      <c r="O4565" s="14"/>
      <c r="P4565" s="14"/>
      <c r="Q4565" s="14"/>
      <c r="R4565" s="14"/>
    </row>
    <row r="4566" spans="1:18">
      <c r="B4566" s="1" t="s">
        <v>1136</v>
      </c>
      <c r="C4566" s="1" t="s">
        <v>494</v>
      </c>
      <c r="F4566" s="14"/>
      <c r="G4566" s="14"/>
      <c r="H4566" s="47"/>
      <c r="I4566" s="48"/>
      <c r="J4566" s="14"/>
      <c r="K4566" s="16">
        <v>2</v>
      </c>
      <c r="L4566" s="15">
        <v>6</v>
      </c>
      <c r="M4566" s="14"/>
      <c r="N4566" s="14"/>
      <c r="O4566" s="14"/>
      <c r="P4566" s="14"/>
      <c r="Q4566" s="14"/>
      <c r="R4566" s="14"/>
    </row>
    <row r="4567" spans="1:18">
      <c r="B4567" s="1" t="s">
        <v>1137</v>
      </c>
      <c r="C4567" s="1" t="s">
        <v>493</v>
      </c>
      <c r="D4567" s="1">
        <v>100</v>
      </c>
      <c r="F4567" s="14"/>
      <c r="G4567" s="14"/>
      <c r="H4567" s="14" t="s">
        <v>505</v>
      </c>
      <c r="I4567" s="11"/>
      <c r="J4567" s="14"/>
      <c r="K4567" s="16">
        <v>3</v>
      </c>
      <c r="L4567" s="15"/>
      <c r="M4567" s="14"/>
      <c r="N4567" s="14"/>
      <c r="O4567" s="14"/>
      <c r="P4567" s="14"/>
      <c r="Q4567" s="14"/>
      <c r="R4567" s="14"/>
    </row>
    <row r="4568" spans="1:18">
      <c r="B4568" s="1" t="s">
        <v>1138</v>
      </c>
      <c r="C4568" s="1" t="s">
        <v>494</v>
      </c>
      <c r="F4568" s="14"/>
      <c r="G4568" s="14"/>
      <c r="H4568" s="14"/>
      <c r="I4568" s="11"/>
      <c r="J4568" s="14"/>
      <c r="K4568" s="16">
        <v>4</v>
      </c>
      <c r="L4568" s="15"/>
      <c r="M4568" s="14"/>
      <c r="N4568" s="14"/>
      <c r="O4568" s="14"/>
      <c r="P4568" s="14"/>
      <c r="Q4568" s="14"/>
      <c r="R4568" s="14"/>
    </row>
    <row r="4569" spans="1:18">
      <c r="F4569" s="14"/>
      <c r="G4569" s="14"/>
      <c r="H4569" s="14"/>
      <c r="I4569" s="11"/>
      <c r="J4569" s="14"/>
      <c r="K4569" s="16"/>
      <c r="L4569" s="15"/>
      <c r="M4569" s="14"/>
      <c r="N4569" s="14"/>
      <c r="O4569" s="14"/>
      <c r="P4569" s="14"/>
      <c r="Q4569" s="14"/>
      <c r="R4569" s="14"/>
    </row>
    <row r="4570" spans="1:18">
      <c r="A4570" s="1" t="s">
        <v>1140</v>
      </c>
      <c r="B4570" s="44" t="s">
        <v>1326</v>
      </c>
      <c r="C4570" s="1" t="s">
        <v>494</v>
      </c>
      <c r="E4570" s="1" t="s">
        <v>476</v>
      </c>
      <c r="F4570" s="14"/>
      <c r="G4570" s="14"/>
      <c r="H4570" s="14"/>
      <c r="I4570" s="11"/>
      <c r="J4570" s="14"/>
      <c r="K4570" s="16"/>
      <c r="L4570" s="15"/>
      <c r="M4570" s="14"/>
      <c r="N4570" s="14"/>
      <c r="O4570" s="14"/>
      <c r="P4570" s="14"/>
      <c r="Q4570" s="14"/>
      <c r="R4570" s="14"/>
    </row>
    <row r="4571" spans="1:18">
      <c r="B4571" s="44" t="s">
        <v>1327</v>
      </c>
      <c r="C4571" s="1" t="s">
        <v>493</v>
      </c>
      <c r="D4571" s="1">
        <v>50</v>
      </c>
      <c r="F4571" s="14"/>
      <c r="G4571" s="14"/>
      <c r="H4571" s="14"/>
      <c r="I4571" s="11"/>
      <c r="J4571" s="14"/>
      <c r="K4571" s="16"/>
      <c r="L4571" s="15"/>
      <c r="M4571" s="14"/>
      <c r="N4571" s="14"/>
      <c r="O4571" s="14"/>
      <c r="P4571" s="14"/>
      <c r="Q4571" s="14"/>
      <c r="R4571" s="14"/>
    </row>
    <row r="4572" spans="1:18">
      <c r="F4572" s="14"/>
      <c r="G4572" s="14"/>
      <c r="H4572" s="14"/>
      <c r="I4572" s="11"/>
      <c r="J4572" s="14"/>
      <c r="K4572" s="16"/>
      <c r="L4572" s="15"/>
      <c r="M4572" s="14"/>
      <c r="N4572" s="14"/>
      <c r="O4572" s="14"/>
      <c r="P4572" s="14"/>
      <c r="Q4572" s="14"/>
      <c r="R4572" s="14"/>
    </row>
    <row r="4573" spans="1:18">
      <c r="A4573" s="1" t="s">
        <v>507</v>
      </c>
      <c r="B4573" s="1" t="s">
        <v>508</v>
      </c>
      <c r="C4573" s="1" t="s">
        <v>494</v>
      </c>
      <c r="E4573" s="1" t="s">
        <v>476</v>
      </c>
      <c r="F4573" s="14"/>
      <c r="G4573" s="14"/>
      <c r="H4573" s="14"/>
      <c r="I4573" s="11"/>
      <c r="J4573" s="14"/>
      <c r="K4573" s="16"/>
      <c r="L4573" s="15"/>
      <c r="M4573" s="14"/>
      <c r="N4573" s="14"/>
      <c r="O4573" s="14"/>
      <c r="P4573" s="14"/>
      <c r="Q4573" s="14"/>
      <c r="R4573" s="14"/>
    </row>
    <row r="4574" spans="1:18">
      <c r="B4574" s="1" t="s">
        <v>509</v>
      </c>
      <c r="C4574" s="1" t="s">
        <v>493</v>
      </c>
      <c r="D4574" s="1">
        <v>50</v>
      </c>
      <c r="F4574" s="14"/>
      <c r="G4574" s="14"/>
      <c r="H4574" s="14"/>
      <c r="I4574" s="11"/>
      <c r="J4574" s="14"/>
      <c r="K4574" s="16"/>
      <c r="L4574" s="15"/>
      <c r="M4574" s="14"/>
      <c r="N4574" s="14"/>
      <c r="O4574" s="14"/>
      <c r="P4574" s="14"/>
      <c r="Q4574" s="14"/>
      <c r="R4574" s="14"/>
    </row>
    <row r="4575" spans="1:18">
      <c r="F4575" s="14"/>
      <c r="G4575" s="14"/>
      <c r="H4575" s="14"/>
      <c r="I4575" s="11"/>
      <c r="J4575" s="14"/>
      <c r="K4575" s="16"/>
      <c r="L4575" s="15"/>
      <c r="M4575" s="14"/>
      <c r="N4575" s="14"/>
      <c r="O4575" s="14"/>
      <c r="P4575" s="14"/>
      <c r="Q4575" s="14"/>
      <c r="R4575" s="14"/>
    </row>
    <row r="4576" spans="1:18">
      <c r="A4576" s="62" t="s">
        <v>1333</v>
      </c>
      <c r="B4576" s="60" t="s">
        <v>1334</v>
      </c>
      <c r="C4576" s="44" t="s">
        <v>493</v>
      </c>
      <c r="D4576" s="44">
        <v>100</v>
      </c>
      <c r="E4576" s="44" t="s">
        <v>476</v>
      </c>
      <c r="F4576" s="14">
        <v>1</v>
      </c>
      <c r="G4576" s="14">
        <v>249</v>
      </c>
      <c r="H4576" s="47" t="s">
        <v>1340</v>
      </c>
      <c r="I4576" s="48" t="s">
        <v>1341</v>
      </c>
      <c r="J4576" s="14">
        <v>2</v>
      </c>
      <c r="K4576" s="16">
        <v>1</v>
      </c>
      <c r="L4576" s="15"/>
      <c r="M4576" s="14"/>
      <c r="P4576" s="14"/>
      <c r="Q4576" s="14"/>
      <c r="R4576" s="14"/>
    </row>
    <row r="4577" spans="1:18">
      <c r="B4577" s="60" t="s">
        <v>1335</v>
      </c>
      <c r="C4577" s="44" t="s">
        <v>493</v>
      </c>
      <c r="D4577" s="44">
        <v>100</v>
      </c>
      <c r="E4577" s="44" t="s">
        <v>476</v>
      </c>
      <c r="F4577" s="14"/>
      <c r="G4577" s="14"/>
      <c r="H4577" s="14"/>
      <c r="I4577" s="11"/>
      <c r="J4577" s="14"/>
      <c r="K4577" s="16">
        <v>2</v>
      </c>
      <c r="L4577" s="15"/>
      <c r="M4577" s="14"/>
      <c r="P4577" s="14"/>
      <c r="Q4577" s="14"/>
      <c r="R4577" s="14"/>
    </row>
    <row r="4578" spans="1:18">
      <c r="B4578" s="43" t="s">
        <v>1336</v>
      </c>
      <c r="C4578" s="44" t="s">
        <v>494</v>
      </c>
      <c r="F4578" s="14"/>
      <c r="G4578" s="14"/>
      <c r="H4578" s="14"/>
      <c r="I4578" s="11"/>
      <c r="J4578" s="14"/>
      <c r="K4578" s="16">
        <v>3</v>
      </c>
      <c r="L4578" s="15">
        <v>6</v>
      </c>
      <c r="M4578" s="14"/>
      <c r="P4578" s="14"/>
      <c r="Q4578" s="14"/>
      <c r="R4578" s="14"/>
    </row>
    <row r="4579" spans="1:18">
      <c r="B4579" s="43" t="s">
        <v>1337</v>
      </c>
      <c r="C4579" s="44" t="s">
        <v>494</v>
      </c>
      <c r="F4579" s="14"/>
      <c r="G4579" s="14"/>
      <c r="H4579" s="14"/>
      <c r="I4579" s="11"/>
      <c r="J4579" s="14"/>
      <c r="K4579" s="16">
        <v>4</v>
      </c>
      <c r="L4579" s="15">
        <v>3</v>
      </c>
      <c r="M4579" s="14"/>
      <c r="N4579" s="1" t="s">
        <v>1002</v>
      </c>
      <c r="O4579" s="23" t="s">
        <v>1004</v>
      </c>
      <c r="P4579" s="23" t="s">
        <v>1023</v>
      </c>
      <c r="Q4579" s="14"/>
      <c r="R4579" s="14"/>
    </row>
    <row r="4580" spans="1:18">
      <c r="B4580" s="43" t="s">
        <v>1338</v>
      </c>
      <c r="C4580" s="44" t="s">
        <v>494</v>
      </c>
      <c r="F4580" s="14"/>
      <c r="G4580" s="14"/>
      <c r="H4580" s="14"/>
      <c r="I4580" s="11"/>
      <c r="J4580" s="14"/>
      <c r="K4580" s="16">
        <v>5</v>
      </c>
      <c r="L4580" s="15">
        <v>9</v>
      </c>
      <c r="M4580" s="14"/>
      <c r="N4580" s="1" t="s">
        <v>1038</v>
      </c>
      <c r="O4580" s="23" t="s">
        <v>1040</v>
      </c>
      <c r="P4580" s="23" t="s">
        <v>1041</v>
      </c>
      <c r="Q4580" s="23" t="s">
        <v>1040</v>
      </c>
      <c r="R4580" s="14">
        <v>140</v>
      </c>
    </row>
    <row r="4581" spans="1:18">
      <c r="B4581" s="43" t="s">
        <v>1339</v>
      </c>
      <c r="C4581" s="44" t="s">
        <v>494</v>
      </c>
      <c r="F4581" s="14"/>
      <c r="G4581" s="14"/>
      <c r="H4581" s="14"/>
      <c r="I4581" s="11"/>
      <c r="J4581" s="14"/>
      <c r="K4581" s="16">
        <v>6</v>
      </c>
      <c r="L4581" s="15">
        <v>3</v>
      </c>
      <c r="M4581" s="14"/>
      <c r="N4581" s="10" t="s">
        <v>506</v>
      </c>
      <c r="O4581" s="10" t="s">
        <v>514</v>
      </c>
      <c r="P4581" s="1" t="s">
        <v>515</v>
      </c>
      <c r="Q4581" s="14"/>
      <c r="R4581" s="14"/>
    </row>
    <row r="4582" spans="1:18">
      <c r="B4582" s="23"/>
      <c r="F4582" s="14"/>
      <c r="G4582" s="14"/>
      <c r="H4582" s="14"/>
      <c r="I4582" s="11"/>
      <c r="J4582" s="14"/>
      <c r="K4582" s="16"/>
      <c r="L4582" s="15"/>
      <c r="M4582" s="14"/>
      <c r="P4582" s="14"/>
      <c r="Q4582" s="14"/>
      <c r="R4582" s="14"/>
    </row>
    <row r="4583" spans="1:18">
      <c r="A4583" s="62" t="s">
        <v>2761</v>
      </c>
      <c r="B4583" s="66" t="s">
        <v>2763</v>
      </c>
      <c r="C4583" s="64" t="s">
        <v>493</v>
      </c>
      <c r="D4583" s="62">
        <v>20</v>
      </c>
      <c r="E4583" s="62" t="s">
        <v>476</v>
      </c>
      <c r="F4583" s="14">
        <v>1</v>
      </c>
      <c r="G4583" s="14">
        <v>153</v>
      </c>
      <c r="H4583" s="47" t="s">
        <v>2765</v>
      </c>
      <c r="I4583" s="11"/>
      <c r="J4583" s="14">
        <v>1</v>
      </c>
      <c r="K4583" s="76">
        <v>1</v>
      </c>
      <c r="L4583" s="15"/>
      <c r="M4583" s="14"/>
      <c r="N4583" s="62"/>
      <c r="O4583" s="60"/>
      <c r="P4583" s="23"/>
      <c r="Q4583" s="14"/>
      <c r="R4583" s="14"/>
    </row>
    <row r="4584" spans="1:18">
      <c r="B4584" s="66" t="s">
        <v>2762</v>
      </c>
      <c r="C4584" s="64" t="s">
        <v>494</v>
      </c>
      <c r="F4584" s="14"/>
      <c r="G4584" s="14"/>
      <c r="H4584" s="14"/>
      <c r="I4584" s="11"/>
      <c r="J4584" s="14"/>
      <c r="K4584" s="76">
        <v>2</v>
      </c>
      <c r="L4584" s="15">
        <v>6</v>
      </c>
      <c r="M4584" s="14"/>
      <c r="N4584" s="62"/>
      <c r="O4584" s="60"/>
      <c r="P4584" s="23"/>
      <c r="Q4584" s="14"/>
      <c r="R4584" s="14"/>
    </row>
    <row r="4585" spans="1:18">
      <c r="B4585" s="66" t="s">
        <v>2764</v>
      </c>
      <c r="C4585" s="64" t="s">
        <v>494</v>
      </c>
      <c r="F4585" s="14"/>
      <c r="G4585" s="14"/>
      <c r="H4585" s="47" t="s">
        <v>2885</v>
      </c>
      <c r="I4585" s="11"/>
      <c r="J4585" s="14"/>
      <c r="K4585" s="76">
        <v>3</v>
      </c>
      <c r="L4585" s="15"/>
      <c r="M4585" s="14"/>
      <c r="N4585" s="62"/>
      <c r="O4585" s="60"/>
      <c r="P4585" s="23"/>
      <c r="Q4585" s="14"/>
      <c r="R4585" s="14"/>
    </row>
    <row r="4586" spans="1:18">
      <c r="B4586" s="66"/>
      <c r="C4586" s="64"/>
      <c r="F4586" s="14"/>
      <c r="G4586" s="14"/>
      <c r="H4586" s="14"/>
      <c r="I4586" s="11"/>
      <c r="J4586" s="14"/>
      <c r="K4586" s="76"/>
      <c r="L4586" s="15"/>
      <c r="M4586" s="14"/>
      <c r="N4586" s="62"/>
      <c r="O4586" s="60"/>
      <c r="P4586" s="23"/>
      <c r="Q4586" s="14"/>
      <c r="R4586" s="14"/>
    </row>
    <row r="4587" spans="1:18">
      <c r="A4587" s="64" t="s">
        <v>1805</v>
      </c>
      <c r="B4587" s="66" t="s">
        <v>1806</v>
      </c>
      <c r="C4587" s="62" t="s">
        <v>494</v>
      </c>
      <c r="D4587" s="10"/>
      <c r="E4587" s="64" t="s">
        <v>476</v>
      </c>
      <c r="F4587" s="10">
        <v>1</v>
      </c>
      <c r="G4587" s="10">
        <v>157</v>
      </c>
      <c r="H4587" s="64" t="s">
        <v>1809</v>
      </c>
      <c r="I4587" s="64" t="s">
        <v>1810</v>
      </c>
      <c r="J4587" s="10">
        <v>201</v>
      </c>
      <c r="K4587" s="16">
        <v>1</v>
      </c>
      <c r="L4587" s="15">
        <v>6</v>
      </c>
      <c r="M4587" s="14"/>
      <c r="O4587" s="23"/>
      <c r="P4587" s="23"/>
      <c r="Q4587" s="10"/>
      <c r="R4587" s="10"/>
    </row>
    <row r="4588" spans="1:18">
      <c r="A4588" s="10"/>
      <c r="B4588" s="66" t="s">
        <v>1807</v>
      </c>
      <c r="C4588" s="62" t="s">
        <v>494</v>
      </c>
      <c r="D4588" s="10"/>
      <c r="E4588" s="10"/>
      <c r="F4588" s="10"/>
      <c r="G4588" s="10"/>
      <c r="H4588" s="10"/>
      <c r="I4588" s="10"/>
      <c r="J4588" s="10"/>
      <c r="K4588" s="16">
        <v>2</v>
      </c>
      <c r="L4588" s="15">
        <v>6</v>
      </c>
      <c r="M4588" s="14"/>
      <c r="O4588" s="23"/>
      <c r="P4588" s="23"/>
      <c r="Q4588" s="10"/>
      <c r="R4588" s="10"/>
    </row>
    <row r="4589" spans="1:18">
      <c r="A4589" s="10"/>
      <c r="B4589" s="66" t="s">
        <v>2012</v>
      </c>
      <c r="C4589" s="62" t="s">
        <v>493</v>
      </c>
      <c r="D4589" s="10">
        <v>1</v>
      </c>
      <c r="E4589" s="10"/>
      <c r="F4589" s="10"/>
      <c r="G4589" s="10"/>
      <c r="H4589" s="10"/>
      <c r="I4589" s="10"/>
      <c r="J4589" s="10"/>
      <c r="K4589" s="16">
        <v>3</v>
      </c>
      <c r="L4589" s="15">
        <v>3</v>
      </c>
      <c r="M4589" s="14"/>
      <c r="O4589" s="23"/>
      <c r="P4589" s="23"/>
      <c r="Q4589" s="10"/>
      <c r="R4589" s="10"/>
    </row>
    <row r="4590" spans="1:18">
      <c r="A4590" s="10"/>
      <c r="B4590" s="66" t="s">
        <v>2065</v>
      </c>
      <c r="C4590" s="62" t="s">
        <v>494</v>
      </c>
      <c r="D4590" s="10"/>
      <c r="E4590" s="10"/>
      <c r="F4590" s="10"/>
      <c r="G4590" s="10"/>
      <c r="H4590" s="10"/>
      <c r="I4590" s="10"/>
      <c r="J4590" s="10"/>
      <c r="K4590" s="16">
        <v>4</v>
      </c>
      <c r="L4590" s="15">
        <v>3</v>
      </c>
      <c r="M4590" s="14"/>
      <c r="O4590" s="23"/>
      <c r="P4590" s="23"/>
      <c r="Q4590" s="10"/>
      <c r="R4590" s="10"/>
    </row>
    <row r="4591" spans="1:18">
      <c r="A4591" s="10"/>
      <c r="B4591" s="66" t="s">
        <v>1808</v>
      </c>
      <c r="C4591" s="62" t="s">
        <v>493</v>
      </c>
      <c r="D4591" s="10">
        <v>250</v>
      </c>
      <c r="E4591" s="10"/>
      <c r="F4591" s="10"/>
      <c r="G4591" s="10"/>
      <c r="H4591" s="10"/>
      <c r="I4591" s="10"/>
      <c r="J4591" s="10"/>
      <c r="K4591" s="16">
        <v>5</v>
      </c>
      <c r="L4591" s="15"/>
      <c r="M4591" s="14"/>
      <c r="O4591" s="23"/>
      <c r="P4591" s="23"/>
      <c r="Q4591" s="10"/>
      <c r="R4591" s="10"/>
    </row>
    <row r="4592" spans="1:18">
      <c r="A4592" s="10"/>
      <c r="B4592" s="66" t="s">
        <v>2064</v>
      </c>
      <c r="C4592" s="62" t="s">
        <v>520</v>
      </c>
      <c r="D4592" s="10"/>
      <c r="E4592" s="10"/>
      <c r="F4592" s="10"/>
      <c r="G4592" s="10"/>
      <c r="H4592" s="10"/>
      <c r="I4592" s="10"/>
      <c r="J4592" s="10"/>
      <c r="K4592" s="16">
        <v>6</v>
      </c>
      <c r="L4592" s="15"/>
      <c r="M4592" s="14"/>
      <c r="O4592" s="23"/>
      <c r="P4592" s="23"/>
      <c r="Q4592" s="10"/>
      <c r="R4592" s="10"/>
    </row>
    <row r="4593" spans="1:18">
      <c r="A4593" s="10"/>
      <c r="B4593" s="66"/>
      <c r="C4593" s="62"/>
      <c r="D4593" s="10"/>
      <c r="E4593" s="10"/>
      <c r="F4593" s="10"/>
      <c r="G4593" s="10"/>
      <c r="H4593" s="10"/>
      <c r="I4593" s="10"/>
      <c r="J4593" s="10"/>
      <c r="K4593" s="16"/>
      <c r="L4593" s="15"/>
      <c r="M4593" s="14"/>
      <c r="O4593" s="23"/>
      <c r="P4593" s="23"/>
      <c r="Q4593" s="10"/>
      <c r="R4593" s="10"/>
    </row>
    <row r="4594" spans="1:18">
      <c r="A4594" s="64" t="s">
        <v>1793</v>
      </c>
      <c r="B4594" s="66" t="s">
        <v>1794</v>
      </c>
      <c r="C4594" s="62" t="s">
        <v>494</v>
      </c>
      <c r="D4594" s="10"/>
      <c r="E4594" s="64" t="s">
        <v>476</v>
      </c>
      <c r="F4594" s="10">
        <v>1</v>
      </c>
      <c r="G4594" s="10">
        <v>156</v>
      </c>
      <c r="H4594" s="64" t="s">
        <v>1811</v>
      </c>
      <c r="I4594" s="64" t="s">
        <v>1812</v>
      </c>
      <c r="J4594" s="10">
        <v>201</v>
      </c>
      <c r="K4594" s="16">
        <v>1</v>
      </c>
      <c r="L4594" s="15">
        <v>52</v>
      </c>
      <c r="M4594" s="14"/>
      <c r="N4594" s="1">
        <v>157</v>
      </c>
      <c r="O4594" s="66" t="s">
        <v>1807</v>
      </c>
      <c r="P4594" s="23"/>
      <c r="Q4594" s="10"/>
      <c r="R4594" s="10"/>
    </row>
    <row r="4595" spans="1:18">
      <c r="A4595" s="10"/>
      <c r="B4595" s="66" t="s">
        <v>1795</v>
      </c>
      <c r="C4595" s="62" t="s">
        <v>494</v>
      </c>
      <c r="D4595" s="10"/>
      <c r="E4595" s="64" t="s">
        <v>476</v>
      </c>
      <c r="F4595" s="10"/>
      <c r="G4595" s="10"/>
      <c r="H4595" s="10"/>
      <c r="I4595" s="10"/>
      <c r="J4595" s="10"/>
      <c r="K4595" s="16">
        <v>2</v>
      </c>
      <c r="L4595" s="15">
        <v>8</v>
      </c>
      <c r="M4595" s="14"/>
      <c r="O4595" s="23"/>
      <c r="P4595" s="23"/>
      <c r="Q4595" s="10"/>
      <c r="R4595" s="10"/>
    </row>
    <row r="4596" spans="1:18">
      <c r="A4596" s="10"/>
      <c r="B4596" s="66" t="s">
        <v>1796</v>
      </c>
      <c r="C4596" s="62" t="s">
        <v>494</v>
      </c>
      <c r="D4596" s="10"/>
      <c r="E4596" s="64" t="s">
        <v>476</v>
      </c>
      <c r="F4596" s="10"/>
      <c r="G4596" s="10"/>
      <c r="H4596" s="10"/>
      <c r="I4596" s="10"/>
      <c r="J4596" s="10"/>
      <c r="K4596" s="16">
        <v>3</v>
      </c>
      <c r="L4596" s="15">
        <v>6</v>
      </c>
      <c r="M4596" s="14"/>
      <c r="O4596" s="23"/>
      <c r="P4596" s="23"/>
      <c r="Q4596" s="10"/>
      <c r="R4596" s="10"/>
    </row>
    <row r="4597" spans="1:18">
      <c r="A4597" s="10"/>
      <c r="B4597" s="66" t="s">
        <v>1797</v>
      </c>
      <c r="C4597" s="62" t="s">
        <v>494</v>
      </c>
      <c r="D4597" s="10"/>
      <c r="E4597" s="10"/>
      <c r="F4597" s="10"/>
      <c r="G4597" s="10"/>
      <c r="H4597" s="10"/>
      <c r="I4597" s="10"/>
      <c r="J4597" s="10"/>
      <c r="K4597" s="16">
        <v>4</v>
      </c>
      <c r="L4597" s="15">
        <v>6</v>
      </c>
      <c r="M4597" s="14"/>
      <c r="O4597" s="23"/>
      <c r="P4597" s="23"/>
      <c r="Q4597" s="10"/>
      <c r="R4597" s="10"/>
    </row>
    <row r="4598" spans="1:18">
      <c r="A4598" s="10"/>
      <c r="B4598" s="66" t="s">
        <v>1798</v>
      </c>
      <c r="C4598" s="62" t="s">
        <v>493</v>
      </c>
      <c r="D4598" s="10">
        <v>10</v>
      </c>
      <c r="E4598" s="10"/>
      <c r="F4598" s="10"/>
      <c r="G4598" s="10"/>
      <c r="H4598" s="10"/>
      <c r="I4598" s="10"/>
      <c r="J4598" s="10"/>
      <c r="K4598" s="16">
        <v>5</v>
      </c>
      <c r="L4598" s="15">
        <v>7</v>
      </c>
      <c r="M4598" s="14"/>
      <c r="O4598" s="23"/>
      <c r="P4598" s="23"/>
      <c r="Q4598" s="10"/>
      <c r="R4598" s="10"/>
    </row>
    <row r="4599" spans="1:18">
      <c r="A4599" s="10"/>
      <c r="B4599" s="66" t="s">
        <v>1799</v>
      </c>
      <c r="C4599" s="62" t="s">
        <v>494</v>
      </c>
      <c r="D4599" s="10"/>
      <c r="E4599" s="10"/>
      <c r="F4599" s="10"/>
      <c r="G4599" s="10"/>
      <c r="H4599" s="10"/>
      <c r="I4599" s="10"/>
      <c r="J4599" s="10"/>
      <c r="K4599" s="16">
        <v>6</v>
      </c>
      <c r="L4599" s="15"/>
      <c r="M4599" s="14">
        <v>73</v>
      </c>
      <c r="O4599" s="23"/>
      <c r="P4599" s="23"/>
      <c r="Q4599" s="10"/>
      <c r="R4599" s="10"/>
    </row>
    <row r="4600" spans="1:18">
      <c r="A4600" s="10"/>
      <c r="B4600" s="66" t="s">
        <v>1800</v>
      </c>
      <c r="C4600" s="62" t="s">
        <v>494</v>
      </c>
      <c r="D4600" s="10"/>
      <c r="E4600" s="10"/>
      <c r="F4600" s="10"/>
      <c r="G4600" s="10"/>
      <c r="H4600" s="10"/>
      <c r="I4600" s="10"/>
      <c r="J4600" s="10"/>
      <c r="K4600" s="16">
        <v>7</v>
      </c>
      <c r="L4600" s="15"/>
      <c r="M4600" s="14">
        <v>74</v>
      </c>
      <c r="O4600" s="23"/>
      <c r="P4600" s="23"/>
      <c r="Q4600" s="10"/>
      <c r="R4600" s="10"/>
    </row>
    <row r="4601" spans="1:18">
      <c r="A4601" s="10"/>
      <c r="B4601" s="66" t="s">
        <v>1801</v>
      </c>
      <c r="C4601" s="62" t="s">
        <v>520</v>
      </c>
      <c r="D4601" s="10"/>
      <c r="E4601" s="10"/>
      <c r="F4601" s="10"/>
      <c r="G4601" s="10"/>
      <c r="H4601" s="10"/>
      <c r="I4601" s="10"/>
      <c r="J4601" s="10"/>
      <c r="K4601" s="16">
        <v>8</v>
      </c>
      <c r="L4601" s="15"/>
      <c r="M4601" s="14"/>
      <c r="O4601" s="23"/>
      <c r="P4601" s="23"/>
      <c r="Q4601" s="10"/>
      <c r="R4601" s="10"/>
    </row>
    <row r="4602" spans="1:18">
      <c r="A4602" s="10"/>
      <c r="B4602" s="66" t="s">
        <v>1804</v>
      </c>
      <c r="C4602" s="62" t="s">
        <v>494</v>
      </c>
      <c r="D4602" s="10"/>
      <c r="E4602" s="10"/>
      <c r="F4602" s="10"/>
      <c r="G4602" s="10"/>
      <c r="H4602" s="10"/>
      <c r="I4602" s="10"/>
      <c r="J4602" s="10"/>
      <c r="K4602" s="16">
        <v>9</v>
      </c>
      <c r="L4602" s="15"/>
      <c r="M4602" s="14"/>
      <c r="O4602" s="23"/>
      <c r="P4602" s="23"/>
      <c r="Q4602" s="10"/>
      <c r="R4602" s="10"/>
    </row>
    <row r="4603" spans="1:18">
      <c r="A4603" s="10"/>
      <c r="B4603" s="66" t="s">
        <v>1802</v>
      </c>
      <c r="C4603" s="62" t="s">
        <v>493</v>
      </c>
      <c r="D4603" s="10">
        <v>1</v>
      </c>
      <c r="E4603" s="10"/>
      <c r="F4603" s="10"/>
      <c r="G4603" s="10"/>
      <c r="H4603" s="10"/>
      <c r="I4603" s="10"/>
      <c r="J4603" s="10"/>
      <c r="K4603" s="16">
        <v>10</v>
      </c>
      <c r="L4603" s="15">
        <v>3</v>
      </c>
      <c r="M4603" s="14"/>
      <c r="O4603" s="23"/>
      <c r="P4603" s="23"/>
      <c r="Q4603" s="10"/>
      <c r="R4603" s="10"/>
    </row>
    <row r="4604" spans="1:18">
      <c r="A4604" s="10"/>
      <c r="B4604" s="66" t="s">
        <v>1803</v>
      </c>
      <c r="C4604" s="62" t="s">
        <v>493</v>
      </c>
      <c r="D4604" s="10">
        <v>1</v>
      </c>
      <c r="E4604" s="10"/>
      <c r="F4604" s="10"/>
      <c r="G4604" s="10"/>
      <c r="H4604" s="10"/>
      <c r="I4604" s="10"/>
      <c r="J4604" s="10"/>
      <c r="K4604" s="16">
        <v>11</v>
      </c>
      <c r="L4604" s="15">
        <v>3</v>
      </c>
      <c r="M4604" s="14"/>
      <c r="O4604" s="23"/>
      <c r="P4604" s="23"/>
      <c r="Q4604" s="10"/>
      <c r="R4604" s="10"/>
    </row>
    <row r="4605" spans="1:18">
      <c r="A4605" s="10"/>
      <c r="B4605" s="66"/>
      <c r="C4605" s="62"/>
      <c r="D4605" s="10"/>
      <c r="E4605" s="10"/>
      <c r="F4605" s="10"/>
      <c r="G4605" s="10"/>
      <c r="H4605" s="10"/>
      <c r="I4605" s="10"/>
      <c r="J4605" s="10"/>
      <c r="K4605" s="16"/>
      <c r="L4605" s="15"/>
      <c r="M4605" s="14"/>
      <c r="O4605" s="23"/>
      <c r="P4605" s="23"/>
      <c r="Q4605" s="10"/>
      <c r="R4605" s="10"/>
    </row>
    <row r="4606" spans="1:18">
      <c r="A4606" s="64" t="s">
        <v>1814</v>
      </c>
      <c r="B4606" s="66" t="s">
        <v>1815</v>
      </c>
      <c r="C4606" s="62" t="s">
        <v>494</v>
      </c>
      <c r="D4606" s="10"/>
      <c r="E4606" s="64" t="s">
        <v>476</v>
      </c>
      <c r="F4606" s="10"/>
      <c r="G4606" s="10"/>
      <c r="H4606" s="10"/>
      <c r="I4606" s="10"/>
      <c r="J4606" s="10"/>
      <c r="K4606" s="16"/>
      <c r="L4606" s="15"/>
      <c r="M4606" s="14"/>
      <c r="O4606" s="23"/>
      <c r="P4606" s="23"/>
      <c r="Q4606" s="10"/>
      <c r="R4606" s="10"/>
    </row>
    <row r="4607" spans="1:18">
      <c r="A4607" s="10"/>
      <c r="B4607" s="66" t="s">
        <v>1816</v>
      </c>
      <c r="C4607" s="62" t="s">
        <v>493</v>
      </c>
      <c r="D4607" s="10">
        <v>50</v>
      </c>
      <c r="E4607" s="10"/>
      <c r="F4607" s="10"/>
      <c r="G4607" s="10"/>
      <c r="H4607" s="10"/>
      <c r="I4607" s="10"/>
      <c r="J4607" s="10"/>
      <c r="K4607" s="16"/>
      <c r="L4607" s="15"/>
      <c r="M4607" s="14"/>
      <c r="O4607" s="23"/>
      <c r="P4607" s="23"/>
      <c r="Q4607" s="10"/>
      <c r="R4607" s="10"/>
    </row>
    <row r="4608" spans="1:18">
      <c r="A4608" s="10"/>
      <c r="B4608" s="66" t="s">
        <v>1817</v>
      </c>
      <c r="C4608" s="62" t="s">
        <v>494</v>
      </c>
      <c r="D4608" s="10"/>
      <c r="E4608" s="10"/>
      <c r="F4608" s="10"/>
      <c r="G4608" s="10"/>
      <c r="H4608" s="10"/>
      <c r="I4608" s="10"/>
      <c r="J4608" s="10"/>
      <c r="K4608" s="16"/>
      <c r="L4608" s="15"/>
      <c r="M4608" s="14"/>
      <c r="O4608" s="23"/>
      <c r="P4608" s="23"/>
      <c r="Q4608" s="10"/>
      <c r="R4608" s="10"/>
    </row>
    <row r="4610" spans="1:16" s="62" customFormat="1">
      <c r="A4610" s="62" t="s">
        <v>2038</v>
      </c>
      <c r="B4610" s="62" t="s">
        <v>2039</v>
      </c>
      <c r="C4610" s="62" t="s">
        <v>494</v>
      </c>
      <c r="E4610" s="62" t="s">
        <v>476</v>
      </c>
      <c r="F4610" s="47"/>
      <c r="G4610" s="47"/>
      <c r="H4610" s="47"/>
      <c r="I4610" s="48"/>
      <c r="J4610" s="47"/>
      <c r="K4610" s="57"/>
      <c r="L4610" s="57"/>
      <c r="M4610" s="47"/>
      <c r="N4610" s="47"/>
      <c r="O4610" s="47"/>
      <c r="P4610" s="47"/>
    </row>
    <row r="4611" spans="1:16" s="62" customFormat="1">
      <c r="B4611" s="62" t="s">
        <v>2040</v>
      </c>
      <c r="C4611" s="62" t="s">
        <v>494</v>
      </c>
      <c r="E4611" s="62" t="s">
        <v>476</v>
      </c>
      <c r="F4611" s="47"/>
      <c r="G4611" s="47"/>
      <c r="H4611" s="47"/>
      <c r="I4611" s="48"/>
      <c r="J4611" s="47"/>
      <c r="K4611" s="57"/>
      <c r="L4611" s="57"/>
      <c r="M4611" s="47"/>
      <c r="N4611" s="47"/>
      <c r="O4611" s="47"/>
      <c r="P4611" s="47"/>
    </row>
    <row r="4612" spans="1:16" s="62" customFormat="1">
      <c r="B4612" s="62" t="s">
        <v>2041</v>
      </c>
      <c r="C4612" s="62" t="s">
        <v>494</v>
      </c>
      <c r="E4612" s="62" t="s">
        <v>476</v>
      </c>
      <c r="F4612" s="47"/>
      <c r="G4612" s="47"/>
      <c r="H4612" s="47"/>
      <c r="I4612" s="48"/>
      <c r="J4612" s="47"/>
      <c r="K4612" s="57"/>
      <c r="L4612" s="57"/>
      <c r="M4612" s="47"/>
      <c r="N4612" s="47"/>
      <c r="O4612" s="47"/>
      <c r="P4612" s="47"/>
    </row>
    <row r="4613" spans="1:16" s="62" customFormat="1">
      <c r="B4613" s="62" t="s">
        <v>2036</v>
      </c>
      <c r="C4613" s="62" t="s">
        <v>493</v>
      </c>
      <c r="D4613" s="62">
        <v>50</v>
      </c>
      <c r="F4613" s="47"/>
      <c r="G4613" s="47"/>
      <c r="H4613" s="47"/>
      <c r="I4613" s="48"/>
      <c r="J4613" s="47"/>
      <c r="K4613" s="57"/>
      <c r="L4613" s="57"/>
      <c r="M4613" s="47"/>
      <c r="N4613" s="47"/>
      <c r="O4613" s="47"/>
      <c r="P4613" s="47"/>
    </row>
    <row r="4614" spans="1:16" s="62" customFormat="1">
      <c r="B4614" s="62" t="s">
        <v>2037</v>
      </c>
      <c r="C4614" s="62" t="s">
        <v>494</v>
      </c>
      <c r="F4614" s="47"/>
      <c r="G4614" s="47"/>
      <c r="H4614" s="47"/>
      <c r="I4614" s="48"/>
      <c r="J4614" s="47"/>
      <c r="K4614" s="57"/>
      <c r="L4614" s="57"/>
      <c r="M4614" s="47"/>
      <c r="N4614" s="47"/>
      <c r="O4614" s="47"/>
      <c r="P4614" s="47"/>
    </row>
    <row r="4615" spans="1:16" s="62" customFormat="1">
      <c r="F4615" s="47"/>
      <c r="G4615" s="47"/>
      <c r="H4615" s="47"/>
      <c r="I4615" s="48"/>
      <c r="J4615" s="47"/>
      <c r="K4615" s="57"/>
      <c r="L4615" s="57"/>
      <c r="M4615" s="47"/>
      <c r="N4615" s="47"/>
      <c r="O4615" s="47"/>
      <c r="P4615" s="47"/>
    </row>
    <row r="4616" spans="1:16" s="62" customFormat="1">
      <c r="A4616" s="62" t="s">
        <v>2042</v>
      </c>
      <c r="B4616" s="62" t="s">
        <v>2043</v>
      </c>
      <c r="C4616" s="62" t="s">
        <v>494</v>
      </c>
      <c r="E4616" s="62" t="s">
        <v>476</v>
      </c>
      <c r="F4616" s="47"/>
      <c r="G4616" s="47"/>
      <c r="H4616" s="47"/>
      <c r="I4616" s="48"/>
      <c r="J4616" s="47"/>
      <c r="K4616" s="57"/>
      <c r="L4616" s="57"/>
      <c r="M4616" s="47"/>
      <c r="N4616" s="47"/>
      <c r="O4616" s="47"/>
      <c r="P4616" s="47"/>
    </row>
    <row r="4617" spans="1:16" s="62" customFormat="1">
      <c r="B4617" s="62" t="s">
        <v>2044</v>
      </c>
      <c r="C4617" s="62" t="s">
        <v>494</v>
      </c>
      <c r="E4617" s="62" t="s">
        <v>476</v>
      </c>
      <c r="F4617" s="47"/>
      <c r="G4617" s="47"/>
      <c r="H4617" s="47"/>
      <c r="I4617" s="48"/>
      <c r="J4617" s="47"/>
      <c r="K4617" s="57"/>
      <c r="L4617" s="57"/>
      <c r="M4617" s="47"/>
      <c r="N4617" s="47"/>
      <c r="O4617" s="47"/>
      <c r="P4617" s="47"/>
    </row>
    <row r="4618" spans="1:16" s="62" customFormat="1">
      <c r="B4618" s="62" t="s">
        <v>2045</v>
      </c>
      <c r="C4618" s="62" t="s">
        <v>493</v>
      </c>
      <c r="D4618" s="62">
        <v>100</v>
      </c>
      <c r="F4618" s="47"/>
      <c r="G4618" s="47"/>
      <c r="H4618" s="47"/>
      <c r="I4618" s="48"/>
      <c r="J4618" s="47"/>
      <c r="K4618" s="57"/>
      <c r="L4618" s="57"/>
      <c r="M4618" s="47"/>
      <c r="N4618" s="47"/>
      <c r="O4618" s="47"/>
      <c r="P4618" s="47"/>
    </row>
    <row r="4619" spans="1:16" s="62" customFormat="1">
      <c r="B4619" s="62" t="s">
        <v>2046</v>
      </c>
      <c r="C4619" s="62" t="s">
        <v>494</v>
      </c>
      <c r="F4619" s="47"/>
      <c r="G4619" s="48"/>
      <c r="H4619" s="47"/>
      <c r="I4619" s="48"/>
      <c r="J4619" s="47"/>
      <c r="K4619" s="57"/>
      <c r="L4619" s="57"/>
      <c r="M4619" s="47"/>
      <c r="N4619" s="47"/>
      <c r="O4619" s="47"/>
      <c r="P4619" s="47"/>
    </row>
    <row r="4620" spans="1:16" s="62" customFormat="1">
      <c r="F4620" s="47"/>
      <c r="G4620" s="47"/>
      <c r="H4620" s="47"/>
      <c r="I4620" s="48"/>
      <c r="J4620" s="47"/>
      <c r="K4620" s="57"/>
      <c r="L4620" s="57"/>
      <c r="M4620" s="47"/>
      <c r="N4620" s="47"/>
      <c r="O4620" s="47"/>
      <c r="P4620" s="47"/>
    </row>
    <row r="4621" spans="1:16">
      <c r="A4621" s="62" t="s">
        <v>2193</v>
      </c>
      <c r="B4621" s="64" t="s">
        <v>2194</v>
      </c>
      <c r="C4621" s="62" t="s">
        <v>494</v>
      </c>
      <c r="E4621" s="62" t="s">
        <v>476</v>
      </c>
    </row>
    <row r="4622" spans="1:16">
      <c r="B4622" s="62" t="s">
        <v>2195</v>
      </c>
      <c r="C4622" s="62" t="s">
        <v>493</v>
      </c>
      <c r="D4622" s="1">
        <v>100</v>
      </c>
    </row>
    <row r="4623" spans="1:16">
      <c r="B4623" s="62" t="s">
        <v>2196</v>
      </c>
      <c r="C4623" s="62" t="s">
        <v>493</v>
      </c>
      <c r="D4623" s="1">
        <v>1</v>
      </c>
    </row>
    <row r="4625" spans="1:5">
      <c r="A4625" s="62" t="s">
        <v>2208</v>
      </c>
      <c r="B4625" s="62" t="s">
        <v>2209</v>
      </c>
      <c r="C4625" s="62" t="s">
        <v>494</v>
      </c>
      <c r="E4625" s="62" t="s">
        <v>476</v>
      </c>
    </row>
    <row r="4626" spans="1:5">
      <c r="B4626" s="62" t="s">
        <v>2210</v>
      </c>
      <c r="C4626" s="62" t="s">
        <v>493</v>
      </c>
      <c r="D4626" s="1">
        <v>100</v>
      </c>
    </row>
  </sheetData>
  <mergeCells count="2">
    <mergeCell ref="A3899:L3899"/>
    <mergeCell ref="A3868:L3868"/>
  </mergeCells>
  <phoneticPr fontId="3" type="noConversion"/>
  <pageMargins left="0.75" right="0.75" top="1" bottom="1" header="0" footer="0"/>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Hoja2"/>
  <dimension ref="A1:A4"/>
  <sheetViews>
    <sheetView workbookViewId="0"/>
  </sheetViews>
  <sheetFormatPr baseColWidth="10" defaultRowHeight="12.75"/>
  <sheetData>
    <row r="1" spans="1:1">
      <c r="A1" t="s">
        <v>6912</v>
      </c>
    </row>
    <row r="2" spans="1:1">
      <c r="A2" t="s">
        <v>6913</v>
      </c>
    </row>
    <row r="3" spans="1:1">
      <c r="A3" t="s">
        <v>6914</v>
      </c>
    </row>
    <row r="4" spans="1:1">
      <c r="A4" t="s">
        <v>6915</v>
      </c>
    </row>
  </sheetData>
  <phoneticPr fontId="3" type="noConversion"/>
  <pageMargins left="0.75" right="0.75" top="1" bottom="1" header="0" footer="0"/>
  <headerFooter alignWithMargins="0"/>
</worksheet>
</file>

<file path=xl/worksheets/sheet4.xml><?xml version="1.0" encoding="utf-8"?>
<worksheet xmlns="http://schemas.openxmlformats.org/spreadsheetml/2006/main" xmlns:r="http://schemas.openxmlformats.org/officeDocument/2006/relationships">
  <sheetPr codeName="Hoja5"/>
  <dimension ref="A1:A21"/>
  <sheetViews>
    <sheetView tabSelected="1" workbookViewId="0">
      <selection sqref="A1:A21"/>
    </sheetView>
  </sheetViews>
  <sheetFormatPr baseColWidth="10" defaultRowHeight="12.75"/>
  <sheetData>
    <row r="1" spans="1:1">
      <c r="A1" t="s">
        <v>5156</v>
      </c>
    </row>
    <row r="2" spans="1:1">
      <c r="A2" t="s">
        <v>479</v>
      </c>
    </row>
    <row r="3" spans="1:1">
      <c r="A3" t="s">
        <v>488</v>
      </c>
    </row>
    <row r="4" spans="1:1">
      <c r="A4" t="s">
        <v>6894</v>
      </c>
    </row>
    <row r="5" spans="1:1">
      <c r="A5" t="s">
        <v>6895</v>
      </c>
    </row>
    <row r="6" spans="1:1">
      <c r="A6" t="s">
        <v>6896</v>
      </c>
    </row>
    <row r="7" spans="1:1">
      <c r="A7" t="s">
        <v>6897</v>
      </c>
    </row>
    <row r="8" spans="1:1">
      <c r="A8" t="s">
        <v>6898</v>
      </c>
    </row>
    <row r="9" spans="1:1">
      <c r="A9" t="s">
        <v>6899</v>
      </c>
    </row>
    <row r="10" spans="1:1">
      <c r="A10" t="s">
        <v>6900</v>
      </c>
    </row>
    <row r="11" spans="1:1">
      <c r="A11" t="s">
        <v>6901</v>
      </c>
    </row>
    <row r="12" spans="1:1">
      <c r="A12" t="s">
        <v>6902</v>
      </c>
    </row>
    <row r="13" spans="1:1">
      <c r="A13" t="s">
        <v>6903</v>
      </c>
    </row>
    <row r="14" spans="1:1">
      <c r="A14" t="s">
        <v>6904</v>
      </c>
    </row>
    <row r="15" spans="1:1">
      <c r="A15" t="s">
        <v>6905</v>
      </c>
    </row>
    <row r="16" spans="1:1">
      <c r="A16" t="s">
        <v>6906</v>
      </c>
    </row>
    <row r="17" spans="1:1">
      <c r="A17" t="s">
        <v>6907</v>
      </c>
    </row>
    <row r="18" spans="1:1">
      <c r="A18" t="s">
        <v>6908</v>
      </c>
    </row>
    <row r="19" spans="1:1">
      <c r="A19" t="s">
        <v>6909</v>
      </c>
    </row>
    <row r="20" spans="1:1">
      <c r="A20" t="s">
        <v>6910</v>
      </c>
    </row>
    <row r="21" spans="1:1">
      <c r="A21" t="s">
        <v>6911</v>
      </c>
    </row>
  </sheetData>
  <phoneticPr fontId="3" type="noConversion"/>
  <pageMargins left="0.75" right="0.75" top="1" bottom="1" header="0" footer="0"/>
  <headerFooter alignWithMargins="0"/>
</worksheet>
</file>

<file path=xl/worksheets/sheet5.xml><?xml version="1.0" encoding="utf-8"?>
<worksheet xmlns="http://schemas.openxmlformats.org/spreadsheetml/2006/main" xmlns:r="http://schemas.openxmlformats.org/officeDocument/2006/relationships">
  <sheetPr codeName="Hoja3"/>
  <dimension ref="A2:V96"/>
  <sheetViews>
    <sheetView workbookViewId="0">
      <selection activeCell="O4" sqref="O4"/>
    </sheetView>
  </sheetViews>
  <sheetFormatPr baseColWidth="10" defaultRowHeight="12.75"/>
  <cols>
    <col min="2" max="2" width="3.5703125" bestFit="1" customWidth="1"/>
    <col min="3" max="3" width="7.42578125" customWidth="1"/>
    <col min="4" max="4" width="20.140625" bestFit="1" customWidth="1"/>
    <col min="5" max="5" width="3.140625" customWidth="1"/>
    <col min="6" max="6" width="1.28515625" customWidth="1"/>
    <col min="7" max="7" width="1.140625" customWidth="1"/>
    <col min="9" max="10" width="5" bestFit="1" customWidth="1"/>
    <col min="12" max="12" width="9.5703125" customWidth="1"/>
    <col min="13" max="13" width="1.42578125" customWidth="1"/>
    <col min="15" max="15" width="3.5703125" bestFit="1" customWidth="1"/>
    <col min="17" max="17" width="5" customWidth="1"/>
    <col min="18" max="18" width="5" bestFit="1" customWidth="1"/>
    <col min="19" max="19" width="15.7109375" customWidth="1"/>
  </cols>
  <sheetData>
    <row r="2" spans="1:22">
      <c r="J2" s="61" t="s">
        <v>2601</v>
      </c>
      <c r="K2" s="61" t="s">
        <v>2549</v>
      </c>
      <c r="L2" s="61" t="s">
        <v>2548</v>
      </c>
    </row>
    <row r="4" spans="1:22">
      <c r="A4" s="37">
        <v>450</v>
      </c>
      <c r="B4">
        <v>19</v>
      </c>
      <c r="C4" t="s">
        <v>196</v>
      </c>
      <c r="D4" t="s">
        <v>2550</v>
      </c>
      <c r="E4">
        <v>2</v>
      </c>
      <c r="F4" t="str">
        <f>"INSERT INTO bita11paginas (bita11consec, bita11id, bita11idsistema, bita11carpeta, bita11nombre, bita11vigente, bita11tipo) VALUES ("&amp;A4&amp;", "&amp;A4&amp;","&amp;B4&amp;","&amp;CHAR(34)&amp;C4&amp;CHAR(34)&amp;","&amp;CHAR(34)&amp;D4&amp;CHAR(34)&amp;","&amp;CHAR(34)&amp;"S"&amp;CHAR(34)&amp;","&amp;E4&amp;")"</f>
        <v>INSERT INTO bita11paginas (bita11consec, bita11id, bita11idsistema, bita11carpeta, bita11nombre, bita11vigente, bita11tipo) VALUES (450, 450,19,"lg/","lg_1916_es.php","S",2)</v>
      </c>
      <c r="H4" t="str">
        <f t="shared" ref="H4:H67" si="0">IF(AND(D5="",D4&lt;&gt;""),F4,"")</f>
        <v/>
      </c>
      <c r="I4" s="37">
        <v>578</v>
      </c>
      <c r="J4" s="37">
        <f>+Panel!D2</f>
        <v>3247</v>
      </c>
      <c r="K4" t="s">
        <v>191</v>
      </c>
      <c r="L4" t="str">
        <f>J2&amp;"/"&amp;K2&amp;"/"&amp;L2</f>
        <v>18/03/2016</v>
      </c>
      <c r="M4" t="str">
        <f>"INSERT INTO bita12pagcambios (bita12idpagina, bita12consec, bita12id, bita12detalle, bita12fecha, bita12usuario) VALUES ("&amp;A4&amp;", "&amp;J4&amp;","&amp;I4&amp;","&amp;CHAR(34)&amp;K4&amp;CHAR(34)&amp;","&amp;CHAR(34)&amp;L4&amp;CHAR(34)&amp;", 4)"</f>
        <v>INSERT INTO bita12pagcambios (bita12idpagina, bita12consec, bita12id, bita12detalle, bita12fecha, bita12usuario) VALUES (450, 3247,578,"Inicia","18/03/2016", 4)</v>
      </c>
      <c r="N4" t="str">
        <f>IF(AND(D5="",D4&lt;&gt;""),M4,"")</f>
        <v/>
      </c>
      <c r="O4">
        <v>15</v>
      </c>
      <c r="P4" t="s">
        <v>195</v>
      </c>
      <c r="R4">
        <v>1916</v>
      </c>
      <c r="S4" t="str">
        <f>"lg_"&amp;R4&amp;"_es.php"</f>
        <v>lg_1916_es.php</v>
      </c>
      <c r="T4" t="str">
        <f>"lib"&amp;R4&amp;".php"</f>
        <v>lib1916.php</v>
      </c>
      <c r="U4">
        <v>0</v>
      </c>
      <c r="V4" t="s">
        <v>192</v>
      </c>
    </row>
    <row r="5" spans="1:22">
      <c r="A5">
        <f>+A4+1</f>
        <v>451</v>
      </c>
      <c r="B5">
        <v>19</v>
      </c>
      <c r="C5" t="s">
        <v>196</v>
      </c>
      <c r="D5" t="s">
        <v>2551</v>
      </c>
      <c r="E5">
        <v>2</v>
      </c>
      <c r="F5" t="str">
        <f>F4&amp;", ("&amp;A5&amp;", "&amp;A5&amp;","&amp;B5&amp;","&amp;CHAR(34)&amp;C5&amp;CHAR(34)&amp;","&amp;CHAR(34)&amp;D5&amp;CHAR(34)&amp;","&amp;CHAR(34)&amp;"S"&amp;CHAR(34)&amp;","&amp;E5&amp;")"</f>
        <v>INSERT INTO bita11paginas (bita11consec, bita11id, bita11idsistema, bita11carpeta, bita11nombre, bita11vigente, bita11tipo) VALUES (450, 450,19,"lg/","lg_1916_es.php","S",2), (451, 451,19,"lg/","lg_1916_en.php","S",2)</v>
      </c>
      <c r="H5" t="str">
        <f t="shared" si="0"/>
        <v/>
      </c>
      <c r="I5">
        <f>+I4+1</f>
        <v>579</v>
      </c>
      <c r="J5">
        <f>+J4</f>
        <v>3247</v>
      </c>
      <c r="K5" t="str">
        <f>+K4</f>
        <v>Inicia</v>
      </c>
      <c r="L5" t="str">
        <f>+L4</f>
        <v>18/03/2016</v>
      </c>
      <c r="M5" t="str">
        <f>M4&amp;", ("&amp;A5&amp;", "&amp;J5&amp;","&amp;I5&amp;","&amp;CHAR(34)&amp;K5&amp;CHAR(34)&amp;","&amp;CHAR(34)&amp;L4&amp;CHAR(34)&amp;", 4)"</f>
        <v>INSERT INTO bita12pagcambios (bita12idpagina, bita12consec, bita12id, bita12detalle, bita12fecha, bita12usuario) VALUES (450, 3247,578,"Inicia","18/03/2016", 4), (451, 3247,579,"Inicia","18/03/2016", 4)</v>
      </c>
      <c r="N5" t="str">
        <f>IF(AND(D6="",D5&lt;&gt;""),M5,"")</f>
        <v/>
      </c>
      <c r="O5">
        <v>16</v>
      </c>
      <c r="P5" t="s">
        <v>703</v>
      </c>
      <c r="S5" t="str">
        <f>"lg_"&amp;R4&amp;"_en.php"</f>
        <v>lg_1916_en.php</v>
      </c>
      <c r="T5" t="str">
        <f>"lib"&amp;R7&amp;".php"</f>
        <v>lib1919.php</v>
      </c>
      <c r="U5">
        <v>1</v>
      </c>
      <c r="V5" t="s">
        <v>193</v>
      </c>
    </row>
    <row r="6" spans="1:22">
      <c r="A6">
        <f t="shared" ref="A6:A69" si="1">+A5+1</f>
        <v>452</v>
      </c>
      <c r="B6">
        <v>19</v>
      </c>
      <c r="C6" t="s">
        <v>196</v>
      </c>
      <c r="D6" t="s">
        <v>2552</v>
      </c>
      <c r="E6">
        <v>2</v>
      </c>
      <c r="F6" t="str">
        <f t="shared" ref="F6:F69" si="2">F5&amp;", ("&amp;A6&amp;", "&amp;A6&amp;","&amp;B6&amp;","&amp;CHAR(34)&amp;C6&amp;CHAR(34)&amp;","&amp;CHAR(34)&amp;D6&amp;CHAR(34)&amp;","&amp;CHAR(34)&amp;"S"&amp;CHAR(34)&amp;","&amp;E6&amp;")"</f>
        <v>INSERT INTO bita11paginas (bita11consec, bita11id, bita11idsistema, bita11carpeta, bita11nombre, bita11vigente, bita11tipo) VALUES (450, 450,19,"lg/","lg_1916_es.php","S",2), (451, 451,19,"lg/","lg_1916_en.php","S",2), (452, 452,19,"lg/","lg_1916_pt.php","S",2)</v>
      </c>
      <c r="H6" t="str">
        <f t="shared" si="0"/>
        <v/>
      </c>
      <c r="I6">
        <f t="shared" ref="I6:I69" si="3">+I5+1</f>
        <v>580</v>
      </c>
      <c r="J6">
        <f t="shared" ref="J6:K69" si="4">+J5</f>
        <v>3247</v>
      </c>
      <c r="K6" t="str">
        <f t="shared" ref="K6:L39" si="5">+K5</f>
        <v>Inicia</v>
      </c>
      <c r="L6" t="str">
        <f t="shared" si="5"/>
        <v>18/03/2016</v>
      </c>
      <c r="M6" t="str">
        <f t="shared" ref="M6:M69" si="6">M5&amp;", ("&amp;A6&amp;", "&amp;J6&amp;","&amp;I6&amp;","&amp;CHAR(34)&amp;K6&amp;CHAR(34)&amp;","&amp;CHAR(34)&amp;L5&amp;CHAR(34)&amp;", 4)"</f>
        <v>INSERT INTO bita12pagcambios (bita12idpagina, bita12consec, bita12id, bita12detalle, bita12fecha, bita12usuario) VALUES (450, 3247,578,"Inicia","18/03/2016", 4), (451, 3247,579,"Inicia","18/03/2016", 4), (452, 3247,580,"Inicia","18/03/2016", 4)</v>
      </c>
      <c r="N6" t="str">
        <f t="shared" ref="N6:N69" si="7">IF(AND(D7="",D6&lt;&gt;""),M6,"")</f>
        <v/>
      </c>
      <c r="O6">
        <v>17</v>
      </c>
      <c r="P6" t="s">
        <v>730</v>
      </c>
      <c r="S6" t="str">
        <f>"lg_"&amp;R4&amp;"_pt.php"</f>
        <v>lg_1916_pt.php</v>
      </c>
      <c r="T6" t="str">
        <f>"lib"&amp;R10&amp;".php"</f>
        <v>lib1918.php</v>
      </c>
      <c r="U6">
        <v>2</v>
      </c>
      <c r="V6" t="s">
        <v>194</v>
      </c>
    </row>
    <row r="7" spans="1:22">
      <c r="A7">
        <f t="shared" si="1"/>
        <v>453</v>
      </c>
      <c r="B7">
        <v>19</v>
      </c>
      <c r="C7" t="s">
        <v>196</v>
      </c>
      <c r="D7" s="62" t="s">
        <v>2553</v>
      </c>
      <c r="E7">
        <v>2</v>
      </c>
      <c r="F7" t="str">
        <f t="shared" si="2"/>
        <v>INSERT INTO bita11paginas (bita11consec, bita11id, bita11idsistema, bita11carpeta, bita11nombre, bita11vigente, bita11tipo) VALUES (450, 450,19,"lg/","lg_1916_es.php","S",2), (451, 451,19,"lg/","lg_1916_en.php","S",2), (452, 452,19,"lg/","lg_1916_pt.php","S",2), (453, 453,19,"lg/","lg_1919_es.php","S",2)</v>
      </c>
      <c r="H7" t="str">
        <f t="shared" si="0"/>
        <v/>
      </c>
      <c r="I7">
        <f t="shared" si="3"/>
        <v>581</v>
      </c>
      <c r="J7">
        <f t="shared" si="4"/>
        <v>3247</v>
      </c>
      <c r="K7" t="str">
        <f t="shared" si="5"/>
        <v>Inicia</v>
      </c>
      <c r="L7" t="str">
        <f t="shared" si="5"/>
        <v>18/03/2016</v>
      </c>
      <c r="M7" t="str">
        <f t="shared" si="6"/>
        <v>INSERT INTO bita12pagcambios (bita12idpagina, bita12consec, bita12id, bita12detalle, bita12fecha, bita12usuario) VALUES (450, 3247,578,"Inicia","18/03/2016", 4), (451, 3247,579,"Inicia","18/03/2016", 4), (452, 3247,580,"Inicia","18/03/2016", 4), (453, 3247,581,"Inicia","18/03/2016", 4)</v>
      </c>
      <c r="N7" t="str">
        <f t="shared" si="7"/>
        <v/>
      </c>
      <c r="O7">
        <v>18</v>
      </c>
      <c r="R7">
        <v>1919</v>
      </c>
      <c r="S7" t="str">
        <f>"lg_"&amp;R7&amp;"_es.php"</f>
        <v>lg_1919_es.php</v>
      </c>
      <c r="T7" t="str">
        <f>"lib"&amp;R13&amp;".php"</f>
        <v>lib1924.php</v>
      </c>
      <c r="U7">
        <v>3</v>
      </c>
      <c r="V7" t="s">
        <v>110</v>
      </c>
    </row>
    <row r="8" spans="1:22">
      <c r="A8">
        <f t="shared" si="1"/>
        <v>454</v>
      </c>
      <c r="B8">
        <v>19</v>
      </c>
      <c r="C8" t="s">
        <v>196</v>
      </c>
      <c r="D8" s="62" t="s">
        <v>2554</v>
      </c>
      <c r="E8">
        <v>2</v>
      </c>
      <c r="F8" t="str">
        <f t="shared" si="2"/>
        <v>INSERT INTO bita11paginas (bita11consec, bita11id, bita11idsistema, bita11carpeta, bita11nombre, bita11vigente, bita11tipo) VALUES (450, 450,19,"lg/","lg_1916_es.php","S",2), (451, 451,19,"lg/","lg_1916_en.php","S",2), (452, 452,19,"lg/","lg_1916_pt.php","S",2), (453, 453,19,"lg/","lg_1919_es.php","S",2), (454, 454,19,"lg/","lg_1919_en.php","S",2)</v>
      </c>
      <c r="H8" t="str">
        <f t="shared" si="0"/>
        <v/>
      </c>
      <c r="I8">
        <f t="shared" si="3"/>
        <v>582</v>
      </c>
      <c r="J8">
        <f t="shared" si="4"/>
        <v>3247</v>
      </c>
      <c r="K8" t="str">
        <f t="shared" si="5"/>
        <v>Inicia</v>
      </c>
      <c r="L8" t="str">
        <f t="shared" si="5"/>
        <v>18/03/2016</v>
      </c>
      <c r="M8" t="str">
        <f t="shared" si="6"/>
        <v>INSERT INTO bita12pagcambios (bita12idpagina, bita12consec, bita12id, bita12detalle, bita12fecha, bita12usuario) VALUES (450, 3247,578,"Inicia","18/03/2016", 4), (451, 3247,579,"Inicia","18/03/2016", 4), (452, 3247,580,"Inicia","18/03/2016", 4), (453, 3247,581,"Inicia","18/03/2016", 4), (454, 3247,582,"Inicia","18/03/2016", 4)</v>
      </c>
      <c r="N8" t="str">
        <f t="shared" si="7"/>
        <v/>
      </c>
      <c r="O8">
        <v>19</v>
      </c>
      <c r="P8" s="62" t="s">
        <v>1174</v>
      </c>
      <c r="S8" t="str">
        <f>"lg_"&amp;R7&amp;"_en.php"</f>
        <v>lg_1919_en.php</v>
      </c>
      <c r="T8" t="str">
        <f>"lib"&amp;R16&amp;".php"</f>
        <v>lib1925.php</v>
      </c>
      <c r="U8">
        <v>4</v>
      </c>
      <c r="V8" t="s">
        <v>111</v>
      </c>
    </row>
    <row r="9" spans="1:22">
      <c r="A9">
        <f t="shared" si="1"/>
        <v>455</v>
      </c>
      <c r="B9">
        <v>19</v>
      </c>
      <c r="C9" t="s">
        <v>196</v>
      </c>
      <c r="D9" s="22" t="s">
        <v>2555</v>
      </c>
      <c r="E9">
        <v>2</v>
      </c>
      <c r="F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v>
      </c>
      <c r="H9" t="str">
        <f t="shared" si="0"/>
        <v/>
      </c>
      <c r="I9">
        <f t="shared" si="3"/>
        <v>583</v>
      </c>
      <c r="J9">
        <f t="shared" si="4"/>
        <v>3247</v>
      </c>
      <c r="K9" t="str">
        <f t="shared" si="5"/>
        <v>Inicia</v>
      </c>
      <c r="L9" t="str">
        <f t="shared" si="5"/>
        <v>18/03/2016</v>
      </c>
      <c r="M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v>
      </c>
      <c r="N9" t="str">
        <f t="shared" si="7"/>
        <v/>
      </c>
      <c r="O9">
        <v>20</v>
      </c>
      <c r="P9" s="64" t="s">
        <v>1299</v>
      </c>
      <c r="S9" t="str">
        <f>"lg_"&amp;R7&amp;"_pt.php"</f>
        <v>lg_1919_pt.php</v>
      </c>
      <c r="T9" t="str">
        <f>"lib"&amp;R19&amp;".php"</f>
        <v>lib1921.php</v>
      </c>
      <c r="U9">
        <v>5</v>
      </c>
      <c r="V9" t="s">
        <v>190</v>
      </c>
    </row>
    <row r="10" spans="1:22">
      <c r="A10">
        <f t="shared" si="1"/>
        <v>456</v>
      </c>
      <c r="B10">
        <v>19</v>
      </c>
      <c r="C10" t="s">
        <v>196</v>
      </c>
      <c r="D10" s="64" t="s">
        <v>2556</v>
      </c>
      <c r="E10">
        <v>2</v>
      </c>
      <c r="F1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v>
      </c>
      <c r="H10" t="str">
        <f t="shared" si="0"/>
        <v/>
      </c>
      <c r="I10">
        <f t="shared" si="3"/>
        <v>584</v>
      </c>
      <c r="J10">
        <f t="shared" si="4"/>
        <v>3247</v>
      </c>
      <c r="K10" t="str">
        <f t="shared" si="5"/>
        <v>Inicia</v>
      </c>
      <c r="L10" t="str">
        <f t="shared" si="5"/>
        <v>18/03/2016</v>
      </c>
      <c r="M1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v>
      </c>
      <c r="N10" t="str">
        <f t="shared" si="7"/>
        <v/>
      </c>
      <c r="O10">
        <v>21</v>
      </c>
      <c r="P10" s="64" t="s">
        <v>1905</v>
      </c>
      <c r="R10">
        <v>1918</v>
      </c>
      <c r="S10" t="str">
        <f>"lg_"&amp;R10&amp;"_es.php"</f>
        <v>lg_1918_es.php</v>
      </c>
      <c r="T10" t="str">
        <f>"lib"&amp;R22&amp;".php"</f>
        <v>lib1929.php</v>
      </c>
      <c r="U10">
        <v>6</v>
      </c>
      <c r="V10" t="s">
        <v>109</v>
      </c>
    </row>
    <row r="11" spans="1:22">
      <c r="A11">
        <f t="shared" si="1"/>
        <v>457</v>
      </c>
      <c r="B11">
        <v>19</v>
      </c>
      <c r="C11" t="s">
        <v>196</v>
      </c>
      <c r="D11" s="64" t="s">
        <v>2557</v>
      </c>
      <c r="E11">
        <v>2</v>
      </c>
      <c r="F1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v>
      </c>
      <c r="H11" t="str">
        <f t="shared" si="0"/>
        <v/>
      </c>
      <c r="I11">
        <f t="shared" si="3"/>
        <v>585</v>
      </c>
      <c r="J11">
        <f t="shared" si="4"/>
        <v>3247</v>
      </c>
      <c r="K11" t="str">
        <f t="shared" si="5"/>
        <v>Inicia</v>
      </c>
      <c r="L11" t="str">
        <f t="shared" si="5"/>
        <v>18/03/2016</v>
      </c>
      <c r="M1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v>
      </c>
      <c r="N11" t="str">
        <f t="shared" si="7"/>
        <v/>
      </c>
      <c r="O11">
        <v>22</v>
      </c>
      <c r="P11" s="79" t="s">
        <v>2034</v>
      </c>
      <c r="S11" t="str">
        <f>"lg_"&amp;R10&amp;"_en.php"</f>
        <v>lg_1918_en.php</v>
      </c>
      <c r="T11" t="str">
        <f>"lib"&amp;R25&amp;".php"</f>
        <v>lib1926.php</v>
      </c>
      <c r="U11">
        <v>7</v>
      </c>
      <c r="V11" t="s">
        <v>112</v>
      </c>
    </row>
    <row r="12" spans="1:22">
      <c r="A12">
        <f t="shared" si="1"/>
        <v>458</v>
      </c>
      <c r="B12">
        <v>19</v>
      </c>
      <c r="C12" t="s">
        <v>196</v>
      </c>
      <c r="D12" s="64" t="s">
        <v>2558</v>
      </c>
      <c r="E12">
        <v>2</v>
      </c>
      <c r="F1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v>
      </c>
      <c r="H12" t="str">
        <f t="shared" si="0"/>
        <v/>
      </c>
      <c r="I12">
        <f t="shared" si="3"/>
        <v>586</v>
      </c>
      <c r="J12">
        <f t="shared" si="4"/>
        <v>3247</v>
      </c>
      <c r="K12" t="str">
        <f t="shared" si="5"/>
        <v>Inicia</v>
      </c>
      <c r="L12" t="str">
        <f t="shared" si="5"/>
        <v>18/03/2016</v>
      </c>
      <c r="M1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v>
      </c>
      <c r="N12" t="str">
        <f t="shared" si="7"/>
        <v/>
      </c>
      <c r="O12">
        <v>23</v>
      </c>
      <c r="P12" s="64" t="s">
        <v>964</v>
      </c>
      <c r="S12" t="str">
        <f>"lg_"&amp;R10&amp;"_pt.php"</f>
        <v>lg_1918_pt.php</v>
      </c>
    </row>
    <row r="13" spans="1:22">
      <c r="A13">
        <f t="shared" si="1"/>
        <v>459</v>
      </c>
      <c r="B13">
        <v>19</v>
      </c>
      <c r="C13" t="s">
        <v>196</v>
      </c>
      <c r="D13" s="48" t="s">
        <v>2559</v>
      </c>
      <c r="E13">
        <v>2</v>
      </c>
      <c r="F1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v>
      </c>
      <c r="H13" t="str">
        <f t="shared" si="0"/>
        <v/>
      </c>
      <c r="I13">
        <f t="shared" si="3"/>
        <v>587</v>
      </c>
      <c r="J13">
        <f t="shared" si="4"/>
        <v>3247</v>
      </c>
      <c r="K13" t="str">
        <f t="shared" si="5"/>
        <v>Inicia</v>
      </c>
      <c r="L13" t="str">
        <f t="shared" si="5"/>
        <v>18/03/2016</v>
      </c>
      <c r="M1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v>
      </c>
      <c r="N13" t="str">
        <f t="shared" si="7"/>
        <v/>
      </c>
      <c r="R13">
        <v>1924</v>
      </c>
      <c r="S13" t="str">
        <f>"lg_"&amp;R13&amp;"_es.php"</f>
        <v>lg_1924_es.php</v>
      </c>
    </row>
    <row r="14" spans="1:22">
      <c r="A14">
        <f t="shared" si="1"/>
        <v>460</v>
      </c>
      <c r="B14">
        <v>19</v>
      </c>
      <c r="C14" t="s">
        <v>196</v>
      </c>
      <c r="D14" s="64" t="s">
        <v>2560</v>
      </c>
      <c r="E14">
        <v>2</v>
      </c>
      <c r="F1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v>
      </c>
      <c r="H14" t="str">
        <f t="shared" si="0"/>
        <v/>
      </c>
      <c r="I14">
        <f t="shared" si="3"/>
        <v>588</v>
      </c>
      <c r="J14">
        <f t="shared" si="4"/>
        <v>3247</v>
      </c>
      <c r="K14" t="str">
        <f t="shared" si="5"/>
        <v>Inicia</v>
      </c>
      <c r="L14" t="str">
        <f t="shared" si="5"/>
        <v>18/03/2016</v>
      </c>
      <c r="M1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v>
      </c>
      <c r="N14" t="str">
        <f t="shared" si="7"/>
        <v/>
      </c>
      <c r="P14" s="37"/>
      <c r="S14" t="str">
        <f>"lg_"&amp;R13&amp;"_en.php"</f>
        <v>lg_1924_en.php</v>
      </c>
    </row>
    <row r="15" spans="1:22">
      <c r="A15">
        <f t="shared" si="1"/>
        <v>461</v>
      </c>
      <c r="B15">
        <v>19</v>
      </c>
      <c r="C15" t="s">
        <v>196</v>
      </c>
      <c r="D15" s="64" t="s">
        <v>2561</v>
      </c>
      <c r="E15">
        <v>2</v>
      </c>
      <c r="F1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v>
      </c>
      <c r="H15" t="str">
        <f t="shared" si="0"/>
        <v/>
      </c>
      <c r="I15">
        <f t="shared" si="3"/>
        <v>589</v>
      </c>
      <c r="J15">
        <f t="shared" si="4"/>
        <v>3247</v>
      </c>
      <c r="K15" t="str">
        <f t="shared" si="5"/>
        <v>Inicia</v>
      </c>
      <c r="L15" t="str">
        <f t="shared" si="5"/>
        <v>18/03/2016</v>
      </c>
      <c r="M1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v>
      </c>
      <c r="N15" t="str">
        <f t="shared" si="7"/>
        <v/>
      </c>
      <c r="S15" t="str">
        <f>"lg_"&amp;R13&amp;"_pt.php"</f>
        <v>lg_1924_pt.php</v>
      </c>
      <c r="U15">
        <v>11</v>
      </c>
      <c r="V15" t="s">
        <v>113</v>
      </c>
    </row>
    <row r="16" spans="1:22">
      <c r="A16">
        <f t="shared" si="1"/>
        <v>462</v>
      </c>
      <c r="B16">
        <v>19</v>
      </c>
      <c r="C16" t="s">
        <v>196</v>
      </c>
      <c r="D16" s="48" t="s">
        <v>2562</v>
      </c>
      <c r="E16">
        <v>2</v>
      </c>
      <c r="F1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v>
      </c>
      <c r="H16" t="str">
        <f t="shared" si="0"/>
        <v/>
      </c>
      <c r="I16">
        <f t="shared" si="3"/>
        <v>590</v>
      </c>
      <c r="J16">
        <f t="shared" si="4"/>
        <v>3247</v>
      </c>
      <c r="K16" t="str">
        <f t="shared" si="5"/>
        <v>Inicia</v>
      </c>
      <c r="L16" t="str">
        <f t="shared" si="5"/>
        <v>18/03/2016</v>
      </c>
      <c r="M1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v>
      </c>
      <c r="N16" t="str">
        <f t="shared" si="7"/>
        <v/>
      </c>
      <c r="P16" s="37"/>
      <c r="R16">
        <v>1925</v>
      </c>
      <c r="S16" t="str">
        <f>"lg_"&amp;R16&amp;"_es.php"</f>
        <v>lg_1925_es.php</v>
      </c>
    </row>
    <row r="17" spans="1:20">
      <c r="A17">
        <f t="shared" si="1"/>
        <v>463</v>
      </c>
      <c r="B17">
        <v>19</v>
      </c>
      <c r="C17" t="s">
        <v>196</v>
      </c>
      <c r="D17" t="s">
        <v>2563</v>
      </c>
      <c r="E17">
        <v>2</v>
      </c>
      <c r="F1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v>
      </c>
      <c r="H17" t="str">
        <f t="shared" si="0"/>
        <v/>
      </c>
      <c r="I17">
        <f t="shared" si="3"/>
        <v>591</v>
      </c>
      <c r="J17">
        <f t="shared" si="4"/>
        <v>3247</v>
      </c>
      <c r="K17" t="str">
        <f t="shared" si="5"/>
        <v>Inicia</v>
      </c>
      <c r="L17" t="str">
        <f t="shared" si="5"/>
        <v>18/03/2016</v>
      </c>
      <c r="M1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v>
      </c>
      <c r="N17" t="str">
        <f t="shared" si="7"/>
        <v/>
      </c>
      <c r="P17" s="37"/>
      <c r="S17" t="str">
        <f>"lg_"&amp;R16&amp;"_en.php"</f>
        <v>lg_1925_en.php</v>
      </c>
    </row>
    <row r="18" spans="1:20">
      <c r="A18">
        <f t="shared" si="1"/>
        <v>464</v>
      </c>
      <c r="B18">
        <v>19</v>
      </c>
      <c r="C18" t="s">
        <v>196</v>
      </c>
      <c r="D18" s="62" t="s">
        <v>2564</v>
      </c>
      <c r="E18">
        <v>2</v>
      </c>
      <c r="F1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v>
      </c>
      <c r="H18" t="str">
        <f t="shared" si="0"/>
        <v/>
      </c>
      <c r="I18">
        <f t="shared" si="3"/>
        <v>592</v>
      </c>
      <c r="J18">
        <f t="shared" si="4"/>
        <v>3247</v>
      </c>
      <c r="K18" t="str">
        <f t="shared" si="5"/>
        <v>Inicia</v>
      </c>
      <c r="L18" t="str">
        <f t="shared" si="5"/>
        <v>18/03/2016</v>
      </c>
      <c r="M1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v>
      </c>
      <c r="N18" t="str">
        <f t="shared" si="7"/>
        <v/>
      </c>
      <c r="P18" s="7"/>
      <c r="S18" t="str">
        <f>"lg_"&amp;R16&amp;"_pt.php"</f>
        <v>lg_1925_pt.php</v>
      </c>
    </row>
    <row r="19" spans="1:20">
      <c r="A19">
        <f t="shared" si="1"/>
        <v>465</v>
      </c>
      <c r="B19">
        <v>19</v>
      </c>
      <c r="D19" s="48" t="s">
        <v>2361</v>
      </c>
      <c r="E19">
        <v>1</v>
      </c>
      <c r="F1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v>
      </c>
      <c r="H19" t="str">
        <f t="shared" si="0"/>
        <v/>
      </c>
      <c r="I19">
        <f t="shared" si="3"/>
        <v>593</v>
      </c>
      <c r="J19">
        <f t="shared" si="4"/>
        <v>3247</v>
      </c>
      <c r="K19" t="str">
        <f t="shared" si="5"/>
        <v>Inicia</v>
      </c>
      <c r="L19" t="str">
        <f t="shared" si="5"/>
        <v>18/03/2016</v>
      </c>
      <c r="M1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v>
      </c>
      <c r="N19" t="str">
        <f t="shared" si="7"/>
        <v/>
      </c>
      <c r="P19" s="37"/>
      <c r="R19">
        <v>1921</v>
      </c>
      <c r="S19" t="str">
        <f>"lg_"&amp;R19&amp;"_es.php"</f>
        <v>lg_1921_es.php</v>
      </c>
    </row>
    <row r="20" spans="1:20">
      <c r="A20">
        <f t="shared" si="1"/>
        <v>466</v>
      </c>
      <c r="B20">
        <v>19</v>
      </c>
      <c r="D20" t="s">
        <v>2565</v>
      </c>
      <c r="E20">
        <v>1</v>
      </c>
      <c r="F2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v>
      </c>
      <c r="H20" t="str">
        <f t="shared" si="0"/>
        <v/>
      </c>
      <c r="I20">
        <f t="shared" si="3"/>
        <v>594</v>
      </c>
      <c r="J20">
        <f t="shared" si="4"/>
        <v>3247</v>
      </c>
      <c r="K20" t="str">
        <f t="shared" si="5"/>
        <v>Inicia</v>
      </c>
      <c r="L20" t="str">
        <f t="shared" si="5"/>
        <v>18/03/2016</v>
      </c>
      <c r="M2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v>
      </c>
      <c r="N20" t="str">
        <f t="shared" si="7"/>
        <v/>
      </c>
      <c r="S20" t="str">
        <f>"lg_"&amp;R19&amp;"_en.php"</f>
        <v>lg_1921_en.php</v>
      </c>
    </row>
    <row r="21" spans="1:20">
      <c r="A21">
        <f t="shared" si="1"/>
        <v>467</v>
      </c>
      <c r="B21">
        <v>19</v>
      </c>
      <c r="D21" t="s">
        <v>2566</v>
      </c>
      <c r="E21">
        <v>1</v>
      </c>
      <c r="F2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v>
      </c>
      <c r="H21" t="str">
        <f t="shared" si="0"/>
        <v/>
      </c>
      <c r="I21">
        <f t="shared" si="3"/>
        <v>595</v>
      </c>
      <c r="J21">
        <f t="shared" si="4"/>
        <v>3247</v>
      </c>
      <c r="K21" t="str">
        <f t="shared" si="5"/>
        <v>Inicia</v>
      </c>
      <c r="L21" t="str">
        <f t="shared" si="5"/>
        <v>18/03/2016</v>
      </c>
      <c r="M2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v>
      </c>
      <c r="N21" t="str">
        <f t="shared" si="7"/>
        <v/>
      </c>
      <c r="P21" s="7"/>
      <c r="S21" t="str">
        <f>"lg_"&amp;R19&amp;"_pt.php"</f>
        <v>lg_1921_pt.php</v>
      </c>
    </row>
    <row r="22" spans="1:20">
      <c r="A22">
        <f t="shared" si="1"/>
        <v>468</v>
      </c>
      <c r="B22">
        <v>19</v>
      </c>
      <c r="D22" t="s">
        <v>2567</v>
      </c>
      <c r="E22">
        <v>1</v>
      </c>
      <c r="F2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v>
      </c>
      <c r="H22" t="str">
        <f t="shared" si="0"/>
        <v/>
      </c>
      <c r="I22">
        <f t="shared" si="3"/>
        <v>596</v>
      </c>
      <c r="J22">
        <f t="shared" si="4"/>
        <v>3247</v>
      </c>
      <c r="K22" t="str">
        <f t="shared" si="4"/>
        <v>Inicia</v>
      </c>
      <c r="L22" t="str">
        <f t="shared" ref="L22:L85" si="8">+L21</f>
        <v>18/03/2016</v>
      </c>
      <c r="M2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v>
      </c>
      <c r="N22" t="str">
        <f t="shared" si="7"/>
        <v/>
      </c>
      <c r="R22">
        <v>1929</v>
      </c>
      <c r="S22" t="str">
        <f>"lg_"&amp;R22&amp;"_es.php"</f>
        <v>lg_1929_es.php</v>
      </c>
      <c r="T22" t="str">
        <f>"o"&amp;R22&amp;".php"</f>
        <v>o1929.php</v>
      </c>
    </row>
    <row r="23" spans="1:20">
      <c r="A23">
        <f t="shared" si="1"/>
        <v>469</v>
      </c>
      <c r="B23">
        <v>19</v>
      </c>
      <c r="D23" t="s">
        <v>2568</v>
      </c>
      <c r="E23">
        <v>1</v>
      </c>
      <c r="F2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v>
      </c>
      <c r="H23" t="str">
        <f t="shared" si="0"/>
        <v/>
      </c>
      <c r="I23">
        <f t="shared" si="3"/>
        <v>597</v>
      </c>
      <c r="J23">
        <f t="shared" si="4"/>
        <v>3247</v>
      </c>
      <c r="K23" t="str">
        <f t="shared" si="4"/>
        <v>Inicia</v>
      </c>
      <c r="L23" t="str">
        <f t="shared" si="8"/>
        <v>18/03/2016</v>
      </c>
      <c r="M2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v>
      </c>
      <c r="N23" t="str">
        <f t="shared" si="7"/>
        <v/>
      </c>
      <c r="O23">
        <v>1</v>
      </c>
      <c r="P23" s="62" t="s">
        <v>1763</v>
      </c>
      <c r="S23" t="str">
        <f>"lg_"&amp;R22&amp;"_en.php"</f>
        <v>lg_1929_en.php</v>
      </c>
    </row>
    <row r="24" spans="1:20">
      <c r="A24">
        <f t="shared" si="1"/>
        <v>470</v>
      </c>
      <c r="B24">
        <v>19</v>
      </c>
      <c r="D24" s="62" t="s">
        <v>2569</v>
      </c>
      <c r="E24">
        <v>1</v>
      </c>
      <c r="F2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v>
      </c>
      <c r="H24" t="str">
        <f t="shared" si="0"/>
        <v/>
      </c>
      <c r="I24">
        <f t="shared" si="3"/>
        <v>598</v>
      </c>
      <c r="J24">
        <f t="shared" si="4"/>
        <v>3247</v>
      </c>
      <c r="K24" t="str">
        <f t="shared" si="4"/>
        <v>Inicia</v>
      </c>
      <c r="L24" t="str">
        <f t="shared" si="8"/>
        <v>18/03/2016</v>
      </c>
      <c r="M2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v>
      </c>
      <c r="N24" t="str">
        <f t="shared" si="7"/>
        <v/>
      </c>
      <c r="O24">
        <v>-11</v>
      </c>
      <c r="P24" t="s">
        <v>197</v>
      </c>
      <c r="S24" t="str">
        <f>"lg_"&amp;R22&amp;"_pt.php"</f>
        <v>lg_1929_pt.php</v>
      </c>
    </row>
    <row r="25" spans="1:20">
      <c r="A25">
        <f t="shared" si="1"/>
        <v>471</v>
      </c>
      <c r="B25">
        <v>19</v>
      </c>
      <c r="D25" s="62" t="s">
        <v>2570</v>
      </c>
      <c r="E25">
        <v>5</v>
      </c>
      <c r="F2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v>
      </c>
      <c r="H25" t="str">
        <f t="shared" si="0"/>
        <v/>
      </c>
      <c r="I25">
        <f t="shared" si="3"/>
        <v>599</v>
      </c>
      <c r="J25">
        <f t="shared" si="4"/>
        <v>3247</v>
      </c>
      <c r="K25" t="str">
        <f t="shared" si="4"/>
        <v>Inicia</v>
      </c>
      <c r="L25" t="str">
        <f t="shared" si="8"/>
        <v>18/03/2016</v>
      </c>
      <c r="M2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v>
      </c>
      <c r="N25" t="str">
        <f t="shared" si="7"/>
        <v/>
      </c>
      <c r="O25">
        <v>-12</v>
      </c>
      <c r="P25" t="s">
        <v>1307</v>
      </c>
      <c r="R25">
        <v>1926</v>
      </c>
      <c r="S25" t="str">
        <f>"lg_"&amp;R25&amp;"_es.php"</f>
        <v>lg_1926_es.php</v>
      </c>
      <c r="T25" t="str">
        <f>"p"&amp;R25&amp;".php"</f>
        <v>p1926.php</v>
      </c>
    </row>
    <row r="26" spans="1:20">
      <c r="A26">
        <f t="shared" si="1"/>
        <v>472</v>
      </c>
      <c r="B26">
        <v>19</v>
      </c>
      <c r="C26" t="s">
        <v>196</v>
      </c>
      <c r="D26" s="62" t="s">
        <v>2571</v>
      </c>
      <c r="E26">
        <v>2</v>
      </c>
      <c r="F2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v>
      </c>
      <c r="H26" t="str">
        <f t="shared" si="0"/>
        <v/>
      </c>
      <c r="I26">
        <f t="shared" si="3"/>
        <v>600</v>
      </c>
      <c r="J26">
        <f t="shared" si="4"/>
        <v>3247</v>
      </c>
      <c r="K26" t="str">
        <f t="shared" si="4"/>
        <v>Inicia</v>
      </c>
      <c r="L26" t="str">
        <f t="shared" si="8"/>
        <v>18/03/2016</v>
      </c>
      <c r="M2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v>
      </c>
      <c r="N26" t="str">
        <f t="shared" si="7"/>
        <v/>
      </c>
      <c r="S26" t="str">
        <f>"lg_"&amp;R25&amp;"_en.php"</f>
        <v>lg_1926_en.php</v>
      </c>
      <c r="T26" t="str">
        <f>"lib"&amp;R26&amp;".php"</f>
        <v>lib.php</v>
      </c>
    </row>
    <row r="27" spans="1:20">
      <c r="A27">
        <f t="shared" si="1"/>
        <v>473</v>
      </c>
      <c r="B27">
        <v>19</v>
      </c>
      <c r="C27" t="s">
        <v>196</v>
      </c>
      <c r="D27" t="s">
        <v>2572</v>
      </c>
      <c r="E27">
        <v>2</v>
      </c>
      <c r="F2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v>
      </c>
      <c r="H27" t="str">
        <f t="shared" si="0"/>
        <v/>
      </c>
      <c r="I27">
        <f t="shared" si="3"/>
        <v>601</v>
      </c>
      <c r="J27">
        <f t="shared" si="4"/>
        <v>3247</v>
      </c>
      <c r="K27" t="str">
        <f t="shared" si="4"/>
        <v>Inicia</v>
      </c>
      <c r="L27" t="str">
        <f t="shared" si="8"/>
        <v>18/03/2016</v>
      </c>
      <c r="M2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v>
      </c>
      <c r="N27" t="str">
        <f t="shared" si="7"/>
        <v/>
      </c>
      <c r="S27" t="str">
        <f>"lg_"&amp;R25&amp;"_pt.php"</f>
        <v>lg_1926_pt.php</v>
      </c>
    </row>
    <row r="28" spans="1:20">
      <c r="A28">
        <f t="shared" si="1"/>
        <v>474</v>
      </c>
      <c r="B28">
        <v>19</v>
      </c>
      <c r="C28" t="s">
        <v>196</v>
      </c>
      <c r="D28" t="s">
        <v>2573</v>
      </c>
      <c r="E28">
        <v>2</v>
      </c>
      <c r="F2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v>
      </c>
      <c r="H28" t="str">
        <f t="shared" si="0"/>
        <v/>
      </c>
      <c r="I28">
        <f t="shared" si="3"/>
        <v>602</v>
      </c>
      <c r="J28">
        <f t="shared" si="4"/>
        <v>3247</v>
      </c>
      <c r="K28" t="str">
        <f t="shared" si="4"/>
        <v>Inicia</v>
      </c>
      <c r="L28" t="str">
        <f t="shared" si="8"/>
        <v>18/03/2016</v>
      </c>
      <c r="M2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v>
      </c>
      <c r="N28" t="str">
        <f t="shared" si="7"/>
        <v/>
      </c>
    </row>
    <row r="29" spans="1:20">
      <c r="A29">
        <f t="shared" si="1"/>
        <v>475</v>
      </c>
      <c r="B29">
        <v>19</v>
      </c>
      <c r="D29" t="s">
        <v>2574</v>
      </c>
      <c r="E29">
        <v>1</v>
      </c>
      <c r="F2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v>
      </c>
      <c r="H29" t="str">
        <f t="shared" si="0"/>
        <v/>
      </c>
      <c r="I29">
        <f t="shared" si="3"/>
        <v>603</v>
      </c>
      <c r="J29">
        <f t="shared" si="4"/>
        <v>3247</v>
      </c>
      <c r="K29" t="str">
        <f t="shared" si="5"/>
        <v>Inicia</v>
      </c>
      <c r="L29" t="str">
        <f t="shared" si="8"/>
        <v>18/03/2016</v>
      </c>
      <c r="M2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v>
      </c>
      <c r="N29" t="str">
        <f t="shared" si="7"/>
        <v/>
      </c>
    </row>
    <row r="30" spans="1:20">
      <c r="A30">
        <f t="shared" si="1"/>
        <v>476</v>
      </c>
      <c r="B30">
        <v>19</v>
      </c>
      <c r="C30" t="s">
        <v>196</v>
      </c>
      <c r="D30" s="62" t="s">
        <v>2587</v>
      </c>
      <c r="E30">
        <v>2</v>
      </c>
      <c r="F3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v>
      </c>
      <c r="H30" t="str">
        <f t="shared" si="0"/>
        <v/>
      </c>
      <c r="I30">
        <f t="shared" si="3"/>
        <v>604</v>
      </c>
      <c r="J30">
        <f t="shared" si="4"/>
        <v>3247</v>
      </c>
      <c r="K30" t="str">
        <f t="shared" si="5"/>
        <v>Inicia</v>
      </c>
      <c r="L30" t="str">
        <f t="shared" si="8"/>
        <v>18/03/2016</v>
      </c>
      <c r="M3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v>
      </c>
      <c r="N30" t="str">
        <f t="shared" si="7"/>
        <v/>
      </c>
    </row>
    <row r="31" spans="1:20">
      <c r="A31">
        <f t="shared" si="1"/>
        <v>477</v>
      </c>
      <c r="B31">
        <v>19</v>
      </c>
      <c r="C31" t="s">
        <v>196</v>
      </c>
      <c r="D31" s="62" t="s">
        <v>2588</v>
      </c>
      <c r="E31">
        <v>2</v>
      </c>
      <c r="F3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v>
      </c>
      <c r="H31" t="str">
        <f t="shared" si="0"/>
        <v/>
      </c>
      <c r="I31">
        <f t="shared" si="3"/>
        <v>605</v>
      </c>
      <c r="J31">
        <f t="shared" si="4"/>
        <v>3247</v>
      </c>
      <c r="K31" t="str">
        <f t="shared" si="5"/>
        <v>Inicia</v>
      </c>
      <c r="L31" t="str">
        <f t="shared" si="8"/>
        <v>18/03/2016</v>
      </c>
      <c r="M3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v>
      </c>
      <c r="N31" t="str">
        <f t="shared" si="7"/>
        <v/>
      </c>
    </row>
    <row r="32" spans="1:20">
      <c r="A32">
        <f t="shared" si="1"/>
        <v>478</v>
      </c>
      <c r="B32">
        <v>19</v>
      </c>
      <c r="C32" t="s">
        <v>196</v>
      </c>
      <c r="D32" t="s">
        <v>2589</v>
      </c>
      <c r="E32">
        <v>2</v>
      </c>
      <c r="F3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v>
      </c>
      <c r="H32" t="str">
        <f t="shared" si="0"/>
        <v/>
      </c>
      <c r="I32">
        <f t="shared" si="3"/>
        <v>606</v>
      </c>
      <c r="J32">
        <f t="shared" si="4"/>
        <v>3247</v>
      </c>
      <c r="K32" t="str">
        <f t="shared" si="5"/>
        <v>Inicia</v>
      </c>
      <c r="L32" t="str">
        <f t="shared" si="8"/>
        <v>18/03/2016</v>
      </c>
      <c r="M3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v>
      </c>
      <c r="N32" t="str">
        <f t="shared" si="7"/>
        <v/>
      </c>
    </row>
    <row r="33" spans="1:14">
      <c r="A33">
        <f t="shared" si="1"/>
        <v>479</v>
      </c>
      <c r="B33">
        <v>19</v>
      </c>
      <c r="D33" t="s">
        <v>2590</v>
      </c>
      <c r="E33">
        <v>1</v>
      </c>
      <c r="F3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v>
      </c>
      <c r="H33" t="str">
        <f t="shared" si="0"/>
        <v/>
      </c>
      <c r="I33">
        <f t="shared" si="3"/>
        <v>607</v>
      </c>
      <c r="J33">
        <f t="shared" si="4"/>
        <v>3247</v>
      </c>
      <c r="K33" t="str">
        <f t="shared" si="5"/>
        <v>Inicia</v>
      </c>
      <c r="L33" t="str">
        <f t="shared" si="8"/>
        <v>18/03/2016</v>
      </c>
      <c r="M3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v>
      </c>
      <c r="N33" t="str">
        <f t="shared" si="7"/>
        <v/>
      </c>
    </row>
    <row r="34" spans="1:14">
      <c r="A34">
        <f t="shared" si="1"/>
        <v>480</v>
      </c>
      <c r="B34">
        <v>20</v>
      </c>
      <c r="C34" t="s">
        <v>196</v>
      </c>
      <c r="D34" t="s">
        <v>2598</v>
      </c>
      <c r="E34">
        <v>2</v>
      </c>
      <c r="F3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v>
      </c>
      <c r="H34" t="str">
        <f t="shared" si="0"/>
        <v/>
      </c>
      <c r="I34">
        <f t="shared" si="3"/>
        <v>608</v>
      </c>
      <c r="J34">
        <f t="shared" si="4"/>
        <v>3247</v>
      </c>
      <c r="K34" t="str">
        <f t="shared" si="5"/>
        <v>Inicia</v>
      </c>
      <c r="L34" t="str">
        <f t="shared" si="8"/>
        <v>18/03/2016</v>
      </c>
      <c r="M3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v>
      </c>
      <c r="N34" t="str">
        <f t="shared" si="7"/>
        <v/>
      </c>
    </row>
    <row r="35" spans="1:14">
      <c r="A35">
        <f t="shared" si="1"/>
        <v>481</v>
      </c>
      <c r="B35">
        <v>20</v>
      </c>
      <c r="C35" t="s">
        <v>196</v>
      </c>
      <c r="D35" t="s">
        <v>2599</v>
      </c>
      <c r="E35">
        <v>2</v>
      </c>
      <c r="F3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v>
      </c>
      <c r="H35" t="str">
        <f t="shared" si="0"/>
        <v/>
      </c>
      <c r="I35">
        <f t="shared" si="3"/>
        <v>609</v>
      </c>
      <c r="J35">
        <f t="shared" si="4"/>
        <v>3247</v>
      </c>
      <c r="K35" t="str">
        <f t="shared" si="5"/>
        <v>Inicia</v>
      </c>
      <c r="L35" t="str">
        <f t="shared" si="8"/>
        <v>18/03/2016</v>
      </c>
      <c r="M3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v>
      </c>
      <c r="N35" t="str">
        <f t="shared" si="7"/>
        <v/>
      </c>
    </row>
    <row r="36" spans="1:14">
      <c r="A36">
        <f t="shared" si="1"/>
        <v>482</v>
      </c>
      <c r="B36">
        <v>20</v>
      </c>
      <c r="C36" t="s">
        <v>196</v>
      </c>
      <c r="D36" t="s">
        <v>2600</v>
      </c>
      <c r="E36">
        <v>2</v>
      </c>
      <c r="F3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v>
      </c>
      <c r="H36" t="str">
        <f t="shared" si="0"/>
        <v/>
      </c>
      <c r="I36">
        <f t="shared" si="3"/>
        <v>610</v>
      </c>
      <c r="J36">
        <f t="shared" si="4"/>
        <v>3247</v>
      </c>
      <c r="K36" t="str">
        <f t="shared" si="5"/>
        <v>Inicia</v>
      </c>
      <c r="L36" t="str">
        <f t="shared" si="8"/>
        <v>18/03/2016</v>
      </c>
      <c r="M3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v>
      </c>
      <c r="N36" t="str">
        <f t="shared" si="7"/>
        <v/>
      </c>
    </row>
    <row r="37" spans="1:14">
      <c r="A37">
        <f t="shared" si="1"/>
        <v>483</v>
      </c>
      <c r="B37">
        <v>20</v>
      </c>
      <c r="D37" s="62" t="s">
        <v>2414</v>
      </c>
      <c r="E37">
        <v>1</v>
      </c>
      <c r="F3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v>
      </c>
      <c r="H37" t="str">
        <f t="shared" si="0"/>
        <v/>
      </c>
      <c r="I37">
        <f t="shared" si="3"/>
        <v>611</v>
      </c>
      <c r="J37">
        <f t="shared" si="4"/>
        <v>3247</v>
      </c>
      <c r="K37" t="str">
        <f t="shared" si="5"/>
        <v>Inicia</v>
      </c>
      <c r="L37" t="str">
        <f t="shared" si="8"/>
        <v>18/03/2016</v>
      </c>
      <c r="M3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v>
      </c>
      <c r="N37" t="str">
        <f t="shared" si="7"/>
        <v/>
      </c>
    </row>
    <row r="38" spans="1:14">
      <c r="A38">
        <f t="shared" si="1"/>
        <v>484</v>
      </c>
      <c r="B38">
        <v>20</v>
      </c>
      <c r="D38" s="62" t="s">
        <v>2602</v>
      </c>
      <c r="E38">
        <v>1</v>
      </c>
      <c r="F3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v>
      </c>
      <c r="H38" t="str">
        <f t="shared" si="0"/>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v>
      </c>
      <c r="I38">
        <f t="shared" si="3"/>
        <v>612</v>
      </c>
      <c r="J38">
        <f t="shared" si="4"/>
        <v>3247</v>
      </c>
      <c r="K38" t="str">
        <f t="shared" si="5"/>
        <v>Inicia</v>
      </c>
      <c r="L38" t="str">
        <f t="shared" si="8"/>
        <v>18/03/2016</v>
      </c>
      <c r="M3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v>
      </c>
      <c r="N38" t="str">
        <f t="shared" si="7"/>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v>
      </c>
    </row>
    <row r="39" spans="1:14">
      <c r="A39">
        <f t="shared" si="1"/>
        <v>485</v>
      </c>
      <c r="B39">
        <v>19</v>
      </c>
      <c r="C39" t="s">
        <v>196</v>
      </c>
      <c r="E39">
        <v>2</v>
      </c>
      <c r="F3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v>
      </c>
      <c r="H39" t="str">
        <f t="shared" si="0"/>
        <v/>
      </c>
      <c r="I39">
        <f t="shared" si="3"/>
        <v>613</v>
      </c>
      <c r="J39">
        <f t="shared" si="4"/>
        <v>3247</v>
      </c>
      <c r="K39" t="str">
        <f t="shared" si="5"/>
        <v>Inicia</v>
      </c>
      <c r="L39" t="str">
        <f t="shared" si="8"/>
        <v>18/03/2016</v>
      </c>
      <c r="M3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v>
      </c>
      <c r="N39" t="str">
        <f t="shared" si="7"/>
        <v/>
      </c>
    </row>
    <row r="40" spans="1:14">
      <c r="A40">
        <f t="shared" si="1"/>
        <v>486</v>
      </c>
      <c r="B40">
        <v>19</v>
      </c>
      <c r="C40" t="s">
        <v>196</v>
      </c>
      <c r="E40">
        <v>2</v>
      </c>
      <c r="F4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v>
      </c>
      <c r="H40" t="str">
        <f t="shared" si="0"/>
        <v/>
      </c>
      <c r="I40">
        <f t="shared" si="3"/>
        <v>614</v>
      </c>
      <c r="J40">
        <f t="shared" si="4"/>
        <v>3247</v>
      </c>
      <c r="K40" t="str">
        <f t="shared" ref="K40:L96" si="9">+K39</f>
        <v>Inicia</v>
      </c>
      <c r="L40" t="str">
        <f t="shared" si="8"/>
        <v>18/03/2016</v>
      </c>
      <c r="M4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v>
      </c>
      <c r="N40" t="str">
        <f t="shared" si="7"/>
        <v/>
      </c>
    </row>
    <row r="41" spans="1:14">
      <c r="A41">
        <f t="shared" si="1"/>
        <v>487</v>
      </c>
      <c r="B41">
        <v>19</v>
      </c>
      <c r="C41" t="s">
        <v>196</v>
      </c>
      <c r="E41">
        <v>2</v>
      </c>
      <c r="F4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v>
      </c>
      <c r="H41" t="str">
        <f t="shared" si="0"/>
        <v/>
      </c>
      <c r="I41">
        <f t="shared" si="3"/>
        <v>615</v>
      </c>
      <c r="J41">
        <f t="shared" si="4"/>
        <v>3247</v>
      </c>
      <c r="K41" t="str">
        <f t="shared" si="9"/>
        <v>Inicia</v>
      </c>
      <c r="L41" t="str">
        <f t="shared" si="8"/>
        <v>18/03/2016</v>
      </c>
      <c r="M4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v>
      </c>
      <c r="N41" t="str">
        <f t="shared" si="7"/>
        <v/>
      </c>
    </row>
    <row r="42" spans="1:14">
      <c r="A42">
        <f t="shared" si="1"/>
        <v>488</v>
      </c>
      <c r="B42">
        <v>19</v>
      </c>
      <c r="C42" t="s">
        <v>196</v>
      </c>
      <c r="E42">
        <v>2</v>
      </c>
      <c r="F4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v>
      </c>
      <c r="H42" t="str">
        <f t="shared" si="0"/>
        <v/>
      </c>
      <c r="I42">
        <f t="shared" si="3"/>
        <v>616</v>
      </c>
      <c r="J42">
        <f t="shared" si="4"/>
        <v>3247</v>
      </c>
      <c r="K42" t="str">
        <f t="shared" si="9"/>
        <v>Inicia</v>
      </c>
      <c r="L42" t="str">
        <f t="shared" si="8"/>
        <v>18/03/2016</v>
      </c>
      <c r="M4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v>
      </c>
      <c r="N42" t="str">
        <f t="shared" si="7"/>
        <v/>
      </c>
    </row>
    <row r="43" spans="1:14">
      <c r="A43">
        <f t="shared" si="1"/>
        <v>489</v>
      </c>
      <c r="B43">
        <v>19</v>
      </c>
      <c r="C43" t="s">
        <v>196</v>
      </c>
      <c r="E43">
        <v>2</v>
      </c>
      <c r="F4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v>
      </c>
      <c r="H43" t="str">
        <f t="shared" si="0"/>
        <v/>
      </c>
      <c r="I43">
        <f t="shared" si="3"/>
        <v>617</v>
      </c>
      <c r="J43">
        <f t="shared" si="4"/>
        <v>3247</v>
      </c>
      <c r="K43" t="str">
        <f t="shared" si="9"/>
        <v>Inicia</v>
      </c>
      <c r="L43" t="str">
        <f t="shared" si="8"/>
        <v>18/03/2016</v>
      </c>
      <c r="M4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v>
      </c>
      <c r="N43" t="str">
        <f t="shared" si="7"/>
        <v/>
      </c>
    </row>
    <row r="44" spans="1:14">
      <c r="A44">
        <f t="shared" si="1"/>
        <v>490</v>
      </c>
      <c r="B44">
        <v>19</v>
      </c>
      <c r="C44" t="s">
        <v>196</v>
      </c>
      <c r="E44">
        <v>2</v>
      </c>
      <c r="F4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v>
      </c>
      <c r="H44" t="str">
        <f t="shared" si="0"/>
        <v/>
      </c>
      <c r="I44">
        <f t="shared" si="3"/>
        <v>618</v>
      </c>
      <c r="J44">
        <f t="shared" si="4"/>
        <v>3247</v>
      </c>
      <c r="K44" t="str">
        <f t="shared" si="9"/>
        <v>Inicia</v>
      </c>
      <c r="L44" t="str">
        <f t="shared" si="8"/>
        <v>18/03/2016</v>
      </c>
      <c r="M4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v>
      </c>
      <c r="N44" t="str">
        <f t="shared" si="7"/>
        <v/>
      </c>
    </row>
    <row r="45" spans="1:14">
      <c r="A45">
        <f t="shared" si="1"/>
        <v>491</v>
      </c>
      <c r="B45">
        <v>19</v>
      </c>
      <c r="C45" t="s">
        <v>196</v>
      </c>
      <c r="E45">
        <v>2</v>
      </c>
      <c r="F4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v>
      </c>
      <c r="H45" t="str">
        <f t="shared" si="0"/>
        <v/>
      </c>
      <c r="I45">
        <f t="shared" si="3"/>
        <v>619</v>
      </c>
      <c r="J45">
        <f t="shared" si="4"/>
        <v>3247</v>
      </c>
      <c r="K45" t="str">
        <f t="shared" si="9"/>
        <v>Inicia</v>
      </c>
      <c r="L45" t="str">
        <f t="shared" si="8"/>
        <v>18/03/2016</v>
      </c>
      <c r="M4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v>
      </c>
      <c r="N45" t="str">
        <f t="shared" si="7"/>
        <v/>
      </c>
    </row>
    <row r="46" spans="1:14">
      <c r="A46">
        <f t="shared" si="1"/>
        <v>492</v>
      </c>
      <c r="B46">
        <v>19</v>
      </c>
      <c r="C46" t="s">
        <v>196</v>
      </c>
      <c r="E46">
        <v>2</v>
      </c>
      <c r="F4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v>
      </c>
      <c r="H46" t="str">
        <f t="shared" si="0"/>
        <v/>
      </c>
      <c r="I46">
        <f t="shared" si="3"/>
        <v>620</v>
      </c>
      <c r="J46">
        <f t="shared" si="4"/>
        <v>3247</v>
      </c>
      <c r="K46" t="str">
        <f t="shared" si="9"/>
        <v>Inicia</v>
      </c>
      <c r="L46" t="str">
        <f t="shared" si="8"/>
        <v>18/03/2016</v>
      </c>
      <c r="M4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v>
      </c>
      <c r="N46" t="str">
        <f t="shared" si="7"/>
        <v/>
      </c>
    </row>
    <row r="47" spans="1:14">
      <c r="A47">
        <f t="shared" si="1"/>
        <v>493</v>
      </c>
      <c r="B47">
        <v>19</v>
      </c>
      <c r="C47" t="s">
        <v>196</v>
      </c>
      <c r="E47">
        <v>2</v>
      </c>
      <c r="F4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v>
      </c>
      <c r="H47" t="str">
        <f t="shared" si="0"/>
        <v/>
      </c>
      <c r="I47">
        <f t="shared" si="3"/>
        <v>621</v>
      </c>
      <c r="J47">
        <f t="shared" si="4"/>
        <v>3247</v>
      </c>
      <c r="K47" t="str">
        <f t="shared" si="9"/>
        <v>Inicia</v>
      </c>
      <c r="L47" t="str">
        <f t="shared" si="8"/>
        <v>18/03/2016</v>
      </c>
      <c r="M4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v>
      </c>
      <c r="N47" t="str">
        <f t="shared" si="7"/>
        <v/>
      </c>
    </row>
    <row r="48" spans="1:14">
      <c r="A48">
        <f t="shared" si="1"/>
        <v>494</v>
      </c>
      <c r="B48">
        <v>19</v>
      </c>
      <c r="C48" t="s">
        <v>196</v>
      </c>
      <c r="E48">
        <v>2</v>
      </c>
      <c r="F4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v>
      </c>
      <c r="H48" t="str">
        <f t="shared" si="0"/>
        <v/>
      </c>
      <c r="I48">
        <f t="shared" si="3"/>
        <v>622</v>
      </c>
      <c r="J48">
        <f t="shared" si="4"/>
        <v>3247</v>
      </c>
      <c r="K48" t="str">
        <f t="shared" si="9"/>
        <v>Inicia</v>
      </c>
      <c r="L48" t="str">
        <f t="shared" si="8"/>
        <v>18/03/2016</v>
      </c>
      <c r="M4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v>
      </c>
      <c r="N48" t="str">
        <f t="shared" si="7"/>
        <v/>
      </c>
    </row>
    <row r="49" spans="1:14">
      <c r="A49">
        <f t="shared" si="1"/>
        <v>495</v>
      </c>
      <c r="B49">
        <v>19</v>
      </c>
      <c r="C49" t="s">
        <v>196</v>
      </c>
      <c r="E49">
        <v>2</v>
      </c>
      <c r="F4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v>
      </c>
      <c r="H49" t="str">
        <f t="shared" si="0"/>
        <v/>
      </c>
      <c r="I49">
        <f t="shared" si="3"/>
        <v>623</v>
      </c>
      <c r="J49">
        <f t="shared" si="4"/>
        <v>3247</v>
      </c>
      <c r="K49" t="str">
        <f t="shared" si="9"/>
        <v>Inicia</v>
      </c>
      <c r="L49" t="str">
        <f t="shared" si="8"/>
        <v>18/03/2016</v>
      </c>
      <c r="M4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v>
      </c>
      <c r="N49" t="str">
        <f t="shared" si="7"/>
        <v/>
      </c>
    </row>
    <row r="50" spans="1:14">
      <c r="A50">
        <f t="shared" si="1"/>
        <v>496</v>
      </c>
      <c r="B50">
        <v>19</v>
      </c>
      <c r="C50" t="s">
        <v>196</v>
      </c>
      <c r="E50">
        <v>2</v>
      </c>
      <c r="F5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v>
      </c>
      <c r="H50" t="str">
        <f t="shared" si="0"/>
        <v/>
      </c>
      <c r="I50">
        <f t="shared" si="3"/>
        <v>624</v>
      </c>
      <c r="J50">
        <f t="shared" si="4"/>
        <v>3247</v>
      </c>
      <c r="K50" t="str">
        <f t="shared" si="9"/>
        <v>Inicia</v>
      </c>
      <c r="L50" t="str">
        <f t="shared" si="8"/>
        <v>18/03/2016</v>
      </c>
      <c r="M5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v>
      </c>
      <c r="N50" t="str">
        <f t="shared" si="7"/>
        <v/>
      </c>
    </row>
    <row r="51" spans="1:14">
      <c r="A51">
        <f t="shared" si="1"/>
        <v>497</v>
      </c>
      <c r="B51">
        <v>19</v>
      </c>
      <c r="C51" t="s">
        <v>196</v>
      </c>
      <c r="E51">
        <v>2</v>
      </c>
      <c r="F5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v>
      </c>
      <c r="H51" t="str">
        <f t="shared" si="0"/>
        <v/>
      </c>
      <c r="I51">
        <f t="shared" si="3"/>
        <v>625</v>
      </c>
      <c r="J51">
        <f t="shared" si="4"/>
        <v>3247</v>
      </c>
      <c r="K51" t="str">
        <f t="shared" si="9"/>
        <v>Inicia</v>
      </c>
      <c r="L51" t="str">
        <f t="shared" si="8"/>
        <v>18/03/2016</v>
      </c>
      <c r="M5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v>
      </c>
      <c r="N51" t="str">
        <f t="shared" si="7"/>
        <v/>
      </c>
    </row>
    <row r="52" spans="1:14">
      <c r="A52">
        <f t="shared" si="1"/>
        <v>498</v>
      </c>
      <c r="B52">
        <f t="shared" ref="B52:B96" si="10">+B51</f>
        <v>19</v>
      </c>
      <c r="C52" t="s">
        <v>196</v>
      </c>
      <c r="E52">
        <v>2</v>
      </c>
      <c r="F5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v>
      </c>
      <c r="H52" t="str">
        <f t="shared" si="0"/>
        <v/>
      </c>
      <c r="I52">
        <f t="shared" si="3"/>
        <v>626</v>
      </c>
      <c r="J52">
        <f t="shared" si="4"/>
        <v>3247</v>
      </c>
      <c r="K52" t="str">
        <f t="shared" si="9"/>
        <v>Inicia</v>
      </c>
      <c r="L52" t="str">
        <f t="shared" si="8"/>
        <v>18/03/2016</v>
      </c>
      <c r="M5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v>
      </c>
      <c r="N52" t="str">
        <f t="shared" si="7"/>
        <v/>
      </c>
    </row>
    <row r="53" spans="1:14">
      <c r="A53">
        <f t="shared" si="1"/>
        <v>499</v>
      </c>
      <c r="B53">
        <f t="shared" si="10"/>
        <v>19</v>
      </c>
      <c r="C53" t="s">
        <v>196</v>
      </c>
      <c r="E53">
        <v>2</v>
      </c>
      <c r="F5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v>
      </c>
      <c r="H53" t="str">
        <f t="shared" si="0"/>
        <v/>
      </c>
      <c r="I53">
        <f t="shared" si="3"/>
        <v>627</v>
      </c>
      <c r="J53">
        <f t="shared" si="4"/>
        <v>3247</v>
      </c>
      <c r="K53" t="str">
        <f t="shared" si="9"/>
        <v>Inicia</v>
      </c>
      <c r="L53" t="str">
        <f t="shared" si="8"/>
        <v>18/03/2016</v>
      </c>
      <c r="M5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v>
      </c>
      <c r="N53" t="str">
        <f t="shared" si="7"/>
        <v/>
      </c>
    </row>
    <row r="54" spans="1:14">
      <c r="A54">
        <f t="shared" si="1"/>
        <v>500</v>
      </c>
      <c r="B54">
        <f t="shared" si="10"/>
        <v>19</v>
      </c>
      <c r="C54" t="s">
        <v>196</v>
      </c>
      <c r="E54">
        <v>2</v>
      </c>
      <c r="F5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v>
      </c>
      <c r="H54" t="str">
        <f t="shared" si="0"/>
        <v/>
      </c>
      <c r="I54">
        <f t="shared" si="3"/>
        <v>628</v>
      </c>
      <c r="J54">
        <f t="shared" si="4"/>
        <v>3247</v>
      </c>
      <c r="K54" t="str">
        <f t="shared" si="9"/>
        <v>Inicia</v>
      </c>
      <c r="L54" t="str">
        <f t="shared" si="8"/>
        <v>18/03/2016</v>
      </c>
      <c r="M5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v>
      </c>
      <c r="N54" t="str">
        <f t="shared" si="7"/>
        <v/>
      </c>
    </row>
    <row r="55" spans="1:14">
      <c r="A55">
        <f t="shared" si="1"/>
        <v>501</v>
      </c>
      <c r="B55">
        <f t="shared" si="10"/>
        <v>19</v>
      </c>
      <c r="C55" t="s">
        <v>196</v>
      </c>
      <c r="E55">
        <v>2</v>
      </c>
      <c r="F5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v>
      </c>
      <c r="H55" t="str">
        <f t="shared" si="0"/>
        <v/>
      </c>
      <c r="I55">
        <f t="shared" si="3"/>
        <v>629</v>
      </c>
      <c r="J55">
        <f t="shared" si="4"/>
        <v>3247</v>
      </c>
      <c r="K55" t="str">
        <f t="shared" si="9"/>
        <v>Inicia</v>
      </c>
      <c r="L55" t="str">
        <f t="shared" si="8"/>
        <v>18/03/2016</v>
      </c>
      <c r="M5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v>
      </c>
      <c r="N55" t="str">
        <f t="shared" si="7"/>
        <v/>
      </c>
    </row>
    <row r="56" spans="1:14">
      <c r="A56">
        <f t="shared" si="1"/>
        <v>502</v>
      </c>
      <c r="B56">
        <f t="shared" si="10"/>
        <v>19</v>
      </c>
      <c r="C56" t="s">
        <v>196</v>
      </c>
      <c r="E56">
        <v>2</v>
      </c>
      <c r="F5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v>
      </c>
      <c r="H56" t="str">
        <f t="shared" si="0"/>
        <v/>
      </c>
      <c r="I56">
        <f t="shared" si="3"/>
        <v>630</v>
      </c>
      <c r="J56">
        <f t="shared" si="4"/>
        <v>3247</v>
      </c>
      <c r="K56" t="str">
        <f t="shared" si="9"/>
        <v>Inicia</v>
      </c>
      <c r="L56" t="str">
        <f t="shared" si="8"/>
        <v>18/03/2016</v>
      </c>
      <c r="M5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v>
      </c>
      <c r="N56" t="str">
        <f t="shared" si="7"/>
        <v/>
      </c>
    </row>
    <row r="57" spans="1:14">
      <c r="A57">
        <f t="shared" si="1"/>
        <v>503</v>
      </c>
      <c r="B57">
        <f t="shared" si="10"/>
        <v>19</v>
      </c>
      <c r="C57" t="s">
        <v>196</v>
      </c>
      <c r="E57">
        <v>2</v>
      </c>
      <c r="F5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v>
      </c>
      <c r="H57" t="str">
        <f t="shared" si="0"/>
        <v/>
      </c>
      <c r="I57">
        <f t="shared" si="3"/>
        <v>631</v>
      </c>
      <c r="J57">
        <f t="shared" si="4"/>
        <v>3247</v>
      </c>
      <c r="K57" t="str">
        <f t="shared" si="9"/>
        <v>Inicia</v>
      </c>
      <c r="L57" t="str">
        <f t="shared" si="8"/>
        <v>18/03/2016</v>
      </c>
      <c r="M5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v>
      </c>
      <c r="N57" t="str">
        <f t="shared" si="7"/>
        <v/>
      </c>
    </row>
    <row r="58" spans="1:14">
      <c r="A58">
        <f t="shared" si="1"/>
        <v>504</v>
      </c>
      <c r="B58">
        <f t="shared" si="10"/>
        <v>19</v>
      </c>
      <c r="C58" t="s">
        <v>196</v>
      </c>
      <c r="E58">
        <v>2</v>
      </c>
      <c r="F5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v>
      </c>
      <c r="H58" t="str">
        <f t="shared" si="0"/>
        <v/>
      </c>
      <c r="I58">
        <f t="shared" si="3"/>
        <v>632</v>
      </c>
      <c r="J58">
        <f t="shared" si="4"/>
        <v>3247</v>
      </c>
      <c r="K58" t="str">
        <f t="shared" si="9"/>
        <v>Inicia</v>
      </c>
      <c r="L58" t="str">
        <f t="shared" si="8"/>
        <v>18/03/2016</v>
      </c>
      <c r="M5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v>
      </c>
      <c r="N58" t="str">
        <f t="shared" si="7"/>
        <v/>
      </c>
    </row>
    <row r="59" spans="1:14">
      <c r="A59">
        <f t="shared" si="1"/>
        <v>505</v>
      </c>
      <c r="B59">
        <f t="shared" si="10"/>
        <v>19</v>
      </c>
      <c r="C59" t="s">
        <v>196</v>
      </c>
      <c r="E59">
        <v>2</v>
      </c>
      <c r="F5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v>
      </c>
      <c r="H59" t="str">
        <f t="shared" si="0"/>
        <v/>
      </c>
      <c r="I59">
        <f t="shared" si="3"/>
        <v>633</v>
      </c>
      <c r="J59">
        <f t="shared" si="4"/>
        <v>3247</v>
      </c>
      <c r="K59" t="str">
        <f t="shared" si="9"/>
        <v>Inicia</v>
      </c>
      <c r="L59" t="str">
        <f t="shared" si="8"/>
        <v>18/03/2016</v>
      </c>
      <c r="M5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v>
      </c>
      <c r="N59" t="str">
        <f t="shared" si="7"/>
        <v/>
      </c>
    </row>
    <row r="60" spans="1:14">
      <c r="A60">
        <f t="shared" si="1"/>
        <v>506</v>
      </c>
      <c r="B60">
        <f t="shared" si="10"/>
        <v>19</v>
      </c>
      <c r="C60" t="s">
        <v>196</v>
      </c>
      <c r="E60">
        <v>2</v>
      </c>
      <c r="F60"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v>
      </c>
      <c r="H60" t="str">
        <f t="shared" si="0"/>
        <v/>
      </c>
      <c r="I60">
        <f t="shared" si="3"/>
        <v>634</v>
      </c>
      <c r="J60">
        <f t="shared" si="4"/>
        <v>3247</v>
      </c>
      <c r="K60" t="str">
        <f t="shared" si="9"/>
        <v>Inicia</v>
      </c>
      <c r="L60" t="str">
        <f t="shared" si="8"/>
        <v>18/03/2016</v>
      </c>
      <c r="M60"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v>
      </c>
      <c r="N60" t="str">
        <f t="shared" si="7"/>
        <v/>
      </c>
    </row>
    <row r="61" spans="1:14">
      <c r="A61">
        <f t="shared" si="1"/>
        <v>507</v>
      </c>
      <c r="B61">
        <f t="shared" si="10"/>
        <v>19</v>
      </c>
      <c r="C61" t="s">
        <v>196</v>
      </c>
      <c r="E61">
        <v>2</v>
      </c>
      <c r="F61"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v>
      </c>
      <c r="H61" t="str">
        <f t="shared" si="0"/>
        <v/>
      </c>
      <c r="I61">
        <f t="shared" si="3"/>
        <v>635</v>
      </c>
      <c r="J61">
        <f t="shared" si="4"/>
        <v>3247</v>
      </c>
      <c r="K61" t="str">
        <f t="shared" si="9"/>
        <v>Inicia</v>
      </c>
      <c r="L61" t="str">
        <f t="shared" si="8"/>
        <v>18/03/2016</v>
      </c>
      <c r="M61"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v>
      </c>
      <c r="N61" t="str">
        <f t="shared" si="7"/>
        <v/>
      </c>
    </row>
    <row r="62" spans="1:14">
      <c r="A62">
        <f t="shared" si="1"/>
        <v>508</v>
      </c>
      <c r="B62">
        <f t="shared" si="10"/>
        <v>19</v>
      </c>
      <c r="C62" t="s">
        <v>196</v>
      </c>
      <c r="E62">
        <v>2</v>
      </c>
      <c r="F62"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v>
      </c>
      <c r="H62" t="str">
        <f t="shared" si="0"/>
        <v/>
      </c>
      <c r="I62">
        <f t="shared" si="3"/>
        <v>636</v>
      </c>
      <c r="J62">
        <f t="shared" si="4"/>
        <v>3247</v>
      </c>
      <c r="K62" t="str">
        <f t="shared" si="9"/>
        <v>Inicia</v>
      </c>
      <c r="L62" t="str">
        <f t="shared" si="8"/>
        <v>18/03/2016</v>
      </c>
      <c r="M62"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v>
      </c>
      <c r="N62" t="str">
        <f t="shared" si="7"/>
        <v/>
      </c>
    </row>
    <row r="63" spans="1:14">
      <c r="A63">
        <f t="shared" si="1"/>
        <v>509</v>
      </c>
      <c r="B63">
        <f t="shared" si="10"/>
        <v>19</v>
      </c>
      <c r="C63" t="s">
        <v>196</v>
      </c>
      <c r="E63">
        <v>2</v>
      </c>
      <c r="F63"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v>
      </c>
      <c r="H63" t="str">
        <f t="shared" si="0"/>
        <v/>
      </c>
      <c r="I63">
        <f t="shared" si="3"/>
        <v>637</v>
      </c>
      <c r="J63">
        <f t="shared" si="4"/>
        <v>3247</v>
      </c>
      <c r="K63" t="str">
        <f t="shared" si="9"/>
        <v>Inicia</v>
      </c>
      <c r="L63" t="str">
        <f t="shared" si="8"/>
        <v>18/03/2016</v>
      </c>
      <c r="M63"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v>
      </c>
      <c r="N63" t="str">
        <f t="shared" si="7"/>
        <v/>
      </c>
    </row>
    <row r="64" spans="1:14">
      <c r="A64">
        <f t="shared" si="1"/>
        <v>510</v>
      </c>
      <c r="B64">
        <f t="shared" si="10"/>
        <v>19</v>
      </c>
      <c r="C64" t="s">
        <v>196</v>
      </c>
      <c r="E64">
        <v>2</v>
      </c>
      <c r="F64"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v>
      </c>
      <c r="H64" t="str">
        <f t="shared" si="0"/>
        <v/>
      </c>
      <c r="I64">
        <f t="shared" si="3"/>
        <v>638</v>
      </c>
      <c r="J64">
        <f t="shared" si="4"/>
        <v>3247</v>
      </c>
      <c r="K64" t="str">
        <f t="shared" si="9"/>
        <v>Inicia</v>
      </c>
      <c r="L64" t="str">
        <f t="shared" si="8"/>
        <v>18/03/2016</v>
      </c>
      <c r="M64"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v>
      </c>
      <c r="N64" t="str">
        <f t="shared" si="7"/>
        <v/>
      </c>
    </row>
    <row r="65" spans="1:14">
      <c r="A65">
        <f t="shared" si="1"/>
        <v>511</v>
      </c>
      <c r="B65">
        <f t="shared" si="10"/>
        <v>19</v>
      </c>
      <c r="C65" t="s">
        <v>196</v>
      </c>
      <c r="E65">
        <v>2</v>
      </c>
      <c r="F65"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v>
      </c>
      <c r="H65" t="str">
        <f t="shared" si="0"/>
        <v/>
      </c>
      <c r="I65">
        <f t="shared" si="3"/>
        <v>639</v>
      </c>
      <c r="J65">
        <f t="shared" si="4"/>
        <v>3247</v>
      </c>
      <c r="K65" t="str">
        <f t="shared" si="9"/>
        <v>Inicia</v>
      </c>
      <c r="L65" t="str">
        <f t="shared" si="8"/>
        <v>18/03/2016</v>
      </c>
      <c r="M65"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v>
      </c>
      <c r="N65" t="str">
        <f t="shared" si="7"/>
        <v/>
      </c>
    </row>
    <row r="66" spans="1:14">
      <c r="A66">
        <f t="shared" si="1"/>
        <v>512</v>
      </c>
      <c r="B66">
        <f t="shared" si="10"/>
        <v>19</v>
      </c>
      <c r="C66" t="s">
        <v>196</v>
      </c>
      <c r="E66">
        <v>2</v>
      </c>
      <c r="F66"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v>
      </c>
      <c r="H66" t="str">
        <f t="shared" si="0"/>
        <v/>
      </c>
      <c r="I66">
        <f t="shared" si="3"/>
        <v>640</v>
      </c>
      <c r="J66">
        <f t="shared" si="4"/>
        <v>3247</v>
      </c>
      <c r="K66" t="str">
        <f t="shared" si="9"/>
        <v>Inicia</v>
      </c>
      <c r="L66" t="str">
        <f t="shared" si="8"/>
        <v>18/03/2016</v>
      </c>
      <c r="M66"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v>
      </c>
      <c r="N66" t="str">
        <f t="shared" si="7"/>
        <v/>
      </c>
    </row>
    <row r="67" spans="1:14">
      <c r="A67">
        <f t="shared" si="1"/>
        <v>513</v>
      </c>
      <c r="B67">
        <f t="shared" si="10"/>
        <v>19</v>
      </c>
      <c r="C67" t="s">
        <v>196</v>
      </c>
      <c r="E67">
        <v>2</v>
      </c>
      <c r="F67"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v>
      </c>
      <c r="H67" t="str">
        <f t="shared" si="0"/>
        <v/>
      </c>
      <c r="I67">
        <f t="shared" si="3"/>
        <v>641</v>
      </c>
      <c r="J67">
        <f t="shared" si="4"/>
        <v>3247</v>
      </c>
      <c r="K67" t="str">
        <f t="shared" si="9"/>
        <v>Inicia</v>
      </c>
      <c r="L67" t="str">
        <f t="shared" si="8"/>
        <v>18/03/2016</v>
      </c>
      <c r="M67"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v>
      </c>
      <c r="N67" t="str">
        <f t="shared" si="7"/>
        <v/>
      </c>
    </row>
    <row r="68" spans="1:14">
      <c r="A68">
        <f t="shared" si="1"/>
        <v>514</v>
      </c>
      <c r="B68">
        <f t="shared" si="10"/>
        <v>19</v>
      </c>
      <c r="C68" t="s">
        <v>196</v>
      </c>
      <c r="E68">
        <v>2</v>
      </c>
      <c r="F68"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v>
      </c>
      <c r="H68" t="str">
        <f t="shared" ref="H68:H96" si="11">IF(AND(D69="",D68&lt;&gt;""),F68,"")</f>
        <v/>
      </c>
      <c r="I68">
        <f t="shared" si="3"/>
        <v>642</v>
      </c>
      <c r="J68">
        <f t="shared" si="4"/>
        <v>3247</v>
      </c>
      <c r="K68" t="str">
        <f t="shared" si="9"/>
        <v>Inicia</v>
      </c>
      <c r="L68" t="str">
        <f t="shared" si="8"/>
        <v>18/03/2016</v>
      </c>
      <c r="M68"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v>
      </c>
      <c r="N68" t="str">
        <f t="shared" si="7"/>
        <v/>
      </c>
    </row>
    <row r="69" spans="1:14">
      <c r="A69">
        <f t="shared" si="1"/>
        <v>515</v>
      </c>
      <c r="B69">
        <f t="shared" si="10"/>
        <v>19</v>
      </c>
      <c r="C69" t="s">
        <v>196</v>
      </c>
      <c r="E69">
        <v>2</v>
      </c>
      <c r="F69" t="str">
        <f t="shared" si="2"/>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v>
      </c>
      <c r="H69" t="str">
        <f t="shared" si="11"/>
        <v/>
      </c>
      <c r="I69">
        <f t="shared" si="3"/>
        <v>643</v>
      </c>
      <c r="J69">
        <f t="shared" si="4"/>
        <v>3247</v>
      </c>
      <c r="K69" t="str">
        <f t="shared" si="9"/>
        <v>Inicia</v>
      </c>
      <c r="L69" t="str">
        <f t="shared" si="8"/>
        <v>18/03/2016</v>
      </c>
      <c r="M69" t="str">
        <f t="shared" si="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v>
      </c>
      <c r="N69" t="str">
        <f t="shared" si="7"/>
        <v/>
      </c>
    </row>
    <row r="70" spans="1:14">
      <c r="A70">
        <f t="shared" ref="A70:A96" si="12">+A69+1</f>
        <v>516</v>
      </c>
      <c r="B70">
        <f t="shared" si="10"/>
        <v>19</v>
      </c>
      <c r="C70" t="s">
        <v>196</v>
      </c>
      <c r="E70">
        <v>2</v>
      </c>
      <c r="F70" t="str">
        <f t="shared" ref="F70:F96" si="13">F69&amp;", ("&amp;A70&amp;", "&amp;A70&amp;","&amp;B70&amp;","&amp;CHAR(34)&amp;C70&amp;CHAR(34)&amp;","&amp;CHAR(34)&amp;D70&amp;CHAR(34)&amp;","&amp;CHAR(34)&amp;"S"&amp;CHAR(34)&amp;","&amp;E70&amp;")"</f>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v>
      </c>
      <c r="H70" t="str">
        <f t="shared" si="11"/>
        <v/>
      </c>
      <c r="I70">
        <f t="shared" ref="I70:I96" si="14">+I69+1</f>
        <v>644</v>
      </c>
      <c r="J70">
        <f t="shared" ref="J70:J96" si="15">+J69</f>
        <v>3247</v>
      </c>
      <c r="K70" t="str">
        <f t="shared" si="9"/>
        <v>Inicia</v>
      </c>
      <c r="L70" t="str">
        <f t="shared" si="8"/>
        <v>18/03/2016</v>
      </c>
      <c r="M70" t="str">
        <f t="shared" ref="M70:M96" si="16">M69&amp;", ("&amp;A70&amp;", "&amp;J70&amp;","&amp;I70&amp;","&amp;CHAR(34)&amp;K70&amp;CHAR(34)&amp;","&amp;CHAR(34)&amp;L69&amp;CHAR(34)&amp;", 4)"</f>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v>
      </c>
      <c r="N70" t="str">
        <f t="shared" ref="N70:N96" si="17">IF(AND(D71="",D70&lt;&gt;""),M70,"")</f>
        <v/>
      </c>
    </row>
    <row r="71" spans="1:14">
      <c r="A71">
        <f t="shared" si="12"/>
        <v>517</v>
      </c>
      <c r="B71">
        <f t="shared" si="10"/>
        <v>19</v>
      </c>
      <c r="C71" t="s">
        <v>196</v>
      </c>
      <c r="E71">
        <v>2</v>
      </c>
      <c r="F71"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v>
      </c>
      <c r="H71" t="str">
        <f t="shared" si="11"/>
        <v/>
      </c>
      <c r="I71">
        <f t="shared" si="14"/>
        <v>645</v>
      </c>
      <c r="J71">
        <f t="shared" si="15"/>
        <v>3247</v>
      </c>
      <c r="K71" t="str">
        <f t="shared" si="9"/>
        <v>Inicia</v>
      </c>
      <c r="L71" t="str">
        <f t="shared" si="8"/>
        <v>18/03/2016</v>
      </c>
      <c r="M71"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v>
      </c>
      <c r="N71" t="str">
        <f t="shared" si="17"/>
        <v/>
      </c>
    </row>
    <row r="72" spans="1:14">
      <c r="A72">
        <f t="shared" si="12"/>
        <v>518</v>
      </c>
      <c r="B72">
        <f t="shared" si="10"/>
        <v>19</v>
      </c>
      <c r="C72" t="s">
        <v>196</v>
      </c>
      <c r="E72">
        <v>2</v>
      </c>
      <c r="F72"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v>
      </c>
      <c r="H72" t="str">
        <f t="shared" si="11"/>
        <v/>
      </c>
      <c r="I72">
        <f t="shared" si="14"/>
        <v>646</v>
      </c>
      <c r="J72">
        <f t="shared" si="15"/>
        <v>3247</v>
      </c>
      <c r="K72" t="str">
        <f t="shared" si="9"/>
        <v>Inicia</v>
      </c>
      <c r="L72" t="str">
        <f t="shared" si="8"/>
        <v>18/03/2016</v>
      </c>
      <c r="M72"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v>
      </c>
      <c r="N72" t="str">
        <f t="shared" si="17"/>
        <v/>
      </c>
    </row>
    <row r="73" spans="1:14">
      <c r="A73">
        <f t="shared" si="12"/>
        <v>519</v>
      </c>
      <c r="B73">
        <f t="shared" si="10"/>
        <v>19</v>
      </c>
      <c r="E73">
        <v>1</v>
      </c>
      <c r="F73"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v>
      </c>
      <c r="H73" t="str">
        <f t="shared" si="11"/>
        <v/>
      </c>
      <c r="I73">
        <f t="shared" si="14"/>
        <v>647</v>
      </c>
      <c r="J73">
        <f t="shared" si="15"/>
        <v>3247</v>
      </c>
      <c r="K73" t="str">
        <f t="shared" si="9"/>
        <v>Inicia</v>
      </c>
      <c r="L73" t="str">
        <f t="shared" si="8"/>
        <v>18/03/2016</v>
      </c>
      <c r="M73"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v>
      </c>
      <c r="N73" t="str">
        <f t="shared" si="17"/>
        <v/>
      </c>
    </row>
    <row r="74" spans="1:14">
      <c r="A74">
        <f t="shared" si="12"/>
        <v>520</v>
      </c>
      <c r="B74">
        <f t="shared" si="10"/>
        <v>19</v>
      </c>
      <c r="E74">
        <v>1</v>
      </c>
      <c r="F74"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v>
      </c>
      <c r="H74" t="str">
        <f t="shared" si="11"/>
        <v/>
      </c>
      <c r="I74">
        <f t="shared" si="14"/>
        <v>648</v>
      </c>
      <c r="J74">
        <f t="shared" si="15"/>
        <v>3247</v>
      </c>
      <c r="K74" t="str">
        <f t="shared" si="9"/>
        <v>Inicia</v>
      </c>
      <c r="L74" t="str">
        <f t="shared" si="8"/>
        <v>18/03/2016</v>
      </c>
      <c r="M74"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v>
      </c>
      <c r="N74" t="str">
        <f t="shared" si="17"/>
        <v/>
      </c>
    </row>
    <row r="75" spans="1:14">
      <c r="A75">
        <f t="shared" si="12"/>
        <v>521</v>
      </c>
      <c r="B75">
        <f t="shared" si="10"/>
        <v>19</v>
      </c>
      <c r="E75">
        <v>1</v>
      </c>
      <c r="F75"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v>
      </c>
      <c r="H75" t="str">
        <f t="shared" si="11"/>
        <v/>
      </c>
      <c r="I75">
        <f t="shared" si="14"/>
        <v>649</v>
      </c>
      <c r="J75">
        <f t="shared" si="15"/>
        <v>3247</v>
      </c>
      <c r="K75" t="str">
        <f t="shared" si="9"/>
        <v>Inicia</v>
      </c>
      <c r="L75" t="str">
        <f t="shared" si="8"/>
        <v>18/03/2016</v>
      </c>
      <c r="M75"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v>
      </c>
      <c r="N75" t="str">
        <f t="shared" si="17"/>
        <v/>
      </c>
    </row>
    <row r="76" spans="1:14">
      <c r="A76">
        <f t="shared" si="12"/>
        <v>522</v>
      </c>
      <c r="B76">
        <f t="shared" si="10"/>
        <v>19</v>
      </c>
      <c r="E76">
        <v>1</v>
      </c>
      <c r="F76"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v>
      </c>
      <c r="H76" t="str">
        <f t="shared" si="11"/>
        <v/>
      </c>
      <c r="I76">
        <f t="shared" si="14"/>
        <v>650</v>
      </c>
      <c r="J76">
        <f t="shared" si="15"/>
        <v>3247</v>
      </c>
      <c r="K76" t="str">
        <f t="shared" si="9"/>
        <v>Inicia</v>
      </c>
      <c r="L76" t="str">
        <f t="shared" si="8"/>
        <v>18/03/2016</v>
      </c>
      <c r="M76"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v>
      </c>
      <c r="N76" t="str">
        <f t="shared" si="17"/>
        <v/>
      </c>
    </row>
    <row r="77" spans="1:14">
      <c r="A77">
        <f t="shared" si="12"/>
        <v>523</v>
      </c>
      <c r="B77">
        <f t="shared" si="10"/>
        <v>19</v>
      </c>
      <c r="E77">
        <v>1</v>
      </c>
      <c r="F77"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v>
      </c>
      <c r="H77" t="str">
        <f t="shared" si="11"/>
        <v/>
      </c>
      <c r="I77">
        <f t="shared" si="14"/>
        <v>651</v>
      </c>
      <c r="J77">
        <f t="shared" si="15"/>
        <v>3247</v>
      </c>
      <c r="K77" t="str">
        <f t="shared" si="9"/>
        <v>Inicia</v>
      </c>
      <c r="L77" t="str">
        <f t="shared" si="8"/>
        <v>18/03/2016</v>
      </c>
      <c r="M77"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v>
      </c>
      <c r="N77" t="str">
        <f t="shared" si="17"/>
        <v/>
      </c>
    </row>
    <row r="78" spans="1:14">
      <c r="A78">
        <f t="shared" si="12"/>
        <v>524</v>
      </c>
      <c r="B78">
        <f t="shared" si="10"/>
        <v>19</v>
      </c>
      <c r="E78">
        <v>1</v>
      </c>
      <c r="F78"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v>
      </c>
      <c r="H78" t="str">
        <f t="shared" si="11"/>
        <v/>
      </c>
      <c r="I78">
        <f t="shared" si="14"/>
        <v>652</v>
      </c>
      <c r="J78">
        <f t="shared" si="15"/>
        <v>3247</v>
      </c>
      <c r="K78" t="str">
        <f t="shared" si="9"/>
        <v>Inicia</v>
      </c>
      <c r="L78" t="str">
        <f t="shared" si="8"/>
        <v>18/03/2016</v>
      </c>
      <c r="M78"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v>
      </c>
      <c r="N78" t="str">
        <f t="shared" si="17"/>
        <v/>
      </c>
    </row>
    <row r="79" spans="1:14">
      <c r="A79">
        <f t="shared" si="12"/>
        <v>525</v>
      </c>
      <c r="B79">
        <f t="shared" si="10"/>
        <v>19</v>
      </c>
      <c r="E79">
        <v>1</v>
      </c>
      <c r="F79"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v>
      </c>
      <c r="H79" t="str">
        <f t="shared" si="11"/>
        <v/>
      </c>
      <c r="I79">
        <f t="shared" si="14"/>
        <v>653</v>
      </c>
      <c r="J79">
        <f t="shared" si="15"/>
        <v>3247</v>
      </c>
      <c r="K79" t="str">
        <f t="shared" si="9"/>
        <v>Inicia</v>
      </c>
      <c r="L79" t="str">
        <f t="shared" si="8"/>
        <v>18/03/2016</v>
      </c>
      <c r="M79"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v>
      </c>
      <c r="N79" t="str">
        <f t="shared" si="17"/>
        <v/>
      </c>
    </row>
    <row r="80" spans="1:14">
      <c r="A80">
        <f t="shared" si="12"/>
        <v>526</v>
      </c>
      <c r="B80">
        <f t="shared" si="10"/>
        <v>19</v>
      </c>
      <c r="E80">
        <v>1</v>
      </c>
      <c r="F80"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v>
      </c>
      <c r="H80" t="str">
        <f t="shared" si="11"/>
        <v/>
      </c>
      <c r="I80">
        <f t="shared" si="14"/>
        <v>654</v>
      </c>
      <c r="J80">
        <f t="shared" si="15"/>
        <v>3247</v>
      </c>
      <c r="K80" t="str">
        <f t="shared" si="9"/>
        <v>Inicia</v>
      </c>
      <c r="L80" t="str">
        <f t="shared" si="8"/>
        <v>18/03/2016</v>
      </c>
      <c r="M80"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v>
      </c>
      <c r="N80" t="str">
        <f t="shared" si="17"/>
        <v/>
      </c>
    </row>
    <row r="81" spans="1:14">
      <c r="A81">
        <f t="shared" si="12"/>
        <v>527</v>
      </c>
      <c r="B81">
        <f t="shared" si="10"/>
        <v>19</v>
      </c>
      <c r="E81">
        <v>1</v>
      </c>
      <c r="F81"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v>
      </c>
      <c r="H81" t="str">
        <f t="shared" si="11"/>
        <v/>
      </c>
      <c r="I81">
        <f t="shared" si="14"/>
        <v>655</v>
      </c>
      <c r="J81">
        <f t="shared" si="15"/>
        <v>3247</v>
      </c>
      <c r="K81" t="str">
        <f t="shared" si="9"/>
        <v>Inicia</v>
      </c>
      <c r="L81" t="str">
        <f t="shared" si="8"/>
        <v>18/03/2016</v>
      </c>
      <c r="M81"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v>
      </c>
      <c r="N81" t="str">
        <f t="shared" si="17"/>
        <v/>
      </c>
    </row>
    <row r="82" spans="1:14">
      <c r="A82">
        <f t="shared" si="12"/>
        <v>528</v>
      </c>
      <c r="B82">
        <f t="shared" si="10"/>
        <v>19</v>
      </c>
      <c r="E82">
        <v>1</v>
      </c>
      <c r="F82"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v>
      </c>
      <c r="H82" t="str">
        <f t="shared" si="11"/>
        <v/>
      </c>
      <c r="I82">
        <f t="shared" si="14"/>
        <v>656</v>
      </c>
      <c r="J82">
        <f t="shared" si="15"/>
        <v>3247</v>
      </c>
      <c r="K82" t="str">
        <f t="shared" si="9"/>
        <v>Inicia</v>
      </c>
      <c r="L82" t="str">
        <f t="shared" si="8"/>
        <v>18/03/2016</v>
      </c>
      <c r="M82"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v>
      </c>
      <c r="N82" t="str">
        <f t="shared" si="17"/>
        <v/>
      </c>
    </row>
    <row r="83" spans="1:14">
      <c r="A83">
        <f t="shared" si="12"/>
        <v>529</v>
      </c>
      <c r="B83">
        <f t="shared" si="10"/>
        <v>19</v>
      </c>
      <c r="E83">
        <v>1</v>
      </c>
      <c r="F83"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v>
      </c>
      <c r="H83" t="str">
        <f t="shared" si="11"/>
        <v/>
      </c>
      <c r="I83">
        <f t="shared" si="14"/>
        <v>657</v>
      </c>
      <c r="J83">
        <f t="shared" si="15"/>
        <v>3247</v>
      </c>
      <c r="K83" t="str">
        <f t="shared" si="9"/>
        <v>Inicia</v>
      </c>
      <c r="L83" t="str">
        <f t="shared" si="8"/>
        <v>18/03/2016</v>
      </c>
      <c r="M83"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v>
      </c>
      <c r="N83" t="str">
        <f t="shared" si="17"/>
        <v/>
      </c>
    </row>
    <row r="84" spans="1:14">
      <c r="A84">
        <f t="shared" si="12"/>
        <v>530</v>
      </c>
      <c r="B84">
        <f t="shared" si="10"/>
        <v>19</v>
      </c>
      <c r="E84">
        <v>1</v>
      </c>
      <c r="F84"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v>
      </c>
      <c r="H84" t="str">
        <f t="shared" si="11"/>
        <v/>
      </c>
      <c r="I84">
        <f t="shared" si="14"/>
        <v>658</v>
      </c>
      <c r="J84">
        <f t="shared" si="15"/>
        <v>3247</v>
      </c>
      <c r="K84" t="str">
        <f t="shared" si="9"/>
        <v>Inicia</v>
      </c>
      <c r="L84" t="str">
        <f t="shared" si="8"/>
        <v>18/03/2016</v>
      </c>
      <c r="M84"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v>
      </c>
      <c r="N84" t="str">
        <f t="shared" si="17"/>
        <v/>
      </c>
    </row>
    <row r="85" spans="1:14">
      <c r="A85">
        <f t="shared" si="12"/>
        <v>531</v>
      </c>
      <c r="B85">
        <f t="shared" si="10"/>
        <v>19</v>
      </c>
      <c r="E85">
        <v>1</v>
      </c>
      <c r="F85"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v>
      </c>
      <c r="H85" t="str">
        <f t="shared" si="11"/>
        <v/>
      </c>
      <c r="I85">
        <f t="shared" si="14"/>
        <v>659</v>
      </c>
      <c r="J85">
        <f t="shared" si="15"/>
        <v>3247</v>
      </c>
      <c r="K85" t="str">
        <f t="shared" si="9"/>
        <v>Inicia</v>
      </c>
      <c r="L85" t="str">
        <f t="shared" si="8"/>
        <v>18/03/2016</v>
      </c>
      <c r="M85"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v>
      </c>
      <c r="N85" t="str">
        <f t="shared" si="17"/>
        <v/>
      </c>
    </row>
    <row r="86" spans="1:14">
      <c r="A86">
        <f t="shared" si="12"/>
        <v>532</v>
      </c>
      <c r="B86">
        <f t="shared" si="10"/>
        <v>19</v>
      </c>
      <c r="E86">
        <v>1</v>
      </c>
      <c r="F86"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v>
      </c>
      <c r="H86" t="str">
        <f t="shared" si="11"/>
        <v/>
      </c>
      <c r="I86">
        <f t="shared" si="14"/>
        <v>660</v>
      </c>
      <c r="J86">
        <f t="shared" si="15"/>
        <v>3247</v>
      </c>
      <c r="K86" t="str">
        <f t="shared" si="9"/>
        <v>Inicia</v>
      </c>
      <c r="L86" t="str">
        <f t="shared" si="9"/>
        <v>18/03/2016</v>
      </c>
      <c r="M86"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v>
      </c>
      <c r="N86" t="str">
        <f t="shared" si="17"/>
        <v/>
      </c>
    </row>
    <row r="87" spans="1:14">
      <c r="A87">
        <f t="shared" si="12"/>
        <v>533</v>
      </c>
      <c r="B87">
        <f t="shared" si="10"/>
        <v>19</v>
      </c>
      <c r="D87" s="48"/>
      <c r="E87">
        <v>1</v>
      </c>
      <c r="F87"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v>
      </c>
      <c r="H87" t="str">
        <f t="shared" si="11"/>
        <v/>
      </c>
      <c r="I87">
        <f t="shared" si="14"/>
        <v>661</v>
      </c>
      <c r="J87">
        <f t="shared" si="15"/>
        <v>3247</v>
      </c>
      <c r="K87" t="str">
        <f t="shared" si="9"/>
        <v>Inicia</v>
      </c>
      <c r="L87" t="str">
        <f t="shared" si="9"/>
        <v>18/03/2016</v>
      </c>
      <c r="M87"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v>
      </c>
      <c r="N87" t="str">
        <f t="shared" si="17"/>
        <v/>
      </c>
    </row>
    <row r="88" spans="1:14">
      <c r="A88">
        <f t="shared" si="12"/>
        <v>534</v>
      </c>
      <c r="B88">
        <f t="shared" si="10"/>
        <v>19</v>
      </c>
      <c r="E88">
        <v>2</v>
      </c>
      <c r="F88"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v>
      </c>
      <c r="H88" t="str">
        <f t="shared" si="11"/>
        <v/>
      </c>
      <c r="I88">
        <f t="shared" si="14"/>
        <v>662</v>
      </c>
      <c r="J88">
        <f t="shared" si="15"/>
        <v>3247</v>
      </c>
      <c r="K88" t="str">
        <f t="shared" si="9"/>
        <v>Inicia</v>
      </c>
      <c r="L88" t="str">
        <f t="shared" si="9"/>
        <v>18/03/2016</v>
      </c>
      <c r="M88"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v>
      </c>
      <c r="N88" t="str">
        <f t="shared" si="17"/>
        <v/>
      </c>
    </row>
    <row r="89" spans="1:14">
      <c r="A89">
        <f t="shared" si="12"/>
        <v>535</v>
      </c>
      <c r="B89">
        <f t="shared" si="10"/>
        <v>19</v>
      </c>
      <c r="E89">
        <v>2</v>
      </c>
      <c r="F89"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v>
      </c>
      <c r="H89" t="str">
        <f t="shared" si="11"/>
        <v/>
      </c>
      <c r="I89">
        <f t="shared" si="14"/>
        <v>663</v>
      </c>
      <c r="J89">
        <f t="shared" si="15"/>
        <v>3247</v>
      </c>
      <c r="K89" t="str">
        <f t="shared" si="9"/>
        <v>Inicia</v>
      </c>
      <c r="L89" t="str">
        <f t="shared" si="9"/>
        <v>18/03/2016</v>
      </c>
      <c r="M89"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v>
      </c>
      <c r="N89" t="str">
        <f t="shared" si="17"/>
        <v/>
      </c>
    </row>
    <row r="90" spans="1:14">
      <c r="A90">
        <f t="shared" si="12"/>
        <v>536</v>
      </c>
      <c r="B90">
        <f t="shared" si="10"/>
        <v>19</v>
      </c>
      <c r="E90">
        <v>2</v>
      </c>
      <c r="F90"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v>
      </c>
      <c r="H90" t="str">
        <f t="shared" si="11"/>
        <v/>
      </c>
      <c r="I90">
        <f t="shared" si="14"/>
        <v>664</v>
      </c>
      <c r="J90">
        <f t="shared" si="15"/>
        <v>3247</v>
      </c>
      <c r="K90" t="str">
        <f t="shared" si="9"/>
        <v>Inicia</v>
      </c>
      <c r="L90" t="str">
        <f t="shared" si="9"/>
        <v>18/03/2016</v>
      </c>
      <c r="M90"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v>
      </c>
      <c r="N90" t="str">
        <f t="shared" si="17"/>
        <v/>
      </c>
    </row>
    <row r="91" spans="1:14">
      <c r="A91">
        <f t="shared" si="12"/>
        <v>537</v>
      </c>
      <c r="B91">
        <f t="shared" si="10"/>
        <v>19</v>
      </c>
      <c r="E91">
        <v>2</v>
      </c>
      <c r="F91"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v>
      </c>
      <c r="H91" t="str">
        <f t="shared" si="11"/>
        <v/>
      </c>
      <c r="I91">
        <f t="shared" si="14"/>
        <v>665</v>
      </c>
      <c r="J91">
        <f t="shared" si="15"/>
        <v>3247</v>
      </c>
      <c r="K91" t="str">
        <f t="shared" si="9"/>
        <v>Inicia</v>
      </c>
      <c r="L91" t="str">
        <f t="shared" si="9"/>
        <v>18/03/2016</v>
      </c>
      <c r="M91"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v>
      </c>
      <c r="N91" t="str">
        <f t="shared" si="17"/>
        <v/>
      </c>
    </row>
    <row r="92" spans="1:14">
      <c r="A92">
        <f t="shared" si="12"/>
        <v>538</v>
      </c>
      <c r="B92">
        <f t="shared" si="10"/>
        <v>19</v>
      </c>
      <c r="E92">
        <v>2</v>
      </c>
      <c r="F92"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 (538, 538,19,"","","S",2)</v>
      </c>
      <c r="H92" t="str">
        <f t="shared" si="11"/>
        <v/>
      </c>
      <c r="I92">
        <f t="shared" si="14"/>
        <v>666</v>
      </c>
      <c r="J92">
        <f t="shared" si="15"/>
        <v>3247</v>
      </c>
      <c r="K92" t="str">
        <f t="shared" si="9"/>
        <v>Inicia</v>
      </c>
      <c r="L92" t="str">
        <f t="shared" si="9"/>
        <v>18/03/2016</v>
      </c>
      <c r="M92"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 (538, 3247,666,"Inicia","18/03/2016", 4)</v>
      </c>
      <c r="N92" t="str">
        <f t="shared" si="17"/>
        <v/>
      </c>
    </row>
    <row r="93" spans="1:14">
      <c r="A93">
        <f t="shared" si="12"/>
        <v>539</v>
      </c>
      <c r="B93">
        <f t="shared" si="10"/>
        <v>19</v>
      </c>
      <c r="E93">
        <v>2</v>
      </c>
      <c r="F93"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 (538, 538,19,"","","S",2), (539, 539,19,"","","S",2)</v>
      </c>
      <c r="H93" t="str">
        <f t="shared" si="11"/>
        <v/>
      </c>
      <c r="I93">
        <f t="shared" si="14"/>
        <v>667</v>
      </c>
      <c r="J93">
        <f t="shared" si="15"/>
        <v>3247</v>
      </c>
      <c r="K93" t="str">
        <f t="shared" si="9"/>
        <v>Inicia</v>
      </c>
      <c r="L93" t="str">
        <f t="shared" si="9"/>
        <v>18/03/2016</v>
      </c>
      <c r="M93"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 (538, 3247,666,"Inicia","18/03/2016", 4), (539, 3247,667,"Inicia","18/03/2016", 4)</v>
      </c>
      <c r="N93" t="str">
        <f t="shared" si="17"/>
        <v/>
      </c>
    </row>
    <row r="94" spans="1:14">
      <c r="A94">
        <f t="shared" si="12"/>
        <v>540</v>
      </c>
      <c r="B94">
        <f t="shared" si="10"/>
        <v>19</v>
      </c>
      <c r="E94">
        <v>2</v>
      </c>
      <c r="F94"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 (538, 538,19,"","","S",2), (539, 539,19,"","","S",2), (540, 540,19,"","","S",2)</v>
      </c>
      <c r="H94" t="str">
        <f t="shared" si="11"/>
        <v/>
      </c>
      <c r="I94">
        <f t="shared" si="14"/>
        <v>668</v>
      </c>
      <c r="J94">
        <f t="shared" si="15"/>
        <v>3247</v>
      </c>
      <c r="K94" t="str">
        <f t="shared" si="9"/>
        <v>Inicia</v>
      </c>
      <c r="L94" t="str">
        <f t="shared" si="9"/>
        <v>18/03/2016</v>
      </c>
      <c r="M94"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 (538, 3247,666,"Inicia","18/03/2016", 4), (539, 3247,667,"Inicia","18/03/2016", 4), (540, 3247,668,"Inicia","18/03/2016", 4)</v>
      </c>
      <c r="N94" t="str">
        <f t="shared" si="17"/>
        <v/>
      </c>
    </row>
    <row r="95" spans="1:14">
      <c r="A95">
        <f t="shared" si="12"/>
        <v>541</v>
      </c>
      <c r="B95">
        <f t="shared" si="10"/>
        <v>19</v>
      </c>
      <c r="E95">
        <v>2</v>
      </c>
      <c r="F95"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 (538, 538,19,"","","S",2), (539, 539,19,"","","S",2), (540, 540,19,"","","S",2), (541, 541,19,"","","S",2)</v>
      </c>
      <c r="H95" t="str">
        <f t="shared" si="11"/>
        <v/>
      </c>
      <c r="I95">
        <f t="shared" si="14"/>
        <v>669</v>
      </c>
      <c r="J95">
        <f t="shared" si="15"/>
        <v>3247</v>
      </c>
      <c r="K95" t="str">
        <f t="shared" si="9"/>
        <v>Inicia</v>
      </c>
      <c r="L95" t="str">
        <f t="shared" si="9"/>
        <v>18/03/2016</v>
      </c>
      <c r="M95"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 (538, 3247,666,"Inicia","18/03/2016", 4), (539, 3247,667,"Inicia","18/03/2016", 4), (540, 3247,668,"Inicia","18/03/2016", 4), (541, 3247,669,"Inicia","18/03/2016", 4)</v>
      </c>
      <c r="N95" t="str">
        <f t="shared" si="17"/>
        <v/>
      </c>
    </row>
    <row r="96" spans="1:14">
      <c r="A96">
        <f t="shared" si="12"/>
        <v>542</v>
      </c>
      <c r="B96">
        <f t="shared" si="10"/>
        <v>19</v>
      </c>
      <c r="E96">
        <v>2</v>
      </c>
      <c r="F96" t="str">
        <f t="shared" si="13"/>
        <v>INSERT INTO bita11paginas (bita11consec, bita11id, bita11idsistema, bita11carpeta, bita11nombre, bita11vigente, bita11tipo) VALUES (450, 450,19,"lg/","lg_1916_es.php","S",2), (451, 451,19,"lg/","lg_1916_en.php","S",2), (452, 452,19,"lg/","lg_1916_pt.php","S",2), (453, 453,19,"lg/","lg_1919_es.php","S",2), (454, 454,19,"lg/","lg_1919_en.php","S",2), (455, 455,19,"lg/","lg_1919_pt.php","S",2), (456, 456,19,"lg/","lg_1918_es.php","S",2), (457, 457,19,"lg/","lg_1918_en.php","S",2), (458, 458,19,"lg/","lg_1918_pt.php","S",2), (459, 459,19,"lg/","lg_1924_es.php","S",2), (460, 460,19,"lg/","lg_1924_en.php","S",2), (461, 461,19,"lg/","lg_1924_pt.php","S",2), (462, 462,19,"lg/","lg_1925_es.php","S",2), (463, 463,19,"lg/","lg_1925_en.php","S",2), (464, 464,19,"lg/","lg_1925_pt.php","S",2), (465, 465,19,"","evenencuesta.php","S",1), (466, 466,19,"","lib1916.php","S",1), (467, 467,19,"","lib1919.php","S",1), (468, 468,19,"","lib1918.php","S",1), (469, 469,19,"","lib1924.php","S",1), (470, 470,19,"","lib1925.php","S",1), (471, 471,19,"","ac_1916.js","S",5), (472, 472,19,"lg/","lg_1921_es.php","S",2), (473, 473,19,"lg/","lg_1921_en.php","S",2), (474, 474,19,"lg/","lg_1921_pt.php","S",2), (475, 475,19,"","lib1921.php","S",1), (476, 476,19,"lg/","lg_1929_es.php","S",2), (477, 477,19,"lg/","lg_1929_en.php","S",2), (478, 478,19,"lg/","lg_1929_pt.php","S",2), (479, 479,19,"","lib1929.php","S",1), (480, 480,20,"lg/","lg_1926_es.php","S",2), (481, 481,20,"lg/","lg_1926_en.php","S",2), (482, 482,20,"lg/","lg_1926_pt.php","S",2), (483, 483,20,"","encuesta.php","S",1), (484, 484,20,"","lib1926.php","S",1), (485, 485,19,"lg/","","S",2), (486, 486,19,"lg/","","S",2), (487, 487,19,"lg/","","S",2), (488, 488,19,"lg/","","S",2), (489, 489,19,"lg/","","S",2), (490, 490,19,"lg/","","S",2), (491, 491,19,"lg/","","S",2), (492, 492,19,"lg/","","S",2), (493, 493,19,"lg/","","S",2), (494, 494,19,"lg/","","S",2), (495, 495,19,"lg/","","S",2), (496, 496,19,"lg/","","S",2), (497, 497,19,"lg/","","S",2), (498, 498,19,"lg/","","S",2), (499, 499,19,"lg/","","S",2), (500, 500,19,"lg/","","S",2), (501, 501,19,"lg/","","S",2), (502, 502,19,"lg/","","S",2), (503, 503,19,"lg/","","S",2), (504, 504,19,"lg/","","S",2), (505, 505,19,"lg/","","S",2), (506, 506,19,"lg/","","S",2), (507, 507,19,"lg/","","S",2), (508, 508,19,"lg/","","S",2), (509, 509,19,"lg/","","S",2), (510, 510,19,"lg/","","S",2), (511, 511,19,"lg/","","S",2), (512, 512,19,"lg/","","S",2), (513, 513,19,"lg/","","S",2), (514, 514,19,"lg/","","S",2), (515, 515,19,"lg/","","S",2), (516, 516,19,"lg/","","S",2), (517, 517,19,"lg/","","S",2), (518, 518,19,"lg/","","S",2), (519, 519,19,"","","S",1), (520, 520,19,"","","S",1), (521, 521,19,"","","S",1), (522, 522,19,"","","S",1), (523, 523,19,"","","S",1), (524, 524,19,"","","S",1), (525, 525,19,"","","S",1), (526, 526,19,"","","S",1), (527, 527,19,"","","S",1), (528, 528,19,"","","S",1), (529, 529,19,"","","S",1), (530, 530,19,"","","S",1), (531, 531,19,"","","S",1), (532, 532,19,"","","S",1), (533, 533,19,"","","S",1), (534, 534,19,"","","S",2), (535, 535,19,"","","S",2), (536, 536,19,"","","S",2), (537, 537,19,"","","S",2), (538, 538,19,"","","S",2), (539, 539,19,"","","S",2), (540, 540,19,"","","S",2), (541, 541,19,"","","S",2), (542, 542,19,"","","S",2)</v>
      </c>
      <c r="H96" t="str">
        <f t="shared" si="11"/>
        <v/>
      </c>
      <c r="I96">
        <f t="shared" si="14"/>
        <v>670</v>
      </c>
      <c r="J96">
        <f t="shared" si="15"/>
        <v>3247</v>
      </c>
      <c r="K96" t="str">
        <f t="shared" si="9"/>
        <v>Inicia</v>
      </c>
      <c r="L96" t="str">
        <f t="shared" si="9"/>
        <v>18/03/2016</v>
      </c>
      <c r="M96" t="str">
        <f t="shared" si="16"/>
        <v>INSERT INTO bita12pagcambios (bita12idpagina, bita12consec, bita12id, bita12detalle, bita12fecha, bita12usuario) VALUES (450, 3247,578,"Inicia","18/03/2016", 4), (451, 3247,579,"Inicia","18/03/2016", 4), (452, 3247,580,"Inicia","18/03/2016", 4), (453, 3247,581,"Inicia","18/03/2016", 4), (454, 3247,582,"Inicia","18/03/2016", 4), (455, 3247,583,"Inicia","18/03/2016", 4), (456, 3247,584,"Inicia","18/03/2016", 4), (457, 3247,585,"Inicia","18/03/2016", 4), (458, 3247,586,"Inicia","18/03/2016", 4), (459, 3247,587,"Inicia","18/03/2016", 4), (460, 3247,588,"Inicia","18/03/2016", 4), (461, 3247,589,"Inicia","18/03/2016", 4), (462, 3247,590,"Inicia","18/03/2016", 4), (463, 3247,591,"Inicia","18/03/2016", 4), (464, 3247,592,"Inicia","18/03/2016", 4), (465, 3247,593,"Inicia","18/03/2016", 4), (466, 3247,594,"Inicia","18/03/2016", 4), (467, 3247,595,"Inicia","18/03/2016", 4), (468, 3247,596,"Inicia","18/03/2016", 4), (469, 3247,597,"Inicia","18/03/2016", 4), (470, 3247,598,"Inicia","18/03/2016", 4), (471, 3247,599,"Inicia","18/03/2016", 4), (472, 3247,600,"Inicia","18/03/2016", 4), (473, 3247,601,"Inicia","18/03/2016", 4), (474, 3247,602,"Inicia","18/03/2016", 4), (475, 3247,603,"Inicia","18/03/2016", 4), (476, 3247,604,"Inicia","18/03/2016", 4), (477, 3247,605,"Inicia","18/03/2016", 4), (478, 3247,606,"Inicia","18/03/2016", 4), (479, 3247,607,"Inicia","18/03/2016", 4), (480, 3247,608,"Inicia","18/03/2016", 4), (481, 3247,609,"Inicia","18/03/2016", 4), (482, 3247,610,"Inicia","18/03/2016", 4), (483, 3247,611,"Inicia","18/03/2016", 4), (484, 3247,612,"Inicia","18/03/2016", 4), (485, 3247,613,"Inicia","18/03/2016", 4), (486, 3247,614,"Inicia","18/03/2016", 4), (487, 3247,615,"Inicia","18/03/2016", 4), (488, 3247,616,"Inicia","18/03/2016", 4), (489, 3247,617,"Inicia","18/03/2016", 4), (490, 3247,618,"Inicia","18/03/2016", 4), (491, 3247,619,"Inicia","18/03/2016", 4), (492, 3247,620,"Inicia","18/03/2016", 4), (493, 3247,621,"Inicia","18/03/2016", 4), (494, 3247,622,"Inicia","18/03/2016", 4), (495, 3247,623,"Inicia","18/03/2016", 4), (496, 3247,624,"Inicia","18/03/2016", 4), (497, 3247,625,"Inicia","18/03/2016", 4), (498, 3247,626,"Inicia","18/03/2016", 4), (499, 3247,627,"Inicia","18/03/2016", 4), (500, 3247,628,"Inicia","18/03/2016", 4), (501, 3247,629,"Inicia","18/03/2016", 4), (502, 3247,630,"Inicia","18/03/2016", 4), (503, 3247,631,"Inicia","18/03/2016", 4), (504, 3247,632,"Inicia","18/03/2016", 4), (505, 3247,633,"Inicia","18/03/2016", 4), (506, 3247,634,"Inicia","18/03/2016", 4), (507, 3247,635,"Inicia","18/03/2016", 4), (508, 3247,636,"Inicia","18/03/2016", 4), (509, 3247,637,"Inicia","18/03/2016", 4), (510, 3247,638,"Inicia","18/03/2016", 4), (511, 3247,639,"Inicia","18/03/2016", 4), (512, 3247,640,"Inicia","18/03/2016", 4), (513, 3247,641,"Inicia","18/03/2016", 4), (514, 3247,642,"Inicia","18/03/2016", 4), (515, 3247,643,"Inicia","18/03/2016", 4), (516, 3247,644,"Inicia","18/03/2016", 4), (517, 3247,645,"Inicia","18/03/2016", 4), (518, 3247,646,"Inicia","18/03/2016", 4), (519, 3247,647,"Inicia","18/03/2016", 4), (520, 3247,648,"Inicia","18/03/2016", 4), (521, 3247,649,"Inicia","18/03/2016", 4), (522, 3247,650,"Inicia","18/03/2016", 4), (523, 3247,651,"Inicia","18/03/2016", 4), (524, 3247,652,"Inicia","18/03/2016", 4), (525, 3247,653,"Inicia","18/03/2016", 4), (526, 3247,654,"Inicia","18/03/2016", 4), (527, 3247,655,"Inicia","18/03/2016", 4), (528, 3247,656,"Inicia","18/03/2016", 4), (529, 3247,657,"Inicia","18/03/2016", 4), (530, 3247,658,"Inicia","18/03/2016", 4), (531, 3247,659,"Inicia","18/03/2016", 4), (532, 3247,660,"Inicia","18/03/2016", 4), (533, 3247,661,"Inicia","18/03/2016", 4), (534, 3247,662,"Inicia","18/03/2016", 4), (535, 3247,663,"Inicia","18/03/2016", 4), (536, 3247,664,"Inicia","18/03/2016", 4), (537, 3247,665,"Inicia","18/03/2016", 4), (538, 3247,666,"Inicia","18/03/2016", 4), (539, 3247,667,"Inicia","18/03/2016", 4), (540, 3247,668,"Inicia","18/03/2016", 4), (541, 3247,669,"Inicia","18/03/2016", 4), (542, 3247,670,"Inicia","18/03/2016", 4)</v>
      </c>
      <c r="N96" t="str">
        <f t="shared" si="17"/>
        <v/>
      </c>
    </row>
  </sheetData>
  <phoneticPr fontId="3" type="noConversion"/>
  <pageMargins left="0.75" right="0.75" top="1" bottom="1" header="0" footer="0"/>
  <headerFooter alignWithMargins="0"/>
</worksheet>
</file>

<file path=xl/worksheets/sheet6.xml><?xml version="1.0" encoding="utf-8"?>
<worksheet xmlns="http://schemas.openxmlformats.org/spreadsheetml/2006/main" xmlns:r="http://schemas.openxmlformats.org/officeDocument/2006/relationships">
  <dimension ref="A1:R19"/>
  <sheetViews>
    <sheetView workbookViewId="0">
      <selection activeCell="A2" sqref="A2:XFD19"/>
    </sheetView>
  </sheetViews>
  <sheetFormatPr baseColWidth="10" defaultRowHeight="12.75"/>
  <cols>
    <col min="1" max="1" width="17" bestFit="1" customWidth="1"/>
    <col min="2" max="2" width="18.85546875" bestFit="1" customWidth="1"/>
    <col min="3" max="3" width="7.42578125" bestFit="1" customWidth="1"/>
    <col min="4" max="4" width="4.28515625" customWidth="1"/>
    <col min="5" max="5" width="2.7109375" customWidth="1"/>
    <col min="6" max="6" width="4.140625" customWidth="1"/>
    <col min="7" max="7" width="7.7109375" bestFit="1" customWidth="1"/>
    <col min="8" max="8" width="16" customWidth="1"/>
    <col min="9" max="9" width="15.140625" bestFit="1" customWidth="1"/>
    <col min="10" max="10" width="6.140625" customWidth="1"/>
    <col min="11" max="12" width="4.140625" customWidth="1"/>
    <col min="13" max="13" width="3.42578125" customWidth="1"/>
    <col min="14" max="14" width="18.7109375" bestFit="1" customWidth="1"/>
    <col min="16" max="16" width="14.5703125" bestFit="1"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70" t="s">
        <v>3210</v>
      </c>
      <c r="B2" s="70" t="s">
        <v>3211</v>
      </c>
      <c r="C2" s="70" t="s">
        <v>494</v>
      </c>
      <c r="E2" s="62" t="s">
        <v>476</v>
      </c>
      <c r="F2">
        <v>1</v>
      </c>
      <c r="G2">
        <v>2143</v>
      </c>
      <c r="H2" s="62" t="s">
        <v>5841</v>
      </c>
      <c r="I2" s="62" t="s">
        <v>5842</v>
      </c>
      <c r="J2">
        <v>0</v>
      </c>
      <c r="K2" s="55">
        <v>1</v>
      </c>
      <c r="L2">
        <v>8</v>
      </c>
    </row>
    <row r="3" spans="1:18">
      <c r="A3" s="94"/>
      <c r="B3" s="70" t="s">
        <v>3212</v>
      </c>
      <c r="C3" s="70" t="s">
        <v>494</v>
      </c>
      <c r="E3" s="62" t="s">
        <v>476</v>
      </c>
      <c r="K3" s="55">
        <v>2</v>
      </c>
      <c r="L3">
        <v>3</v>
      </c>
      <c r="M3" s="14">
        <v>31</v>
      </c>
      <c r="N3" s="62" t="s">
        <v>3655</v>
      </c>
      <c r="O3" s="62" t="s">
        <v>3648</v>
      </c>
      <c r="P3" s="62" t="s">
        <v>3657</v>
      </c>
      <c r="Q3" s="47" t="s">
        <v>3658</v>
      </c>
      <c r="R3" s="14">
        <v>4</v>
      </c>
    </row>
    <row r="4" spans="1:18">
      <c r="A4" s="94"/>
      <c r="B4" s="70" t="s">
        <v>3213</v>
      </c>
      <c r="C4" s="70" t="s">
        <v>494</v>
      </c>
      <c r="H4" s="62"/>
      <c r="K4" s="55">
        <v>3</v>
      </c>
      <c r="L4">
        <v>6</v>
      </c>
    </row>
    <row r="5" spans="1:18">
      <c r="B5" s="96" t="s">
        <v>5591</v>
      </c>
      <c r="C5" s="96" t="s">
        <v>494</v>
      </c>
      <c r="K5" s="55">
        <v>4</v>
      </c>
      <c r="L5">
        <v>3</v>
      </c>
      <c r="M5">
        <v>1</v>
      </c>
      <c r="N5" t="s">
        <v>5592</v>
      </c>
      <c r="O5" s="66" t="s">
        <v>5593</v>
      </c>
      <c r="P5" s="66" t="s">
        <v>5594</v>
      </c>
    </row>
    <row r="6" spans="1:18">
      <c r="B6" s="64" t="s">
        <v>5838</v>
      </c>
      <c r="C6" s="64" t="s">
        <v>494</v>
      </c>
      <c r="K6" s="55">
        <v>5</v>
      </c>
      <c r="L6" s="80">
        <v>3</v>
      </c>
      <c r="M6" s="10">
        <v>1</v>
      </c>
      <c r="N6" t="s">
        <v>5567</v>
      </c>
      <c r="O6" s="66" t="s">
        <v>5569</v>
      </c>
      <c r="P6" s="66" t="s">
        <v>5571</v>
      </c>
    </row>
    <row r="7" spans="1:18">
      <c r="B7" s="66"/>
      <c r="C7" s="62"/>
      <c r="N7" s="62"/>
      <c r="O7" s="62"/>
      <c r="P7" s="62"/>
    </row>
    <row r="8" spans="1:18">
      <c r="A8" t="s">
        <v>5619</v>
      </c>
      <c r="B8" s="66" t="s">
        <v>5620</v>
      </c>
      <c r="C8" s="62" t="s">
        <v>494</v>
      </c>
      <c r="E8" s="62" t="s">
        <v>476</v>
      </c>
      <c r="F8">
        <v>21</v>
      </c>
      <c r="G8">
        <v>2146</v>
      </c>
      <c r="H8" s="62" t="s">
        <v>3185</v>
      </c>
      <c r="J8">
        <v>2104</v>
      </c>
      <c r="K8" s="55">
        <v>1</v>
      </c>
      <c r="L8">
        <v>52</v>
      </c>
      <c r="N8" s="62">
        <v>2143</v>
      </c>
      <c r="O8" s="62" t="s">
        <v>3213</v>
      </c>
      <c r="P8" s="62"/>
    </row>
    <row r="9" spans="1:18">
      <c r="B9" s="66" t="s">
        <v>5613</v>
      </c>
      <c r="C9" s="62" t="s">
        <v>494</v>
      </c>
      <c r="E9" s="62" t="s">
        <v>476</v>
      </c>
      <c r="K9" s="55">
        <v>2</v>
      </c>
      <c r="L9">
        <v>6</v>
      </c>
      <c r="N9" s="62"/>
      <c r="O9" s="62"/>
      <c r="P9" s="62"/>
    </row>
    <row r="10" spans="1:18">
      <c r="B10" s="66" t="s">
        <v>5614</v>
      </c>
      <c r="C10" s="62" t="s">
        <v>494</v>
      </c>
      <c r="K10" s="55">
        <v>3</v>
      </c>
      <c r="L10">
        <v>6</v>
      </c>
      <c r="N10" s="62"/>
      <c r="O10" s="62"/>
      <c r="P10" s="62"/>
    </row>
    <row r="11" spans="1:18" ht="25.5">
      <c r="B11" s="66" t="s">
        <v>5621</v>
      </c>
      <c r="C11" s="62" t="s">
        <v>494</v>
      </c>
      <c r="K11" s="55">
        <v>4</v>
      </c>
      <c r="L11">
        <v>3</v>
      </c>
      <c r="M11">
        <v>1</v>
      </c>
      <c r="N11" t="s">
        <v>5597</v>
      </c>
      <c r="O11" s="66" t="s">
        <v>5598</v>
      </c>
      <c r="P11" s="66" t="s">
        <v>5617</v>
      </c>
    </row>
    <row r="12" spans="1:18">
      <c r="B12" s="66" t="s">
        <v>5634</v>
      </c>
      <c r="C12" s="62" t="s">
        <v>494</v>
      </c>
      <c r="K12" s="55">
        <v>5</v>
      </c>
      <c r="M12">
        <v>1</v>
      </c>
      <c r="N12" s="62"/>
      <c r="O12" s="62"/>
      <c r="P12" s="62"/>
    </row>
    <row r="13" spans="1:18">
      <c r="B13" s="66" t="s">
        <v>5635</v>
      </c>
      <c r="C13" s="62" t="s">
        <v>494</v>
      </c>
      <c r="K13" s="55">
        <v>6</v>
      </c>
      <c r="L13">
        <v>91</v>
      </c>
      <c r="N13" s="62"/>
      <c r="O13" s="62"/>
      <c r="P13" s="62"/>
    </row>
    <row r="14" spans="1:18">
      <c r="B14" s="66" t="s">
        <v>5636</v>
      </c>
      <c r="C14" s="62" t="s">
        <v>494</v>
      </c>
      <c r="K14" s="55">
        <v>7</v>
      </c>
      <c r="L14">
        <v>92</v>
      </c>
      <c r="N14" s="62"/>
      <c r="O14" s="62"/>
      <c r="P14" s="62"/>
    </row>
    <row r="15" spans="1:18">
      <c r="B15" s="66" t="s">
        <v>5637</v>
      </c>
      <c r="C15" s="62" t="s">
        <v>494</v>
      </c>
      <c r="K15" s="55">
        <v>8</v>
      </c>
      <c r="L15">
        <v>7</v>
      </c>
      <c r="N15" s="62"/>
      <c r="O15" s="62"/>
      <c r="P15" s="62"/>
    </row>
    <row r="16" spans="1:18">
      <c r="B16" s="66" t="s">
        <v>5638</v>
      </c>
      <c r="C16" s="62" t="s">
        <v>494</v>
      </c>
      <c r="K16" s="55">
        <v>9</v>
      </c>
      <c r="L16">
        <v>7</v>
      </c>
      <c r="N16" s="62"/>
      <c r="O16" s="62"/>
      <c r="P16" s="62"/>
    </row>
    <row r="17" spans="2:16">
      <c r="B17" s="66" t="s">
        <v>5852</v>
      </c>
      <c r="C17" s="62" t="s">
        <v>494</v>
      </c>
      <c r="K17" s="55">
        <v>10</v>
      </c>
      <c r="L17">
        <v>8</v>
      </c>
      <c r="M17">
        <v>1</v>
      </c>
      <c r="N17" s="62"/>
      <c r="O17" s="62"/>
      <c r="P17" s="62"/>
    </row>
    <row r="18" spans="2:16">
      <c r="B18" s="66" t="s">
        <v>5853</v>
      </c>
      <c r="C18" s="62" t="s">
        <v>494</v>
      </c>
      <c r="K18" s="55">
        <v>11</v>
      </c>
      <c r="L18">
        <v>7</v>
      </c>
      <c r="M18">
        <v>1</v>
      </c>
      <c r="N18" s="62"/>
      <c r="O18" s="62"/>
      <c r="P18" s="62"/>
    </row>
    <row r="19" spans="2:16">
      <c r="B19" s="66"/>
      <c r="C19" s="62"/>
      <c r="N19" s="62"/>
      <c r="O19" s="62"/>
      <c r="P19" s="62"/>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Hoja8">
    <tabColor rgb="FF00B050"/>
  </sheetPr>
  <dimension ref="A1:R803"/>
  <sheetViews>
    <sheetView workbookViewId="0">
      <pane ySplit="1" topLeftCell="A751" activePane="bottomLeft" state="frozenSplit"/>
      <selection pane="bottomLeft" activeCell="A756" sqref="A756:XFD771"/>
    </sheetView>
  </sheetViews>
  <sheetFormatPr baseColWidth="10" defaultRowHeight="12.75"/>
  <cols>
    <col min="1" max="1" width="22.42578125" style="62" bestFit="1" customWidth="1"/>
    <col min="2" max="2" width="28" bestFit="1" customWidth="1"/>
    <col min="3" max="3" width="7.42578125" bestFit="1" customWidth="1"/>
    <col min="4" max="4" width="4" bestFit="1" customWidth="1"/>
    <col min="5" max="5" width="2" bestFit="1" customWidth="1"/>
    <col min="6" max="6" width="4.5703125" bestFit="1" customWidth="1"/>
    <col min="7" max="7" width="7.7109375" bestFit="1" customWidth="1"/>
    <col min="8" max="8" width="19.5703125" bestFit="1" customWidth="1"/>
    <col min="9" max="9" width="21.28515625" bestFit="1" customWidth="1"/>
    <col min="10" max="10" width="6.140625" customWidth="1"/>
    <col min="11" max="11" width="4.7109375" customWidth="1"/>
    <col min="12" max="12" width="4.5703125" customWidth="1"/>
    <col min="13" max="13" width="5.140625" customWidth="1"/>
    <col min="14" max="14" width="16.140625" customWidth="1"/>
    <col min="15" max="15" width="13.85546875" bestFit="1" customWidth="1"/>
    <col min="16" max="16" width="15.42578125" bestFit="1" customWidth="1"/>
  </cols>
  <sheetData>
    <row r="1" spans="1:18" s="3" customFormat="1">
      <c r="A1" s="62"/>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s="62" customFormat="1">
      <c r="A2" s="62" t="s">
        <v>3041</v>
      </c>
      <c r="B2" s="62" t="s">
        <v>3035</v>
      </c>
      <c r="C2" s="62" t="s">
        <v>494</v>
      </c>
      <c r="E2" s="62" t="s">
        <v>476</v>
      </c>
      <c r="F2" s="62">
        <v>10</v>
      </c>
      <c r="G2" s="62">
        <v>1134</v>
      </c>
      <c r="H2" s="62" t="s">
        <v>3043</v>
      </c>
      <c r="I2" s="22"/>
      <c r="K2" s="55">
        <v>1</v>
      </c>
      <c r="L2" s="76">
        <v>8</v>
      </c>
      <c r="N2" s="62">
        <v>1011</v>
      </c>
      <c r="O2" s="62" t="s">
        <v>3030</v>
      </c>
    </row>
    <row r="3" spans="1:18" s="62" customFormat="1">
      <c r="B3" s="62" t="s">
        <v>3036</v>
      </c>
      <c r="C3" s="62" t="s">
        <v>494</v>
      </c>
      <c r="E3" s="62" t="s">
        <v>476</v>
      </c>
      <c r="I3" s="22"/>
      <c r="K3" s="55">
        <v>2</v>
      </c>
      <c r="L3" s="76">
        <v>6</v>
      </c>
    </row>
    <row r="4" spans="1:18" s="62" customFormat="1">
      <c r="B4" s="62" t="s">
        <v>3037</v>
      </c>
      <c r="C4" s="62" t="s">
        <v>494</v>
      </c>
      <c r="I4" s="22"/>
      <c r="K4" s="55">
        <v>3</v>
      </c>
      <c r="L4" s="76">
        <v>6</v>
      </c>
    </row>
    <row r="5" spans="1:18" s="62" customFormat="1">
      <c r="B5" s="62" t="s">
        <v>3038</v>
      </c>
      <c r="C5" s="62" t="s">
        <v>494</v>
      </c>
      <c r="I5" s="22"/>
      <c r="K5" s="55">
        <v>4</v>
      </c>
      <c r="L5" s="76">
        <v>7</v>
      </c>
    </row>
    <row r="6" spans="1:18" s="62" customFormat="1">
      <c r="B6" s="62" t="s">
        <v>3031</v>
      </c>
      <c r="C6" s="62" t="s">
        <v>494</v>
      </c>
      <c r="I6" s="22"/>
      <c r="K6" s="55">
        <v>5</v>
      </c>
      <c r="L6" s="76"/>
      <c r="M6" s="62">
        <v>72</v>
      </c>
    </row>
    <row r="7" spans="1:18" s="62" customFormat="1">
      <c r="B7" s="62" t="s">
        <v>3032</v>
      </c>
      <c r="C7" s="62" t="s">
        <v>493</v>
      </c>
      <c r="D7" s="62">
        <v>20</v>
      </c>
      <c r="I7" s="22"/>
      <c r="K7" s="55">
        <v>6</v>
      </c>
      <c r="L7" s="76"/>
    </row>
    <row r="8" spans="1:18" s="62" customFormat="1">
      <c r="B8" s="62" t="s">
        <v>3033</v>
      </c>
      <c r="C8" s="62" t="s">
        <v>494</v>
      </c>
      <c r="I8" s="22"/>
      <c r="K8" s="55">
        <v>7</v>
      </c>
      <c r="L8" s="76">
        <v>7</v>
      </c>
    </row>
    <row r="9" spans="1:18" s="62" customFormat="1">
      <c r="B9" s="62" t="s">
        <v>3034</v>
      </c>
      <c r="C9" s="62" t="s">
        <v>494</v>
      </c>
      <c r="I9" s="22"/>
      <c r="K9" s="55">
        <v>8</v>
      </c>
      <c r="L9" s="76"/>
      <c r="M9" s="62">
        <v>72</v>
      </c>
    </row>
    <row r="10" spans="1:18">
      <c r="B10" s="62" t="s">
        <v>3039</v>
      </c>
      <c r="C10" s="62" t="s">
        <v>493</v>
      </c>
      <c r="D10">
        <v>50</v>
      </c>
      <c r="K10" s="55">
        <v>9</v>
      </c>
    </row>
    <row r="11" spans="1:18">
      <c r="B11" s="62" t="s">
        <v>3040</v>
      </c>
      <c r="C11" s="62" t="s">
        <v>493</v>
      </c>
      <c r="D11">
        <v>100</v>
      </c>
      <c r="K11" s="55">
        <v>10</v>
      </c>
    </row>
    <row r="12" spans="1:18">
      <c r="B12" s="62" t="s">
        <v>3078</v>
      </c>
      <c r="C12" s="62" t="s">
        <v>494</v>
      </c>
      <c r="K12" s="55">
        <v>11</v>
      </c>
    </row>
    <row r="13" spans="1:18">
      <c r="B13" s="62" t="s">
        <v>5972</v>
      </c>
      <c r="C13" s="62" t="s">
        <v>493</v>
      </c>
      <c r="D13">
        <v>100</v>
      </c>
      <c r="K13" s="55"/>
    </row>
    <row r="14" spans="1:18">
      <c r="B14" s="62"/>
      <c r="C14" s="62"/>
      <c r="K14" s="55"/>
    </row>
    <row r="15" spans="1:18" s="1" customFormat="1">
      <c r="A15" s="95" t="s">
        <v>995</v>
      </c>
      <c r="B15" s="50" t="s">
        <v>997</v>
      </c>
      <c r="C15" s="1" t="s">
        <v>494</v>
      </c>
      <c r="E15" s="1" t="s">
        <v>476</v>
      </c>
      <c r="F15" s="14">
        <v>17</v>
      </c>
      <c r="G15" s="14">
        <v>1715</v>
      </c>
      <c r="H15" s="14" t="s">
        <v>267</v>
      </c>
      <c r="I15" s="48" t="s">
        <v>266</v>
      </c>
      <c r="J15" s="14"/>
      <c r="K15" s="16">
        <v>1</v>
      </c>
      <c r="L15" s="15"/>
      <c r="M15" s="14"/>
      <c r="P15" s="14"/>
      <c r="Q15" s="14"/>
      <c r="R15" s="14"/>
    </row>
    <row r="16" spans="1:18" s="1" customFormat="1">
      <c r="A16" s="95"/>
      <c r="B16" s="50" t="s">
        <v>996</v>
      </c>
      <c r="C16" s="1" t="s">
        <v>493</v>
      </c>
      <c r="D16" s="1">
        <v>100</v>
      </c>
      <c r="F16" s="14"/>
      <c r="G16" s="14"/>
      <c r="H16" s="47" t="s">
        <v>3689</v>
      </c>
      <c r="I16" s="11"/>
      <c r="J16" s="14"/>
      <c r="K16" s="16">
        <v>2</v>
      </c>
      <c r="L16" s="15"/>
      <c r="M16" s="14"/>
      <c r="P16" s="14"/>
      <c r="Q16" s="14"/>
      <c r="R16" s="14"/>
    </row>
    <row r="17" spans="1:18" s="1" customFormat="1">
      <c r="A17" s="62"/>
      <c r="B17" s="29"/>
      <c r="F17" s="14"/>
      <c r="G17" s="14"/>
      <c r="H17" s="14"/>
      <c r="I17" s="11"/>
      <c r="J17" s="14"/>
      <c r="K17" s="16"/>
      <c r="L17" s="15"/>
      <c r="M17" s="14"/>
      <c r="P17" s="14"/>
      <c r="Q17" s="14"/>
      <c r="R17" s="14"/>
    </row>
    <row r="18" spans="1:18" s="1" customFormat="1">
      <c r="A18" s="64" t="s">
        <v>506</v>
      </c>
      <c r="B18" s="64" t="s">
        <v>514</v>
      </c>
      <c r="C18" s="10" t="s">
        <v>494</v>
      </c>
      <c r="D18" s="10"/>
      <c r="E18" s="10" t="s">
        <v>476</v>
      </c>
      <c r="F18" s="10">
        <v>1</v>
      </c>
      <c r="G18" s="10">
        <v>146</v>
      </c>
      <c r="H18" s="10" t="s">
        <v>510</v>
      </c>
      <c r="I18" s="10" t="s">
        <v>511</v>
      </c>
      <c r="J18" s="10">
        <v>1</v>
      </c>
      <c r="K18" s="16">
        <v>1</v>
      </c>
      <c r="L18" s="31">
        <v>3</v>
      </c>
      <c r="M18" s="10"/>
      <c r="N18" t="s">
        <v>916</v>
      </c>
      <c r="O18" t="s">
        <v>917</v>
      </c>
      <c r="P18" t="s">
        <v>918</v>
      </c>
      <c r="Q18" s="10"/>
      <c r="R18" s="10"/>
    </row>
    <row r="19" spans="1:18" s="1" customFormat="1">
      <c r="A19" s="62"/>
      <c r="B19" s="62" t="s">
        <v>515</v>
      </c>
      <c r="C19" s="1" t="s">
        <v>493</v>
      </c>
      <c r="D19" s="1">
        <v>100</v>
      </c>
      <c r="F19" s="14"/>
      <c r="G19" s="14"/>
      <c r="H19" s="14"/>
      <c r="I19" s="11"/>
      <c r="J19" s="14"/>
      <c r="K19" s="16">
        <v>2</v>
      </c>
      <c r="L19" s="15"/>
      <c r="M19" s="14"/>
      <c r="N19" s="14"/>
      <c r="O19" s="14"/>
      <c r="P19" s="14"/>
      <c r="Q19" s="14"/>
      <c r="R19" s="14"/>
    </row>
    <row r="20" spans="1:18" s="1" customFormat="1">
      <c r="A20" s="62"/>
      <c r="B20" s="62" t="s">
        <v>516</v>
      </c>
      <c r="C20" s="1" t="s">
        <v>493</v>
      </c>
      <c r="D20" s="1">
        <v>250</v>
      </c>
      <c r="F20" s="14"/>
      <c r="G20" s="14"/>
      <c r="H20" s="14"/>
      <c r="I20" s="11"/>
      <c r="J20" s="14"/>
      <c r="K20" s="16">
        <v>3</v>
      </c>
      <c r="L20" s="15"/>
      <c r="M20" s="14"/>
      <c r="N20" s="14"/>
      <c r="O20" s="14"/>
      <c r="P20" s="14"/>
      <c r="Q20" s="14"/>
      <c r="R20" s="14"/>
    </row>
    <row r="21" spans="1:18" s="1" customFormat="1">
      <c r="A21" s="62"/>
      <c r="B21" s="62" t="s">
        <v>517</v>
      </c>
      <c r="C21" s="1" t="s">
        <v>494</v>
      </c>
      <c r="F21" s="14"/>
      <c r="G21" s="14"/>
      <c r="H21" s="14"/>
      <c r="I21" s="11"/>
      <c r="J21" s="14"/>
      <c r="K21" s="16">
        <v>4</v>
      </c>
      <c r="L21" s="15">
        <v>3</v>
      </c>
      <c r="M21" s="14"/>
      <c r="N21" s="62" t="s">
        <v>507</v>
      </c>
      <c r="O21" s="1" t="s">
        <v>508</v>
      </c>
      <c r="P21" s="1" t="s">
        <v>509</v>
      </c>
      <c r="Q21" s="14"/>
      <c r="R21" s="14"/>
    </row>
    <row r="22" spans="1:18" s="1" customFormat="1">
      <c r="A22" s="62"/>
      <c r="B22" s="62" t="s">
        <v>512</v>
      </c>
      <c r="C22" s="1" t="s">
        <v>493</v>
      </c>
      <c r="D22" s="1">
        <v>1</v>
      </c>
      <c r="F22" s="14"/>
      <c r="G22" s="14"/>
      <c r="H22" s="14"/>
      <c r="I22" s="11"/>
      <c r="J22" s="14"/>
      <c r="K22" s="16">
        <v>5</v>
      </c>
      <c r="L22" s="15">
        <v>3</v>
      </c>
      <c r="M22" s="14"/>
      <c r="N22" s="14"/>
      <c r="O22" s="14"/>
      <c r="P22" s="14"/>
      <c r="Q22" s="14"/>
      <c r="R22" s="14"/>
    </row>
    <row r="23" spans="1:18" s="1" customFormat="1">
      <c r="A23" s="62"/>
      <c r="B23" s="1" t="s">
        <v>518</v>
      </c>
      <c r="C23" s="1" t="s">
        <v>494</v>
      </c>
      <c r="F23" s="14"/>
      <c r="G23" s="14"/>
      <c r="H23" s="14"/>
      <c r="I23" s="11"/>
      <c r="J23" s="14"/>
      <c r="K23" s="16">
        <v>6</v>
      </c>
      <c r="L23" s="15"/>
      <c r="M23" s="14"/>
      <c r="P23" s="14"/>
      <c r="Q23" s="14"/>
      <c r="R23" s="14"/>
    </row>
    <row r="24" spans="1:18" s="1" customFormat="1">
      <c r="A24" s="62"/>
      <c r="B24" s="1" t="s">
        <v>312</v>
      </c>
      <c r="C24" s="1" t="s">
        <v>493</v>
      </c>
      <c r="D24" s="1">
        <v>1</v>
      </c>
      <c r="F24" s="14"/>
      <c r="G24" s="14"/>
      <c r="H24" s="14"/>
      <c r="I24" s="11"/>
      <c r="J24" s="14"/>
      <c r="K24" s="16">
        <v>7</v>
      </c>
      <c r="L24" s="15">
        <v>3</v>
      </c>
      <c r="M24" s="14"/>
      <c r="N24" s="14"/>
      <c r="O24" s="14"/>
      <c r="P24" s="14"/>
      <c r="Q24" s="14"/>
      <c r="R24" s="14"/>
    </row>
    <row r="25" spans="1:18" s="1" customFormat="1">
      <c r="A25" s="62"/>
      <c r="B25" s="1" t="s">
        <v>513</v>
      </c>
      <c r="C25" s="1" t="s">
        <v>493</v>
      </c>
      <c r="D25" s="1">
        <v>1</v>
      </c>
      <c r="F25" s="14"/>
      <c r="G25" s="14"/>
      <c r="H25" s="14"/>
      <c r="I25" s="11"/>
      <c r="J25" s="14"/>
      <c r="K25" s="16">
        <v>8</v>
      </c>
      <c r="L25" s="15">
        <v>3</v>
      </c>
      <c r="M25" s="14"/>
      <c r="N25" s="14"/>
      <c r="O25" s="14"/>
      <c r="P25" s="14"/>
      <c r="Q25" s="14"/>
      <c r="R25" s="14"/>
    </row>
    <row r="26" spans="1:18" s="1" customFormat="1">
      <c r="A26" s="62"/>
      <c r="B26" s="1" t="s">
        <v>1141</v>
      </c>
      <c r="C26" s="1" t="s">
        <v>493</v>
      </c>
      <c r="D26" s="1">
        <v>250</v>
      </c>
      <c r="F26" s="14"/>
      <c r="G26" s="14"/>
      <c r="H26" s="14"/>
      <c r="I26" s="11"/>
      <c r="J26" s="14"/>
      <c r="K26" s="16">
        <v>9</v>
      </c>
      <c r="L26" s="15"/>
      <c r="M26" s="14"/>
      <c r="N26" s="14"/>
      <c r="O26" s="14"/>
      <c r="P26" s="14"/>
      <c r="Q26" s="14"/>
      <c r="R26" s="14"/>
    </row>
    <row r="27" spans="1:18" s="1" customFormat="1">
      <c r="A27" s="62"/>
      <c r="B27" s="10" t="s">
        <v>51</v>
      </c>
      <c r="C27" s="10" t="s">
        <v>493</v>
      </c>
      <c r="D27" s="1">
        <v>1</v>
      </c>
      <c r="F27" s="14"/>
      <c r="G27" s="14"/>
      <c r="H27" s="14"/>
      <c r="I27" s="11"/>
      <c r="J27" s="14"/>
      <c r="K27" s="16">
        <v>10</v>
      </c>
      <c r="L27" s="15">
        <v>3</v>
      </c>
      <c r="M27" s="14"/>
      <c r="N27" s="14"/>
      <c r="O27" s="14"/>
      <c r="P27" s="14"/>
      <c r="Q27" s="14"/>
      <c r="R27" s="14"/>
    </row>
    <row r="28" spans="1:18" s="1" customFormat="1">
      <c r="A28" s="62"/>
      <c r="B28" s="45" t="s">
        <v>1324</v>
      </c>
      <c r="C28" s="45" t="s">
        <v>494</v>
      </c>
      <c r="F28" s="14"/>
      <c r="G28" s="14"/>
      <c r="H28" s="14"/>
      <c r="I28" s="11"/>
      <c r="J28" s="14"/>
      <c r="K28" s="16">
        <v>11</v>
      </c>
      <c r="L28" s="15">
        <v>3</v>
      </c>
      <c r="M28" s="14"/>
      <c r="N28" s="10" t="s">
        <v>506</v>
      </c>
      <c r="O28" s="10" t="s">
        <v>514</v>
      </c>
      <c r="P28" s="1" t="s">
        <v>516</v>
      </c>
      <c r="Q28" s="14"/>
      <c r="R28" s="14"/>
    </row>
    <row r="29" spans="1:18" s="1" customFormat="1">
      <c r="A29" s="62"/>
      <c r="B29" s="45" t="s">
        <v>1325</v>
      </c>
      <c r="C29" s="45" t="s">
        <v>494</v>
      </c>
      <c r="F29" s="14"/>
      <c r="G29" s="14"/>
      <c r="H29" s="14"/>
      <c r="I29" s="11"/>
      <c r="J29" s="14"/>
      <c r="K29" s="16">
        <v>12</v>
      </c>
      <c r="L29" s="15">
        <v>3</v>
      </c>
      <c r="M29" s="14"/>
      <c r="N29" s="14"/>
      <c r="O29" s="14"/>
      <c r="P29" s="14"/>
      <c r="Q29" s="14"/>
      <c r="R29" s="14"/>
    </row>
    <row r="30" spans="1:18" s="1" customFormat="1">
      <c r="A30" s="62"/>
      <c r="B30" s="64" t="s">
        <v>2493</v>
      </c>
      <c r="C30" s="64" t="s">
        <v>520</v>
      </c>
      <c r="F30" s="14"/>
      <c r="G30" s="14"/>
      <c r="H30" s="14"/>
      <c r="I30" s="11"/>
      <c r="J30" s="14"/>
      <c r="K30" s="16">
        <v>13</v>
      </c>
      <c r="L30" s="15"/>
      <c r="M30" s="14"/>
      <c r="N30" s="14"/>
      <c r="O30" s="14"/>
      <c r="P30" s="14"/>
      <c r="Q30" s="14"/>
      <c r="R30" s="14"/>
    </row>
    <row r="31" spans="1:18" s="1" customFormat="1">
      <c r="A31" s="62"/>
      <c r="B31" s="64" t="s">
        <v>2515</v>
      </c>
      <c r="C31" s="64" t="s">
        <v>493</v>
      </c>
      <c r="D31" s="1">
        <v>10</v>
      </c>
      <c r="F31" s="14"/>
      <c r="G31" s="14"/>
      <c r="H31" s="14"/>
      <c r="I31" s="11"/>
      <c r="J31" s="14"/>
      <c r="K31" s="16">
        <v>14</v>
      </c>
      <c r="L31" s="15">
        <v>7</v>
      </c>
      <c r="M31" s="14"/>
      <c r="N31" s="14"/>
      <c r="O31" s="14"/>
      <c r="P31" s="14"/>
      <c r="Q31" s="14"/>
      <c r="R31" s="14"/>
    </row>
    <row r="32" spans="1:18" s="1" customFormat="1">
      <c r="A32" s="62"/>
      <c r="B32" s="64" t="s">
        <v>2516</v>
      </c>
      <c r="C32" s="64" t="s">
        <v>493</v>
      </c>
      <c r="D32" s="1">
        <v>10</v>
      </c>
      <c r="F32" s="14"/>
      <c r="G32" s="14"/>
      <c r="H32" s="14"/>
      <c r="I32" s="11"/>
      <c r="J32" s="14"/>
      <c r="K32" s="16">
        <v>15</v>
      </c>
      <c r="L32" s="15">
        <v>7</v>
      </c>
      <c r="M32" s="14"/>
      <c r="N32" s="14"/>
      <c r="O32" s="14"/>
      <c r="P32" s="14"/>
      <c r="Q32" s="14"/>
      <c r="R32" s="14"/>
    </row>
    <row r="33" spans="1:18" s="1" customFormat="1">
      <c r="A33" s="62"/>
      <c r="B33" s="64" t="s">
        <v>2517</v>
      </c>
      <c r="C33" s="64" t="s">
        <v>493</v>
      </c>
      <c r="D33" s="1">
        <v>10</v>
      </c>
      <c r="F33" s="14"/>
      <c r="G33" s="14"/>
      <c r="H33" s="14"/>
      <c r="I33" s="11"/>
      <c r="J33" s="14"/>
      <c r="K33" s="16">
        <v>16</v>
      </c>
      <c r="L33" s="15">
        <v>7</v>
      </c>
      <c r="M33" s="14"/>
      <c r="N33" s="14"/>
      <c r="O33" s="14"/>
      <c r="P33" s="14"/>
      <c r="Q33" s="14"/>
      <c r="R33" s="14"/>
    </row>
    <row r="34" spans="1:18" s="1" customFormat="1">
      <c r="A34" s="62"/>
      <c r="B34" s="64" t="s">
        <v>2518</v>
      </c>
      <c r="C34" s="64" t="s">
        <v>493</v>
      </c>
      <c r="D34" s="1">
        <v>10</v>
      </c>
      <c r="F34" s="14"/>
      <c r="G34" s="14"/>
      <c r="H34" s="14"/>
      <c r="I34" s="11"/>
      <c r="J34" s="14"/>
      <c r="K34" s="16">
        <v>17</v>
      </c>
      <c r="L34" s="15">
        <v>7</v>
      </c>
      <c r="M34" s="14"/>
      <c r="N34" s="14"/>
      <c r="O34" s="14"/>
      <c r="P34" s="14"/>
      <c r="Q34" s="14"/>
      <c r="R34" s="14"/>
    </row>
    <row r="35" spans="1:18" s="1" customFormat="1">
      <c r="A35" s="62"/>
      <c r="B35" s="64" t="s">
        <v>2896</v>
      </c>
      <c r="C35" s="64" t="s">
        <v>493</v>
      </c>
      <c r="D35" s="62">
        <v>1</v>
      </c>
      <c r="F35" s="14"/>
      <c r="G35" s="14"/>
      <c r="H35" s="14"/>
      <c r="I35" s="11"/>
      <c r="J35" s="14"/>
      <c r="K35" s="16">
        <v>18</v>
      </c>
      <c r="L35" s="15">
        <v>3</v>
      </c>
      <c r="M35" s="14"/>
      <c r="N35" s="14"/>
      <c r="O35" s="14"/>
      <c r="P35" s="14"/>
      <c r="Q35" s="14"/>
      <c r="R35" s="14"/>
    </row>
    <row r="36" spans="1:18" s="1" customFormat="1">
      <c r="A36" s="62"/>
      <c r="B36" s="64" t="s">
        <v>3994</v>
      </c>
      <c r="C36" s="64" t="s">
        <v>494</v>
      </c>
      <c r="D36" s="62"/>
      <c r="F36" s="14"/>
      <c r="G36" s="14"/>
      <c r="H36" s="47" t="s">
        <v>3992</v>
      </c>
      <c r="I36" s="11"/>
      <c r="J36" s="14"/>
      <c r="K36" s="16">
        <v>19</v>
      </c>
      <c r="L36" s="15">
        <v>7</v>
      </c>
      <c r="M36" s="14"/>
      <c r="N36" s="14"/>
      <c r="O36" s="14"/>
      <c r="P36" s="14"/>
      <c r="Q36" s="14"/>
      <c r="R36" s="14"/>
    </row>
    <row r="37" spans="1:18" s="1" customFormat="1">
      <c r="A37" s="62"/>
      <c r="B37" s="64" t="s">
        <v>3993</v>
      </c>
      <c r="C37" s="64" t="s">
        <v>494</v>
      </c>
      <c r="D37" s="62"/>
      <c r="F37" s="14"/>
      <c r="G37" s="14"/>
      <c r="H37" s="47"/>
      <c r="I37" s="11"/>
      <c r="J37" s="14"/>
      <c r="K37" s="16">
        <v>20</v>
      </c>
      <c r="L37" s="15">
        <v>3</v>
      </c>
      <c r="M37" s="14"/>
      <c r="N37" s="62" t="s">
        <v>3972</v>
      </c>
      <c r="O37" s="62" t="s">
        <v>3974</v>
      </c>
      <c r="P37" s="62" t="s">
        <v>3973</v>
      </c>
      <c r="Q37" s="14"/>
      <c r="R37" s="14">
        <v>2218</v>
      </c>
    </row>
    <row r="38" spans="1:18" s="1" customFormat="1">
      <c r="A38" s="62"/>
      <c r="B38" s="111" t="s">
        <v>5116</v>
      </c>
      <c r="C38" s="64" t="s">
        <v>494</v>
      </c>
      <c r="D38" s="62"/>
      <c r="F38" s="14"/>
      <c r="G38" s="14"/>
      <c r="H38" s="47"/>
      <c r="I38" s="11"/>
      <c r="J38" s="14"/>
      <c r="K38" s="16">
        <v>21</v>
      </c>
      <c r="L38" s="15">
        <v>3</v>
      </c>
      <c r="M38" s="14"/>
      <c r="N38" t="s">
        <v>5078</v>
      </c>
      <c r="O38" s="66" t="s">
        <v>1004</v>
      </c>
      <c r="P38" s="64" t="s">
        <v>1023</v>
      </c>
      <c r="Q38" s="10"/>
      <c r="R38" s="10">
        <v>2239</v>
      </c>
    </row>
    <row r="39" spans="1:18" s="1" customFormat="1">
      <c r="A39" s="62"/>
      <c r="B39" s="111" t="s">
        <v>5117</v>
      </c>
      <c r="C39" s="64" t="s">
        <v>493</v>
      </c>
      <c r="D39" s="62">
        <v>1</v>
      </c>
      <c r="F39" s="14"/>
      <c r="G39" s="14"/>
      <c r="H39" s="47"/>
      <c r="I39" s="11"/>
      <c r="J39" s="14"/>
      <c r="K39" s="16">
        <v>22</v>
      </c>
      <c r="L39" s="15">
        <v>3</v>
      </c>
      <c r="M39" s="14"/>
      <c r="N39"/>
      <c r="O39" s="66"/>
      <c r="P39" s="64"/>
      <c r="Q39" s="10"/>
      <c r="R39" s="10"/>
    </row>
    <row r="40" spans="1:18" s="1" customFormat="1">
      <c r="A40" s="62"/>
      <c r="B40" s="111" t="s">
        <v>5126</v>
      </c>
      <c r="C40" s="64" t="s">
        <v>494</v>
      </c>
      <c r="D40" s="62"/>
      <c r="F40" s="14"/>
      <c r="G40" s="14"/>
      <c r="H40" s="47"/>
      <c r="I40" s="11"/>
      <c r="J40" s="14"/>
      <c r="K40" s="16">
        <v>23</v>
      </c>
      <c r="L40" s="15">
        <v>7</v>
      </c>
      <c r="M40" s="14"/>
      <c r="N40"/>
      <c r="O40" s="66"/>
      <c r="P40" s="64"/>
      <c r="Q40" s="10"/>
      <c r="R40" s="10"/>
    </row>
    <row r="41" spans="1:18" s="1" customFormat="1">
      <c r="A41" s="62"/>
      <c r="B41" s="111" t="s">
        <v>5120</v>
      </c>
      <c r="C41" s="64" t="s">
        <v>494</v>
      </c>
      <c r="D41" s="62"/>
      <c r="F41" s="14"/>
      <c r="G41" s="14"/>
      <c r="H41" s="47"/>
      <c r="I41" s="11"/>
      <c r="J41" s="14"/>
      <c r="K41" s="16">
        <v>24</v>
      </c>
      <c r="L41" s="15">
        <v>7</v>
      </c>
      <c r="M41" s="14"/>
      <c r="N41"/>
      <c r="O41" s="66"/>
      <c r="P41" s="64"/>
      <c r="Q41" s="10"/>
      <c r="R41" s="10"/>
    </row>
    <row r="42" spans="1:18" s="1" customFormat="1">
      <c r="A42" s="62"/>
      <c r="B42" s="111" t="s">
        <v>5118</v>
      </c>
      <c r="C42" s="64" t="s">
        <v>494</v>
      </c>
      <c r="D42" s="62"/>
      <c r="F42" s="14"/>
      <c r="G42" s="14"/>
      <c r="H42" s="47"/>
      <c r="I42" s="11"/>
      <c r="J42" s="14"/>
      <c r="K42" s="16">
        <v>25</v>
      </c>
      <c r="L42" s="15">
        <v>7</v>
      </c>
      <c r="M42" s="14"/>
      <c r="N42"/>
      <c r="O42" s="66"/>
      <c r="P42" s="64"/>
      <c r="Q42" s="10"/>
      <c r="R42" s="10"/>
    </row>
    <row r="43" spans="1:18" s="1" customFormat="1">
      <c r="A43" s="62"/>
      <c r="B43" s="111" t="s">
        <v>5119</v>
      </c>
      <c r="C43" s="64" t="s">
        <v>494</v>
      </c>
      <c r="D43" s="62"/>
      <c r="F43" s="14"/>
      <c r="G43" s="14"/>
      <c r="H43" s="47"/>
      <c r="I43" s="11"/>
      <c r="J43" s="14"/>
      <c r="K43" s="16">
        <v>26</v>
      </c>
      <c r="L43" s="15">
        <v>7</v>
      </c>
      <c r="M43" s="14"/>
      <c r="N43"/>
      <c r="O43" s="66"/>
      <c r="P43" s="64"/>
      <c r="Q43" s="10"/>
      <c r="R43" s="10"/>
    </row>
    <row r="44" spans="1:18" s="1" customFormat="1">
      <c r="A44" s="62"/>
      <c r="B44" s="111" t="s">
        <v>5121</v>
      </c>
      <c r="C44" s="64" t="s">
        <v>494</v>
      </c>
      <c r="D44" s="62"/>
      <c r="F44" s="14"/>
      <c r="G44" s="14"/>
      <c r="H44" s="47"/>
      <c r="I44" s="11"/>
      <c r="J44" s="14"/>
      <c r="K44" s="16">
        <v>27</v>
      </c>
      <c r="L44" s="15">
        <v>7</v>
      </c>
      <c r="M44" s="14"/>
      <c r="N44"/>
      <c r="O44" s="66"/>
      <c r="P44" s="64"/>
      <c r="Q44" s="10"/>
      <c r="R44" s="10"/>
    </row>
    <row r="45" spans="1:18" s="1" customFormat="1">
      <c r="A45" s="62"/>
      <c r="B45" s="111" t="s">
        <v>5122</v>
      </c>
      <c r="C45" s="64" t="s">
        <v>494</v>
      </c>
      <c r="D45" s="62"/>
      <c r="F45" s="14"/>
      <c r="G45" s="14"/>
      <c r="H45" s="47"/>
      <c r="I45" s="11"/>
      <c r="J45" s="14"/>
      <c r="K45" s="16">
        <v>28</v>
      </c>
      <c r="L45" s="15">
        <v>7</v>
      </c>
      <c r="M45" s="14"/>
      <c r="N45"/>
      <c r="O45" s="66"/>
      <c r="P45" s="64"/>
      <c r="Q45" s="10"/>
      <c r="R45" s="10"/>
    </row>
    <row r="46" spans="1:18" s="1" customFormat="1">
      <c r="A46" s="62"/>
      <c r="B46" s="111" t="s">
        <v>5123</v>
      </c>
      <c r="C46" s="64" t="s">
        <v>494</v>
      </c>
      <c r="D46" s="62"/>
      <c r="F46" s="14"/>
      <c r="G46" s="14"/>
      <c r="H46" s="47"/>
      <c r="I46" s="11"/>
      <c r="J46" s="14"/>
      <c r="K46" s="16">
        <v>29</v>
      </c>
      <c r="L46" s="15">
        <v>7</v>
      </c>
      <c r="M46" s="14"/>
      <c r="N46"/>
      <c r="O46" s="66"/>
      <c r="P46" s="64"/>
      <c r="Q46" s="10"/>
      <c r="R46" s="10"/>
    </row>
    <row r="47" spans="1:18" s="1" customFormat="1">
      <c r="A47" s="62"/>
      <c r="B47" s="70" t="s">
        <v>4866</v>
      </c>
      <c r="C47" s="64" t="s">
        <v>494</v>
      </c>
      <c r="D47" s="62"/>
      <c r="F47" s="14"/>
      <c r="G47" s="14"/>
      <c r="H47" s="47"/>
      <c r="I47" s="11"/>
      <c r="J47" s="14"/>
      <c r="K47" s="16">
        <v>30</v>
      </c>
      <c r="L47" s="15">
        <v>7</v>
      </c>
      <c r="M47" s="14"/>
      <c r="N47" s="62"/>
      <c r="O47" s="62"/>
      <c r="P47" s="62"/>
      <c r="Q47" s="14"/>
      <c r="R47" s="14"/>
    </row>
    <row r="48" spans="1:18" s="1" customFormat="1">
      <c r="A48" s="62"/>
      <c r="B48" s="111" t="s">
        <v>5124</v>
      </c>
      <c r="C48" s="64" t="s">
        <v>494</v>
      </c>
      <c r="D48" s="62"/>
      <c r="F48" s="14"/>
      <c r="G48" s="14"/>
      <c r="H48" s="47"/>
      <c r="I48" s="11"/>
      <c r="J48" s="14"/>
      <c r="K48" s="16">
        <v>31</v>
      </c>
      <c r="L48" s="15">
        <v>7</v>
      </c>
      <c r="M48" s="14"/>
      <c r="N48"/>
      <c r="O48" s="66"/>
      <c r="P48" s="64"/>
      <c r="Q48" s="10"/>
      <c r="R48" s="10"/>
    </row>
    <row r="49" spans="1:18" s="1" customFormat="1">
      <c r="A49" s="62"/>
      <c r="B49" s="111" t="s">
        <v>5125</v>
      </c>
      <c r="C49" s="64" t="s">
        <v>494</v>
      </c>
      <c r="D49" s="62"/>
      <c r="F49" s="14"/>
      <c r="G49" s="14"/>
      <c r="H49" s="47"/>
      <c r="I49" s="11"/>
      <c r="J49" s="14"/>
      <c r="K49" s="16">
        <v>32</v>
      </c>
      <c r="L49" s="15">
        <v>7</v>
      </c>
      <c r="M49" s="14"/>
      <c r="N49"/>
      <c r="O49" s="66"/>
      <c r="P49" s="64"/>
      <c r="Q49" s="10"/>
      <c r="R49" s="10"/>
    </row>
    <row r="50" spans="1:18" s="1" customFormat="1">
      <c r="A50" s="62"/>
      <c r="B50" s="111" t="s">
        <v>5127</v>
      </c>
      <c r="C50" s="64" t="s">
        <v>494</v>
      </c>
      <c r="D50" s="62"/>
      <c r="F50" s="14"/>
      <c r="G50" s="14"/>
      <c r="H50" s="47"/>
      <c r="I50" s="11"/>
      <c r="J50" s="14"/>
      <c r="K50" s="16">
        <v>33</v>
      </c>
      <c r="L50" s="15">
        <v>7</v>
      </c>
      <c r="M50" s="14"/>
      <c r="N50"/>
      <c r="O50" s="66"/>
      <c r="P50" s="64"/>
      <c r="Q50" s="10"/>
      <c r="R50" s="10"/>
    </row>
    <row r="51" spans="1:18" s="1" customFormat="1">
      <c r="A51" s="62"/>
      <c r="B51" s="111" t="s">
        <v>5128</v>
      </c>
      <c r="C51" s="64" t="s">
        <v>494</v>
      </c>
      <c r="D51" s="62"/>
      <c r="F51" s="14"/>
      <c r="G51" s="14"/>
      <c r="H51" s="47"/>
      <c r="I51" s="11"/>
      <c r="J51" s="14"/>
      <c r="K51" s="16">
        <v>34</v>
      </c>
      <c r="L51" s="15">
        <v>3</v>
      </c>
      <c r="M51" s="14"/>
      <c r="N51" s="62" t="s">
        <v>5129</v>
      </c>
      <c r="O51" s="62" t="s">
        <v>5131</v>
      </c>
      <c r="P51" s="62" t="s">
        <v>5134</v>
      </c>
      <c r="Q51" s="10"/>
      <c r="R51" s="10">
        <v>217</v>
      </c>
    </row>
    <row r="52" spans="1:18" s="1" customFormat="1">
      <c r="A52" s="62"/>
      <c r="B52" s="111" t="s">
        <v>5166</v>
      </c>
      <c r="C52" s="64" t="s">
        <v>494</v>
      </c>
      <c r="D52" s="62"/>
      <c r="F52" s="14"/>
      <c r="G52" s="14"/>
      <c r="H52" s="47"/>
      <c r="I52" s="11"/>
      <c r="J52" s="14"/>
      <c r="K52" s="16">
        <v>35</v>
      </c>
      <c r="L52" s="15">
        <v>7</v>
      </c>
      <c r="M52" s="14"/>
      <c r="N52" s="62"/>
      <c r="O52" s="62"/>
      <c r="P52" s="62"/>
      <c r="Q52" s="10"/>
      <c r="R52" s="10"/>
    </row>
    <row r="53" spans="1:18" s="1" customFormat="1">
      <c r="A53" s="62"/>
      <c r="B53" s="111" t="s">
        <v>6153</v>
      </c>
      <c r="C53" s="64" t="s">
        <v>494</v>
      </c>
      <c r="D53" s="62"/>
      <c r="F53" s="14"/>
      <c r="G53" s="14"/>
      <c r="H53" s="47"/>
      <c r="I53" s="11"/>
      <c r="J53" s="14"/>
      <c r="K53" s="16">
        <v>36</v>
      </c>
      <c r="L53" s="15">
        <v>3</v>
      </c>
      <c r="M53" s="14">
        <v>31</v>
      </c>
      <c r="N53" s="62"/>
      <c r="O53" s="62"/>
      <c r="P53" s="62"/>
      <c r="Q53" s="10"/>
      <c r="R53" s="10">
        <v>4</v>
      </c>
    </row>
    <row r="54" spans="1:18" s="1" customFormat="1">
      <c r="A54" s="62"/>
      <c r="B54" s="70" t="s">
        <v>6752</v>
      </c>
      <c r="C54" s="70" t="s">
        <v>494</v>
      </c>
      <c r="D54" s="62"/>
      <c r="F54" s="14"/>
      <c r="G54" s="14"/>
      <c r="H54" s="47"/>
      <c r="I54" s="11"/>
      <c r="J54" s="14"/>
      <c r="K54" s="16">
        <v>37</v>
      </c>
      <c r="L54" s="15">
        <v>3</v>
      </c>
      <c r="M54" s="14">
        <v>3</v>
      </c>
      <c r="N54" s="10" t="s">
        <v>506</v>
      </c>
      <c r="O54" s="10" t="s">
        <v>514</v>
      </c>
      <c r="P54" s="1" t="s">
        <v>516</v>
      </c>
      <c r="Q54" s="10"/>
      <c r="R54" s="10"/>
    </row>
    <row r="55" spans="1:18" s="1" customFormat="1">
      <c r="A55" s="62"/>
      <c r="B55" s="64"/>
      <c r="C55" s="64"/>
      <c r="F55" s="14"/>
      <c r="G55" s="14"/>
      <c r="H55" s="14"/>
      <c r="I55" s="11"/>
      <c r="J55" s="14"/>
      <c r="K55" s="16"/>
      <c r="L55" s="15"/>
      <c r="M55" s="14"/>
      <c r="N55" s="14"/>
      <c r="O55" s="14"/>
      <c r="P55" s="14"/>
      <c r="Q55" s="14"/>
      <c r="R55" s="14"/>
    </row>
    <row r="56" spans="1:18">
      <c r="A56" s="70" t="s">
        <v>3972</v>
      </c>
      <c r="B56" s="95" t="s">
        <v>6759</v>
      </c>
      <c r="C56" s="70" t="s">
        <v>494</v>
      </c>
      <c r="E56" s="62" t="s">
        <v>476</v>
      </c>
      <c r="F56">
        <v>22</v>
      </c>
      <c r="G56">
        <v>2218</v>
      </c>
      <c r="H56" s="62" t="s">
        <v>3997</v>
      </c>
      <c r="I56" s="62"/>
      <c r="J56">
        <v>2</v>
      </c>
      <c r="K56">
        <v>1</v>
      </c>
      <c r="L56">
        <v>52</v>
      </c>
      <c r="N56">
        <v>146</v>
      </c>
      <c r="O56" s="10" t="s">
        <v>514</v>
      </c>
    </row>
    <row r="57" spans="1:18">
      <c r="A57" s="70"/>
      <c r="B57" s="70" t="s">
        <v>3973</v>
      </c>
      <c r="C57" s="70" t="s">
        <v>494</v>
      </c>
      <c r="E57" s="62"/>
      <c r="H57" s="62"/>
      <c r="I57" s="62"/>
      <c r="K57" s="57">
        <v>2</v>
      </c>
      <c r="L57" s="55">
        <v>6</v>
      </c>
    </row>
    <row r="58" spans="1:18">
      <c r="A58" s="94"/>
      <c r="B58" s="70" t="s">
        <v>3974</v>
      </c>
      <c r="C58" s="70" t="s">
        <v>494</v>
      </c>
      <c r="K58">
        <v>3</v>
      </c>
      <c r="L58">
        <v>6</v>
      </c>
    </row>
    <row r="59" spans="1:18">
      <c r="A59" s="94"/>
      <c r="B59" s="70" t="s">
        <v>3975</v>
      </c>
      <c r="C59" s="70" t="s">
        <v>493</v>
      </c>
      <c r="D59">
        <v>1</v>
      </c>
      <c r="K59">
        <v>4</v>
      </c>
      <c r="L59">
        <v>3</v>
      </c>
    </row>
    <row r="60" spans="1:18">
      <c r="A60" s="94"/>
      <c r="B60" s="70" t="s">
        <v>3976</v>
      </c>
      <c r="C60" s="70" t="s">
        <v>494</v>
      </c>
      <c r="K60">
        <v>5</v>
      </c>
      <c r="M60">
        <v>1</v>
      </c>
    </row>
    <row r="61" spans="1:18">
      <c r="A61"/>
    </row>
    <row r="62" spans="1:18" s="1" customFormat="1">
      <c r="A62" s="95" t="s">
        <v>54</v>
      </c>
      <c r="B62" s="50" t="s">
        <v>55</v>
      </c>
      <c r="C62" s="10" t="s">
        <v>494</v>
      </c>
      <c r="D62" s="10"/>
      <c r="E62" s="10" t="s">
        <v>476</v>
      </c>
      <c r="F62" s="10">
        <v>1</v>
      </c>
      <c r="G62" s="10">
        <v>147</v>
      </c>
      <c r="H62" s="10" t="s">
        <v>60</v>
      </c>
      <c r="I62" s="64" t="s">
        <v>61</v>
      </c>
      <c r="J62" s="10">
        <v>1</v>
      </c>
      <c r="K62" s="16">
        <v>1</v>
      </c>
      <c r="L62" s="31"/>
      <c r="M62" s="10"/>
      <c r="N62" s="10"/>
      <c r="O62" s="10"/>
      <c r="P62" s="10"/>
      <c r="Q62" s="10"/>
      <c r="R62" s="10"/>
    </row>
    <row r="63" spans="1:18" s="1" customFormat="1">
      <c r="A63" s="95"/>
      <c r="B63" s="50" t="s">
        <v>56</v>
      </c>
      <c r="C63" s="10" t="s">
        <v>494</v>
      </c>
      <c r="D63" s="10"/>
      <c r="E63" s="10"/>
      <c r="F63" s="10"/>
      <c r="G63" s="10"/>
      <c r="H63" s="10"/>
      <c r="I63" s="10"/>
      <c r="J63" s="10"/>
      <c r="K63" s="16">
        <v>2</v>
      </c>
      <c r="L63" s="31">
        <v>6</v>
      </c>
      <c r="M63" s="10"/>
      <c r="N63" s="10"/>
      <c r="O63" s="10"/>
      <c r="P63" s="10"/>
      <c r="Q63" s="10"/>
      <c r="R63" s="10"/>
    </row>
    <row r="64" spans="1:18" s="1" customFormat="1">
      <c r="A64" s="95"/>
      <c r="B64" s="50" t="s">
        <v>59</v>
      </c>
      <c r="C64" s="10" t="s">
        <v>494</v>
      </c>
      <c r="D64" s="10"/>
      <c r="E64" s="10"/>
      <c r="F64" s="10"/>
      <c r="G64" s="10"/>
      <c r="H64" s="10"/>
      <c r="I64" s="10"/>
      <c r="J64" s="10"/>
      <c r="K64" s="16">
        <v>3</v>
      </c>
      <c r="L64" s="15">
        <v>3</v>
      </c>
      <c r="M64" s="10"/>
      <c r="N64" s="1" t="s">
        <v>995</v>
      </c>
      <c r="O64" s="23" t="s">
        <v>997</v>
      </c>
      <c r="P64" s="23" t="s">
        <v>996</v>
      </c>
      <c r="Q64" s="10"/>
      <c r="R64" s="10"/>
    </row>
    <row r="65" spans="1:18" s="1" customFormat="1">
      <c r="A65" s="95"/>
      <c r="B65" s="50" t="s">
        <v>57</v>
      </c>
      <c r="C65" s="10" t="s">
        <v>493</v>
      </c>
      <c r="D65" s="10">
        <v>250</v>
      </c>
      <c r="E65" s="10"/>
      <c r="F65" s="10"/>
      <c r="G65" s="10"/>
      <c r="H65" s="64" t="s">
        <v>3692</v>
      </c>
      <c r="I65" s="10"/>
      <c r="J65" s="10"/>
      <c r="K65" s="16">
        <v>4</v>
      </c>
      <c r="L65" s="31"/>
      <c r="M65" s="10"/>
      <c r="N65" s="10"/>
      <c r="O65" s="10"/>
      <c r="P65" s="10"/>
      <c r="Q65" s="10"/>
      <c r="R65" s="10"/>
    </row>
    <row r="66" spans="1:18" s="1" customFormat="1">
      <c r="A66" s="95"/>
      <c r="B66" s="50" t="s">
        <v>58</v>
      </c>
      <c r="C66" s="10" t="s">
        <v>494</v>
      </c>
      <c r="D66" s="10"/>
      <c r="E66" s="10"/>
      <c r="F66" s="10"/>
      <c r="G66" s="10"/>
      <c r="H66" s="10"/>
      <c r="I66" s="10"/>
      <c r="J66" s="10"/>
      <c r="K66" s="16">
        <v>5</v>
      </c>
      <c r="L66" s="31">
        <v>8</v>
      </c>
      <c r="M66" s="10"/>
      <c r="N66" s="10"/>
      <c r="O66" s="10"/>
      <c r="P66" s="10"/>
      <c r="Q66" s="10"/>
      <c r="R66" s="10"/>
    </row>
    <row r="67" spans="1:18" s="1" customFormat="1">
      <c r="A67" s="95"/>
      <c r="B67" s="50" t="s">
        <v>3633</v>
      </c>
      <c r="C67" s="64" t="s">
        <v>494</v>
      </c>
      <c r="D67" s="10"/>
      <c r="E67" s="10"/>
      <c r="F67" s="10"/>
      <c r="G67" s="10"/>
      <c r="H67" s="10"/>
      <c r="I67" s="10"/>
      <c r="J67" s="10"/>
      <c r="K67" s="16">
        <v>6</v>
      </c>
      <c r="L67" s="80">
        <v>3</v>
      </c>
      <c r="M67" s="10"/>
      <c r="N67" s="62" t="s">
        <v>3620</v>
      </c>
      <c r="O67" s="62" t="s">
        <v>3622</v>
      </c>
      <c r="P67" s="62" t="s">
        <v>3623</v>
      </c>
      <c r="Q67" s="10"/>
      <c r="R67" s="10"/>
    </row>
    <row r="68" spans="1:18" s="1" customFormat="1">
      <c r="A68" s="64"/>
      <c r="B68" s="66"/>
      <c r="C68" s="64"/>
      <c r="D68" s="10"/>
      <c r="E68" s="10"/>
      <c r="F68" s="10"/>
      <c r="G68" s="10"/>
      <c r="H68" s="10"/>
      <c r="I68" s="10"/>
      <c r="J68" s="10"/>
      <c r="K68" s="16"/>
      <c r="L68" s="80"/>
      <c r="M68" s="10"/>
      <c r="N68" s="62"/>
      <c r="O68" s="62"/>
      <c r="P68" s="62"/>
      <c r="Q68" s="10"/>
      <c r="R68" s="10"/>
    </row>
    <row r="69" spans="1:18" s="1" customFormat="1">
      <c r="A69" s="64" t="s">
        <v>3880</v>
      </c>
      <c r="B69" s="66" t="s">
        <v>3881</v>
      </c>
      <c r="C69" s="64" t="s">
        <v>493</v>
      </c>
      <c r="D69" s="10">
        <v>30</v>
      </c>
      <c r="E69" s="64" t="s">
        <v>476</v>
      </c>
      <c r="F69" s="10">
        <v>1</v>
      </c>
      <c r="G69" s="10">
        <v>100</v>
      </c>
      <c r="H69" s="64" t="s">
        <v>3884</v>
      </c>
      <c r="I69" s="64" t="s">
        <v>3885</v>
      </c>
      <c r="J69" s="10">
        <v>-1</v>
      </c>
      <c r="K69" s="16">
        <v>1</v>
      </c>
      <c r="L69" s="80"/>
      <c r="M69" s="10"/>
      <c r="N69" s="62"/>
      <c r="O69" s="62"/>
      <c r="P69" s="62"/>
      <c r="Q69" s="10"/>
      <c r="R69" s="10"/>
    </row>
    <row r="70" spans="1:18" s="1" customFormat="1">
      <c r="A70" s="64"/>
      <c r="B70" s="66" t="s">
        <v>3882</v>
      </c>
      <c r="C70" s="64" t="s">
        <v>493</v>
      </c>
      <c r="D70" s="10">
        <v>50</v>
      </c>
      <c r="E70" s="10"/>
      <c r="F70" s="10"/>
      <c r="G70" s="10"/>
      <c r="H70" s="10"/>
      <c r="I70" s="10"/>
      <c r="J70" s="10"/>
      <c r="K70" s="16">
        <v>2</v>
      </c>
      <c r="L70" s="80"/>
      <c r="M70" s="10"/>
      <c r="N70" s="62"/>
      <c r="O70" s="62"/>
      <c r="P70" s="62"/>
      <c r="Q70" s="10"/>
      <c r="R70" s="10"/>
    </row>
    <row r="71" spans="1:18" s="1" customFormat="1">
      <c r="A71" s="64"/>
      <c r="B71" s="66" t="s">
        <v>3883</v>
      </c>
      <c r="C71" s="64" t="s">
        <v>493</v>
      </c>
      <c r="D71" s="10">
        <v>20</v>
      </c>
      <c r="E71" s="10"/>
      <c r="F71" s="10"/>
      <c r="G71" s="10"/>
      <c r="H71" s="10"/>
      <c r="I71" s="10"/>
      <c r="J71" s="10"/>
      <c r="K71" s="16">
        <v>3</v>
      </c>
      <c r="L71" s="80"/>
      <c r="M71" s="10"/>
      <c r="N71" s="62"/>
      <c r="O71" s="62"/>
      <c r="P71" s="62"/>
      <c r="Q71" s="10"/>
      <c r="R71" s="10"/>
    </row>
    <row r="72" spans="1:18" s="1" customFormat="1">
      <c r="A72" s="64"/>
      <c r="B72" s="66"/>
      <c r="C72" s="64"/>
      <c r="D72" s="10"/>
      <c r="E72" s="10"/>
      <c r="F72" s="10"/>
      <c r="G72" s="10"/>
      <c r="H72" s="10"/>
      <c r="I72" s="10"/>
      <c r="J72" s="10"/>
      <c r="K72" s="16"/>
      <c r="L72" s="80"/>
      <c r="M72" s="10"/>
      <c r="N72" s="62"/>
      <c r="O72" s="62"/>
      <c r="P72" s="62"/>
      <c r="Q72" s="10"/>
      <c r="R72" s="10"/>
    </row>
    <row r="73" spans="1:18" s="1" customFormat="1">
      <c r="A73" s="62" t="s">
        <v>536</v>
      </c>
      <c r="B73" s="62" t="s">
        <v>537</v>
      </c>
      <c r="C73" s="1" t="s">
        <v>494</v>
      </c>
      <c r="E73" s="1" t="s">
        <v>476</v>
      </c>
      <c r="F73" s="1">
        <v>99</v>
      </c>
      <c r="G73" s="1">
        <v>101</v>
      </c>
      <c r="H73" s="1" t="s">
        <v>530</v>
      </c>
      <c r="I73" s="2" t="s">
        <v>646</v>
      </c>
      <c r="J73" s="1">
        <v>-1</v>
      </c>
      <c r="K73" s="82">
        <v>1</v>
      </c>
      <c r="L73" s="9"/>
    </row>
    <row r="74" spans="1:18" s="1" customFormat="1">
      <c r="A74" s="62"/>
      <c r="B74" s="62" t="s">
        <v>538</v>
      </c>
      <c r="C74" s="1" t="s">
        <v>493</v>
      </c>
      <c r="D74" s="1">
        <v>50</v>
      </c>
      <c r="I74" s="2"/>
      <c r="K74" s="82">
        <v>2</v>
      </c>
      <c r="L74" s="9"/>
    </row>
    <row r="75" spans="1:18" s="1" customFormat="1">
      <c r="A75" s="62"/>
      <c r="B75" s="62" t="s">
        <v>539</v>
      </c>
      <c r="C75" s="1" t="s">
        <v>493</v>
      </c>
      <c r="D75" s="1">
        <v>250</v>
      </c>
      <c r="I75" s="2"/>
      <c r="K75" s="82">
        <v>3</v>
      </c>
      <c r="L75" s="9"/>
    </row>
    <row r="76" spans="1:18" s="1" customFormat="1">
      <c r="A76" s="62"/>
      <c r="B76" s="62" t="s">
        <v>531</v>
      </c>
      <c r="C76" s="1" t="s">
        <v>493</v>
      </c>
      <c r="D76" s="1">
        <v>1</v>
      </c>
      <c r="I76" s="2"/>
      <c r="K76" s="82">
        <v>4</v>
      </c>
      <c r="L76" s="9">
        <v>3</v>
      </c>
    </row>
    <row r="77" spans="1:18" s="1" customFormat="1">
      <c r="A77" s="62"/>
      <c r="B77" s="62" t="s">
        <v>532</v>
      </c>
      <c r="C77" s="1" t="s">
        <v>493</v>
      </c>
      <c r="D77" s="1">
        <v>1</v>
      </c>
      <c r="I77" s="2"/>
      <c r="K77" s="82">
        <v>5</v>
      </c>
      <c r="L77" s="9">
        <v>3</v>
      </c>
    </row>
    <row r="78" spans="1:18" s="1" customFormat="1">
      <c r="A78" s="62"/>
      <c r="B78" s="1" t="s">
        <v>533</v>
      </c>
      <c r="C78" s="1" t="s">
        <v>494</v>
      </c>
      <c r="I78" s="2"/>
      <c r="K78" s="82">
        <v>6</v>
      </c>
      <c r="L78" s="9"/>
    </row>
    <row r="79" spans="1:18" s="1" customFormat="1">
      <c r="A79" s="62"/>
      <c r="B79" s="1" t="s">
        <v>534</v>
      </c>
      <c r="C79" s="1" t="s">
        <v>494</v>
      </c>
      <c r="I79" s="2"/>
      <c r="K79" s="82">
        <v>7</v>
      </c>
      <c r="L79" s="9"/>
    </row>
    <row r="80" spans="1:18" s="1" customFormat="1">
      <c r="A80" s="62"/>
      <c r="B80" s="1" t="s">
        <v>535</v>
      </c>
      <c r="C80" s="1" t="s">
        <v>494</v>
      </c>
      <c r="I80" s="2"/>
      <c r="K80" s="82">
        <v>8</v>
      </c>
      <c r="L80" s="9"/>
    </row>
    <row r="81" spans="1:16" s="1" customFormat="1">
      <c r="A81" s="62"/>
      <c r="B81" s="62" t="s">
        <v>3029</v>
      </c>
      <c r="C81" s="62" t="s">
        <v>493</v>
      </c>
      <c r="D81" s="1">
        <v>50</v>
      </c>
      <c r="I81" s="2"/>
      <c r="K81" s="82">
        <v>9</v>
      </c>
      <c r="L81" s="9"/>
    </row>
    <row r="82" spans="1:16" s="1" customFormat="1">
      <c r="A82" s="62"/>
      <c r="B82" s="62" t="s">
        <v>3205</v>
      </c>
      <c r="C82" s="62" t="s">
        <v>494</v>
      </c>
      <c r="I82" s="2"/>
      <c r="K82" s="82">
        <v>10</v>
      </c>
      <c r="L82" s="9"/>
    </row>
    <row r="83" spans="1:16" s="1" customFormat="1">
      <c r="A83" s="62"/>
      <c r="B83" s="62" t="s">
        <v>3206</v>
      </c>
      <c r="C83" s="62" t="s">
        <v>493</v>
      </c>
      <c r="D83" s="1">
        <v>100</v>
      </c>
      <c r="I83" s="2"/>
      <c r="K83" s="82">
        <v>11</v>
      </c>
      <c r="L83" s="9"/>
    </row>
    <row r="84" spans="1:16" s="1" customFormat="1">
      <c r="A84" s="62"/>
      <c r="B84" s="62" t="s">
        <v>3207</v>
      </c>
      <c r="C84" s="62" t="s">
        <v>493</v>
      </c>
      <c r="D84" s="1">
        <v>100</v>
      </c>
      <c r="I84" s="2"/>
      <c r="K84" s="82">
        <v>12</v>
      </c>
      <c r="L84" s="9"/>
    </row>
    <row r="85" spans="1:16" s="1" customFormat="1">
      <c r="A85" s="62"/>
      <c r="B85" s="62"/>
      <c r="C85" s="62"/>
      <c r="I85" s="2"/>
      <c r="K85" s="82"/>
      <c r="L85" s="9"/>
    </row>
    <row r="86" spans="1:16" s="1" customFormat="1">
      <c r="A86" s="62" t="s">
        <v>540</v>
      </c>
      <c r="B86" s="62" t="s">
        <v>541</v>
      </c>
      <c r="C86" s="1" t="s">
        <v>494</v>
      </c>
      <c r="E86" s="1" t="s">
        <v>476</v>
      </c>
      <c r="F86" s="14">
        <v>99</v>
      </c>
      <c r="G86" s="14">
        <v>102</v>
      </c>
      <c r="H86" s="14" t="s">
        <v>522</v>
      </c>
      <c r="I86" s="11" t="s">
        <v>647</v>
      </c>
      <c r="J86" s="14">
        <v>-1</v>
      </c>
      <c r="K86" s="16">
        <v>1</v>
      </c>
      <c r="L86" s="15"/>
      <c r="M86" s="14"/>
      <c r="N86" s="14"/>
      <c r="O86" s="14"/>
      <c r="P86" s="14"/>
    </row>
    <row r="87" spans="1:16" s="1" customFormat="1">
      <c r="A87" s="62"/>
      <c r="B87" s="1" t="s">
        <v>542</v>
      </c>
      <c r="C87" s="1" t="s">
        <v>493</v>
      </c>
      <c r="D87" s="1">
        <v>100</v>
      </c>
      <c r="F87" s="14"/>
      <c r="G87" s="14"/>
      <c r="H87" s="14"/>
      <c r="I87" s="11"/>
      <c r="J87" s="14"/>
      <c r="K87" s="16">
        <v>2</v>
      </c>
      <c r="L87" s="15"/>
      <c r="M87" s="14"/>
      <c r="N87" s="14"/>
      <c r="O87" s="14"/>
      <c r="P87" s="14"/>
    </row>
    <row r="88" spans="1:16" s="1" customFormat="1">
      <c r="A88" s="62"/>
      <c r="B88" s="62" t="s">
        <v>543</v>
      </c>
      <c r="C88" s="1" t="s">
        <v>494</v>
      </c>
      <c r="F88" s="14"/>
      <c r="G88" s="14"/>
      <c r="H88" s="14"/>
      <c r="I88" s="11"/>
      <c r="J88" s="14"/>
      <c r="K88" s="16">
        <v>3</v>
      </c>
      <c r="L88" s="15">
        <v>3</v>
      </c>
      <c r="M88" s="14"/>
      <c r="N88" s="1" t="s">
        <v>536</v>
      </c>
      <c r="O88" s="1" t="s">
        <v>537</v>
      </c>
      <c r="P88" s="1" t="s">
        <v>538</v>
      </c>
    </row>
    <row r="89" spans="1:16" s="1" customFormat="1">
      <c r="A89" s="62"/>
      <c r="F89" s="14"/>
      <c r="G89" s="14"/>
      <c r="H89" s="14"/>
      <c r="I89" s="11"/>
      <c r="J89" s="14"/>
      <c r="K89" s="16"/>
      <c r="L89" s="15"/>
      <c r="M89" s="14"/>
    </row>
    <row r="90" spans="1:16" s="1" customFormat="1">
      <c r="A90" s="62" t="s">
        <v>547</v>
      </c>
      <c r="B90" s="62" t="s">
        <v>548</v>
      </c>
      <c r="C90" s="1" t="s">
        <v>494</v>
      </c>
      <c r="E90" s="1" t="s">
        <v>476</v>
      </c>
      <c r="F90" s="14">
        <v>99</v>
      </c>
      <c r="G90" s="14">
        <v>104</v>
      </c>
      <c r="H90" s="14" t="s">
        <v>524</v>
      </c>
      <c r="I90" s="11" t="s">
        <v>649</v>
      </c>
      <c r="J90" s="14">
        <v>-1</v>
      </c>
      <c r="K90" s="16">
        <v>1</v>
      </c>
      <c r="L90" s="15">
        <v>52</v>
      </c>
      <c r="M90" s="14"/>
      <c r="N90" s="1">
        <v>102</v>
      </c>
      <c r="O90" s="14" t="s">
        <v>541</v>
      </c>
      <c r="P90" s="14"/>
    </row>
    <row r="91" spans="1:16" s="1" customFormat="1">
      <c r="A91" s="62"/>
      <c r="B91" s="1" t="s">
        <v>549</v>
      </c>
      <c r="C91" s="1" t="s">
        <v>494</v>
      </c>
      <c r="E91" s="1" t="s">
        <v>476</v>
      </c>
      <c r="F91" s="14"/>
      <c r="G91" s="14"/>
      <c r="H91" s="14"/>
      <c r="I91" s="11"/>
      <c r="J91" s="14"/>
      <c r="K91" s="16">
        <v>2</v>
      </c>
      <c r="L91" s="15">
        <v>3</v>
      </c>
      <c r="M91" s="14"/>
      <c r="N91" s="1" t="s">
        <v>544</v>
      </c>
      <c r="O91" s="14" t="s">
        <v>545</v>
      </c>
      <c r="P91" s="14" t="s">
        <v>546</v>
      </c>
    </row>
    <row r="92" spans="1:16" s="1" customFormat="1">
      <c r="A92" s="62"/>
      <c r="B92" s="1" t="s">
        <v>550</v>
      </c>
      <c r="C92" s="1" t="s">
        <v>493</v>
      </c>
      <c r="D92" s="1">
        <v>1</v>
      </c>
      <c r="F92" s="14"/>
      <c r="G92" s="14"/>
      <c r="H92" s="14"/>
      <c r="I92" s="11"/>
      <c r="J92" s="14"/>
      <c r="K92" s="16">
        <v>3</v>
      </c>
      <c r="L92" s="15">
        <v>3</v>
      </c>
      <c r="M92" s="14"/>
      <c r="N92" s="14"/>
      <c r="O92" s="14"/>
      <c r="P92" s="14"/>
    </row>
    <row r="93" spans="1:16" s="1" customFormat="1">
      <c r="A93" s="62"/>
      <c r="F93" s="14"/>
      <c r="G93" s="14"/>
      <c r="H93" s="14"/>
      <c r="I93" s="11"/>
      <c r="J93" s="14"/>
      <c r="K93" s="16"/>
      <c r="L93" s="15"/>
      <c r="M93" s="14"/>
      <c r="N93" s="14"/>
      <c r="O93" s="14"/>
      <c r="P93" s="14"/>
    </row>
    <row r="94" spans="1:16" s="1" customFormat="1">
      <c r="A94" s="62" t="s">
        <v>544</v>
      </c>
      <c r="B94" s="1" t="s">
        <v>545</v>
      </c>
      <c r="C94" s="1" t="s">
        <v>494</v>
      </c>
      <c r="E94" s="1" t="s">
        <v>476</v>
      </c>
      <c r="F94" s="14">
        <v>99</v>
      </c>
      <c r="G94" s="14">
        <v>103</v>
      </c>
      <c r="H94" s="14" t="s">
        <v>523</v>
      </c>
      <c r="I94" s="11" t="s">
        <v>648</v>
      </c>
      <c r="J94" s="14">
        <v>-1</v>
      </c>
      <c r="K94" s="16">
        <v>1</v>
      </c>
      <c r="L94" s="15"/>
      <c r="M94" s="14"/>
      <c r="N94" s="14"/>
      <c r="O94" s="14"/>
      <c r="P94" s="14"/>
    </row>
    <row r="95" spans="1:16" s="1" customFormat="1">
      <c r="A95" s="62"/>
      <c r="B95" s="1" t="s">
        <v>546</v>
      </c>
      <c r="C95" s="1" t="s">
        <v>493</v>
      </c>
      <c r="D95" s="1">
        <v>100</v>
      </c>
      <c r="F95" s="14"/>
      <c r="G95" s="14"/>
      <c r="H95" s="14"/>
      <c r="I95" s="11"/>
      <c r="J95" s="14"/>
      <c r="K95" s="16">
        <v>2</v>
      </c>
      <c r="L95" s="15"/>
      <c r="M95" s="14"/>
      <c r="N95" s="14"/>
      <c r="O95" s="14"/>
      <c r="P95" s="14"/>
    </row>
    <row r="96" spans="1:16" s="1" customFormat="1">
      <c r="A96" s="62"/>
      <c r="F96" s="14"/>
      <c r="G96" s="14"/>
      <c r="H96" s="14"/>
      <c r="I96" s="11"/>
      <c r="J96" s="14"/>
      <c r="K96" s="16"/>
      <c r="L96" s="15"/>
      <c r="M96" s="14"/>
      <c r="N96" s="14"/>
      <c r="O96" s="14"/>
      <c r="P96" s="14"/>
    </row>
    <row r="97" spans="1:16" s="1" customFormat="1">
      <c r="A97" s="62" t="s">
        <v>551</v>
      </c>
      <c r="B97" s="62" t="s">
        <v>552</v>
      </c>
      <c r="C97" s="1" t="s">
        <v>494</v>
      </c>
      <c r="E97" s="1" t="s">
        <v>476</v>
      </c>
      <c r="F97" s="14">
        <v>99</v>
      </c>
      <c r="G97" s="14">
        <v>105</v>
      </c>
      <c r="H97" s="14" t="s">
        <v>525</v>
      </c>
      <c r="I97" s="11" t="s">
        <v>650</v>
      </c>
      <c r="J97" s="14">
        <v>-1</v>
      </c>
      <c r="K97" s="16">
        <v>1</v>
      </c>
      <c r="L97" s="15"/>
      <c r="M97" s="14"/>
      <c r="N97" s="14"/>
      <c r="O97" s="14"/>
      <c r="P97" s="14"/>
    </row>
    <row r="98" spans="1:16" s="1" customFormat="1">
      <c r="A98" s="62"/>
      <c r="B98" s="1" t="s">
        <v>553</v>
      </c>
      <c r="C98" s="1" t="s">
        <v>493</v>
      </c>
      <c r="D98" s="1">
        <v>100</v>
      </c>
      <c r="F98" s="14"/>
      <c r="G98" s="14"/>
      <c r="H98" s="14"/>
      <c r="I98" s="11"/>
      <c r="J98" s="14"/>
      <c r="K98" s="16">
        <v>2</v>
      </c>
      <c r="L98" s="15"/>
      <c r="M98" s="14"/>
      <c r="N98" s="14"/>
      <c r="O98" s="14"/>
      <c r="P98" s="14"/>
    </row>
    <row r="99" spans="1:16" s="1" customFormat="1">
      <c r="A99" s="62"/>
      <c r="B99" s="62" t="s">
        <v>2323</v>
      </c>
      <c r="C99" s="62" t="s">
        <v>494</v>
      </c>
      <c r="F99" s="14"/>
      <c r="G99" s="14"/>
      <c r="H99" s="14"/>
      <c r="I99" s="11"/>
      <c r="J99" s="14"/>
      <c r="K99" s="16">
        <v>3</v>
      </c>
      <c r="L99" s="15">
        <v>3</v>
      </c>
      <c r="M99" s="14"/>
      <c r="N99" s="62" t="s">
        <v>536</v>
      </c>
      <c r="O99" s="1" t="s">
        <v>537</v>
      </c>
      <c r="P99" s="1" t="s">
        <v>538</v>
      </c>
    </row>
    <row r="100" spans="1:16" s="1" customFormat="1">
      <c r="A100" s="62"/>
      <c r="B100" s="62" t="s">
        <v>3848</v>
      </c>
      <c r="C100" s="62" t="s">
        <v>493</v>
      </c>
      <c r="D100" s="1">
        <v>1</v>
      </c>
      <c r="F100" s="14"/>
      <c r="G100" s="14"/>
      <c r="H100" s="14"/>
      <c r="I100" s="11"/>
      <c r="J100" s="14"/>
      <c r="K100" s="16">
        <v>4</v>
      </c>
      <c r="L100" s="15">
        <v>3</v>
      </c>
      <c r="M100" s="14"/>
      <c r="N100" s="62"/>
    </row>
    <row r="101" spans="1:16" s="1" customFormat="1">
      <c r="A101" s="62"/>
      <c r="B101" s="62" t="s">
        <v>3851</v>
      </c>
      <c r="C101" s="62" t="s">
        <v>493</v>
      </c>
      <c r="D101" s="1">
        <v>1</v>
      </c>
      <c r="F101" s="14"/>
      <c r="G101" s="14"/>
      <c r="H101" s="14"/>
      <c r="I101" s="11"/>
      <c r="J101" s="14"/>
      <c r="K101" s="16">
        <v>5</v>
      </c>
      <c r="L101" s="15">
        <v>3</v>
      </c>
      <c r="M101" s="14"/>
      <c r="N101" s="62"/>
    </row>
    <row r="102" spans="1:16" s="1" customFormat="1">
      <c r="A102" s="62"/>
      <c r="F102" s="14"/>
      <c r="G102" s="14"/>
      <c r="H102" s="14"/>
      <c r="I102" s="11"/>
      <c r="J102" s="14"/>
      <c r="K102" s="16"/>
      <c r="L102" s="15"/>
      <c r="M102" s="14"/>
      <c r="N102" s="14"/>
      <c r="O102" s="14"/>
      <c r="P102" s="14"/>
    </row>
    <row r="103" spans="1:16" s="1" customFormat="1">
      <c r="A103" s="62" t="s">
        <v>554</v>
      </c>
      <c r="B103" s="62" t="s">
        <v>555</v>
      </c>
      <c r="C103" s="1" t="s">
        <v>494</v>
      </c>
      <c r="E103" s="1" t="s">
        <v>476</v>
      </c>
      <c r="F103" s="14">
        <v>1</v>
      </c>
      <c r="G103" s="14">
        <v>106</v>
      </c>
      <c r="H103" s="14" t="s">
        <v>526</v>
      </c>
      <c r="I103" s="11" t="s">
        <v>527</v>
      </c>
      <c r="J103" s="14">
        <v>-1</v>
      </c>
      <c r="K103" s="16">
        <v>1</v>
      </c>
      <c r="L103" s="15">
        <v>52</v>
      </c>
      <c r="M103" s="14"/>
      <c r="N103" s="14">
        <v>105</v>
      </c>
      <c r="O103" s="14" t="s">
        <v>552</v>
      </c>
      <c r="P103" s="14"/>
    </row>
    <row r="104" spans="1:16" s="1" customFormat="1">
      <c r="A104" s="62"/>
      <c r="B104" s="62" t="s">
        <v>556</v>
      </c>
      <c r="C104" s="1" t="s">
        <v>494</v>
      </c>
      <c r="E104" s="1" t="s">
        <v>476</v>
      </c>
      <c r="F104" s="14"/>
      <c r="G104" s="14"/>
      <c r="H104" s="14"/>
      <c r="I104" s="11"/>
      <c r="J104" s="14"/>
      <c r="K104" s="16">
        <v>2</v>
      </c>
      <c r="L104" s="15">
        <v>3</v>
      </c>
      <c r="M104" s="14"/>
      <c r="N104" s="1" t="s">
        <v>540</v>
      </c>
      <c r="O104" s="14" t="s">
        <v>541</v>
      </c>
      <c r="P104" s="14" t="s">
        <v>542</v>
      </c>
    </row>
    <row r="105" spans="1:16" s="1" customFormat="1">
      <c r="A105" s="62"/>
      <c r="B105" s="62" t="s">
        <v>557</v>
      </c>
      <c r="C105" s="1" t="s">
        <v>494</v>
      </c>
      <c r="E105" s="1" t="s">
        <v>476</v>
      </c>
      <c r="F105" s="14"/>
      <c r="G105" s="14"/>
      <c r="H105" s="14"/>
      <c r="I105" s="11"/>
      <c r="J105" s="14"/>
      <c r="K105" s="16">
        <v>3</v>
      </c>
      <c r="L105" s="15">
        <v>3</v>
      </c>
      <c r="M105" s="14"/>
      <c r="N105" s="1" t="s">
        <v>544</v>
      </c>
      <c r="O105" s="14" t="s">
        <v>545</v>
      </c>
      <c r="P105" s="14" t="s">
        <v>546</v>
      </c>
    </row>
    <row r="106" spans="1:16" s="1" customFormat="1">
      <c r="A106" s="62"/>
      <c r="B106" s="62" t="s">
        <v>558</v>
      </c>
      <c r="C106" s="1" t="s">
        <v>493</v>
      </c>
      <c r="D106" s="1">
        <v>1</v>
      </c>
      <c r="F106" s="14"/>
      <c r="G106" s="14"/>
      <c r="H106" s="14"/>
      <c r="I106" s="11"/>
      <c r="J106" s="14"/>
      <c r="K106" s="16">
        <v>4</v>
      </c>
      <c r="L106" s="15">
        <v>3</v>
      </c>
      <c r="M106" s="14"/>
      <c r="N106" s="14"/>
      <c r="O106" s="14"/>
      <c r="P106" s="14"/>
    </row>
    <row r="107" spans="1:16" s="1" customFormat="1">
      <c r="A107" s="62"/>
      <c r="F107" s="14"/>
      <c r="G107" s="14"/>
      <c r="H107" s="14"/>
      <c r="I107" s="11"/>
      <c r="J107" s="14"/>
      <c r="K107" s="16"/>
      <c r="L107" s="15"/>
      <c r="M107" s="14"/>
      <c r="N107" s="14"/>
      <c r="O107" s="14"/>
      <c r="P107" s="14"/>
    </row>
    <row r="108" spans="1:16" s="1" customFormat="1">
      <c r="A108" s="62" t="s">
        <v>472</v>
      </c>
      <c r="B108" s="62" t="s">
        <v>559</v>
      </c>
      <c r="C108" s="1" t="s">
        <v>494</v>
      </c>
      <c r="E108" s="1" t="s">
        <v>476</v>
      </c>
      <c r="F108" s="14">
        <v>10</v>
      </c>
      <c r="G108" s="14">
        <v>107</v>
      </c>
      <c r="H108" s="14" t="s">
        <v>473</v>
      </c>
      <c r="I108" s="11" t="s">
        <v>998</v>
      </c>
      <c r="J108" s="14">
        <v>1</v>
      </c>
      <c r="K108" s="16">
        <v>1</v>
      </c>
      <c r="L108" s="15">
        <v>3</v>
      </c>
      <c r="M108" s="14"/>
      <c r="N108" s="1" t="s">
        <v>551</v>
      </c>
      <c r="O108" s="14" t="s">
        <v>552</v>
      </c>
      <c r="P108" s="14" t="s">
        <v>553</v>
      </c>
    </row>
    <row r="109" spans="1:16" s="1" customFormat="1">
      <c r="A109" s="62"/>
      <c r="B109" s="62" t="s">
        <v>560</v>
      </c>
      <c r="C109" s="1" t="s">
        <v>494</v>
      </c>
      <c r="E109" s="1" t="s">
        <v>476</v>
      </c>
      <c r="F109" s="14"/>
      <c r="G109" s="14"/>
      <c r="H109" s="14"/>
      <c r="I109" s="11"/>
      <c r="J109" s="14"/>
      <c r="K109" s="16">
        <v>2</v>
      </c>
      <c r="L109" s="15">
        <v>8</v>
      </c>
      <c r="M109" s="14"/>
      <c r="N109" s="14"/>
      <c r="O109" s="14"/>
      <c r="P109" s="14"/>
    </row>
    <row r="110" spans="1:16" s="1" customFormat="1">
      <c r="A110" s="62"/>
      <c r="B110" s="62" t="s">
        <v>561</v>
      </c>
      <c r="C110" s="1" t="s">
        <v>493</v>
      </c>
      <c r="D110" s="1">
        <v>1</v>
      </c>
      <c r="F110" s="14"/>
      <c r="G110" s="14"/>
      <c r="H110" s="14"/>
      <c r="I110" s="11"/>
      <c r="J110" s="14"/>
      <c r="K110" s="16">
        <v>3</v>
      </c>
      <c r="L110" s="15">
        <v>3</v>
      </c>
      <c r="M110" s="14"/>
      <c r="N110" s="14"/>
      <c r="O110" s="14"/>
      <c r="P110" s="14"/>
    </row>
    <row r="111" spans="1:16" s="1" customFormat="1">
      <c r="A111" s="62"/>
      <c r="B111" s="62" t="s">
        <v>645</v>
      </c>
      <c r="C111" s="1" t="s">
        <v>493</v>
      </c>
      <c r="D111" s="1">
        <v>10</v>
      </c>
      <c r="F111" s="14"/>
      <c r="G111" s="14"/>
      <c r="H111" s="14"/>
      <c r="I111" s="11"/>
      <c r="J111" s="14"/>
      <c r="K111" s="16">
        <v>4</v>
      </c>
      <c r="L111" s="15">
        <v>7</v>
      </c>
      <c r="M111" s="14"/>
      <c r="N111" s="14"/>
      <c r="O111" s="14"/>
      <c r="P111" s="14"/>
    </row>
    <row r="112" spans="1:16" s="1" customFormat="1">
      <c r="A112" s="62"/>
      <c r="F112" s="14"/>
      <c r="G112" s="14"/>
      <c r="H112" s="14"/>
      <c r="I112" s="11"/>
      <c r="J112" s="14"/>
      <c r="K112" s="16"/>
      <c r="L112" s="15"/>
      <c r="M112" s="14"/>
      <c r="N112" s="14"/>
      <c r="O112" s="14"/>
      <c r="P112" s="14"/>
    </row>
    <row r="113" spans="1:18" s="1" customFormat="1">
      <c r="A113" s="62" t="s">
        <v>562</v>
      </c>
      <c r="B113" s="1" t="s">
        <v>563</v>
      </c>
      <c r="C113" s="1" t="s">
        <v>494</v>
      </c>
      <c r="E113" s="1" t="s">
        <v>476</v>
      </c>
      <c r="F113" s="14">
        <v>99</v>
      </c>
      <c r="G113" s="14">
        <v>108</v>
      </c>
      <c r="H113" s="14" t="s">
        <v>528</v>
      </c>
      <c r="I113" s="11" t="s">
        <v>651</v>
      </c>
      <c r="J113" s="14">
        <v>-1</v>
      </c>
      <c r="K113" s="16">
        <v>1</v>
      </c>
      <c r="L113" s="15"/>
      <c r="M113" s="14"/>
    </row>
    <row r="114" spans="1:18" s="1" customFormat="1">
      <c r="A114" s="62"/>
      <c r="B114" s="62" t="s">
        <v>564</v>
      </c>
      <c r="C114" s="1" t="s">
        <v>493</v>
      </c>
      <c r="D114" s="1">
        <v>50</v>
      </c>
      <c r="F114" s="14"/>
      <c r="G114" s="14"/>
      <c r="H114" s="14" t="s">
        <v>529</v>
      </c>
      <c r="I114" s="11"/>
      <c r="J114" s="14"/>
      <c r="K114" s="16">
        <v>2</v>
      </c>
      <c r="L114" s="15"/>
      <c r="M114" s="14"/>
      <c r="N114"/>
      <c r="P114" s="14"/>
    </row>
    <row r="115" spans="1:18" s="1" customFormat="1">
      <c r="A115" s="62"/>
      <c r="B115" s="1" t="s">
        <v>565</v>
      </c>
      <c r="C115" s="1" t="s">
        <v>493</v>
      </c>
      <c r="D115" s="1">
        <v>50</v>
      </c>
      <c r="F115" s="14"/>
      <c r="G115" s="14"/>
      <c r="H115" s="14" t="s">
        <v>528</v>
      </c>
      <c r="I115" s="11"/>
      <c r="J115" s="14"/>
      <c r="K115" s="16">
        <v>3</v>
      </c>
      <c r="L115" s="15"/>
      <c r="M115" s="14"/>
      <c r="N115"/>
      <c r="P115" s="14"/>
    </row>
    <row r="116" spans="1:18" s="1" customFormat="1">
      <c r="A116" s="62"/>
      <c r="B116" s="62" t="s">
        <v>566</v>
      </c>
      <c r="C116" s="1" t="s">
        <v>493</v>
      </c>
      <c r="D116" s="1">
        <v>100</v>
      </c>
      <c r="F116" s="14"/>
      <c r="G116" s="14"/>
      <c r="H116" s="14"/>
      <c r="I116" s="11"/>
      <c r="J116" s="14"/>
      <c r="K116" s="16">
        <v>4</v>
      </c>
      <c r="L116" s="15"/>
      <c r="M116" s="14"/>
      <c r="N116"/>
      <c r="P116" s="14"/>
    </row>
    <row r="117" spans="1:18" s="1" customFormat="1">
      <c r="A117" s="62"/>
      <c r="B117" s="1" t="s">
        <v>567</v>
      </c>
      <c r="C117" s="1" t="s">
        <v>493</v>
      </c>
      <c r="D117" s="1">
        <v>50</v>
      </c>
      <c r="F117" s="14"/>
      <c r="G117" s="14"/>
      <c r="H117" s="14"/>
      <c r="I117" s="11"/>
      <c r="J117" s="14"/>
      <c r="K117" s="16">
        <v>5</v>
      </c>
      <c r="L117" s="15"/>
      <c r="M117" s="14"/>
      <c r="N117"/>
      <c r="P117" s="14"/>
    </row>
    <row r="118" spans="1:18" s="1" customFormat="1">
      <c r="A118" s="62"/>
      <c r="B118" s="1" t="s">
        <v>568</v>
      </c>
      <c r="C118" s="1" t="s">
        <v>493</v>
      </c>
      <c r="D118" s="1">
        <v>50</v>
      </c>
      <c r="F118" s="14"/>
      <c r="G118" s="14"/>
      <c r="H118" s="14"/>
      <c r="I118" s="11"/>
      <c r="J118" s="14"/>
      <c r="K118" s="16">
        <v>6</v>
      </c>
      <c r="L118" s="15"/>
      <c r="M118" s="14"/>
      <c r="N118"/>
      <c r="P118" s="14"/>
    </row>
    <row r="119" spans="1:18" s="1" customFormat="1" ht="12" customHeight="1">
      <c r="A119" s="62"/>
      <c r="F119" s="14"/>
      <c r="G119" s="14"/>
      <c r="H119" s="14"/>
      <c r="I119" s="11"/>
      <c r="J119" s="14"/>
      <c r="K119" s="16"/>
      <c r="L119" s="15"/>
      <c r="M119" s="14"/>
      <c r="N119" s="14"/>
      <c r="O119" s="14"/>
      <c r="P119" s="14"/>
      <c r="Q119" s="14"/>
      <c r="R119" s="14"/>
    </row>
    <row r="120" spans="1:18" s="1" customFormat="1">
      <c r="A120" s="62" t="s">
        <v>573</v>
      </c>
      <c r="B120" s="62" t="s">
        <v>574</v>
      </c>
      <c r="C120" s="1" t="s">
        <v>494</v>
      </c>
      <c r="E120" s="1" t="s">
        <v>476</v>
      </c>
      <c r="F120" s="14">
        <v>1</v>
      </c>
      <c r="G120" s="14">
        <v>109</v>
      </c>
      <c r="H120" s="14" t="s">
        <v>391</v>
      </c>
      <c r="I120" s="11" t="s">
        <v>652</v>
      </c>
      <c r="J120" s="14">
        <v>1</v>
      </c>
      <c r="K120" s="16">
        <v>1</v>
      </c>
      <c r="L120" s="15">
        <v>3</v>
      </c>
      <c r="M120" s="14"/>
      <c r="N120" s="1" t="s">
        <v>540</v>
      </c>
      <c r="O120" s="14" t="s">
        <v>541</v>
      </c>
      <c r="P120" s="14" t="s">
        <v>542</v>
      </c>
    </row>
    <row r="121" spans="1:18" s="1" customFormat="1">
      <c r="A121" s="62"/>
      <c r="B121" s="1" t="s">
        <v>575</v>
      </c>
      <c r="C121" s="1" t="s">
        <v>494</v>
      </c>
      <c r="E121" s="1" t="s">
        <v>476</v>
      </c>
      <c r="I121" s="2"/>
      <c r="K121" s="16">
        <v>2</v>
      </c>
      <c r="L121" s="9">
        <v>6</v>
      </c>
    </row>
    <row r="122" spans="1:18" s="1" customFormat="1">
      <c r="A122" s="62"/>
      <c r="B122" s="62" t="s">
        <v>576</v>
      </c>
      <c r="C122" s="1" t="s">
        <v>493</v>
      </c>
      <c r="D122" s="1">
        <v>50</v>
      </c>
      <c r="F122" s="14"/>
      <c r="G122" s="14"/>
      <c r="H122" s="14"/>
      <c r="I122" s="11"/>
      <c r="J122" s="14"/>
      <c r="K122" s="16">
        <v>3</v>
      </c>
      <c r="L122" s="15"/>
      <c r="M122" s="14"/>
      <c r="N122" s="14"/>
      <c r="O122" s="14"/>
      <c r="P122" s="14"/>
    </row>
    <row r="123" spans="1:18" s="1" customFormat="1">
      <c r="A123" s="62"/>
      <c r="B123" s="62" t="s">
        <v>577</v>
      </c>
      <c r="C123" s="1" t="s">
        <v>493</v>
      </c>
      <c r="D123" s="1">
        <v>50</v>
      </c>
      <c r="F123" s="14"/>
      <c r="G123" s="14"/>
      <c r="H123" s="14"/>
      <c r="I123" s="11"/>
      <c r="J123" s="14"/>
      <c r="K123" s="16">
        <v>4</v>
      </c>
      <c r="L123" s="15"/>
      <c r="M123" s="14"/>
      <c r="N123" s="14"/>
      <c r="O123" s="14"/>
      <c r="P123" s="14"/>
    </row>
    <row r="124" spans="1:18" s="1" customFormat="1">
      <c r="A124" s="62"/>
      <c r="B124" s="1" t="s">
        <v>578</v>
      </c>
      <c r="C124" s="1" t="s">
        <v>494</v>
      </c>
      <c r="F124" s="14"/>
      <c r="G124" s="14"/>
      <c r="H124" s="14"/>
      <c r="I124" s="11"/>
      <c r="J124" s="14"/>
      <c r="K124" s="16">
        <v>5</v>
      </c>
      <c r="L124" s="15">
        <v>3</v>
      </c>
      <c r="M124" s="14"/>
      <c r="N124" s="1" t="s">
        <v>562</v>
      </c>
      <c r="O124" s="1" t="s">
        <v>563</v>
      </c>
      <c r="P124" s="1" t="s">
        <v>564</v>
      </c>
    </row>
    <row r="125" spans="1:18" s="1" customFormat="1">
      <c r="A125" s="62"/>
      <c r="B125" s="1" t="s">
        <v>569</v>
      </c>
      <c r="C125" s="1" t="s">
        <v>494</v>
      </c>
      <c r="F125" s="14"/>
      <c r="G125" s="14"/>
      <c r="H125" s="14"/>
      <c r="I125" s="11"/>
      <c r="J125" s="14"/>
      <c r="K125" s="16">
        <v>6</v>
      </c>
      <c r="L125" s="15"/>
      <c r="M125" s="14"/>
      <c r="N125" s="14"/>
      <c r="O125" s="14"/>
      <c r="P125" s="14"/>
    </row>
    <row r="126" spans="1:18" s="1" customFormat="1">
      <c r="A126" s="62"/>
      <c r="B126" s="1" t="s">
        <v>570</v>
      </c>
      <c r="C126" s="1" t="s">
        <v>493</v>
      </c>
      <c r="D126" s="1">
        <v>1</v>
      </c>
      <c r="F126" s="14"/>
      <c r="G126" s="14"/>
      <c r="H126" s="14"/>
      <c r="I126" s="11"/>
      <c r="J126" s="14"/>
      <c r="K126" s="16">
        <v>7</v>
      </c>
      <c r="L126" s="15">
        <v>3</v>
      </c>
      <c r="M126" s="14"/>
      <c r="N126" s="14"/>
      <c r="O126" s="14"/>
      <c r="P126" s="14"/>
    </row>
    <row r="127" spans="1:18" s="1" customFormat="1">
      <c r="A127" s="62"/>
      <c r="B127" s="1" t="s">
        <v>571</v>
      </c>
      <c r="C127" s="1" t="s">
        <v>493</v>
      </c>
      <c r="D127" s="1">
        <v>50</v>
      </c>
      <c r="F127" s="14"/>
      <c r="G127" s="14"/>
      <c r="H127" s="14"/>
      <c r="I127" s="11"/>
      <c r="J127" s="14"/>
      <c r="K127" s="16">
        <v>8</v>
      </c>
      <c r="L127" s="15"/>
      <c r="M127" s="14"/>
      <c r="N127" s="14"/>
      <c r="O127" s="14"/>
      <c r="P127" s="14"/>
    </row>
    <row r="128" spans="1:18" s="1" customFormat="1">
      <c r="A128" s="62"/>
      <c r="B128" s="1" t="s">
        <v>572</v>
      </c>
      <c r="C128" s="1" t="s">
        <v>493</v>
      </c>
      <c r="D128" s="1">
        <v>50</v>
      </c>
      <c r="F128" s="14"/>
      <c r="G128" s="14"/>
      <c r="H128" s="14"/>
      <c r="I128" s="11"/>
      <c r="J128" s="14"/>
      <c r="K128" s="16">
        <v>9</v>
      </c>
      <c r="L128" s="15"/>
      <c r="M128" s="14"/>
      <c r="N128" s="14"/>
      <c r="O128" s="14"/>
      <c r="P128" s="14"/>
    </row>
    <row r="129" spans="1:16" s="1" customFormat="1">
      <c r="A129" s="62"/>
      <c r="F129" s="14"/>
      <c r="G129" s="14"/>
      <c r="H129" s="14"/>
      <c r="I129" s="11"/>
      <c r="J129" s="14"/>
      <c r="K129" s="16"/>
      <c r="L129" s="15"/>
      <c r="M129" s="14"/>
      <c r="N129" s="14"/>
      <c r="O129" s="14"/>
      <c r="P129" s="14"/>
    </row>
    <row r="130" spans="1:16" s="1" customFormat="1">
      <c r="A130" s="62" t="s">
        <v>579</v>
      </c>
      <c r="B130" s="1" t="s">
        <v>580</v>
      </c>
      <c r="C130" s="1" t="s">
        <v>493</v>
      </c>
      <c r="D130" s="1">
        <v>2</v>
      </c>
      <c r="E130" s="1" t="s">
        <v>476</v>
      </c>
      <c r="F130" s="1">
        <v>1</v>
      </c>
      <c r="G130" s="1">
        <v>111</v>
      </c>
      <c r="H130" s="1" t="s">
        <v>392</v>
      </c>
      <c r="I130" s="2" t="s">
        <v>434</v>
      </c>
      <c r="J130" s="1">
        <v>1</v>
      </c>
      <c r="K130" s="82">
        <v>1</v>
      </c>
      <c r="L130" s="9">
        <v>3</v>
      </c>
      <c r="N130"/>
    </row>
    <row r="131" spans="1:16" s="1" customFormat="1">
      <c r="A131" s="62"/>
      <c r="B131" s="62" t="s">
        <v>581</v>
      </c>
      <c r="C131" s="1" t="s">
        <v>493</v>
      </c>
      <c r="D131" s="1">
        <v>13</v>
      </c>
      <c r="E131" s="1" t="s">
        <v>476</v>
      </c>
      <c r="I131" s="2"/>
      <c r="K131" s="82">
        <v>2</v>
      </c>
      <c r="L131" s="9"/>
    </row>
    <row r="132" spans="1:16" s="1" customFormat="1">
      <c r="A132" s="62"/>
      <c r="B132" s="1" t="s">
        <v>582</v>
      </c>
      <c r="C132" s="1" t="s">
        <v>494</v>
      </c>
      <c r="I132" s="2"/>
      <c r="K132" s="82">
        <v>3</v>
      </c>
      <c r="L132" s="9">
        <v>6</v>
      </c>
    </row>
    <row r="133" spans="1:16" s="1" customFormat="1">
      <c r="A133" s="62"/>
      <c r="B133" s="62" t="s">
        <v>583</v>
      </c>
      <c r="C133" s="1" t="s">
        <v>493</v>
      </c>
      <c r="D133" s="1">
        <v>3</v>
      </c>
      <c r="I133" s="2"/>
      <c r="K133" s="82">
        <v>4</v>
      </c>
      <c r="L133" s="9">
        <v>3</v>
      </c>
      <c r="M133" s="1">
        <v>3</v>
      </c>
      <c r="N133" s="1" t="s">
        <v>399</v>
      </c>
      <c r="O133" s="1" t="s">
        <v>401</v>
      </c>
      <c r="P133" s="1" t="s">
        <v>400</v>
      </c>
    </row>
    <row r="134" spans="1:16" s="1" customFormat="1">
      <c r="A134" s="62"/>
      <c r="B134" s="62" t="s">
        <v>584</v>
      </c>
      <c r="C134" s="1" t="s">
        <v>493</v>
      </c>
      <c r="D134" s="1">
        <v>30</v>
      </c>
      <c r="I134" s="2"/>
      <c r="K134" s="82">
        <v>5</v>
      </c>
      <c r="L134" s="9"/>
      <c r="M134" s="1">
        <v>1</v>
      </c>
    </row>
    <row r="135" spans="1:16" s="1" customFormat="1">
      <c r="A135" s="62"/>
      <c r="B135" s="62" t="s">
        <v>585</v>
      </c>
      <c r="C135" s="1" t="s">
        <v>493</v>
      </c>
      <c r="D135" s="1">
        <v>2</v>
      </c>
      <c r="I135" s="2"/>
      <c r="K135" s="82">
        <v>6</v>
      </c>
      <c r="L135" s="9"/>
      <c r="M135" s="1">
        <v>1</v>
      </c>
    </row>
    <row r="136" spans="1:16" s="1" customFormat="1">
      <c r="A136" s="62"/>
      <c r="B136" s="1" t="s">
        <v>586</v>
      </c>
      <c r="C136" s="1" t="s">
        <v>493</v>
      </c>
      <c r="D136" s="1">
        <v>30</v>
      </c>
      <c r="I136" s="2"/>
      <c r="K136" s="82">
        <v>7</v>
      </c>
      <c r="L136" s="9"/>
    </row>
    <row r="137" spans="1:16" s="1" customFormat="1">
      <c r="A137" s="62"/>
      <c r="B137" s="1" t="s">
        <v>587</v>
      </c>
      <c r="C137" s="1" t="s">
        <v>493</v>
      </c>
      <c r="D137" s="1">
        <v>30</v>
      </c>
      <c r="I137" s="2"/>
      <c r="K137" s="82">
        <v>8</v>
      </c>
      <c r="L137" s="9"/>
    </row>
    <row r="138" spans="1:16" s="1" customFormat="1">
      <c r="A138" s="62"/>
      <c r="B138" s="1" t="s">
        <v>588</v>
      </c>
      <c r="C138" s="1" t="s">
        <v>493</v>
      </c>
      <c r="D138" s="1">
        <v>30</v>
      </c>
      <c r="I138" s="2"/>
      <c r="K138" s="82">
        <v>9</v>
      </c>
      <c r="L138" s="9"/>
    </row>
    <row r="139" spans="1:16" s="1" customFormat="1">
      <c r="A139" s="62"/>
      <c r="B139" s="1" t="s">
        <v>589</v>
      </c>
      <c r="C139" s="1" t="s">
        <v>493</v>
      </c>
      <c r="D139" s="1">
        <v>30</v>
      </c>
      <c r="H139" s="3"/>
      <c r="I139" s="2"/>
      <c r="K139" s="82">
        <v>10</v>
      </c>
      <c r="L139" s="9"/>
    </row>
    <row r="140" spans="1:16" s="1" customFormat="1">
      <c r="A140" s="62"/>
      <c r="B140" s="1" t="s">
        <v>590</v>
      </c>
      <c r="C140" s="1" t="s">
        <v>493</v>
      </c>
      <c r="D140" s="1">
        <v>1</v>
      </c>
      <c r="I140" s="2"/>
      <c r="K140" s="82">
        <v>11</v>
      </c>
      <c r="L140" s="9">
        <v>3</v>
      </c>
      <c r="O140" s="1">
        <v>111</v>
      </c>
      <c r="P140" s="1">
        <v>1</v>
      </c>
    </row>
    <row r="141" spans="1:16" s="1" customFormat="1">
      <c r="A141" s="62"/>
      <c r="B141" s="62" t="s">
        <v>591</v>
      </c>
      <c r="C141" s="1" t="s">
        <v>493</v>
      </c>
      <c r="D141" s="1">
        <v>10</v>
      </c>
      <c r="I141" s="2"/>
      <c r="K141" s="82">
        <v>12</v>
      </c>
      <c r="L141" s="9">
        <v>7</v>
      </c>
    </row>
    <row r="142" spans="1:16">
      <c r="B142" t="s">
        <v>592</v>
      </c>
      <c r="C142" t="s">
        <v>493</v>
      </c>
      <c r="D142">
        <v>3</v>
      </c>
      <c r="I142" s="17"/>
      <c r="K142" s="82">
        <v>13</v>
      </c>
      <c r="L142" s="32">
        <v>3</v>
      </c>
      <c r="O142">
        <v>111</v>
      </c>
      <c r="P142">
        <v>2</v>
      </c>
    </row>
    <row r="143" spans="1:16" s="1" customFormat="1">
      <c r="A143" s="62"/>
      <c r="B143" s="62" t="s">
        <v>593</v>
      </c>
      <c r="C143" s="1" t="s">
        <v>493</v>
      </c>
      <c r="D143" s="1">
        <v>1</v>
      </c>
      <c r="I143" s="2"/>
      <c r="K143" s="82">
        <v>14</v>
      </c>
      <c r="L143" s="9">
        <v>3</v>
      </c>
      <c r="N143" s="1" t="s">
        <v>424</v>
      </c>
      <c r="O143" s="1" t="s">
        <v>417</v>
      </c>
      <c r="P143" s="1" t="s">
        <v>418</v>
      </c>
    </row>
    <row r="144" spans="1:16" s="1" customFormat="1">
      <c r="A144" s="62"/>
      <c r="B144" s="1" t="s">
        <v>594</v>
      </c>
      <c r="C144" s="1" t="s">
        <v>493</v>
      </c>
      <c r="D144" s="1">
        <v>100</v>
      </c>
      <c r="I144" s="2"/>
      <c r="K144" s="82">
        <v>15</v>
      </c>
      <c r="L144" s="9"/>
    </row>
    <row r="145" spans="1:18" s="1" customFormat="1">
      <c r="A145" s="62"/>
      <c r="B145" s="62" t="s">
        <v>595</v>
      </c>
      <c r="C145" s="1" t="s">
        <v>493</v>
      </c>
      <c r="D145" s="1">
        <v>100</v>
      </c>
      <c r="I145" s="2"/>
      <c r="K145" s="82">
        <v>16</v>
      </c>
      <c r="L145" s="9"/>
    </row>
    <row r="146" spans="1:18" s="1" customFormat="1">
      <c r="A146" s="62"/>
      <c r="B146" s="62" t="s">
        <v>596</v>
      </c>
      <c r="C146" s="1" t="s">
        <v>493</v>
      </c>
      <c r="D146" s="1">
        <v>30</v>
      </c>
      <c r="I146" s="2"/>
      <c r="K146" s="82">
        <v>17</v>
      </c>
      <c r="L146" s="9"/>
    </row>
    <row r="147" spans="1:18" s="1" customFormat="1">
      <c r="A147" s="62"/>
      <c r="B147" s="62" t="s">
        <v>597</v>
      </c>
      <c r="C147" s="1" t="s">
        <v>493</v>
      </c>
      <c r="D147" s="1">
        <v>50</v>
      </c>
      <c r="I147" s="2"/>
      <c r="K147" s="82">
        <v>18</v>
      </c>
      <c r="L147" s="9"/>
    </row>
    <row r="148" spans="1:18" s="1" customFormat="1">
      <c r="A148" s="62"/>
      <c r="B148" s="1" t="s">
        <v>637</v>
      </c>
      <c r="C148" s="1" t="s">
        <v>493</v>
      </c>
      <c r="D148" s="1">
        <v>50</v>
      </c>
      <c r="I148" s="2"/>
      <c r="K148" s="82">
        <v>19</v>
      </c>
      <c r="L148" s="9"/>
    </row>
    <row r="149" spans="1:18" s="1" customFormat="1">
      <c r="A149" s="62"/>
      <c r="B149" s="1" t="s">
        <v>638</v>
      </c>
      <c r="C149" s="1" t="s">
        <v>493</v>
      </c>
      <c r="D149" s="1">
        <v>3</v>
      </c>
      <c r="I149" s="2"/>
      <c r="K149" s="82">
        <v>20</v>
      </c>
      <c r="L149" s="9">
        <v>3</v>
      </c>
      <c r="N149" s="1" t="s">
        <v>399</v>
      </c>
      <c r="O149" s="1" t="s">
        <v>401</v>
      </c>
      <c r="P149" s="1" t="s">
        <v>400</v>
      </c>
    </row>
    <row r="150" spans="1:18">
      <c r="B150" t="s">
        <v>639</v>
      </c>
      <c r="C150" t="s">
        <v>493</v>
      </c>
      <c r="D150">
        <v>5</v>
      </c>
      <c r="I150" s="17"/>
      <c r="K150" s="82">
        <v>21</v>
      </c>
      <c r="L150" s="32">
        <v>3</v>
      </c>
      <c r="M150">
        <v>31</v>
      </c>
      <c r="N150" s="62" t="s">
        <v>404</v>
      </c>
      <c r="O150" s="1" t="s">
        <v>405</v>
      </c>
      <c r="P150" s="1" t="s">
        <v>406</v>
      </c>
      <c r="Q150" s="1" t="s">
        <v>407</v>
      </c>
      <c r="R150">
        <v>20</v>
      </c>
    </row>
    <row r="151" spans="1:18">
      <c r="B151" t="s">
        <v>640</v>
      </c>
      <c r="C151" t="s">
        <v>493</v>
      </c>
      <c r="D151">
        <v>8</v>
      </c>
      <c r="I151" s="17"/>
      <c r="K151" s="82">
        <v>22</v>
      </c>
      <c r="L151" s="32">
        <v>3</v>
      </c>
      <c r="M151">
        <v>31</v>
      </c>
      <c r="N151" s="62" t="s">
        <v>410</v>
      </c>
      <c r="O151" s="1" t="s">
        <v>413</v>
      </c>
      <c r="P151" s="1" t="s">
        <v>414</v>
      </c>
      <c r="Q151" s="1" t="s">
        <v>415</v>
      </c>
      <c r="R151">
        <v>21</v>
      </c>
    </row>
    <row r="152" spans="1:18">
      <c r="B152" t="s">
        <v>641</v>
      </c>
      <c r="C152" t="s">
        <v>493</v>
      </c>
      <c r="D152">
        <v>5</v>
      </c>
      <c r="I152" s="17"/>
      <c r="K152" s="82">
        <v>23</v>
      </c>
      <c r="L152" s="32">
        <v>3</v>
      </c>
      <c r="M152">
        <v>31</v>
      </c>
      <c r="N152" s="1" t="s">
        <v>404</v>
      </c>
      <c r="O152" s="1" t="s">
        <v>405</v>
      </c>
      <c r="P152" s="1" t="s">
        <v>406</v>
      </c>
      <c r="Q152" s="1" t="s">
        <v>407</v>
      </c>
      <c r="R152">
        <v>4</v>
      </c>
    </row>
    <row r="153" spans="1:18">
      <c r="B153" t="s">
        <v>642</v>
      </c>
      <c r="C153" t="s">
        <v>493</v>
      </c>
      <c r="D153">
        <v>8</v>
      </c>
      <c r="I153" s="17"/>
      <c r="K153" s="82">
        <v>24</v>
      </c>
      <c r="L153" s="32">
        <v>3</v>
      </c>
      <c r="M153">
        <v>31</v>
      </c>
      <c r="N153" s="1" t="s">
        <v>410</v>
      </c>
      <c r="O153" s="1" t="s">
        <v>413</v>
      </c>
      <c r="P153" s="1" t="s">
        <v>414</v>
      </c>
      <c r="Q153" s="1" t="s">
        <v>415</v>
      </c>
      <c r="R153">
        <v>23</v>
      </c>
    </row>
    <row r="154" spans="1:18" s="1" customFormat="1">
      <c r="A154" s="62"/>
      <c r="B154" s="62" t="s">
        <v>643</v>
      </c>
      <c r="C154" s="1" t="s">
        <v>493</v>
      </c>
      <c r="D154" s="1">
        <v>50</v>
      </c>
      <c r="I154" s="2"/>
      <c r="K154" s="82">
        <v>25</v>
      </c>
      <c r="L154" s="9"/>
      <c r="M154" s="1">
        <v>1</v>
      </c>
    </row>
    <row r="155" spans="1:18" s="1" customFormat="1">
      <c r="A155" s="62"/>
      <c r="B155" s="62" t="s">
        <v>644</v>
      </c>
      <c r="C155" s="1" t="s">
        <v>494</v>
      </c>
      <c r="I155" s="2"/>
      <c r="K155" s="82">
        <v>26</v>
      </c>
      <c r="L155" s="9"/>
    </row>
    <row r="156" spans="1:18" s="1" customFormat="1">
      <c r="A156" s="62"/>
      <c r="B156" s="1" t="s">
        <v>71</v>
      </c>
      <c r="C156" s="1" t="s">
        <v>494</v>
      </c>
      <c r="I156" s="2"/>
      <c r="K156" s="82">
        <v>27</v>
      </c>
      <c r="L156" s="9"/>
    </row>
    <row r="157" spans="1:18" s="1" customFormat="1">
      <c r="A157" s="62"/>
      <c r="B157" s="1" t="s">
        <v>72</v>
      </c>
      <c r="C157" s="1" t="s">
        <v>494</v>
      </c>
      <c r="I157" s="2"/>
      <c r="K157" s="82">
        <v>28</v>
      </c>
      <c r="L157" s="9"/>
    </row>
    <row r="158" spans="1:18" s="1" customFormat="1">
      <c r="A158" s="62"/>
      <c r="B158" s="62" t="s">
        <v>73</v>
      </c>
      <c r="C158" s="1" t="s">
        <v>494</v>
      </c>
      <c r="I158" s="2"/>
      <c r="K158" s="82">
        <v>29</v>
      </c>
      <c r="L158" s="9"/>
    </row>
    <row r="159" spans="1:18" s="1" customFormat="1">
      <c r="A159" s="62"/>
      <c r="B159" s="62" t="s">
        <v>1297</v>
      </c>
      <c r="C159" s="1" t="s">
        <v>493</v>
      </c>
      <c r="D159" s="1">
        <v>50</v>
      </c>
      <c r="I159" s="2"/>
      <c r="K159" s="82">
        <v>30</v>
      </c>
      <c r="L159" s="9"/>
    </row>
    <row r="160" spans="1:18" s="1" customFormat="1">
      <c r="A160" s="62"/>
      <c r="B160" s="62" t="s">
        <v>1764</v>
      </c>
      <c r="C160" s="62" t="s">
        <v>493</v>
      </c>
      <c r="D160" s="1">
        <v>10</v>
      </c>
      <c r="I160" s="2"/>
      <c r="K160" s="82">
        <v>31</v>
      </c>
      <c r="L160" s="9">
        <v>7</v>
      </c>
      <c r="M160" s="1">
        <v>1</v>
      </c>
    </row>
    <row r="161" spans="1:13" s="1" customFormat="1">
      <c r="A161" s="62"/>
      <c r="B161" s="62" t="s">
        <v>1765</v>
      </c>
      <c r="C161" s="62" t="s">
        <v>493</v>
      </c>
      <c r="D161" s="1">
        <v>10</v>
      </c>
      <c r="I161" s="2"/>
      <c r="K161" s="82">
        <v>32</v>
      </c>
      <c r="L161" s="9">
        <v>7</v>
      </c>
      <c r="M161" s="1">
        <v>1</v>
      </c>
    </row>
    <row r="162" spans="1:13" s="62" customFormat="1">
      <c r="B162" s="62" t="s">
        <v>2008</v>
      </c>
      <c r="C162" s="62" t="s">
        <v>493</v>
      </c>
      <c r="D162" s="62">
        <v>1</v>
      </c>
      <c r="I162" s="22"/>
      <c r="K162" s="57">
        <v>33</v>
      </c>
      <c r="L162" s="76">
        <v>3</v>
      </c>
      <c r="M162" s="62">
        <v>1</v>
      </c>
    </row>
    <row r="163" spans="1:13" s="62" customFormat="1">
      <c r="B163" s="62" t="s">
        <v>2009</v>
      </c>
      <c r="C163" s="62" t="s">
        <v>494</v>
      </c>
      <c r="D163" s="62">
        <v>10</v>
      </c>
      <c r="I163" s="22"/>
      <c r="K163" s="57">
        <v>34</v>
      </c>
      <c r="L163" s="76">
        <v>75</v>
      </c>
    </row>
    <row r="164" spans="1:13" s="62" customFormat="1">
      <c r="B164" s="62" t="s">
        <v>2010</v>
      </c>
      <c r="C164" s="62" t="s">
        <v>494</v>
      </c>
      <c r="I164" s="22"/>
      <c r="K164" s="57">
        <v>35</v>
      </c>
      <c r="L164" s="76">
        <v>76</v>
      </c>
    </row>
    <row r="165" spans="1:13" s="62" customFormat="1">
      <c r="B165" s="70" t="s">
        <v>2019</v>
      </c>
      <c r="C165" s="62" t="s">
        <v>493</v>
      </c>
      <c r="D165" s="62">
        <v>1</v>
      </c>
      <c r="I165" s="22"/>
      <c r="K165" s="57">
        <v>36</v>
      </c>
      <c r="L165" s="76">
        <v>3</v>
      </c>
    </row>
    <row r="166" spans="1:13" s="62" customFormat="1">
      <c r="B166" s="70" t="s">
        <v>2020</v>
      </c>
      <c r="C166" s="1" t="s">
        <v>493</v>
      </c>
      <c r="D166" s="1">
        <v>50</v>
      </c>
      <c r="I166" s="22"/>
      <c r="K166" s="57">
        <v>37</v>
      </c>
      <c r="L166" s="76"/>
    </row>
    <row r="167" spans="1:13" s="62" customFormat="1">
      <c r="B167" s="70" t="s">
        <v>2021</v>
      </c>
      <c r="C167" s="62" t="s">
        <v>493</v>
      </c>
      <c r="D167" s="62">
        <v>50</v>
      </c>
      <c r="I167" s="22"/>
      <c r="K167" s="57">
        <v>38</v>
      </c>
      <c r="L167" s="76"/>
    </row>
    <row r="168" spans="1:13" s="62" customFormat="1">
      <c r="B168" s="70" t="s">
        <v>2628</v>
      </c>
      <c r="C168" s="62" t="s">
        <v>494</v>
      </c>
      <c r="I168" s="22"/>
      <c r="K168" s="57">
        <v>39</v>
      </c>
      <c r="L168" s="76"/>
      <c r="M168" s="62">
        <v>1</v>
      </c>
    </row>
    <row r="169" spans="1:13" s="62" customFormat="1">
      <c r="B169" s="70" t="s">
        <v>2629</v>
      </c>
      <c r="C169" s="62" t="s">
        <v>494</v>
      </c>
      <c r="I169" s="22"/>
      <c r="K169" s="57">
        <v>40</v>
      </c>
      <c r="L169" s="76"/>
      <c r="M169" s="62">
        <v>1</v>
      </c>
    </row>
    <row r="170" spans="1:13" s="62" customFormat="1">
      <c r="B170" s="62" t="s">
        <v>2651</v>
      </c>
      <c r="C170" s="62" t="s">
        <v>494</v>
      </c>
      <c r="I170" s="22"/>
      <c r="K170" s="32">
        <v>41</v>
      </c>
      <c r="L170" s="76"/>
    </row>
    <row r="171" spans="1:13" s="62" customFormat="1">
      <c r="B171" s="62" t="s">
        <v>2652</v>
      </c>
      <c r="C171" s="62" t="s">
        <v>493</v>
      </c>
      <c r="D171" s="62">
        <v>10</v>
      </c>
      <c r="I171" s="22"/>
      <c r="K171" s="32">
        <v>42</v>
      </c>
      <c r="L171" s="76"/>
    </row>
    <row r="172" spans="1:13" s="62" customFormat="1">
      <c r="B172" s="62" t="s">
        <v>2653</v>
      </c>
      <c r="C172" s="62" t="s">
        <v>494</v>
      </c>
      <c r="I172" s="22"/>
      <c r="K172" s="32">
        <v>43</v>
      </c>
      <c r="L172" s="76"/>
    </row>
    <row r="173" spans="1:13" s="62" customFormat="1">
      <c r="B173" s="62" t="s">
        <v>2654</v>
      </c>
      <c r="C173" s="62" t="s">
        <v>493</v>
      </c>
      <c r="D173" s="62">
        <v>10</v>
      </c>
      <c r="I173" s="22"/>
      <c r="K173" s="32">
        <v>44</v>
      </c>
      <c r="L173" s="76"/>
    </row>
    <row r="174" spans="1:13" s="62" customFormat="1">
      <c r="B174" s="64" t="s">
        <v>2757</v>
      </c>
      <c r="C174" s="62" t="s">
        <v>493</v>
      </c>
      <c r="D174" s="62">
        <v>50</v>
      </c>
      <c r="I174" s="22"/>
      <c r="K174" s="57">
        <v>45</v>
      </c>
      <c r="L174" s="76"/>
    </row>
    <row r="175" spans="1:13" s="62" customFormat="1">
      <c r="B175" s="64" t="s">
        <v>2759</v>
      </c>
      <c r="C175" s="62" t="s">
        <v>493</v>
      </c>
      <c r="D175" s="62">
        <v>1</v>
      </c>
      <c r="I175" s="22"/>
      <c r="K175" s="32">
        <v>46</v>
      </c>
      <c r="L175" s="76"/>
    </row>
    <row r="176" spans="1:13" s="62" customFormat="1">
      <c r="B176" s="64" t="s">
        <v>2760</v>
      </c>
      <c r="C176" s="62" t="s">
        <v>493</v>
      </c>
      <c r="D176" s="62">
        <v>1</v>
      </c>
      <c r="I176" s="22"/>
      <c r="K176" s="32">
        <v>47</v>
      </c>
      <c r="L176" s="76"/>
    </row>
    <row r="177" spans="1:18" s="62" customFormat="1">
      <c r="B177" s="64" t="s">
        <v>2758</v>
      </c>
      <c r="C177" s="62" t="s">
        <v>493</v>
      </c>
      <c r="D177" s="62">
        <v>1</v>
      </c>
      <c r="I177" s="22"/>
      <c r="K177" s="32">
        <v>48</v>
      </c>
      <c r="L177" s="76"/>
    </row>
    <row r="178" spans="1:18" s="62" customFormat="1">
      <c r="B178" s="64" t="s">
        <v>2905</v>
      </c>
      <c r="C178" s="62" t="s">
        <v>494</v>
      </c>
      <c r="I178" s="22"/>
      <c r="K178" s="32">
        <v>49</v>
      </c>
      <c r="L178" s="76"/>
    </row>
    <row r="179" spans="1:18" s="62" customFormat="1">
      <c r="B179" s="64" t="s">
        <v>2914</v>
      </c>
      <c r="C179" s="62" t="s">
        <v>494</v>
      </c>
      <c r="I179" s="22"/>
      <c r="K179" s="32">
        <v>50</v>
      </c>
      <c r="L179" s="76">
        <v>2</v>
      </c>
    </row>
    <row r="180" spans="1:18" s="62" customFormat="1">
      <c r="B180" s="62" t="s">
        <v>2957</v>
      </c>
      <c r="C180" s="62" t="s">
        <v>494</v>
      </c>
      <c r="D180" s="62">
        <v>10</v>
      </c>
      <c r="I180" s="22"/>
      <c r="K180" s="57">
        <v>51</v>
      </c>
      <c r="L180" s="76">
        <v>75</v>
      </c>
    </row>
    <row r="181" spans="1:18" s="62" customFormat="1">
      <c r="B181" s="62" t="s">
        <v>2958</v>
      </c>
      <c r="C181" s="62" t="s">
        <v>494</v>
      </c>
      <c r="I181" s="22"/>
      <c r="K181" s="57">
        <v>52</v>
      </c>
      <c r="L181" s="76">
        <v>76</v>
      </c>
    </row>
    <row r="182" spans="1:18" s="62" customFormat="1">
      <c r="B182" s="62" t="s">
        <v>2972</v>
      </c>
      <c r="C182" s="62" t="s">
        <v>494</v>
      </c>
      <c r="I182" s="22"/>
      <c r="K182" s="57">
        <v>53</v>
      </c>
      <c r="L182" s="76"/>
    </row>
    <row r="183" spans="1:18" s="62" customFormat="1">
      <c r="B183" s="62" t="s">
        <v>2996</v>
      </c>
      <c r="C183" s="62" t="s">
        <v>494</v>
      </c>
      <c r="H183" s="62" t="s">
        <v>3020</v>
      </c>
      <c r="I183" s="22"/>
      <c r="K183" s="57">
        <v>54</v>
      </c>
      <c r="L183" s="76"/>
      <c r="M183" s="62">
        <v>1</v>
      </c>
      <c r="N183" s="62" t="s">
        <v>2991</v>
      </c>
      <c r="O183" s="60" t="s">
        <v>2992</v>
      </c>
      <c r="P183" s="60" t="s">
        <v>2993</v>
      </c>
    </row>
    <row r="184" spans="1:18" s="62" customFormat="1">
      <c r="B184" s="70" t="s">
        <v>3079</v>
      </c>
      <c r="C184" s="62" t="s">
        <v>494</v>
      </c>
      <c r="I184" s="22"/>
      <c r="K184" s="57">
        <v>55</v>
      </c>
      <c r="L184" s="76"/>
      <c r="M184" s="62">
        <v>1</v>
      </c>
      <c r="O184" s="60"/>
      <c r="P184" s="60"/>
    </row>
    <row r="185" spans="1:18" s="62" customFormat="1">
      <c r="B185" s="62" t="s">
        <v>3080</v>
      </c>
      <c r="C185" s="62" t="s">
        <v>494</v>
      </c>
      <c r="I185" s="22"/>
      <c r="K185" s="57">
        <v>56</v>
      </c>
      <c r="L185" s="76">
        <v>3</v>
      </c>
      <c r="M185" s="62">
        <v>1</v>
      </c>
      <c r="O185" s="60"/>
      <c r="P185" s="60"/>
    </row>
    <row r="186" spans="1:18" s="62" customFormat="1">
      <c r="B186" s="62" t="s">
        <v>3081</v>
      </c>
      <c r="C186" s="62" t="s">
        <v>493</v>
      </c>
      <c r="D186" s="62">
        <v>1</v>
      </c>
      <c r="I186" s="22"/>
      <c r="K186" s="57">
        <v>57</v>
      </c>
      <c r="L186" s="76">
        <v>3</v>
      </c>
      <c r="O186" s="60"/>
      <c r="P186" s="60"/>
    </row>
    <row r="187" spans="1:18" s="62" customFormat="1">
      <c r="B187" s="62" t="s">
        <v>3130</v>
      </c>
      <c r="C187" s="1" t="s">
        <v>493</v>
      </c>
      <c r="D187" s="1">
        <v>50</v>
      </c>
      <c r="H187" s="62" t="s">
        <v>3131</v>
      </c>
      <c r="I187" s="22"/>
      <c r="K187" s="57">
        <v>58</v>
      </c>
      <c r="L187" s="76"/>
      <c r="O187" s="60"/>
      <c r="P187" s="60"/>
    </row>
    <row r="188" spans="1:18" s="1" customFormat="1">
      <c r="A188" s="62"/>
      <c r="B188" s="67" t="s">
        <v>3161</v>
      </c>
      <c r="C188" s="64" t="s">
        <v>494</v>
      </c>
      <c r="F188" s="14"/>
      <c r="G188" s="14"/>
      <c r="H188" s="14"/>
      <c r="I188" s="11"/>
      <c r="J188" s="14"/>
      <c r="K188" s="82">
        <v>59</v>
      </c>
      <c r="L188" s="15">
        <v>3</v>
      </c>
      <c r="M188" s="14"/>
      <c r="N188" s="62" t="s">
        <v>693</v>
      </c>
      <c r="O188" s="1" t="s">
        <v>695</v>
      </c>
      <c r="P188" s="1" t="s">
        <v>696</v>
      </c>
      <c r="Q188" s="62"/>
      <c r="R188" s="14"/>
    </row>
    <row r="189" spans="1:18" s="1" customFormat="1">
      <c r="A189" s="62"/>
      <c r="B189" s="67" t="s">
        <v>3162</v>
      </c>
      <c r="C189" s="64" t="s">
        <v>494</v>
      </c>
      <c r="F189" s="14"/>
      <c r="G189" s="14"/>
      <c r="H189" s="14"/>
      <c r="I189" s="11"/>
      <c r="J189" s="14"/>
      <c r="K189" s="82">
        <v>60</v>
      </c>
      <c r="L189" s="15">
        <v>3</v>
      </c>
      <c r="M189" s="14">
        <v>31</v>
      </c>
      <c r="N189" s="62" t="s">
        <v>379</v>
      </c>
      <c r="O189" s="62" t="s">
        <v>698</v>
      </c>
      <c r="P189" s="62" t="s">
        <v>699</v>
      </c>
      <c r="Q189" s="62" t="s">
        <v>383</v>
      </c>
      <c r="R189" s="14">
        <v>59</v>
      </c>
    </row>
    <row r="190" spans="1:18" s="1" customFormat="1">
      <c r="A190" s="62"/>
      <c r="B190" s="67" t="s">
        <v>3166</v>
      </c>
      <c r="C190" s="64" t="s">
        <v>494</v>
      </c>
      <c r="F190" s="14"/>
      <c r="G190" s="14"/>
      <c r="H190" s="14"/>
      <c r="I190" s="11"/>
      <c r="J190" s="14"/>
      <c r="K190" s="82">
        <v>61</v>
      </c>
      <c r="L190" s="15">
        <v>3</v>
      </c>
      <c r="M190" s="14"/>
      <c r="N190" s="62" t="s">
        <v>3664</v>
      </c>
      <c r="O190" s="62" t="s">
        <v>3666</v>
      </c>
      <c r="P190" s="62" t="s">
        <v>3667</v>
      </c>
      <c r="Q190" s="62"/>
      <c r="R190" s="14"/>
    </row>
    <row r="191" spans="1:18" s="1" customFormat="1">
      <c r="A191" s="62"/>
      <c r="B191" s="67" t="s">
        <v>3163</v>
      </c>
      <c r="C191" s="64" t="s">
        <v>494</v>
      </c>
      <c r="F191" s="14"/>
      <c r="G191" s="14"/>
      <c r="H191" s="14"/>
      <c r="I191" s="11"/>
      <c r="J191" s="14"/>
      <c r="K191" s="82">
        <v>62</v>
      </c>
      <c r="L191" s="15">
        <v>3</v>
      </c>
      <c r="M191" s="14">
        <v>31</v>
      </c>
      <c r="N191" s="62" t="s">
        <v>3655</v>
      </c>
      <c r="O191" s="62" t="s">
        <v>3648</v>
      </c>
      <c r="P191" s="62" t="s">
        <v>3657</v>
      </c>
      <c r="Q191" s="14" t="s">
        <v>3658</v>
      </c>
      <c r="R191" s="14">
        <v>61</v>
      </c>
    </row>
    <row r="192" spans="1:18" s="62" customFormat="1">
      <c r="B192" s="67" t="s">
        <v>3164</v>
      </c>
      <c r="C192" s="64" t="s">
        <v>520</v>
      </c>
      <c r="I192" s="22"/>
      <c r="K192" s="82">
        <v>63</v>
      </c>
      <c r="L192" s="76"/>
    </row>
    <row r="193" spans="1:16" s="62" customFormat="1">
      <c r="B193" s="67" t="s">
        <v>3165</v>
      </c>
      <c r="C193" s="64" t="s">
        <v>494</v>
      </c>
      <c r="I193" s="22"/>
      <c r="K193" s="82">
        <v>64</v>
      </c>
      <c r="L193" s="76">
        <v>7</v>
      </c>
    </row>
    <row r="194" spans="1:16" s="62" customFormat="1">
      <c r="B194" s="67" t="s">
        <v>3188</v>
      </c>
      <c r="C194" s="64" t="s">
        <v>494</v>
      </c>
      <c r="I194" s="22"/>
      <c r="K194" s="82">
        <v>65</v>
      </c>
      <c r="L194" s="76">
        <v>7</v>
      </c>
    </row>
    <row r="195" spans="1:16" s="62" customFormat="1">
      <c r="B195" s="67" t="s">
        <v>3208</v>
      </c>
      <c r="C195" s="64" t="s">
        <v>494</v>
      </c>
      <c r="I195" s="22"/>
      <c r="K195" s="82">
        <v>66</v>
      </c>
      <c r="L195" s="76">
        <v>7</v>
      </c>
    </row>
    <row r="196" spans="1:16" s="62" customFormat="1">
      <c r="B196" s="70" t="s">
        <v>4075</v>
      </c>
      <c r="C196" s="62" t="s">
        <v>493</v>
      </c>
      <c r="D196" s="62">
        <v>50</v>
      </c>
      <c r="I196" s="22"/>
      <c r="K196" s="57">
        <v>67</v>
      </c>
      <c r="L196" s="76"/>
    </row>
    <row r="197" spans="1:16" s="62" customFormat="1">
      <c r="B197" s="70" t="s">
        <v>4120</v>
      </c>
      <c r="C197" s="62" t="s">
        <v>494</v>
      </c>
      <c r="I197" s="22"/>
      <c r="K197" s="57">
        <v>68</v>
      </c>
      <c r="L197" s="76"/>
      <c r="M197" s="62">
        <v>2</v>
      </c>
    </row>
    <row r="198" spans="1:16" s="62" customFormat="1">
      <c r="B198" s="62" t="s">
        <v>4301</v>
      </c>
      <c r="C198" s="62" t="s">
        <v>520</v>
      </c>
      <c r="D198" s="1"/>
      <c r="I198" s="22"/>
      <c r="K198" s="57">
        <v>69</v>
      </c>
      <c r="L198" s="76"/>
      <c r="M198" s="62">
        <v>2</v>
      </c>
      <c r="O198" s="60"/>
      <c r="P198" s="60"/>
    </row>
    <row r="199" spans="1:16" s="62" customFormat="1">
      <c r="B199" s="62" t="s">
        <v>5089</v>
      </c>
      <c r="C199" s="62" t="s">
        <v>520</v>
      </c>
      <c r="D199" s="1"/>
      <c r="I199" s="22"/>
      <c r="K199" s="57">
        <v>70</v>
      </c>
      <c r="L199" s="76"/>
      <c r="M199" s="62">
        <v>2</v>
      </c>
      <c r="O199" s="60"/>
      <c r="P199" s="60"/>
    </row>
    <row r="200" spans="1:16" s="62" customFormat="1">
      <c r="B200" s="62" t="s">
        <v>5160</v>
      </c>
      <c r="C200" s="62" t="s">
        <v>493</v>
      </c>
      <c r="D200" s="1">
        <v>5</v>
      </c>
      <c r="I200" s="22"/>
      <c r="K200" s="57">
        <v>71</v>
      </c>
      <c r="L200" s="76"/>
      <c r="M200" s="62">
        <v>2</v>
      </c>
      <c r="O200" s="60"/>
      <c r="P200" s="60"/>
    </row>
    <row r="201" spans="1:16" s="62" customFormat="1">
      <c r="B201" s="62" t="s">
        <v>5161</v>
      </c>
      <c r="C201" s="62" t="s">
        <v>494</v>
      </c>
      <c r="D201" s="1"/>
      <c r="I201" s="22"/>
      <c r="K201" s="57">
        <v>72</v>
      </c>
      <c r="L201" s="76"/>
      <c r="M201" s="62">
        <v>2</v>
      </c>
      <c r="O201" s="60"/>
      <c r="P201" s="60"/>
    </row>
    <row r="202" spans="1:16" s="62" customFormat="1">
      <c r="B202" s="62" t="s">
        <v>5162</v>
      </c>
      <c r="C202" s="62" t="s">
        <v>494</v>
      </c>
      <c r="D202" s="1"/>
      <c r="I202" s="22"/>
      <c r="K202" s="57">
        <v>73</v>
      </c>
      <c r="L202" s="76"/>
      <c r="M202" s="62">
        <v>2</v>
      </c>
      <c r="O202" s="60"/>
      <c r="P202" s="60"/>
    </row>
    <row r="203" spans="1:16" s="62" customFormat="1">
      <c r="B203" s="62" t="s">
        <v>5163</v>
      </c>
      <c r="C203" s="62" t="s">
        <v>494</v>
      </c>
      <c r="D203" s="1"/>
      <c r="I203" s="22"/>
      <c r="K203" s="57">
        <v>74</v>
      </c>
      <c r="L203" s="76"/>
      <c r="M203" s="62">
        <v>2</v>
      </c>
      <c r="O203" s="60"/>
      <c r="P203" s="60"/>
    </row>
    <row r="204" spans="1:16" s="62" customFormat="1">
      <c r="I204" s="22"/>
      <c r="K204" s="57"/>
      <c r="L204" s="76"/>
      <c r="O204" s="60"/>
      <c r="P204" s="60"/>
    </row>
    <row r="205" spans="1:16" s="1" customFormat="1">
      <c r="A205" s="62" t="s">
        <v>579</v>
      </c>
      <c r="B205" s="1" t="s">
        <v>582</v>
      </c>
      <c r="C205" s="1" t="s">
        <v>494</v>
      </c>
      <c r="E205" s="1" t="s">
        <v>476</v>
      </c>
      <c r="F205" s="1">
        <v>1</v>
      </c>
      <c r="G205" s="1">
        <v>17</v>
      </c>
      <c r="H205" s="62" t="s">
        <v>3083</v>
      </c>
      <c r="I205" s="22" t="s">
        <v>3082</v>
      </c>
      <c r="J205" s="1">
        <v>1</v>
      </c>
      <c r="K205" s="82">
        <v>1</v>
      </c>
      <c r="L205" s="9">
        <v>6</v>
      </c>
      <c r="N205"/>
    </row>
    <row r="206" spans="1:16" s="1" customFormat="1">
      <c r="A206" s="62"/>
      <c r="B206" s="62" t="s">
        <v>581</v>
      </c>
      <c r="C206" s="1" t="s">
        <v>493</v>
      </c>
      <c r="D206" s="1">
        <v>13</v>
      </c>
      <c r="I206" s="2"/>
      <c r="K206" s="82">
        <v>2</v>
      </c>
      <c r="L206" s="76">
        <v>1</v>
      </c>
    </row>
    <row r="207" spans="1:16" s="1" customFormat="1">
      <c r="A207" s="62"/>
      <c r="B207" s="1" t="s">
        <v>586</v>
      </c>
      <c r="C207" s="1" t="s">
        <v>493</v>
      </c>
      <c r="D207" s="1">
        <v>30</v>
      </c>
      <c r="I207" s="2"/>
      <c r="K207" s="82">
        <v>3</v>
      </c>
      <c r="L207" s="9"/>
    </row>
    <row r="208" spans="1:16" s="1" customFormat="1">
      <c r="A208" s="62"/>
      <c r="B208" s="1" t="s">
        <v>587</v>
      </c>
      <c r="C208" s="1" t="s">
        <v>493</v>
      </c>
      <c r="D208" s="1">
        <v>30</v>
      </c>
      <c r="I208" s="2"/>
      <c r="K208" s="82">
        <v>4</v>
      </c>
      <c r="L208" s="9"/>
    </row>
    <row r="209" spans="1:18" s="1" customFormat="1">
      <c r="A209" s="62"/>
      <c r="B209" s="62" t="s">
        <v>588</v>
      </c>
      <c r="C209" s="1" t="s">
        <v>493</v>
      </c>
      <c r="D209" s="1">
        <v>30</v>
      </c>
      <c r="I209" s="2"/>
      <c r="K209" s="82">
        <v>5</v>
      </c>
      <c r="L209" s="9"/>
    </row>
    <row r="210" spans="1:18" s="1" customFormat="1">
      <c r="A210" s="62"/>
      <c r="B210" s="1" t="s">
        <v>589</v>
      </c>
      <c r="C210" s="1" t="s">
        <v>493</v>
      </c>
      <c r="D210" s="1">
        <v>30</v>
      </c>
      <c r="I210" s="2"/>
      <c r="K210" s="82">
        <v>6</v>
      </c>
      <c r="L210" s="9"/>
    </row>
    <row r="211" spans="1:18" s="1" customFormat="1">
      <c r="A211" s="62"/>
      <c r="B211" s="62" t="s">
        <v>590</v>
      </c>
      <c r="C211" s="1" t="s">
        <v>493</v>
      </c>
      <c r="D211" s="1">
        <v>1</v>
      </c>
      <c r="I211" s="2"/>
      <c r="K211" s="82">
        <v>7</v>
      </c>
      <c r="L211" s="9">
        <v>3</v>
      </c>
      <c r="O211" s="1">
        <v>111</v>
      </c>
      <c r="P211" s="1">
        <v>1</v>
      </c>
    </row>
    <row r="212" spans="1:18" s="1" customFormat="1">
      <c r="A212" s="62"/>
      <c r="B212" s="62" t="s">
        <v>591</v>
      </c>
      <c r="C212" s="1" t="s">
        <v>493</v>
      </c>
      <c r="D212" s="1">
        <v>10</v>
      </c>
      <c r="I212" s="2"/>
      <c r="K212" s="82">
        <v>8</v>
      </c>
      <c r="L212" s="9">
        <v>7</v>
      </c>
    </row>
    <row r="213" spans="1:18" s="1" customFormat="1">
      <c r="A213" s="62"/>
      <c r="B213" s="62" t="s">
        <v>597</v>
      </c>
      <c r="C213" s="1" t="s">
        <v>493</v>
      </c>
      <c r="D213" s="1">
        <v>50</v>
      </c>
      <c r="I213" s="2"/>
      <c r="K213" s="82">
        <v>9</v>
      </c>
      <c r="L213" s="9"/>
    </row>
    <row r="214" spans="1:18" s="62" customFormat="1">
      <c r="B214" s="70" t="s">
        <v>2019</v>
      </c>
      <c r="C214" s="62" t="s">
        <v>493</v>
      </c>
      <c r="D214" s="62">
        <v>1</v>
      </c>
      <c r="I214" s="22"/>
      <c r="K214" s="82">
        <v>10</v>
      </c>
      <c r="L214" s="76">
        <v>3</v>
      </c>
    </row>
    <row r="215" spans="1:18" s="62" customFormat="1">
      <c r="B215" s="70" t="s">
        <v>2020</v>
      </c>
      <c r="C215" s="1" t="s">
        <v>493</v>
      </c>
      <c r="D215" s="1">
        <v>50</v>
      </c>
      <c r="I215" s="22"/>
      <c r="K215" s="82">
        <v>11</v>
      </c>
      <c r="L215" s="76"/>
    </row>
    <row r="216" spans="1:18" s="62" customFormat="1">
      <c r="B216" s="64" t="s">
        <v>2760</v>
      </c>
      <c r="C216" s="62" t="s">
        <v>493</v>
      </c>
      <c r="D216" s="62">
        <v>1</v>
      </c>
      <c r="I216" s="22"/>
      <c r="K216" s="82">
        <v>12</v>
      </c>
      <c r="L216" s="76">
        <v>3</v>
      </c>
    </row>
    <row r="217" spans="1:18" s="62" customFormat="1">
      <c r="B217" s="70" t="s">
        <v>3079</v>
      </c>
      <c r="C217" s="62" t="s">
        <v>494</v>
      </c>
      <c r="I217" s="22"/>
      <c r="K217" s="82">
        <v>13</v>
      </c>
      <c r="L217" s="76"/>
      <c r="M217" s="62">
        <v>1</v>
      </c>
      <c r="O217" s="60"/>
      <c r="P217" s="60"/>
    </row>
    <row r="218" spans="1:18" s="62" customFormat="1">
      <c r="B218" s="70" t="s">
        <v>2021</v>
      </c>
      <c r="C218" s="62" t="s">
        <v>493</v>
      </c>
      <c r="D218" s="62">
        <v>50</v>
      </c>
      <c r="I218" s="22"/>
      <c r="K218" s="82">
        <v>14</v>
      </c>
      <c r="L218" s="76"/>
    </row>
    <row r="219" spans="1:18" s="62" customFormat="1">
      <c r="B219" s="64" t="s">
        <v>2757</v>
      </c>
      <c r="C219" s="62" t="s">
        <v>493</v>
      </c>
      <c r="D219" s="62">
        <v>50</v>
      </c>
      <c r="I219" s="22"/>
      <c r="K219" s="82">
        <v>15</v>
      </c>
      <c r="L219" s="76"/>
    </row>
    <row r="220" spans="1:18" s="62" customFormat="1">
      <c r="B220" s="64" t="s">
        <v>2758</v>
      </c>
      <c r="C220" s="62" t="s">
        <v>493</v>
      </c>
      <c r="D220" s="62">
        <v>1</v>
      </c>
      <c r="I220" s="22"/>
      <c r="K220" s="82">
        <v>16</v>
      </c>
      <c r="L220" s="76">
        <v>3</v>
      </c>
    </row>
    <row r="221" spans="1:18" s="1" customFormat="1">
      <c r="A221" s="62"/>
      <c r="B221" s="62" t="s">
        <v>596</v>
      </c>
      <c r="C221" s="1" t="s">
        <v>493</v>
      </c>
      <c r="D221" s="1">
        <v>30</v>
      </c>
      <c r="I221" s="2"/>
      <c r="K221" s="82">
        <v>17</v>
      </c>
      <c r="L221" s="9"/>
    </row>
    <row r="222" spans="1:18" s="62" customFormat="1">
      <c r="B222" s="64" t="s">
        <v>2759</v>
      </c>
      <c r="C222" s="62" t="s">
        <v>493</v>
      </c>
      <c r="D222" s="62">
        <v>1</v>
      </c>
      <c r="I222" s="22"/>
      <c r="K222" s="82">
        <v>18</v>
      </c>
      <c r="L222" s="76">
        <v>3</v>
      </c>
    </row>
    <row r="223" spans="1:18" s="62" customFormat="1">
      <c r="B223" s="62" t="s">
        <v>3080</v>
      </c>
      <c r="C223" s="62" t="s">
        <v>494</v>
      </c>
      <c r="I223" s="22"/>
      <c r="K223" s="82">
        <v>19</v>
      </c>
      <c r="L223" s="76">
        <v>3</v>
      </c>
      <c r="O223" s="60"/>
      <c r="P223" s="60"/>
    </row>
    <row r="224" spans="1:18" s="1" customFormat="1">
      <c r="A224" s="62"/>
      <c r="B224" s="67" t="s">
        <v>3161</v>
      </c>
      <c r="C224" s="64" t="s">
        <v>494</v>
      </c>
      <c r="F224" s="14"/>
      <c r="G224" s="14"/>
      <c r="H224" s="14"/>
      <c r="I224" s="11"/>
      <c r="J224" s="14"/>
      <c r="K224" s="82">
        <v>20</v>
      </c>
      <c r="L224" s="15">
        <v>3</v>
      </c>
      <c r="M224" s="14"/>
      <c r="N224" s="62" t="s">
        <v>693</v>
      </c>
      <c r="O224" s="1" t="s">
        <v>695</v>
      </c>
      <c r="P224" s="1" t="s">
        <v>696</v>
      </c>
      <c r="Q224" s="62"/>
      <c r="R224" s="14"/>
    </row>
    <row r="225" spans="1:18" s="1" customFormat="1">
      <c r="A225" s="62"/>
      <c r="B225" s="67" t="s">
        <v>3162</v>
      </c>
      <c r="C225" s="64" t="s">
        <v>494</v>
      </c>
      <c r="F225" s="14"/>
      <c r="G225" s="14"/>
      <c r="H225" s="14"/>
      <c r="I225" s="11"/>
      <c r="J225" s="14"/>
      <c r="K225" s="82">
        <v>21</v>
      </c>
      <c r="L225" s="15">
        <v>3</v>
      </c>
      <c r="M225" s="14">
        <v>31</v>
      </c>
      <c r="N225" s="62" t="s">
        <v>379</v>
      </c>
      <c r="O225" s="62" t="s">
        <v>698</v>
      </c>
      <c r="P225" s="62" t="s">
        <v>699</v>
      </c>
      <c r="Q225" s="62" t="s">
        <v>383</v>
      </c>
      <c r="R225" s="14">
        <v>20</v>
      </c>
    </row>
    <row r="226" spans="1:18" s="1" customFormat="1">
      <c r="A226" s="62"/>
      <c r="B226" s="67" t="s">
        <v>3166</v>
      </c>
      <c r="C226" s="64" t="s">
        <v>494</v>
      </c>
      <c r="F226" s="14"/>
      <c r="G226" s="14"/>
      <c r="H226" s="14"/>
      <c r="I226" s="11"/>
      <c r="J226" s="14"/>
      <c r="K226" s="82">
        <v>22</v>
      </c>
      <c r="L226" s="15">
        <v>3</v>
      </c>
      <c r="M226" s="14"/>
      <c r="N226" s="62" t="s">
        <v>3664</v>
      </c>
      <c r="O226" s="62" t="s">
        <v>3666</v>
      </c>
      <c r="P226" s="62" t="s">
        <v>3667</v>
      </c>
      <c r="Q226" s="62"/>
      <c r="R226" s="14"/>
    </row>
    <row r="227" spans="1:18" s="1" customFormat="1">
      <c r="A227" s="62"/>
      <c r="B227" s="67" t="s">
        <v>3163</v>
      </c>
      <c r="C227" s="64" t="s">
        <v>494</v>
      </c>
      <c r="F227" s="14"/>
      <c r="G227" s="14"/>
      <c r="H227" s="14"/>
      <c r="I227" s="11"/>
      <c r="J227" s="14"/>
      <c r="K227" s="82">
        <v>23</v>
      </c>
      <c r="L227" s="15">
        <v>3</v>
      </c>
      <c r="M227" s="14">
        <v>31</v>
      </c>
      <c r="N227" s="62" t="s">
        <v>3655</v>
      </c>
      <c r="O227" s="62" t="s">
        <v>3648</v>
      </c>
      <c r="P227" s="62" t="s">
        <v>3657</v>
      </c>
      <c r="Q227" s="14" t="s">
        <v>3658</v>
      </c>
      <c r="R227" s="14">
        <v>22</v>
      </c>
    </row>
    <row r="228" spans="1:18" s="62" customFormat="1">
      <c r="B228" s="67" t="s">
        <v>3164</v>
      </c>
      <c r="C228" s="64" t="s">
        <v>520</v>
      </c>
      <c r="I228" s="22"/>
      <c r="K228" s="82">
        <v>24</v>
      </c>
      <c r="L228" s="76"/>
    </row>
    <row r="229" spans="1:18" s="62" customFormat="1">
      <c r="B229" s="67" t="s">
        <v>3165</v>
      </c>
      <c r="C229" s="64" t="s">
        <v>494</v>
      </c>
      <c r="I229" s="22"/>
      <c r="K229" s="82">
        <v>25</v>
      </c>
      <c r="L229" s="76">
        <v>7</v>
      </c>
    </row>
    <row r="230" spans="1:18" s="1" customFormat="1">
      <c r="A230" s="62"/>
      <c r="B230" s="62" t="s">
        <v>583</v>
      </c>
      <c r="C230" s="1" t="s">
        <v>493</v>
      </c>
      <c r="D230" s="1">
        <v>3</v>
      </c>
      <c r="I230" s="2"/>
      <c r="K230" s="82">
        <v>26</v>
      </c>
      <c r="L230" s="9">
        <v>3</v>
      </c>
      <c r="N230" s="1" t="s">
        <v>399</v>
      </c>
      <c r="O230" s="1" t="s">
        <v>401</v>
      </c>
      <c r="P230" s="1" t="s">
        <v>400</v>
      </c>
    </row>
    <row r="231" spans="1:18">
      <c r="B231" t="s">
        <v>641</v>
      </c>
      <c r="C231" t="s">
        <v>493</v>
      </c>
      <c r="D231">
        <v>5</v>
      </c>
      <c r="I231" s="17"/>
      <c r="K231" s="82">
        <v>27</v>
      </c>
      <c r="L231" s="32">
        <v>3</v>
      </c>
      <c r="M231">
        <v>31</v>
      </c>
      <c r="N231" s="1" t="s">
        <v>404</v>
      </c>
      <c r="O231" s="1" t="s">
        <v>405</v>
      </c>
      <c r="P231" s="1" t="s">
        <v>406</v>
      </c>
      <c r="Q231" s="1" t="s">
        <v>407</v>
      </c>
      <c r="R231">
        <v>26</v>
      </c>
    </row>
    <row r="232" spans="1:18">
      <c r="B232" t="s">
        <v>642</v>
      </c>
      <c r="C232" t="s">
        <v>493</v>
      </c>
      <c r="D232">
        <v>8</v>
      </c>
      <c r="I232" s="17"/>
      <c r="K232" s="82">
        <v>28</v>
      </c>
      <c r="L232" s="32">
        <v>3</v>
      </c>
      <c r="M232">
        <v>31</v>
      </c>
      <c r="N232" s="1" t="s">
        <v>410</v>
      </c>
      <c r="O232" s="1" t="s">
        <v>413</v>
      </c>
      <c r="P232" s="1" t="s">
        <v>414</v>
      </c>
      <c r="Q232" s="1" t="s">
        <v>415</v>
      </c>
      <c r="R232">
        <v>27</v>
      </c>
    </row>
    <row r="233" spans="1:18" s="1" customFormat="1">
      <c r="A233" s="62"/>
      <c r="B233" s="1" t="s">
        <v>595</v>
      </c>
      <c r="C233" s="1" t="s">
        <v>493</v>
      </c>
      <c r="D233" s="1">
        <v>100</v>
      </c>
      <c r="I233" s="2"/>
      <c r="K233" s="82">
        <v>29</v>
      </c>
      <c r="L233" s="9"/>
    </row>
    <row r="234" spans="1:18" s="62" customFormat="1">
      <c r="B234" s="62" t="s">
        <v>3130</v>
      </c>
      <c r="C234" s="1" t="s">
        <v>493</v>
      </c>
      <c r="D234" s="1">
        <v>50</v>
      </c>
      <c r="H234" s="62" t="s">
        <v>3131</v>
      </c>
      <c r="I234" s="22"/>
      <c r="K234" s="57">
        <v>30</v>
      </c>
      <c r="L234" s="76"/>
      <c r="O234" s="60"/>
      <c r="P234" s="60"/>
    </row>
    <row r="235" spans="1:18" s="62" customFormat="1">
      <c r="B235" s="62" t="s">
        <v>4301</v>
      </c>
      <c r="C235" s="62" t="s">
        <v>520</v>
      </c>
      <c r="D235" s="1"/>
      <c r="I235" s="22"/>
      <c r="K235" s="57">
        <v>31</v>
      </c>
      <c r="L235" s="76"/>
      <c r="M235" s="62">
        <v>2</v>
      </c>
      <c r="O235" s="60"/>
      <c r="P235" s="60"/>
    </row>
    <row r="236" spans="1:18" s="62" customFormat="1">
      <c r="B236" s="64"/>
      <c r="I236" s="22"/>
      <c r="K236" s="82"/>
      <c r="L236" s="76"/>
    </row>
    <row r="237" spans="1:18" s="1" customFormat="1">
      <c r="A237" s="70" t="s">
        <v>579</v>
      </c>
      <c r="B237" s="39" t="s">
        <v>580</v>
      </c>
      <c r="C237" s="39" t="s">
        <v>493</v>
      </c>
      <c r="D237" s="1">
        <v>2</v>
      </c>
      <c r="E237" s="1" t="s">
        <v>476</v>
      </c>
      <c r="F237" s="1">
        <v>1</v>
      </c>
      <c r="G237" s="1">
        <v>158</v>
      </c>
      <c r="H237" s="62" t="s">
        <v>3084</v>
      </c>
      <c r="I237" s="22" t="s">
        <v>3085</v>
      </c>
      <c r="J237" s="1">
        <v>1501</v>
      </c>
      <c r="K237" s="82">
        <v>1</v>
      </c>
      <c r="L237" s="9">
        <v>3</v>
      </c>
      <c r="N237"/>
    </row>
    <row r="238" spans="1:18" s="1" customFormat="1">
      <c r="A238" s="70"/>
      <c r="B238" s="70" t="s">
        <v>581</v>
      </c>
      <c r="C238" s="39" t="s">
        <v>493</v>
      </c>
      <c r="D238" s="1">
        <v>13</v>
      </c>
      <c r="E238" s="1" t="s">
        <v>476</v>
      </c>
      <c r="I238" s="2"/>
      <c r="K238" s="82">
        <v>2</v>
      </c>
      <c r="L238" s="9"/>
    </row>
    <row r="239" spans="1:18" s="1" customFormat="1">
      <c r="A239" s="70"/>
      <c r="B239" s="39" t="s">
        <v>582</v>
      </c>
      <c r="C239" s="39" t="s">
        <v>494</v>
      </c>
      <c r="I239" s="2"/>
      <c r="K239" s="82">
        <v>3</v>
      </c>
      <c r="L239" s="9">
        <v>6</v>
      </c>
    </row>
    <row r="240" spans="1:18" s="1" customFormat="1">
      <c r="A240" s="70"/>
      <c r="B240" s="70" t="s">
        <v>584</v>
      </c>
      <c r="C240" s="39" t="s">
        <v>493</v>
      </c>
      <c r="D240" s="1">
        <v>30</v>
      </c>
      <c r="I240" s="2"/>
      <c r="K240" s="82">
        <v>4</v>
      </c>
      <c r="L240" s="9"/>
      <c r="M240" s="1">
        <v>1</v>
      </c>
    </row>
    <row r="241" spans="1:16" s="1" customFormat="1">
      <c r="A241" s="70"/>
      <c r="B241" s="39" t="s">
        <v>594</v>
      </c>
      <c r="C241" s="39" t="s">
        <v>493</v>
      </c>
      <c r="D241" s="1">
        <v>100</v>
      </c>
      <c r="I241" s="2"/>
      <c r="K241" s="82">
        <v>5</v>
      </c>
      <c r="L241" s="9"/>
    </row>
    <row r="242" spans="1:16" s="62" customFormat="1">
      <c r="A242" s="70"/>
      <c r="B242" s="70" t="s">
        <v>3079</v>
      </c>
      <c r="C242" s="70" t="s">
        <v>494</v>
      </c>
      <c r="I242" s="22"/>
      <c r="K242" s="82">
        <v>6</v>
      </c>
      <c r="L242" s="76"/>
      <c r="M242" s="62">
        <v>1</v>
      </c>
      <c r="O242" s="60"/>
      <c r="P242" s="60"/>
    </row>
    <row r="243" spans="1:16" s="62" customFormat="1">
      <c r="A243" s="70"/>
      <c r="B243" s="70" t="s">
        <v>3080</v>
      </c>
      <c r="C243" s="70" t="s">
        <v>494</v>
      </c>
      <c r="I243" s="22"/>
      <c r="K243" s="82">
        <v>7</v>
      </c>
      <c r="L243" s="76">
        <v>3</v>
      </c>
      <c r="M243" s="62">
        <v>1</v>
      </c>
      <c r="O243" s="60"/>
      <c r="P243" s="60"/>
    </row>
    <row r="244" spans="1:16" s="62" customFormat="1">
      <c r="I244" s="22"/>
      <c r="K244" s="57"/>
      <c r="L244" s="76"/>
      <c r="O244" s="60"/>
      <c r="P244" s="60"/>
    </row>
    <row r="245" spans="1:16" s="1" customFormat="1">
      <c r="A245" s="70" t="s">
        <v>579</v>
      </c>
      <c r="B245" s="70" t="s">
        <v>2170</v>
      </c>
      <c r="C245" s="62" t="s">
        <v>494</v>
      </c>
      <c r="E245" s="1" t="s">
        <v>476</v>
      </c>
      <c r="F245" s="1">
        <v>1</v>
      </c>
      <c r="G245" s="1">
        <v>117</v>
      </c>
      <c r="H245" s="62" t="s">
        <v>2171</v>
      </c>
      <c r="I245" s="22" t="s">
        <v>2172</v>
      </c>
      <c r="J245" s="1">
        <v>1</v>
      </c>
      <c r="K245" s="82">
        <v>1</v>
      </c>
      <c r="L245" s="9">
        <v>8</v>
      </c>
      <c r="N245"/>
    </row>
    <row r="246" spans="1:16" s="1" customFormat="1">
      <c r="A246" s="70"/>
      <c r="B246" s="70" t="s">
        <v>2169</v>
      </c>
      <c r="C246" s="62" t="s">
        <v>494</v>
      </c>
      <c r="I246" s="2"/>
      <c r="K246" s="82">
        <v>2</v>
      </c>
      <c r="L246" s="9">
        <v>8</v>
      </c>
    </row>
    <row r="247" spans="1:16" s="1" customFormat="1">
      <c r="A247" s="62"/>
      <c r="I247" s="2"/>
      <c r="K247" s="82"/>
      <c r="L247" s="9"/>
    </row>
    <row r="248" spans="1:16" s="1" customFormat="1">
      <c r="A248" s="70" t="s">
        <v>579</v>
      </c>
      <c r="B248" s="39" t="s">
        <v>580</v>
      </c>
      <c r="C248" s="39" t="s">
        <v>493</v>
      </c>
      <c r="D248" s="1">
        <v>2</v>
      </c>
      <c r="E248" s="1" t="s">
        <v>476</v>
      </c>
      <c r="F248" s="1">
        <v>1</v>
      </c>
      <c r="G248" s="1">
        <v>17</v>
      </c>
      <c r="H248" s="62" t="s">
        <v>6232</v>
      </c>
      <c r="I248" s="22" t="s">
        <v>6233</v>
      </c>
      <c r="J248" s="1">
        <v>1</v>
      </c>
      <c r="K248" s="82">
        <v>1</v>
      </c>
      <c r="L248" s="9">
        <v>3</v>
      </c>
      <c r="N248"/>
    </row>
    <row r="249" spans="1:16" s="1" customFormat="1">
      <c r="A249" s="70"/>
      <c r="B249" s="70" t="s">
        <v>581</v>
      </c>
      <c r="C249" s="39" t="s">
        <v>493</v>
      </c>
      <c r="D249" s="1">
        <v>13</v>
      </c>
      <c r="E249" s="1" t="s">
        <v>476</v>
      </c>
      <c r="I249" s="2"/>
      <c r="K249" s="82">
        <v>2</v>
      </c>
      <c r="L249" s="9"/>
    </row>
    <row r="250" spans="1:16" s="1" customFormat="1">
      <c r="A250" s="70"/>
      <c r="B250" s="39" t="s">
        <v>582</v>
      </c>
      <c r="C250" s="39" t="s">
        <v>494</v>
      </c>
      <c r="I250" s="2"/>
      <c r="K250" s="82">
        <v>3</v>
      </c>
      <c r="L250" s="9">
        <v>6</v>
      </c>
    </row>
    <row r="251" spans="1:16" s="1" customFormat="1">
      <c r="A251" s="70"/>
      <c r="B251" s="70" t="s">
        <v>583</v>
      </c>
      <c r="C251" s="39" t="s">
        <v>493</v>
      </c>
      <c r="D251" s="1">
        <v>3</v>
      </c>
      <c r="I251" s="2"/>
      <c r="K251" s="82">
        <v>4</v>
      </c>
      <c r="L251" s="9">
        <v>3</v>
      </c>
      <c r="M251" s="1">
        <v>3</v>
      </c>
      <c r="N251" s="1" t="s">
        <v>399</v>
      </c>
      <c r="O251" s="1" t="s">
        <v>401</v>
      </c>
      <c r="P251" s="1" t="s">
        <v>400</v>
      </c>
    </row>
    <row r="252" spans="1:16" s="1" customFormat="1">
      <c r="A252" s="70"/>
      <c r="B252" s="70" t="s">
        <v>584</v>
      </c>
      <c r="C252" s="39" t="s">
        <v>493</v>
      </c>
      <c r="D252" s="1">
        <v>30</v>
      </c>
      <c r="I252" s="2"/>
      <c r="K252" s="82">
        <v>5</v>
      </c>
      <c r="L252" s="9"/>
      <c r="M252" s="1">
        <v>1</v>
      </c>
    </row>
    <row r="253" spans="1:16" s="1" customFormat="1">
      <c r="A253" s="70"/>
      <c r="B253" s="70" t="s">
        <v>585</v>
      </c>
      <c r="C253" s="39" t="s">
        <v>493</v>
      </c>
      <c r="D253" s="1">
        <v>2</v>
      </c>
      <c r="I253" s="2"/>
      <c r="K253" s="82">
        <v>6</v>
      </c>
      <c r="L253" s="9"/>
      <c r="M253" s="1">
        <v>1</v>
      </c>
    </row>
    <row r="254" spans="1:16" s="1" customFormat="1">
      <c r="A254" s="70"/>
      <c r="B254" s="39" t="s">
        <v>586</v>
      </c>
      <c r="C254" s="39" t="s">
        <v>493</v>
      </c>
      <c r="D254" s="1">
        <v>30</v>
      </c>
      <c r="I254" s="2"/>
      <c r="K254" s="82">
        <v>7</v>
      </c>
      <c r="L254" s="9"/>
    </row>
    <row r="255" spans="1:16" s="1" customFormat="1">
      <c r="A255" s="70"/>
      <c r="B255" s="39" t="s">
        <v>587</v>
      </c>
      <c r="C255" s="39" t="s">
        <v>493</v>
      </c>
      <c r="D255" s="1">
        <v>30</v>
      </c>
      <c r="I255" s="2"/>
      <c r="K255" s="82">
        <v>8</v>
      </c>
      <c r="L255" s="9"/>
    </row>
    <row r="256" spans="1:16" s="1" customFormat="1">
      <c r="A256" s="70"/>
      <c r="B256" s="39" t="s">
        <v>588</v>
      </c>
      <c r="C256" s="39" t="s">
        <v>493</v>
      </c>
      <c r="D256" s="1">
        <v>30</v>
      </c>
      <c r="I256" s="2"/>
      <c r="K256" s="82">
        <v>9</v>
      </c>
      <c r="L256" s="9"/>
    </row>
    <row r="257" spans="1:16" s="1" customFormat="1">
      <c r="A257" s="70"/>
      <c r="B257" s="39" t="s">
        <v>589</v>
      </c>
      <c r="C257" s="39" t="s">
        <v>493</v>
      </c>
      <c r="D257" s="1">
        <v>30</v>
      </c>
      <c r="H257" s="3"/>
      <c r="I257" s="2"/>
      <c r="K257" s="82">
        <v>10</v>
      </c>
      <c r="L257" s="9"/>
    </row>
    <row r="259" spans="1:16" s="1" customFormat="1">
      <c r="A259" s="70" t="s">
        <v>472</v>
      </c>
      <c r="B259" s="70" t="s">
        <v>559</v>
      </c>
      <c r="C259" s="39" t="s">
        <v>494</v>
      </c>
      <c r="E259" s="1" t="s">
        <v>476</v>
      </c>
      <c r="F259" s="14">
        <v>10</v>
      </c>
      <c r="G259" s="14">
        <v>107</v>
      </c>
      <c r="H259" s="47" t="s">
        <v>525</v>
      </c>
      <c r="I259" s="11"/>
      <c r="J259" s="14">
        <v>1</v>
      </c>
      <c r="K259" s="16">
        <v>1</v>
      </c>
      <c r="L259" s="15">
        <v>3</v>
      </c>
      <c r="M259" s="14"/>
      <c r="N259" s="1" t="s">
        <v>551</v>
      </c>
      <c r="O259" s="14" t="s">
        <v>552</v>
      </c>
      <c r="P259" s="14" t="s">
        <v>553</v>
      </c>
    </row>
    <row r="260" spans="1:16" s="1" customFormat="1">
      <c r="A260" s="70"/>
      <c r="B260" s="70" t="s">
        <v>560</v>
      </c>
      <c r="C260" s="39" t="s">
        <v>494</v>
      </c>
      <c r="E260" s="1" t="s">
        <v>476</v>
      </c>
      <c r="F260" s="14"/>
      <c r="G260" s="14"/>
      <c r="H260" s="14"/>
      <c r="I260" s="11"/>
      <c r="J260" s="14"/>
      <c r="K260" s="16">
        <v>2</v>
      </c>
      <c r="L260" s="15">
        <v>52</v>
      </c>
      <c r="M260" s="14"/>
      <c r="N260" s="14">
        <v>17</v>
      </c>
      <c r="O260" s="47" t="s">
        <v>582</v>
      </c>
      <c r="P260" s="14"/>
    </row>
    <row r="261" spans="1:16" s="1" customFormat="1">
      <c r="A261" s="70"/>
      <c r="B261" s="70" t="s">
        <v>561</v>
      </c>
      <c r="C261" s="39" t="s">
        <v>493</v>
      </c>
      <c r="D261" s="1">
        <v>1</v>
      </c>
      <c r="F261" s="14"/>
      <c r="G261" s="14"/>
      <c r="H261" s="14"/>
      <c r="I261" s="11"/>
      <c r="J261" s="14"/>
      <c r="K261" s="16">
        <v>3</v>
      </c>
      <c r="L261" s="15">
        <v>3</v>
      </c>
      <c r="M261" s="14"/>
      <c r="N261" s="14"/>
      <c r="O261" s="14"/>
      <c r="P261" s="14"/>
    </row>
    <row r="262" spans="1:16" s="1" customFormat="1">
      <c r="A262" s="70"/>
      <c r="B262" s="70" t="s">
        <v>645</v>
      </c>
      <c r="C262" s="39" t="s">
        <v>493</v>
      </c>
      <c r="D262" s="1">
        <v>10</v>
      </c>
      <c r="F262" s="14"/>
      <c r="G262" s="14"/>
      <c r="H262" s="14"/>
      <c r="I262" s="11"/>
      <c r="J262" s="14"/>
      <c r="K262" s="16">
        <v>4</v>
      </c>
      <c r="L262" s="15">
        <v>7</v>
      </c>
      <c r="M262" s="14"/>
      <c r="N262" s="14"/>
      <c r="O262" s="14"/>
      <c r="P262" s="14"/>
    </row>
    <row r="269" spans="1:16" s="1" customFormat="1">
      <c r="A269" s="1" t="s">
        <v>393</v>
      </c>
      <c r="B269" s="1" t="s">
        <v>394</v>
      </c>
      <c r="C269" s="1" t="s">
        <v>494</v>
      </c>
      <c r="E269" s="1" t="s">
        <v>476</v>
      </c>
      <c r="F269" s="1">
        <v>1</v>
      </c>
      <c r="G269" s="1">
        <v>117</v>
      </c>
      <c r="H269" s="1" t="s">
        <v>398</v>
      </c>
      <c r="I269" s="2"/>
      <c r="K269" s="82">
        <v>1</v>
      </c>
      <c r="L269" s="9"/>
    </row>
    <row r="270" spans="1:16" s="1" customFormat="1">
      <c r="B270" s="1" t="s">
        <v>395</v>
      </c>
      <c r="C270" s="1" t="s">
        <v>493</v>
      </c>
      <c r="D270" s="1">
        <v>20</v>
      </c>
      <c r="I270" s="2"/>
      <c r="K270" s="82">
        <v>2</v>
      </c>
      <c r="L270" s="9"/>
    </row>
    <row r="271" spans="1:16" s="1" customFormat="1">
      <c r="B271" s="1" t="s">
        <v>396</v>
      </c>
      <c r="C271" s="1" t="s">
        <v>493</v>
      </c>
      <c r="D271" s="1">
        <v>5</v>
      </c>
      <c r="I271" s="2"/>
      <c r="K271" s="82">
        <v>3</v>
      </c>
      <c r="L271" s="9"/>
    </row>
    <row r="272" spans="1:16" s="1" customFormat="1">
      <c r="B272" s="1" t="s">
        <v>397</v>
      </c>
      <c r="C272" s="1" t="s">
        <v>494</v>
      </c>
      <c r="I272" s="2"/>
      <c r="K272" s="82">
        <v>4</v>
      </c>
      <c r="L272" s="9"/>
    </row>
    <row r="273" spans="1:18" s="1" customFormat="1">
      <c r="I273" s="2"/>
      <c r="K273" s="82"/>
      <c r="L273" s="9"/>
    </row>
    <row r="274" spans="1:18" s="1" customFormat="1">
      <c r="A274" s="62" t="s">
        <v>399</v>
      </c>
      <c r="B274" s="62" t="s">
        <v>401</v>
      </c>
      <c r="C274" s="1" t="s">
        <v>493</v>
      </c>
      <c r="D274" s="1">
        <v>3</v>
      </c>
      <c r="E274" s="1" t="s">
        <v>476</v>
      </c>
      <c r="F274" s="1">
        <v>1</v>
      </c>
      <c r="G274" s="1">
        <v>118</v>
      </c>
      <c r="H274" s="1" t="s">
        <v>402</v>
      </c>
      <c r="I274" s="2" t="s">
        <v>403</v>
      </c>
      <c r="J274" s="1">
        <v>2</v>
      </c>
      <c r="K274" s="82">
        <v>1</v>
      </c>
      <c r="L274" s="9"/>
    </row>
    <row r="275" spans="1:18" s="1" customFormat="1">
      <c r="A275" s="62"/>
      <c r="B275" s="1" t="s">
        <v>400</v>
      </c>
      <c r="C275" s="1" t="s">
        <v>493</v>
      </c>
      <c r="D275" s="1">
        <v>50</v>
      </c>
      <c r="I275" s="2"/>
      <c r="K275" s="82">
        <v>2</v>
      </c>
      <c r="L275" s="9"/>
    </row>
    <row r="276" spans="1:18" s="1" customFormat="1">
      <c r="A276" s="62"/>
      <c r="B276" s="62" t="s">
        <v>3555</v>
      </c>
      <c r="C276" s="62" t="s">
        <v>493</v>
      </c>
      <c r="D276" s="1">
        <v>5</v>
      </c>
      <c r="I276" s="2"/>
      <c r="K276" s="82">
        <v>3</v>
      </c>
      <c r="L276" s="9"/>
    </row>
    <row r="277" spans="1:18" s="1" customFormat="1">
      <c r="A277" s="62"/>
      <c r="B277" s="62" t="s">
        <v>3556</v>
      </c>
      <c r="C277" s="62" t="s">
        <v>493</v>
      </c>
      <c r="D277" s="1">
        <v>50</v>
      </c>
      <c r="I277" s="2"/>
      <c r="K277" s="82">
        <v>4</v>
      </c>
      <c r="L277" s="9"/>
    </row>
    <row r="278" spans="1:18" s="1" customFormat="1">
      <c r="A278" s="62"/>
      <c r="B278" s="62"/>
      <c r="C278" s="62"/>
      <c r="I278" s="2"/>
      <c r="K278" s="82"/>
      <c r="L278" s="9"/>
    </row>
    <row r="279" spans="1:18" s="1" customFormat="1">
      <c r="A279" s="62" t="s">
        <v>693</v>
      </c>
      <c r="B279" s="1" t="s">
        <v>694</v>
      </c>
      <c r="C279" s="1" t="s">
        <v>494</v>
      </c>
      <c r="E279" s="1" t="s">
        <v>476</v>
      </c>
      <c r="F279" s="14">
        <v>1</v>
      </c>
      <c r="G279" s="14">
        <v>123</v>
      </c>
      <c r="H279" s="14" t="s">
        <v>712</v>
      </c>
      <c r="I279" s="11" t="s">
        <v>713</v>
      </c>
      <c r="J279" s="14">
        <v>2</v>
      </c>
      <c r="K279" s="16">
        <v>1</v>
      </c>
      <c r="L279" s="15">
        <v>6</v>
      </c>
      <c r="M279" s="14"/>
      <c r="N279" s="14"/>
      <c r="O279" s="14"/>
      <c r="P279" s="14"/>
      <c r="Q279" s="14"/>
      <c r="R279" s="14"/>
    </row>
    <row r="280" spans="1:18" s="1" customFormat="1">
      <c r="A280" s="62"/>
      <c r="B280" s="62" t="s">
        <v>695</v>
      </c>
      <c r="C280" s="1" t="s">
        <v>494</v>
      </c>
      <c r="F280" s="14"/>
      <c r="G280" s="14"/>
      <c r="H280" s="14"/>
      <c r="I280" s="11"/>
      <c r="J280" s="14"/>
      <c r="K280" s="16">
        <v>2</v>
      </c>
      <c r="L280" s="15">
        <v>6</v>
      </c>
      <c r="M280" s="14"/>
      <c r="N280" s="14"/>
      <c r="O280" s="14"/>
      <c r="P280" s="14"/>
      <c r="Q280" s="14"/>
      <c r="R280" s="14"/>
    </row>
    <row r="281" spans="1:18" s="1" customFormat="1">
      <c r="A281" s="62"/>
      <c r="B281" s="62" t="s">
        <v>696</v>
      </c>
      <c r="C281" s="1" t="s">
        <v>493</v>
      </c>
      <c r="D281" s="1">
        <v>100</v>
      </c>
      <c r="F281" s="14"/>
      <c r="G281" s="14"/>
      <c r="H281" s="14"/>
      <c r="I281" s="11"/>
      <c r="J281" s="14"/>
      <c r="K281" s="16">
        <v>3</v>
      </c>
      <c r="L281" s="15"/>
      <c r="M281" s="14"/>
      <c r="N281" s="14"/>
      <c r="O281" s="14"/>
      <c r="P281" s="14"/>
      <c r="Q281" s="14"/>
      <c r="R281" s="14"/>
    </row>
    <row r="282" spans="1:18" s="1" customFormat="1">
      <c r="A282" s="62"/>
      <c r="B282" s="62" t="s">
        <v>4259</v>
      </c>
      <c r="C282" s="62" t="s">
        <v>493</v>
      </c>
      <c r="D282" s="1">
        <v>1</v>
      </c>
      <c r="F282" s="14"/>
      <c r="G282" s="14"/>
      <c r="H282" s="14"/>
      <c r="I282" s="11"/>
      <c r="J282" s="14"/>
      <c r="K282" s="16">
        <v>4</v>
      </c>
      <c r="L282" s="15">
        <v>3</v>
      </c>
      <c r="M282" s="14"/>
      <c r="N282" s="14"/>
      <c r="O282" s="14"/>
      <c r="P282" s="14"/>
      <c r="Q282" s="14"/>
      <c r="R282" s="14"/>
    </row>
    <row r="283" spans="1:18" s="1" customFormat="1">
      <c r="A283" s="62"/>
      <c r="B283" s="62" t="s">
        <v>6653</v>
      </c>
      <c r="C283" s="62" t="s">
        <v>493</v>
      </c>
      <c r="D283" s="1">
        <v>20</v>
      </c>
      <c r="F283" s="14"/>
      <c r="G283" s="14"/>
      <c r="H283" s="14"/>
      <c r="I283" s="11"/>
      <c r="J283" s="14"/>
      <c r="K283" s="16">
        <v>5</v>
      </c>
      <c r="L283" s="15"/>
      <c r="M283" s="14"/>
      <c r="N283" s="14"/>
      <c r="O283" s="14"/>
      <c r="P283" s="14"/>
      <c r="Q283" s="14"/>
      <c r="R283" s="14"/>
    </row>
    <row r="284" spans="1:18" s="1" customFormat="1">
      <c r="A284" s="62"/>
      <c r="F284" s="14"/>
      <c r="G284" s="14"/>
      <c r="H284" s="14"/>
      <c r="I284" s="11"/>
      <c r="J284" s="14"/>
      <c r="K284" s="16"/>
      <c r="L284" s="15"/>
      <c r="M284" s="14"/>
      <c r="N284" s="14"/>
      <c r="O284" s="14"/>
      <c r="P284" s="14"/>
      <c r="Q284" s="14"/>
      <c r="R284" s="14"/>
    </row>
    <row r="285" spans="1:18" s="1" customFormat="1">
      <c r="A285" s="62" t="s">
        <v>379</v>
      </c>
      <c r="B285" s="62" t="s">
        <v>697</v>
      </c>
      <c r="C285" s="1" t="s">
        <v>494</v>
      </c>
      <c r="E285" s="1" t="s">
        <v>476</v>
      </c>
      <c r="F285" s="14">
        <v>1</v>
      </c>
      <c r="G285" s="14">
        <v>124</v>
      </c>
      <c r="H285" s="14" t="s">
        <v>380</v>
      </c>
      <c r="I285" s="11" t="s">
        <v>381</v>
      </c>
      <c r="J285" s="14">
        <v>2</v>
      </c>
      <c r="K285" s="16">
        <v>1</v>
      </c>
      <c r="L285" s="15">
        <v>6</v>
      </c>
      <c r="M285" s="14"/>
      <c r="N285" s="14"/>
      <c r="O285" s="14"/>
      <c r="P285" s="14"/>
      <c r="Q285" s="14"/>
      <c r="R285" s="14"/>
    </row>
    <row r="286" spans="1:18" s="1" customFormat="1">
      <c r="A286" s="62"/>
      <c r="B286" s="62" t="s">
        <v>698</v>
      </c>
      <c r="C286" s="1" t="s">
        <v>494</v>
      </c>
      <c r="F286" s="14"/>
      <c r="G286" s="14"/>
      <c r="H286" s="14"/>
      <c r="I286" s="11"/>
      <c r="J286" s="14"/>
      <c r="K286" s="16">
        <v>2</v>
      </c>
      <c r="L286" s="15">
        <v>6</v>
      </c>
      <c r="M286" s="14"/>
      <c r="N286" s="14"/>
      <c r="O286" s="14"/>
      <c r="P286" s="14"/>
      <c r="Q286" s="14"/>
      <c r="R286" s="14"/>
    </row>
    <row r="287" spans="1:18" s="1" customFormat="1">
      <c r="A287" s="62"/>
      <c r="B287" s="62" t="s">
        <v>383</v>
      </c>
      <c r="C287" s="1" t="s">
        <v>494</v>
      </c>
      <c r="F287" s="14"/>
      <c r="G287" s="14"/>
      <c r="H287" s="14"/>
      <c r="I287" s="11"/>
      <c r="J287" s="14"/>
      <c r="K287" s="16">
        <v>3</v>
      </c>
      <c r="L287" s="15">
        <v>3</v>
      </c>
      <c r="M287" s="14"/>
      <c r="N287" s="62" t="s">
        <v>693</v>
      </c>
      <c r="O287" s="62" t="s">
        <v>695</v>
      </c>
      <c r="P287" s="62" t="s">
        <v>696</v>
      </c>
      <c r="Q287" s="14"/>
      <c r="R287" s="14"/>
    </row>
    <row r="288" spans="1:18" s="1" customFormat="1">
      <c r="A288" s="62"/>
      <c r="B288" s="62" t="s">
        <v>699</v>
      </c>
      <c r="C288" s="1" t="s">
        <v>493</v>
      </c>
      <c r="D288" s="1">
        <v>100</v>
      </c>
      <c r="F288" s="14"/>
      <c r="G288" s="14"/>
      <c r="H288" s="14"/>
      <c r="I288" s="11"/>
      <c r="J288" s="14"/>
      <c r="K288" s="16">
        <v>4</v>
      </c>
      <c r="L288" s="15"/>
      <c r="M288" s="14"/>
      <c r="N288" s="14"/>
      <c r="P288" s="14"/>
      <c r="Q288" s="14"/>
      <c r="R288" s="14"/>
    </row>
    <row r="289" spans="1:18" s="1" customFormat="1">
      <c r="A289" s="62"/>
      <c r="B289" s="1" t="s">
        <v>718</v>
      </c>
      <c r="C289" s="1" t="s">
        <v>493</v>
      </c>
      <c r="D289" s="1">
        <v>3</v>
      </c>
      <c r="F289" s="14"/>
      <c r="G289" s="14"/>
      <c r="H289" s="14"/>
      <c r="I289" s="11"/>
      <c r="J289" s="14"/>
      <c r="K289" s="16">
        <v>5</v>
      </c>
      <c r="L289" s="15">
        <v>3</v>
      </c>
      <c r="M289" s="14"/>
      <c r="N289" s="1" t="s">
        <v>399</v>
      </c>
      <c r="O289" s="1" t="s">
        <v>401</v>
      </c>
      <c r="P289" s="1" t="s">
        <v>400</v>
      </c>
    </row>
    <row r="290" spans="1:18" s="1" customFormat="1">
      <c r="A290" s="62"/>
      <c r="B290" s="1" t="s">
        <v>717</v>
      </c>
      <c r="C290" s="1" t="s">
        <v>493</v>
      </c>
      <c r="D290" s="1">
        <v>5</v>
      </c>
      <c r="F290" s="14"/>
      <c r="G290" s="14"/>
      <c r="H290" s="14"/>
      <c r="I290" s="11"/>
      <c r="J290" s="14"/>
      <c r="K290" s="16">
        <v>6</v>
      </c>
      <c r="L290" s="15">
        <v>3</v>
      </c>
      <c r="M290" s="14">
        <v>31</v>
      </c>
      <c r="N290" s="1" t="s">
        <v>404</v>
      </c>
      <c r="O290" s="1" t="s">
        <v>405</v>
      </c>
      <c r="P290" s="1" t="s">
        <v>406</v>
      </c>
      <c r="Q290" s="1" t="s">
        <v>407</v>
      </c>
      <c r="R290">
        <f>+K289</f>
        <v>5</v>
      </c>
    </row>
    <row r="291" spans="1:18" s="1" customFormat="1">
      <c r="A291" s="62"/>
      <c r="B291" s="1" t="s">
        <v>700</v>
      </c>
      <c r="C291" s="1" t="s">
        <v>493</v>
      </c>
      <c r="D291" s="1">
        <v>8</v>
      </c>
      <c r="F291" s="14"/>
      <c r="G291" s="14"/>
      <c r="H291" s="14"/>
      <c r="I291" s="11"/>
      <c r="J291" s="14"/>
      <c r="K291" s="16">
        <v>7</v>
      </c>
      <c r="L291" s="15">
        <v>3</v>
      </c>
      <c r="M291" s="14">
        <v>31</v>
      </c>
      <c r="N291" s="1" t="s">
        <v>410</v>
      </c>
      <c r="O291" s="1" t="s">
        <v>413</v>
      </c>
      <c r="P291" s="1" t="s">
        <v>414</v>
      </c>
      <c r="Q291" s="1" t="s">
        <v>415</v>
      </c>
      <c r="R291">
        <f>+K290</f>
        <v>6</v>
      </c>
    </row>
    <row r="292" spans="1:18" s="1" customFormat="1">
      <c r="A292" s="62"/>
      <c r="B292" s="1" t="s">
        <v>384</v>
      </c>
      <c r="C292" s="1" t="s">
        <v>494</v>
      </c>
      <c r="F292" s="14"/>
      <c r="G292" s="14"/>
      <c r="H292" s="14"/>
      <c r="I292" s="11"/>
      <c r="J292" s="14"/>
      <c r="K292" s="16">
        <v>8</v>
      </c>
      <c r="L292" s="15">
        <v>3</v>
      </c>
      <c r="M292" s="14"/>
      <c r="N292" s="1" t="s">
        <v>387</v>
      </c>
      <c r="O292" s="1" t="s">
        <v>389</v>
      </c>
      <c r="P292" s="1" t="s">
        <v>390</v>
      </c>
      <c r="R292"/>
    </row>
    <row r="293" spans="1:18" s="1" customFormat="1">
      <c r="A293" s="62"/>
      <c r="B293" s="62" t="s">
        <v>701</v>
      </c>
      <c r="C293" s="1" t="s">
        <v>493</v>
      </c>
      <c r="D293" s="1">
        <v>20</v>
      </c>
      <c r="F293" s="14"/>
      <c r="G293" s="14"/>
      <c r="H293" s="14"/>
      <c r="I293" s="11"/>
      <c r="J293" s="14"/>
      <c r="K293" s="16">
        <v>9</v>
      </c>
      <c r="L293" s="15"/>
      <c r="M293" s="14"/>
      <c r="N293" s="14"/>
      <c r="P293" s="14"/>
      <c r="Q293" s="14"/>
      <c r="R293" s="14"/>
    </row>
    <row r="294" spans="1:18" s="1" customFormat="1">
      <c r="A294" s="62"/>
      <c r="B294" s="70" t="s">
        <v>2623</v>
      </c>
      <c r="C294" s="62" t="s">
        <v>493</v>
      </c>
      <c r="D294" s="62">
        <v>1</v>
      </c>
      <c r="F294" s="14"/>
      <c r="G294" s="14"/>
      <c r="H294" s="14"/>
      <c r="I294" s="11"/>
      <c r="J294" s="14"/>
      <c r="K294" s="16">
        <v>10</v>
      </c>
      <c r="L294" s="15">
        <v>3</v>
      </c>
      <c r="M294" s="14"/>
      <c r="N294" s="14"/>
      <c r="P294" s="14"/>
      <c r="Q294" s="14"/>
      <c r="R294" s="14"/>
    </row>
    <row r="295" spans="1:18" s="1" customFormat="1">
      <c r="A295" s="62"/>
      <c r="B295" s="70" t="s">
        <v>3846</v>
      </c>
      <c r="C295" s="62" t="s">
        <v>494</v>
      </c>
      <c r="D295" s="62"/>
      <c r="F295" s="14"/>
      <c r="G295" s="14"/>
      <c r="H295" s="14"/>
      <c r="I295" s="11"/>
      <c r="J295" s="14"/>
      <c r="K295" s="16">
        <v>11</v>
      </c>
      <c r="L295" s="15"/>
      <c r="M295" s="14"/>
      <c r="N295" s="14"/>
      <c r="P295" s="14"/>
      <c r="Q295" s="14"/>
      <c r="R295" s="14"/>
    </row>
    <row r="296" spans="1:18" s="1" customFormat="1">
      <c r="A296" s="62"/>
      <c r="B296" s="64"/>
      <c r="C296" s="62"/>
      <c r="D296" s="62"/>
      <c r="F296" s="14"/>
      <c r="G296" s="14"/>
      <c r="H296" s="14"/>
      <c r="I296" s="11"/>
      <c r="J296" s="14"/>
      <c r="K296" s="16"/>
      <c r="L296" s="15"/>
      <c r="M296" s="14"/>
      <c r="N296" s="14"/>
      <c r="P296" s="14"/>
      <c r="Q296" s="14"/>
      <c r="R296" s="14"/>
    </row>
    <row r="297" spans="1:18" s="1" customFormat="1">
      <c r="A297" s="62" t="s">
        <v>1002</v>
      </c>
      <c r="B297" s="23" t="s">
        <v>1003</v>
      </c>
      <c r="C297" s="1" t="s">
        <v>494</v>
      </c>
      <c r="E297" s="1" t="s">
        <v>476</v>
      </c>
      <c r="F297" s="14">
        <v>1</v>
      </c>
      <c r="G297" s="14">
        <v>139</v>
      </c>
      <c r="H297" s="14" t="s">
        <v>1024</v>
      </c>
      <c r="I297" s="11" t="s">
        <v>1025</v>
      </c>
      <c r="J297" s="14">
        <v>2</v>
      </c>
      <c r="K297" s="16">
        <v>1</v>
      </c>
      <c r="L297" s="15">
        <v>6</v>
      </c>
      <c r="M297" s="14"/>
      <c r="P297" s="14"/>
      <c r="Q297" s="14"/>
      <c r="R297" s="14"/>
    </row>
    <row r="298" spans="1:18" s="1" customFormat="1">
      <c r="A298" s="62"/>
      <c r="B298" s="23" t="s">
        <v>1004</v>
      </c>
      <c r="C298" s="1" t="s">
        <v>494</v>
      </c>
      <c r="F298" s="14"/>
      <c r="G298" s="14"/>
      <c r="H298" s="14"/>
      <c r="I298" s="11"/>
      <c r="J298" s="14"/>
      <c r="K298" s="16">
        <v>2</v>
      </c>
      <c r="L298" s="15">
        <v>6</v>
      </c>
      <c r="M298" s="14"/>
      <c r="P298" s="14"/>
      <c r="Q298" s="14"/>
      <c r="R298" s="14"/>
    </row>
    <row r="299" spans="1:18" s="1" customFormat="1">
      <c r="A299" s="62"/>
      <c r="B299" s="60" t="s">
        <v>1021</v>
      </c>
      <c r="C299" s="1" t="s">
        <v>493</v>
      </c>
      <c r="D299" s="1">
        <v>1</v>
      </c>
      <c r="F299" s="14"/>
      <c r="G299" s="14"/>
      <c r="H299" s="14"/>
      <c r="I299" s="11"/>
      <c r="J299" s="14"/>
      <c r="K299" s="16">
        <v>3</v>
      </c>
      <c r="L299" s="15">
        <v>3</v>
      </c>
      <c r="M299" s="14"/>
      <c r="P299" s="14"/>
      <c r="Q299" s="14"/>
      <c r="R299" s="14"/>
    </row>
    <row r="300" spans="1:18" s="1" customFormat="1">
      <c r="A300" s="62"/>
      <c r="B300" s="23" t="s">
        <v>1022</v>
      </c>
      <c r="C300" s="1" t="s">
        <v>494</v>
      </c>
      <c r="F300" s="14"/>
      <c r="G300" s="14"/>
      <c r="H300" s="14"/>
      <c r="I300" s="11"/>
      <c r="J300" s="14"/>
      <c r="K300" s="16">
        <v>4</v>
      </c>
      <c r="L300" s="15"/>
      <c r="M300" s="14"/>
      <c r="P300" s="14"/>
      <c r="Q300" s="14"/>
      <c r="R300" s="14"/>
    </row>
    <row r="301" spans="1:18" s="1" customFormat="1">
      <c r="A301" s="62"/>
      <c r="B301" s="66" t="s">
        <v>1023</v>
      </c>
      <c r="C301" s="10" t="s">
        <v>493</v>
      </c>
      <c r="D301" s="10">
        <v>100</v>
      </c>
      <c r="F301" s="14"/>
      <c r="G301" s="14"/>
      <c r="H301" s="14"/>
      <c r="I301" s="11"/>
      <c r="J301" s="14"/>
      <c r="K301" s="16">
        <v>5</v>
      </c>
      <c r="L301" s="15"/>
      <c r="M301" s="14"/>
      <c r="P301" s="14"/>
      <c r="Q301" s="14"/>
      <c r="R301" s="14"/>
    </row>
    <row r="302" spans="1:18" s="1" customFormat="1">
      <c r="A302" s="62"/>
      <c r="B302" s="66" t="s">
        <v>1322</v>
      </c>
      <c r="C302" s="10" t="s">
        <v>493</v>
      </c>
      <c r="D302" s="10">
        <v>100</v>
      </c>
      <c r="F302" s="14"/>
      <c r="G302" s="14"/>
      <c r="H302" s="14"/>
      <c r="I302" s="11"/>
      <c r="J302" s="14"/>
      <c r="K302" s="16">
        <v>6</v>
      </c>
      <c r="L302" s="15"/>
      <c r="M302" s="14"/>
      <c r="P302" s="14"/>
      <c r="Q302" s="14"/>
      <c r="R302" s="14"/>
    </row>
    <row r="303" spans="1:18" s="1" customFormat="1">
      <c r="A303" s="62"/>
      <c r="B303" s="50" t="s">
        <v>1330</v>
      </c>
      <c r="C303" s="45" t="s">
        <v>493</v>
      </c>
      <c r="D303" s="45">
        <v>250</v>
      </c>
      <c r="F303" s="14"/>
      <c r="G303" s="14"/>
      <c r="H303" s="14"/>
      <c r="I303" s="11"/>
      <c r="J303" s="14"/>
      <c r="K303" s="16">
        <v>7</v>
      </c>
      <c r="L303" s="15"/>
      <c r="M303" s="14"/>
      <c r="P303" s="14"/>
      <c r="Q303" s="14"/>
      <c r="R303" s="14"/>
    </row>
    <row r="304" spans="1:18" s="1" customFormat="1">
      <c r="A304" s="62"/>
      <c r="B304" s="50" t="s">
        <v>1342</v>
      </c>
      <c r="C304" s="45" t="s">
        <v>494</v>
      </c>
      <c r="D304" s="45"/>
      <c r="F304" s="14"/>
      <c r="G304" s="14"/>
      <c r="H304" s="14"/>
      <c r="I304" s="11"/>
      <c r="J304" s="14"/>
      <c r="K304" s="16">
        <v>8</v>
      </c>
      <c r="L304" s="15">
        <v>3</v>
      </c>
      <c r="M304" s="14"/>
      <c r="N304" s="62" t="s">
        <v>1776</v>
      </c>
      <c r="O304" s="66" t="s">
        <v>1778</v>
      </c>
      <c r="P304" s="66" t="s">
        <v>1779</v>
      </c>
      <c r="Q304" s="14"/>
      <c r="R304" s="14"/>
    </row>
    <row r="305" spans="1:18" s="1" customFormat="1">
      <c r="A305" s="62"/>
      <c r="B305" s="66" t="s">
        <v>1331</v>
      </c>
      <c r="C305" s="45" t="s">
        <v>494</v>
      </c>
      <c r="D305" s="10"/>
      <c r="F305" s="14"/>
      <c r="G305" s="14"/>
      <c r="H305" s="14"/>
      <c r="I305" s="11"/>
      <c r="J305" s="14"/>
      <c r="K305" s="16">
        <v>9</v>
      </c>
      <c r="L305" s="15">
        <v>3</v>
      </c>
      <c r="M305" s="14"/>
      <c r="N305" s="62" t="s">
        <v>1139</v>
      </c>
      <c r="O305" s="1" t="s">
        <v>1136</v>
      </c>
      <c r="P305" s="62" t="s">
        <v>1137</v>
      </c>
      <c r="Q305" s="14"/>
      <c r="R305" s="14"/>
    </row>
    <row r="306" spans="1:18" s="1" customFormat="1">
      <c r="A306" s="62"/>
      <c r="B306" s="66" t="s">
        <v>2892</v>
      </c>
      <c r="C306" s="64" t="s">
        <v>493</v>
      </c>
      <c r="D306" s="64">
        <v>1</v>
      </c>
      <c r="F306" s="14"/>
      <c r="G306" s="14"/>
      <c r="H306" s="14"/>
      <c r="I306" s="11"/>
      <c r="J306" s="14"/>
      <c r="K306" s="16">
        <v>10</v>
      </c>
      <c r="L306" s="15">
        <v>3</v>
      </c>
      <c r="M306" s="14"/>
      <c r="N306" s="62"/>
      <c r="P306" s="62"/>
      <c r="Q306" s="14"/>
      <c r="R306" s="14"/>
    </row>
    <row r="307" spans="1:18" s="1" customFormat="1">
      <c r="A307" s="62"/>
      <c r="B307" s="66" t="s">
        <v>2893</v>
      </c>
      <c r="C307" s="64" t="s">
        <v>493</v>
      </c>
      <c r="D307" s="64">
        <v>250</v>
      </c>
      <c r="F307" s="14"/>
      <c r="G307" s="14"/>
      <c r="H307" s="14"/>
      <c r="I307" s="11"/>
      <c r="J307" s="14"/>
      <c r="K307" s="16">
        <v>11</v>
      </c>
      <c r="L307" s="15"/>
      <c r="M307" s="14"/>
      <c r="N307" s="62"/>
      <c r="P307" s="62"/>
      <c r="Q307" s="14"/>
      <c r="R307" s="14"/>
    </row>
    <row r="308" spans="1:18" s="1" customFormat="1">
      <c r="A308" s="62"/>
      <c r="B308" s="67" t="s">
        <v>3779</v>
      </c>
      <c r="C308" s="70" t="s">
        <v>494</v>
      </c>
      <c r="D308" s="70">
        <v>1</v>
      </c>
      <c r="F308" s="14"/>
      <c r="G308" s="14"/>
      <c r="H308" s="14"/>
      <c r="I308" s="11"/>
      <c r="J308" s="14"/>
      <c r="K308" s="16">
        <v>12</v>
      </c>
      <c r="L308" s="15">
        <v>3</v>
      </c>
      <c r="M308" s="14"/>
      <c r="N308" s="62" t="s">
        <v>1518</v>
      </c>
      <c r="O308" s="29" t="s">
        <v>1520</v>
      </c>
      <c r="P308" s="29" t="s">
        <v>1521</v>
      </c>
      <c r="Q308" s="14"/>
      <c r="R308" s="14">
        <v>1531</v>
      </c>
    </row>
    <row r="309" spans="1:18" s="1" customFormat="1">
      <c r="A309" s="62"/>
      <c r="B309" s="66"/>
      <c r="C309" s="45"/>
      <c r="D309" s="10"/>
      <c r="F309" s="14"/>
      <c r="G309" s="14"/>
      <c r="H309" s="14"/>
      <c r="I309" s="11"/>
      <c r="J309" s="14"/>
      <c r="K309" s="16"/>
      <c r="L309" s="15"/>
      <c r="M309" s="14"/>
      <c r="N309" s="62"/>
      <c r="P309" s="62"/>
      <c r="Q309" s="14"/>
      <c r="R309" s="14"/>
    </row>
    <row r="310" spans="1:18" s="1" customFormat="1">
      <c r="A310" s="64" t="s">
        <v>2985</v>
      </c>
      <c r="B310" s="64" t="s">
        <v>2938</v>
      </c>
      <c r="C310" s="64" t="s">
        <v>494</v>
      </c>
      <c r="D310" s="10"/>
      <c r="E310" s="10"/>
      <c r="F310" s="10">
        <v>1</v>
      </c>
      <c r="G310" s="10">
        <v>149</v>
      </c>
      <c r="H310" s="64" t="s">
        <v>2980</v>
      </c>
      <c r="I310" s="64" t="s">
        <v>2939</v>
      </c>
      <c r="J310" s="10">
        <v>11</v>
      </c>
      <c r="K310" s="16">
        <v>1</v>
      </c>
      <c r="L310" s="15">
        <v>8</v>
      </c>
      <c r="M310" s="14"/>
      <c r="O310" s="23"/>
      <c r="P310" s="23"/>
      <c r="Q310" s="10"/>
      <c r="R310" s="10"/>
    </row>
    <row r="311" spans="1:18" s="1" customFormat="1">
      <c r="A311" s="64"/>
      <c r="B311" s="64" t="s">
        <v>2977</v>
      </c>
      <c r="C311" s="64" t="s">
        <v>494</v>
      </c>
      <c r="D311" s="10"/>
      <c r="E311" s="10"/>
      <c r="F311" s="10"/>
      <c r="G311" s="10"/>
      <c r="H311" s="10"/>
      <c r="I311" s="10"/>
      <c r="J311" s="10"/>
      <c r="K311" s="16">
        <v>2</v>
      </c>
      <c r="L311" s="15">
        <v>7</v>
      </c>
      <c r="M311" s="14"/>
      <c r="O311" s="23"/>
      <c r="P311" s="23"/>
      <c r="Q311" s="10"/>
      <c r="R311" s="10"/>
    </row>
    <row r="312" spans="1:18" s="1" customFormat="1">
      <c r="A312" s="64"/>
      <c r="B312" s="64" t="s">
        <v>2978</v>
      </c>
      <c r="C312" s="64" t="s">
        <v>494</v>
      </c>
      <c r="D312" s="10"/>
      <c r="E312" s="10"/>
      <c r="F312" s="10"/>
      <c r="G312" s="10"/>
      <c r="H312" s="10"/>
      <c r="I312" s="10"/>
      <c r="J312" s="10"/>
      <c r="K312" s="16">
        <v>3</v>
      </c>
      <c r="L312" s="15">
        <v>7</v>
      </c>
      <c r="M312" s="14"/>
      <c r="O312" s="23"/>
      <c r="P312" s="23"/>
      <c r="Q312" s="10"/>
      <c r="R312" s="10"/>
    </row>
    <row r="313" spans="1:18" s="1" customFormat="1">
      <c r="A313" s="64"/>
      <c r="B313" s="64" t="s">
        <v>2979</v>
      </c>
      <c r="C313" s="64" t="s">
        <v>493</v>
      </c>
      <c r="D313" s="10">
        <v>50</v>
      </c>
      <c r="E313" s="10"/>
      <c r="F313" s="10"/>
      <c r="G313" s="10"/>
      <c r="H313" s="10"/>
      <c r="I313" s="10"/>
      <c r="J313" s="10"/>
      <c r="K313" s="16">
        <v>4</v>
      </c>
      <c r="L313" s="15"/>
      <c r="M313" s="14"/>
      <c r="O313" s="23"/>
      <c r="P313" s="23"/>
      <c r="Q313" s="10"/>
      <c r="R313" s="10"/>
    </row>
    <row r="314" spans="1:18" s="1" customFormat="1">
      <c r="A314" s="64"/>
      <c r="B314" s="64" t="s">
        <v>2981</v>
      </c>
      <c r="C314" s="64" t="s">
        <v>493</v>
      </c>
      <c r="D314" s="10">
        <v>1</v>
      </c>
      <c r="E314" s="10"/>
      <c r="F314" s="10"/>
      <c r="G314" s="10"/>
      <c r="H314" s="10"/>
      <c r="I314" s="10"/>
      <c r="J314" s="10"/>
      <c r="K314" s="16">
        <v>5</v>
      </c>
      <c r="L314" s="15">
        <v>3</v>
      </c>
      <c r="M314" s="14"/>
      <c r="O314" s="23"/>
      <c r="P314" s="23"/>
      <c r="Q314" s="10"/>
      <c r="R314" s="10"/>
    </row>
    <row r="315" spans="1:18" s="1" customFormat="1">
      <c r="A315" s="62"/>
      <c r="B315" s="64" t="s">
        <v>2982</v>
      </c>
      <c r="C315" s="64" t="s">
        <v>493</v>
      </c>
      <c r="D315" s="10">
        <v>1</v>
      </c>
      <c r="I315" s="2"/>
      <c r="K315" s="16">
        <v>6</v>
      </c>
      <c r="L315" s="55">
        <v>3</v>
      </c>
    </row>
    <row r="316" spans="1:18" s="1" customFormat="1">
      <c r="A316" s="62"/>
      <c r="B316" s="64" t="s">
        <v>2983</v>
      </c>
      <c r="C316" s="64" t="s">
        <v>493</v>
      </c>
      <c r="D316" s="10">
        <v>1</v>
      </c>
      <c r="I316" s="2"/>
      <c r="K316" s="16">
        <v>7</v>
      </c>
      <c r="L316" s="55">
        <v>3</v>
      </c>
    </row>
    <row r="317" spans="1:18" s="1" customFormat="1">
      <c r="A317" s="62"/>
      <c r="B317" s="64" t="s">
        <v>2984</v>
      </c>
      <c r="C317" s="64" t="s">
        <v>493</v>
      </c>
      <c r="D317" s="10">
        <v>1</v>
      </c>
      <c r="I317" s="2"/>
      <c r="K317" s="16">
        <v>8</v>
      </c>
      <c r="L317" s="55">
        <v>3</v>
      </c>
    </row>
    <row r="318" spans="1:18" s="62" customFormat="1">
      <c r="B318" s="62" t="s">
        <v>6030</v>
      </c>
      <c r="C318" s="62" t="s">
        <v>494</v>
      </c>
      <c r="I318" s="22"/>
      <c r="K318" s="32">
        <v>13</v>
      </c>
      <c r="L318" s="76"/>
    </row>
    <row r="319" spans="1:18" s="62" customFormat="1">
      <c r="B319" s="62" t="s">
        <v>6031</v>
      </c>
      <c r="C319" s="62" t="s">
        <v>493</v>
      </c>
      <c r="D319" s="62">
        <v>10</v>
      </c>
      <c r="I319" s="22"/>
      <c r="K319" s="32">
        <v>14</v>
      </c>
      <c r="L319" s="76"/>
    </row>
    <row r="320" spans="1:18" s="62" customFormat="1">
      <c r="B320" s="62" t="s">
        <v>6032</v>
      </c>
      <c r="C320" s="62" t="s">
        <v>494</v>
      </c>
      <c r="I320" s="22"/>
      <c r="K320" s="32">
        <v>15</v>
      </c>
      <c r="L320" s="76"/>
    </row>
    <row r="321" spans="1:16" s="62" customFormat="1">
      <c r="B321" s="62" t="s">
        <v>6033</v>
      </c>
      <c r="C321" s="62" t="s">
        <v>493</v>
      </c>
      <c r="D321" s="62">
        <v>10</v>
      </c>
      <c r="I321" s="22"/>
      <c r="K321" s="32">
        <v>16</v>
      </c>
      <c r="L321" s="76"/>
    </row>
    <row r="322" spans="1:16" s="62" customFormat="1">
      <c r="B322" s="62" t="s">
        <v>6034</v>
      </c>
      <c r="C322" s="62" t="s">
        <v>494</v>
      </c>
      <c r="I322" s="22"/>
      <c r="K322" s="32">
        <v>17</v>
      </c>
      <c r="L322" s="76"/>
    </row>
    <row r="323" spans="1:16" s="1" customFormat="1">
      <c r="A323" s="62"/>
      <c r="I323" s="2"/>
      <c r="K323" s="82"/>
      <c r="L323" s="9"/>
    </row>
    <row r="324" spans="1:16" s="44" customFormat="1">
      <c r="A324" s="62" t="s">
        <v>1472</v>
      </c>
      <c r="B324" s="62" t="s">
        <v>1473</v>
      </c>
      <c r="C324" s="44" t="s">
        <v>494</v>
      </c>
      <c r="E324" s="44" t="s">
        <v>476</v>
      </c>
      <c r="F324" s="47">
        <v>1</v>
      </c>
      <c r="G324" s="47">
        <v>250</v>
      </c>
      <c r="H324" s="47" t="s">
        <v>896</v>
      </c>
      <c r="I324" s="48" t="s">
        <v>906</v>
      </c>
      <c r="J324" s="47">
        <v>2</v>
      </c>
      <c r="K324" s="57">
        <v>1</v>
      </c>
      <c r="L324" s="57">
        <v>6</v>
      </c>
      <c r="M324" s="47"/>
      <c r="N324" s="47"/>
      <c r="O324" s="47"/>
      <c r="P324" s="47"/>
    </row>
    <row r="325" spans="1:16" s="44" customFormat="1">
      <c r="A325" s="62"/>
      <c r="B325" s="44" t="s">
        <v>1464</v>
      </c>
      <c r="C325" s="44" t="s">
        <v>494</v>
      </c>
      <c r="F325" s="47"/>
      <c r="G325" s="47"/>
      <c r="H325" s="47"/>
      <c r="I325" s="48"/>
      <c r="J325" s="47"/>
      <c r="K325" s="57">
        <v>2</v>
      </c>
      <c r="L325" s="57">
        <v>6</v>
      </c>
      <c r="M325" s="47"/>
      <c r="N325" s="47"/>
      <c r="O325" s="47"/>
      <c r="P325" s="47"/>
    </row>
    <row r="326" spans="1:16" s="44" customFormat="1">
      <c r="A326" s="62"/>
      <c r="B326" s="44" t="s">
        <v>1465</v>
      </c>
      <c r="C326" s="44" t="s">
        <v>493</v>
      </c>
      <c r="D326" s="44">
        <v>1</v>
      </c>
      <c r="F326" s="47"/>
      <c r="G326" s="47"/>
      <c r="H326" s="47"/>
      <c r="I326" s="48"/>
      <c r="J326" s="47"/>
      <c r="K326" s="57">
        <v>3</v>
      </c>
      <c r="L326" s="57">
        <v>3</v>
      </c>
      <c r="M326" s="47"/>
      <c r="O326" s="47"/>
      <c r="P326" s="47"/>
    </row>
    <row r="327" spans="1:16" s="44" customFormat="1">
      <c r="A327" s="62"/>
      <c r="B327" s="62" t="s">
        <v>1466</v>
      </c>
      <c r="C327" s="44" t="s">
        <v>493</v>
      </c>
      <c r="D327" s="44">
        <v>1</v>
      </c>
      <c r="F327" s="47"/>
      <c r="G327" s="47"/>
      <c r="H327" s="47"/>
      <c r="I327" s="48"/>
      <c r="J327" s="47"/>
      <c r="K327" s="57">
        <v>4</v>
      </c>
      <c r="L327" s="57">
        <v>3</v>
      </c>
      <c r="M327" s="47"/>
      <c r="N327" s="61" t="s">
        <v>4050</v>
      </c>
      <c r="O327" s="47"/>
      <c r="P327" s="47"/>
    </row>
    <row r="328" spans="1:16" s="44" customFormat="1">
      <c r="A328" s="62"/>
      <c r="B328" s="62" t="s">
        <v>1467</v>
      </c>
      <c r="C328" s="44" t="s">
        <v>493</v>
      </c>
      <c r="D328" s="44">
        <v>100</v>
      </c>
      <c r="F328" s="47"/>
      <c r="G328" s="47"/>
      <c r="H328" s="47"/>
      <c r="I328" s="48"/>
      <c r="J328" s="47"/>
      <c r="K328" s="57">
        <v>5</v>
      </c>
      <c r="L328" s="57"/>
      <c r="M328" s="47"/>
      <c r="N328" s="47"/>
      <c r="O328" s="47"/>
      <c r="P328" s="47"/>
    </row>
    <row r="329" spans="1:16" s="44" customFormat="1">
      <c r="A329" s="62"/>
      <c r="B329" s="62" t="s">
        <v>1468</v>
      </c>
      <c r="C329" s="44" t="s">
        <v>493</v>
      </c>
      <c r="D329" s="44">
        <v>100</v>
      </c>
      <c r="F329" s="47"/>
      <c r="G329" s="47"/>
      <c r="H329" s="47"/>
      <c r="I329" s="48"/>
      <c r="J329" s="47"/>
      <c r="K329" s="57">
        <v>6</v>
      </c>
      <c r="L329" s="57"/>
      <c r="M329" s="47"/>
      <c r="N329" s="47">
        <f>LEN(N327)</f>
        <v>71</v>
      </c>
      <c r="O329" s="47"/>
      <c r="P329" s="47"/>
    </row>
    <row r="330" spans="1:16" s="44" customFormat="1">
      <c r="A330" s="62"/>
      <c r="B330" s="62" t="s">
        <v>2989</v>
      </c>
      <c r="C330" s="62" t="s">
        <v>493</v>
      </c>
      <c r="D330" s="62">
        <v>10</v>
      </c>
      <c r="F330" s="47"/>
      <c r="G330" s="47"/>
      <c r="H330" s="47"/>
      <c r="I330" s="48"/>
      <c r="J330" s="47"/>
      <c r="K330" s="57">
        <v>7</v>
      </c>
      <c r="L330" s="57"/>
      <c r="M330" s="47"/>
      <c r="N330" s="47"/>
      <c r="O330" s="47"/>
      <c r="P330" s="47"/>
    </row>
    <row r="331" spans="1:16" s="44" customFormat="1">
      <c r="A331" s="62"/>
      <c r="B331" s="44" t="s">
        <v>1469</v>
      </c>
      <c r="C331" s="44" t="s">
        <v>493</v>
      </c>
      <c r="D331" s="44">
        <v>50</v>
      </c>
      <c r="F331" s="47"/>
      <c r="G331" s="47"/>
      <c r="H331" s="47"/>
      <c r="I331" s="48"/>
      <c r="J331" s="47"/>
      <c r="K331" s="57">
        <v>8</v>
      </c>
      <c r="L331" s="57"/>
      <c r="M331" s="47"/>
      <c r="N331" s="47"/>
      <c r="O331" s="47"/>
      <c r="P331" s="47"/>
    </row>
    <row r="332" spans="1:16" s="44" customFormat="1">
      <c r="A332" s="62"/>
      <c r="B332" s="44" t="s">
        <v>1470</v>
      </c>
      <c r="C332" s="44" t="s">
        <v>493</v>
      </c>
      <c r="D332" s="44">
        <v>50</v>
      </c>
      <c r="F332" s="47"/>
      <c r="G332" s="47"/>
      <c r="H332" s="47"/>
      <c r="I332" s="48"/>
      <c r="J332" s="47"/>
      <c r="K332" s="57">
        <v>9</v>
      </c>
      <c r="L332" s="57"/>
      <c r="M332" s="47"/>
      <c r="O332" s="47"/>
      <c r="P332" s="47"/>
    </row>
    <row r="333" spans="1:16" s="44" customFormat="1">
      <c r="A333" s="62"/>
      <c r="B333" s="44" t="s">
        <v>1471</v>
      </c>
      <c r="C333" s="44" t="s">
        <v>493</v>
      </c>
      <c r="D333" s="44">
        <v>50</v>
      </c>
      <c r="F333" s="47"/>
      <c r="G333" s="47"/>
      <c r="H333" s="47"/>
      <c r="I333" s="48"/>
      <c r="J333" s="47"/>
      <c r="K333" s="57">
        <v>10</v>
      </c>
      <c r="L333" s="57"/>
      <c r="M333" s="47"/>
      <c r="O333" s="47"/>
      <c r="P333" s="47"/>
    </row>
    <row r="334" spans="1:16" s="44" customFormat="1">
      <c r="A334" s="62"/>
      <c r="B334" s="62" t="s">
        <v>3827</v>
      </c>
      <c r="C334" s="62" t="s">
        <v>493</v>
      </c>
      <c r="D334" s="62">
        <v>1</v>
      </c>
      <c r="F334" s="47"/>
      <c r="G334" s="47"/>
      <c r="H334" s="47"/>
      <c r="I334" s="48"/>
      <c r="J334" s="47"/>
      <c r="K334" s="57">
        <v>11</v>
      </c>
      <c r="L334" s="57">
        <v>3</v>
      </c>
      <c r="M334" s="47"/>
      <c r="O334" s="47"/>
      <c r="P334" s="47"/>
    </row>
    <row r="335" spans="1:16" s="44" customFormat="1">
      <c r="A335" s="62"/>
      <c r="B335" s="62" t="s">
        <v>5903</v>
      </c>
      <c r="C335" s="62" t="s">
        <v>493</v>
      </c>
      <c r="D335" s="62">
        <v>100</v>
      </c>
      <c r="F335" s="47"/>
      <c r="G335" s="47"/>
      <c r="H335" s="47"/>
      <c r="I335" s="48"/>
      <c r="J335" s="47"/>
      <c r="K335" s="57">
        <v>12</v>
      </c>
      <c r="L335" s="57"/>
      <c r="M335" s="47"/>
      <c r="O335" s="47"/>
      <c r="P335" s="47"/>
    </row>
    <row r="336" spans="1:16" s="44" customFormat="1">
      <c r="A336" s="62"/>
      <c r="F336" s="47"/>
      <c r="G336" s="47"/>
      <c r="H336" s="47"/>
      <c r="I336" s="48"/>
      <c r="J336" s="47"/>
      <c r="K336" s="57"/>
      <c r="L336" s="57"/>
      <c r="M336" s="47"/>
      <c r="O336" s="47"/>
      <c r="P336" s="47"/>
    </row>
    <row r="337" spans="1:18" s="44" customFormat="1">
      <c r="A337" s="62" t="s">
        <v>1474</v>
      </c>
      <c r="B337" s="44" t="s">
        <v>1475</v>
      </c>
      <c r="C337" s="44" t="s">
        <v>494</v>
      </c>
      <c r="E337" s="44" t="s">
        <v>476</v>
      </c>
      <c r="F337" s="47">
        <v>10</v>
      </c>
      <c r="G337" s="47">
        <v>251</v>
      </c>
      <c r="H337" s="47" t="s">
        <v>897</v>
      </c>
      <c r="I337" s="48" t="s">
        <v>3859</v>
      </c>
      <c r="J337" s="47">
        <v>1</v>
      </c>
      <c r="K337" s="57">
        <v>1</v>
      </c>
      <c r="L337" s="57">
        <v>6</v>
      </c>
      <c r="M337" s="47"/>
      <c r="O337" s="47"/>
      <c r="P337" s="47"/>
    </row>
    <row r="338" spans="1:18" s="44" customFormat="1">
      <c r="A338" s="62"/>
      <c r="B338" s="44" t="s">
        <v>1476</v>
      </c>
      <c r="C338" s="44" t="s">
        <v>494</v>
      </c>
      <c r="F338" s="47"/>
      <c r="G338" s="47"/>
      <c r="H338" s="47"/>
      <c r="I338" s="48"/>
      <c r="J338" s="47"/>
      <c r="K338" s="57">
        <v>2</v>
      </c>
      <c r="L338" s="57">
        <v>6</v>
      </c>
      <c r="M338" s="47"/>
      <c r="O338" s="47"/>
      <c r="P338" s="47"/>
    </row>
    <row r="339" spans="1:18" s="44" customFormat="1">
      <c r="A339" s="62"/>
      <c r="B339" s="44" t="s">
        <v>1477</v>
      </c>
      <c r="C339" s="44" t="s">
        <v>493</v>
      </c>
      <c r="D339" s="44">
        <v>100</v>
      </c>
      <c r="F339" s="47"/>
      <c r="G339" s="47"/>
      <c r="H339" s="47"/>
      <c r="I339" s="48"/>
      <c r="J339" s="47"/>
      <c r="K339" s="57">
        <v>3</v>
      </c>
      <c r="L339" s="57"/>
      <c r="M339" s="47"/>
      <c r="O339" s="47"/>
      <c r="P339" s="47"/>
    </row>
    <row r="340" spans="1:18" s="44" customFormat="1">
      <c r="A340" s="62"/>
      <c r="B340" s="44" t="s">
        <v>1478</v>
      </c>
      <c r="C340" s="44" t="s">
        <v>493</v>
      </c>
      <c r="D340" s="44">
        <v>250</v>
      </c>
      <c r="F340" s="47"/>
      <c r="G340" s="47"/>
      <c r="H340" s="47"/>
      <c r="I340" s="48"/>
      <c r="J340" s="47"/>
      <c r="K340" s="57">
        <v>4</v>
      </c>
      <c r="L340" s="57"/>
      <c r="M340" s="47"/>
      <c r="O340" s="47"/>
      <c r="P340" s="47"/>
    </row>
    <row r="341" spans="1:18" s="44" customFormat="1">
      <c r="A341" s="62"/>
      <c r="B341" s="51" t="s">
        <v>1479</v>
      </c>
      <c r="C341" s="44" t="s">
        <v>493</v>
      </c>
      <c r="D341" s="44">
        <v>100</v>
      </c>
      <c r="F341" s="47"/>
      <c r="G341" s="47"/>
      <c r="H341" s="47"/>
      <c r="I341" s="48"/>
      <c r="J341" s="47"/>
      <c r="K341" s="57">
        <v>5</v>
      </c>
      <c r="L341" s="57"/>
      <c r="M341" s="47"/>
      <c r="O341" s="47"/>
      <c r="P341" s="47"/>
    </row>
    <row r="342" spans="1:18" s="44" customFormat="1">
      <c r="A342" s="62"/>
      <c r="B342" s="51" t="s">
        <v>1480</v>
      </c>
      <c r="C342" s="44" t="s">
        <v>520</v>
      </c>
      <c r="F342" s="47"/>
      <c r="G342" s="47"/>
      <c r="H342" s="47"/>
      <c r="I342" s="48"/>
      <c r="J342" s="47"/>
      <c r="K342" s="57">
        <v>6</v>
      </c>
      <c r="L342" s="57"/>
      <c r="M342" s="47"/>
      <c r="O342" s="47"/>
      <c r="P342" s="47"/>
    </row>
    <row r="343" spans="1:18" s="1" customFormat="1">
      <c r="A343" s="62"/>
      <c r="B343" t="s">
        <v>2986</v>
      </c>
      <c r="C343" s="62" t="s">
        <v>494</v>
      </c>
      <c r="F343" s="14"/>
      <c r="G343" s="14"/>
      <c r="H343" s="14"/>
      <c r="I343" s="11"/>
      <c r="J343" s="14"/>
      <c r="K343" s="16">
        <v>8</v>
      </c>
      <c r="L343" s="15">
        <v>7</v>
      </c>
      <c r="M343" s="14"/>
      <c r="O343" s="14"/>
      <c r="P343" s="14"/>
    </row>
    <row r="344" spans="1:18" s="1" customFormat="1">
      <c r="A344" s="62"/>
      <c r="B344" s="62" t="s">
        <v>2990</v>
      </c>
      <c r="C344" s="62" t="s">
        <v>494</v>
      </c>
      <c r="I344" s="2"/>
      <c r="K344" s="82">
        <v>9</v>
      </c>
      <c r="L344" s="9">
        <v>7</v>
      </c>
    </row>
    <row r="345" spans="1:18" s="1" customFormat="1">
      <c r="A345" s="62"/>
      <c r="B345" s="62" t="s">
        <v>2987</v>
      </c>
      <c r="C345" s="62" t="s">
        <v>494</v>
      </c>
      <c r="I345" s="2"/>
      <c r="K345" s="82">
        <v>10</v>
      </c>
      <c r="L345" s="9">
        <v>7</v>
      </c>
    </row>
    <row r="346" spans="1:18" s="1" customFormat="1">
      <c r="A346" s="62"/>
      <c r="B346" t="s">
        <v>2988</v>
      </c>
      <c r="C346" s="62" t="s">
        <v>494</v>
      </c>
      <c r="I346" s="2"/>
      <c r="K346" s="82">
        <v>11</v>
      </c>
      <c r="L346" s="9"/>
    </row>
    <row r="347" spans="1:18" s="44" customFormat="1">
      <c r="A347" s="62"/>
      <c r="B347" s="51" t="s">
        <v>1481</v>
      </c>
      <c r="C347" s="44" t="s">
        <v>494</v>
      </c>
      <c r="F347" s="47"/>
      <c r="G347" s="47"/>
      <c r="H347" s="47"/>
      <c r="I347" s="48"/>
      <c r="J347" s="47"/>
      <c r="K347" s="57">
        <v>9</v>
      </c>
      <c r="L347" s="57"/>
      <c r="M347" s="47"/>
      <c r="O347" s="47"/>
      <c r="P347" s="47"/>
    </row>
    <row r="348" spans="1:18" s="44" customFormat="1">
      <c r="A348" s="62"/>
      <c r="B348" s="70" t="s">
        <v>3874</v>
      </c>
      <c r="C348" s="62" t="s">
        <v>494</v>
      </c>
      <c r="F348" s="47"/>
      <c r="G348" s="47"/>
      <c r="H348" s="47" t="s">
        <v>3875</v>
      </c>
      <c r="I348" s="48"/>
      <c r="J348" s="47"/>
      <c r="K348" s="57"/>
      <c r="L348" s="57"/>
      <c r="M348" s="47"/>
      <c r="O348" s="47"/>
      <c r="P348" s="47"/>
    </row>
    <row r="349" spans="1:18" s="44" customFormat="1">
      <c r="A349" s="62"/>
      <c r="F349" s="47"/>
      <c r="G349" s="47"/>
      <c r="H349" s="47"/>
      <c r="I349" s="48"/>
      <c r="J349" s="47"/>
      <c r="K349" s="57"/>
      <c r="L349" s="57"/>
      <c r="M349" s="47"/>
      <c r="O349" s="47"/>
      <c r="P349" s="47"/>
    </row>
    <row r="350" spans="1:18" s="44" customFormat="1">
      <c r="A350" s="62" t="s">
        <v>1493</v>
      </c>
      <c r="B350" s="62" t="s">
        <v>1494</v>
      </c>
      <c r="C350" s="44" t="s">
        <v>494</v>
      </c>
      <c r="E350" s="44" t="s">
        <v>476</v>
      </c>
      <c r="F350" s="44">
        <v>1</v>
      </c>
      <c r="G350" s="44">
        <v>152</v>
      </c>
      <c r="H350" s="44" t="s">
        <v>1492</v>
      </c>
      <c r="I350" s="58" t="s">
        <v>1505</v>
      </c>
      <c r="J350" s="44">
        <v>2</v>
      </c>
      <c r="K350" s="59">
        <v>1</v>
      </c>
      <c r="L350" s="59"/>
    </row>
    <row r="351" spans="1:18" s="44" customFormat="1">
      <c r="A351" s="62"/>
      <c r="B351" s="44" t="s">
        <v>1495</v>
      </c>
      <c r="C351" s="44" t="s">
        <v>494</v>
      </c>
      <c r="I351" s="58"/>
      <c r="K351" s="59">
        <v>2</v>
      </c>
      <c r="L351" s="59">
        <v>3</v>
      </c>
      <c r="N351" s="44" t="s">
        <v>536</v>
      </c>
      <c r="O351" s="44" t="s">
        <v>537</v>
      </c>
      <c r="P351" s="44" t="s">
        <v>538</v>
      </c>
    </row>
    <row r="352" spans="1:18" s="44" customFormat="1">
      <c r="A352" s="62"/>
      <c r="B352" s="62" t="s">
        <v>1496</v>
      </c>
      <c r="C352" s="44" t="s">
        <v>494</v>
      </c>
      <c r="I352" s="58"/>
      <c r="K352" s="59">
        <v>3</v>
      </c>
      <c r="L352" s="59">
        <v>3</v>
      </c>
      <c r="M352" s="44">
        <v>31</v>
      </c>
      <c r="N352" s="44" t="s">
        <v>540</v>
      </c>
      <c r="O352" s="47" t="s">
        <v>541</v>
      </c>
      <c r="P352" s="47" t="s">
        <v>542</v>
      </c>
      <c r="Q352" s="44" t="s">
        <v>543</v>
      </c>
      <c r="R352" s="44">
        <f>+K351</f>
        <v>2</v>
      </c>
    </row>
    <row r="353" spans="1:18" s="44" customFormat="1">
      <c r="A353" s="62"/>
      <c r="B353" s="44" t="s">
        <v>1497</v>
      </c>
      <c r="C353" s="44" t="s">
        <v>494</v>
      </c>
      <c r="I353" s="58"/>
      <c r="K353" s="59">
        <v>4</v>
      </c>
      <c r="L353" s="59"/>
    </row>
    <row r="354" spans="1:18" s="44" customFormat="1">
      <c r="A354" s="62"/>
      <c r="B354" s="44" t="s">
        <v>1498</v>
      </c>
      <c r="C354" s="44" t="s">
        <v>493</v>
      </c>
      <c r="D354" s="44">
        <v>10</v>
      </c>
      <c r="I354" s="58"/>
      <c r="K354" s="59">
        <v>5</v>
      </c>
      <c r="L354" s="59">
        <v>7</v>
      </c>
    </row>
    <row r="355" spans="1:18" s="44" customFormat="1">
      <c r="A355" s="62"/>
      <c r="B355" s="44" t="s">
        <v>1499</v>
      </c>
      <c r="C355" s="44" t="s">
        <v>494</v>
      </c>
      <c r="I355" s="58"/>
      <c r="K355" s="59">
        <v>6</v>
      </c>
      <c r="L355" s="59"/>
      <c r="M355" s="44">
        <v>73</v>
      </c>
    </row>
    <row r="356" spans="1:18" s="44" customFormat="1">
      <c r="A356" s="62"/>
      <c r="B356" s="44" t="s">
        <v>1500</v>
      </c>
      <c r="C356" s="44" t="s">
        <v>494</v>
      </c>
      <c r="I356" s="58"/>
      <c r="K356" s="59">
        <v>7</v>
      </c>
      <c r="L356" s="59"/>
      <c r="M356" s="44">
        <v>74</v>
      </c>
    </row>
    <row r="357" spans="1:18" s="44" customFormat="1">
      <c r="A357" s="62"/>
      <c r="B357" s="44" t="s">
        <v>1501</v>
      </c>
      <c r="C357" s="44" t="s">
        <v>494</v>
      </c>
      <c r="I357" s="58"/>
      <c r="K357" s="59">
        <v>8</v>
      </c>
      <c r="L357" s="59"/>
    </row>
    <row r="358" spans="1:18" s="44" customFormat="1">
      <c r="A358" s="62"/>
      <c r="B358" s="44" t="s">
        <v>1502</v>
      </c>
      <c r="C358" s="44" t="s">
        <v>494</v>
      </c>
      <c r="I358" s="58"/>
      <c r="K358" s="59">
        <v>9</v>
      </c>
      <c r="L358" s="59"/>
    </row>
    <row r="359" spans="1:18" s="44" customFormat="1">
      <c r="A359" s="62"/>
      <c r="B359" s="44" t="s">
        <v>1503</v>
      </c>
      <c r="C359" s="44" t="s">
        <v>494</v>
      </c>
      <c r="F359" s="47"/>
      <c r="G359" s="47"/>
      <c r="H359" s="47"/>
      <c r="I359" s="48"/>
      <c r="J359" s="47"/>
      <c r="K359" s="57">
        <v>10</v>
      </c>
      <c r="L359" s="57"/>
      <c r="M359" s="47"/>
      <c r="N359" s="47"/>
      <c r="O359" s="47"/>
      <c r="P359" s="47"/>
    </row>
    <row r="360" spans="1:18" s="44" customFormat="1">
      <c r="A360" s="62"/>
      <c r="B360" s="44" t="s">
        <v>1504</v>
      </c>
      <c r="C360" s="44" t="s">
        <v>520</v>
      </c>
      <c r="I360" s="58"/>
      <c r="K360" s="59">
        <v>11</v>
      </c>
      <c r="L360" s="59"/>
    </row>
    <row r="361" spans="1:18" s="44" customFormat="1">
      <c r="A361" s="62"/>
      <c r="I361" s="58"/>
      <c r="K361" s="59"/>
      <c r="L361" s="59"/>
    </row>
    <row r="362" spans="1:18" s="1" customFormat="1">
      <c r="A362" s="62" t="s">
        <v>1776</v>
      </c>
      <c r="B362" s="66" t="s">
        <v>1777</v>
      </c>
      <c r="C362" s="64" t="s">
        <v>494</v>
      </c>
      <c r="D362" s="10"/>
      <c r="E362" s="64" t="s">
        <v>476</v>
      </c>
      <c r="F362" s="14">
        <v>1</v>
      </c>
      <c r="G362" s="14">
        <v>155</v>
      </c>
      <c r="H362" s="47" t="s">
        <v>1774</v>
      </c>
      <c r="I362" s="48" t="s">
        <v>1790</v>
      </c>
      <c r="J362" s="14">
        <v>2</v>
      </c>
      <c r="K362" s="16">
        <v>1</v>
      </c>
      <c r="L362" s="15">
        <v>6</v>
      </c>
      <c r="M362" s="14"/>
      <c r="Q362" s="14"/>
      <c r="R362" s="14"/>
    </row>
    <row r="363" spans="1:18" s="1" customFormat="1">
      <c r="A363" s="62"/>
      <c r="B363" s="66" t="s">
        <v>1778</v>
      </c>
      <c r="C363" s="64" t="s">
        <v>494</v>
      </c>
      <c r="D363" s="10"/>
      <c r="F363" s="14"/>
      <c r="G363" s="14"/>
      <c r="H363" s="14"/>
      <c r="I363" s="11"/>
      <c r="J363" s="14"/>
      <c r="K363" s="16">
        <v>2</v>
      </c>
      <c r="L363" s="15">
        <v>6</v>
      </c>
      <c r="M363" s="14"/>
      <c r="Q363" s="14"/>
      <c r="R363" s="14"/>
    </row>
    <row r="364" spans="1:18" s="1" customFormat="1">
      <c r="A364" s="62"/>
      <c r="B364" s="66" t="s">
        <v>1779</v>
      </c>
      <c r="C364" s="64" t="s">
        <v>493</v>
      </c>
      <c r="D364" s="10">
        <v>100</v>
      </c>
      <c r="F364" s="14"/>
      <c r="G364" s="14"/>
      <c r="H364" s="14"/>
      <c r="I364" s="11"/>
      <c r="J364" s="14"/>
      <c r="K364" s="16">
        <v>3</v>
      </c>
      <c r="L364" s="15"/>
      <c r="M364" s="14"/>
      <c r="Q364" s="14"/>
      <c r="R364" s="14"/>
    </row>
    <row r="365" spans="1:18" s="1" customFormat="1">
      <c r="A365" s="62"/>
      <c r="B365" s="66" t="s">
        <v>1781</v>
      </c>
      <c r="C365" s="64" t="s">
        <v>493</v>
      </c>
      <c r="D365" s="10">
        <v>100</v>
      </c>
      <c r="F365" s="14"/>
      <c r="G365" s="14"/>
      <c r="H365" s="14"/>
      <c r="I365" s="11"/>
      <c r="J365" s="14"/>
      <c r="K365" s="16">
        <v>4</v>
      </c>
      <c r="L365" s="15"/>
      <c r="M365" s="14"/>
      <c r="Q365" s="14"/>
      <c r="R365" s="14"/>
    </row>
    <row r="366" spans="1:18" s="1" customFormat="1">
      <c r="A366" s="62"/>
      <c r="B366" s="66" t="s">
        <v>1782</v>
      </c>
      <c r="C366" s="64" t="s">
        <v>493</v>
      </c>
      <c r="D366" s="10">
        <v>10</v>
      </c>
      <c r="F366" s="14"/>
      <c r="G366" s="14"/>
      <c r="H366" s="14"/>
      <c r="I366" s="11"/>
      <c r="J366" s="14"/>
      <c r="K366" s="16">
        <v>5</v>
      </c>
      <c r="L366" s="15"/>
      <c r="M366" s="14"/>
      <c r="Q366" s="14"/>
      <c r="R366" s="14"/>
    </row>
    <row r="367" spans="1:18" s="1" customFormat="1">
      <c r="A367" s="62"/>
      <c r="B367" s="66" t="s">
        <v>1783</v>
      </c>
      <c r="C367" s="64" t="s">
        <v>493</v>
      </c>
      <c r="D367" s="64">
        <v>50</v>
      </c>
      <c r="F367" s="14"/>
      <c r="G367" s="14"/>
      <c r="H367" s="14"/>
      <c r="I367" s="11"/>
      <c r="J367" s="14"/>
      <c r="K367" s="16">
        <v>6</v>
      </c>
      <c r="L367" s="15"/>
      <c r="M367" s="14"/>
      <c r="Q367" s="14"/>
      <c r="R367" s="14"/>
    </row>
    <row r="368" spans="1:18" s="1" customFormat="1">
      <c r="A368" s="62"/>
      <c r="B368" s="66" t="s">
        <v>1784</v>
      </c>
      <c r="C368" s="64" t="s">
        <v>493</v>
      </c>
      <c r="D368" s="64">
        <v>50</v>
      </c>
      <c r="F368" s="14"/>
      <c r="G368" s="14"/>
      <c r="H368" s="14"/>
      <c r="I368" s="11"/>
      <c r="J368" s="14"/>
      <c r="K368" s="16">
        <v>7</v>
      </c>
      <c r="L368" s="15"/>
      <c r="M368" s="14"/>
      <c r="Q368" s="14"/>
      <c r="R368" s="14"/>
    </row>
    <row r="369" spans="1:18" s="1" customFormat="1">
      <c r="A369" s="62"/>
      <c r="B369" s="66" t="s">
        <v>1791</v>
      </c>
      <c r="C369" s="64" t="s">
        <v>493</v>
      </c>
      <c r="D369" s="64">
        <v>50</v>
      </c>
      <c r="F369" s="14"/>
      <c r="G369" s="14"/>
      <c r="H369" s="14"/>
      <c r="I369" s="11"/>
      <c r="J369" s="14"/>
      <c r="K369" s="16">
        <v>8</v>
      </c>
      <c r="L369" s="15"/>
      <c r="M369" s="14"/>
      <c r="Q369" s="14"/>
      <c r="R369" s="14"/>
    </row>
    <row r="370" spans="1:18" s="1" customFormat="1">
      <c r="A370" s="62"/>
      <c r="B370" s="66" t="s">
        <v>1780</v>
      </c>
      <c r="C370" s="64" t="s">
        <v>493</v>
      </c>
      <c r="D370" s="64">
        <v>50</v>
      </c>
      <c r="F370" s="14"/>
      <c r="G370" s="14"/>
      <c r="H370" s="14"/>
      <c r="I370" s="11"/>
      <c r="J370" s="14"/>
      <c r="K370" s="16">
        <v>9</v>
      </c>
      <c r="L370" s="15"/>
      <c r="M370" s="14"/>
      <c r="Q370" s="14"/>
      <c r="R370" s="14"/>
    </row>
    <row r="371" spans="1:18" s="1" customFormat="1">
      <c r="A371" s="62"/>
      <c r="B371" s="66" t="s">
        <v>1786</v>
      </c>
      <c r="C371" s="64" t="s">
        <v>493</v>
      </c>
      <c r="D371" s="64">
        <v>50</v>
      </c>
      <c r="F371" s="14"/>
      <c r="G371" s="14"/>
      <c r="H371" s="14"/>
      <c r="I371" s="11"/>
      <c r="J371" s="14"/>
      <c r="K371" s="16">
        <v>10</v>
      </c>
      <c r="L371" s="15"/>
      <c r="M371" s="14"/>
      <c r="Q371" s="14"/>
      <c r="R371" s="14"/>
    </row>
    <row r="372" spans="1:18" s="1" customFormat="1">
      <c r="A372" s="62"/>
      <c r="B372" s="66" t="s">
        <v>1785</v>
      </c>
      <c r="C372" s="64" t="s">
        <v>493</v>
      </c>
      <c r="D372" s="64">
        <v>50</v>
      </c>
      <c r="F372" s="14"/>
      <c r="G372" s="14"/>
      <c r="H372" s="14"/>
      <c r="I372" s="11"/>
      <c r="J372" s="14"/>
      <c r="K372" s="16">
        <v>11</v>
      </c>
      <c r="L372" s="15"/>
      <c r="M372" s="14"/>
      <c r="Q372" s="14"/>
      <c r="R372" s="14"/>
    </row>
    <row r="373" spans="1:18" s="1" customFormat="1">
      <c r="A373" s="62"/>
      <c r="B373" s="66" t="s">
        <v>1787</v>
      </c>
      <c r="C373" s="64" t="s">
        <v>493</v>
      </c>
      <c r="D373" s="64">
        <v>50</v>
      </c>
      <c r="F373" s="14"/>
      <c r="G373" s="14"/>
      <c r="H373" s="14"/>
      <c r="I373" s="11"/>
      <c r="J373" s="14"/>
      <c r="K373" s="16">
        <v>12</v>
      </c>
      <c r="L373" s="15"/>
      <c r="M373" s="14"/>
      <c r="Q373" s="14"/>
      <c r="R373" s="14"/>
    </row>
    <row r="374" spans="1:18" s="1" customFormat="1">
      <c r="A374" s="62"/>
      <c r="B374" s="66" t="s">
        <v>5971</v>
      </c>
      <c r="C374" s="64" t="s">
        <v>493</v>
      </c>
      <c r="D374" s="10">
        <v>100</v>
      </c>
      <c r="F374" s="14"/>
      <c r="G374" s="14"/>
      <c r="H374" s="14"/>
      <c r="I374" s="11"/>
      <c r="J374" s="14"/>
      <c r="K374" s="16">
        <v>13</v>
      </c>
      <c r="L374" s="15"/>
      <c r="M374" s="14"/>
      <c r="Q374" s="14"/>
      <c r="R374" s="14"/>
    </row>
    <row r="375" spans="1:18" s="1" customFormat="1">
      <c r="A375" s="62"/>
      <c r="B375" s="66"/>
      <c r="C375" s="64"/>
      <c r="D375" s="64"/>
      <c r="F375" s="14"/>
      <c r="G375" s="14"/>
      <c r="H375" s="14"/>
      <c r="I375" s="11"/>
      <c r="J375" s="14"/>
      <c r="K375" s="16"/>
      <c r="L375" s="15"/>
      <c r="M375" s="14"/>
      <c r="Q375" s="14"/>
      <c r="R375" s="14"/>
    </row>
    <row r="376" spans="1:18" s="1" customFormat="1">
      <c r="A376" s="62" t="s">
        <v>2224</v>
      </c>
      <c r="B376" s="60" t="s">
        <v>2225</v>
      </c>
      <c r="C376" s="62" t="s">
        <v>494</v>
      </c>
      <c r="E376" s="62" t="s">
        <v>476</v>
      </c>
      <c r="F376" s="14">
        <v>1</v>
      </c>
      <c r="G376" s="14">
        <v>263</v>
      </c>
      <c r="H376" s="47" t="s">
        <v>2239</v>
      </c>
      <c r="I376" s="48" t="s">
        <v>2240</v>
      </c>
      <c r="J376" s="14">
        <v>201</v>
      </c>
      <c r="K376" s="16">
        <v>1</v>
      </c>
      <c r="L376" s="15">
        <v>6</v>
      </c>
      <c r="M376" s="14"/>
      <c r="N376" s="62"/>
      <c r="O376" s="60"/>
      <c r="P376" s="23"/>
      <c r="Q376" s="14"/>
      <c r="R376" s="14"/>
    </row>
    <row r="377" spans="1:18" s="1" customFormat="1">
      <c r="A377" s="62"/>
      <c r="B377" s="60" t="s">
        <v>2226</v>
      </c>
      <c r="C377" s="62" t="s">
        <v>494</v>
      </c>
      <c r="E377" s="62"/>
      <c r="F377" s="14"/>
      <c r="G377" s="14"/>
      <c r="H377" s="14"/>
      <c r="I377" s="11"/>
      <c r="J377" s="14"/>
      <c r="K377" s="16">
        <v>2</v>
      </c>
      <c r="L377" s="15">
        <v>6</v>
      </c>
      <c r="M377" s="14"/>
      <c r="N377" s="62"/>
      <c r="O377" s="60"/>
      <c r="P377" s="23"/>
      <c r="Q377" s="14"/>
      <c r="R377" s="14"/>
    </row>
    <row r="378" spans="1:18" s="1" customFormat="1">
      <c r="A378" s="62"/>
      <c r="B378" s="60" t="s">
        <v>2238</v>
      </c>
      <c r="C378" s="62" t="s">
        <v>493</v>
      </c>
      <c r="D378" s="1">
        <v>1</v>
      </c>
      <c r="F378" s="14"/>
      <c r="G378" s="14"/>
      <c r="H378" s="14"/>
      <c r="I378" s="11"/>
      <c r="J378" s="14"/>
      <c r="K378" s="16">
        <v>3</v>
      </c>
      <c r="L378" s="15">
        <v>3</v>
      </c>
      <c r="M378" s="14"/>
      <c r="N378" s="62"/>
      <c r="O378" s="60"/>
      <c r="P378" s="23"/>
      <c r="Q378" s="14"/>
      <c r="R378" s="14"/>
    </row>
    <row r="379" spans="1:18" s="1" customFormat="1">
      <c r="A379" s="62"/>
      <c r="B379" s="67" t="s">
        <v>2242</v>
      </c>
      <c r="C379" s="62" t="s">
        <v>494</v>
      </c>
      <c r="F379" s="14"/>
      <c r="G379" s="14"/>
      <c r="H379" s="47" t="s">
        <v>2254</v>
      </c>
      <c r="I379" s="11"/>
      <c r="J379" s="14"/>
      <c r="K379" s="16">
        <v>4</v>
      </c>
      <c r="L379" s="15">
        <v>3</v>
      </c>
      <c r="M379" s="14"/>
      <c r="N379" s="62"/>
      <c r="O379" s="60">
        <v>701</v>
      </c>
      <c r="P379" s="23"/>
      <c r="Q379" s="14"/>
      <c r="R379" s="14"/>
    </row>
    <row r="380" spans="1:18" s="1" customFormat="1">
      <c r="A380" s="62"/>
      <c r="B380" s="67" t="s">
        <v>2253</v>
      </c>
      <c r="C380" s="62" t="s">
        <v>494</v>
      </c>
      <c r="F380" s="14"/>
      <c r="G380" s="14"/>
      <c r="H380" s="47" t="s">
        <v>2245</v>
      </c>
      <c r="I380" s="11"/>
      <c r="J380" s="14"/>
      <c r="K380" s="16">
        <v>5</v>
      </c>
      <c r="L380" s="15">
        <v>3</v>
      </c>
      <c r="M380" s="14"/>
      <c r="N380" s="62"/>
      <c r="O380" s="60">
        <v>702</v>
      </c>
      <c r="P380" s="23"/>
      <c r="Q380" s="14"/>
      <c r="R380" s="14"/>
    </row>
    <row r="381" spans="1:18" s="1" customFormat="1">
      <c r="A381" s="62"/>
      <c r="B381" s="60" t="s">
        <v>2227</v>
      </c>
      <c r="C381" s="62" t="s">
        <v>494</v>
      </c>
      <c r="F381" s="14"/>
      <c r="G381" s="14"/>
      <c r="H381" s="14"/>
      <c r="I381" s="11"/>
      <c r="J381" s="14"/>
      <c r="K381" s="16">
        <v>6</v>
      </c>
      <c r="L381" s="15">
        <v>3</v>
      </c>
      <c r="M381" s="14"/>
      <c r="N381" s="64" t="s">
        <v>506</v>
      </c>
      <c r="O381" s="64" t="s">
        <v>514</v>
      </c>
      <c r="P381" s="1" t="s">
        <v>515</v>
      </c>
      <c r="Q381" s="14"/>
      <c r="R381" s="14"/>
    </row>
    <row r="382" spans="1:18" s="1" customFormat="1">
      <c r="A382" s="62"/>
      <c r="B382" s="60" t="s">
        <v>2228</v>
      </c>
      <c r="C382" s="62" t="s">
        <v>493</v>
      </c>
      <c r="D382" s="1">
        <v>100</v>
      </c>
      <c r="F382" s="14"/>
      <c r="G382" s="14"/>
      <c r="H382" s="14"/>
      <c r="I382" s="11"/>
      <c r="J382" s="14"/>
      <c r="K382" s="16">
        <v>7</v>
      </c>
      <c r="L382" s="15"/>
      <c r="M382" s="14"/>
      <c r="N382" s="62"/>
      <c r="O382" s="60"/>
      <c r="P382" s="23"/>
      <c r="Q382" s="14"/>
      <c r="R382" s="14"/>
    </row>
    <row r="383" spans="1:18" s="1" customFormat="1">
      <c r="A383" s="62"/>
      <c r="B383" s="60" t="s">
        <v>2229</v>
      </c>
      <c r="C383" s="62" t="s">
        <v>520</v>
      </c>
      <c r="F383" s="14"/>
      <c r="G383" s="14"/>
      <c r="H383" s="14"/>
      <c r="I383" s="11"/>
      <c r="J383" s="14"/>
      <c r="K383" s="16">
        <v>8</v>
      </c>
      <c r="L383" s="15"/>
      <c r="M383" s="14"/>
      <c r="N383" s="62"/>
      <c r="O383" s="60"/>
      <c r="P383" s="23"/>
      <c r="Q383" s="14"/>
      <c r="R383" s="14"/>
    </row>
    <row r="384" spans="1:18" s="1" customFormat="1">
      <c r="A384" s="62"/>
      <c r="B384" s="60" t="s">
        <v>2230</v>
      </c>
      <c r="C384" s="62" t="s">
        <v>493</v>
      </c>
      <c r="D384" s="1">
        <v>100</v>
      </c>
      <c r="F384" s="14"/>
      <c r="G384" s="14"/>
      <c r="H384" s="14"/>
      <c r="I384" s="11"/>
      <c r="J384" s="14"/>
      <c r="K384" s="16">
        <v>9</v>
      </c>
      <c r="L384" s="15"/>
      <c r="M384" s="14"/>
      <c r="N384" s="62"/>
      <c r="O384" s="60"/>
      <c r="P384" s="23"/>
      <c r="Q384" s="14"/>
      <c r="R384" s="14"/>
    </row>
    <row r="385" spans="1:18" s="1" customFormat="1">
      <c r="A385" s="62"/>
      <c r="B385" s="60" t="s">
        <v>2231</v>
      </c>
      <c r="C385" s="62" t="s">
        <v>493</v>
      </c>
      <c r="D385" s="1">
        <v>10</v>
      </c>
      <c r="F385" s="14"/>
      <c r="G385" s="14"/>
      <c r="H385" s="14"/>
      <c r="I385" s="11"/>
      <c r="J385" s="14"/>
      <c r="K385" s="16">
        <v>10</v>
      </c>
      <c r="L385" s="15"/>
      <c r="M385" s="14"/>
      <c r="N385" s="62"/>
      <c r="O385" s="60"/>
      <c r="P385" s="23"/>
      <c r="Q385" s="14"/>
      <c r="R385" s="14"/>
    </row>
    <row r="386" spans="1:18" s="1" customFormat="1">
      <c r="A386" s="62"/>
      <c r="B386" s="60" t="s">
        <v>2232</v>
      </c>
      <c r="C386" s="62" t="s">
        <v>493</v>
      </c>
      <c r="D386" s="1">
        <v>100</v>
      </c>
      <c r="F386" s="14"/>
      <c r="G386" s="14"/>
      <c r="H386" s="14"/>
      <c r="I386" s="11"/>
      <c r="J386" s="14"/>
      <c r="K386" s="16">
        <v>11</v>
      </c>
      <c r="L386" s="15"/>
      <c r="M386" s="14"/>
      <c r="N386" s="62"/>
      <c r="O386" s="60"/>
      <c r="P386" s="23"/>
      <c r="Q386" s="14"/>
      <c r="R386" s="14"/>
    </row>
    <row r="387" spans="1:18" s="1" customFormat="1">
      <c r="A387" s="62"/>
      <c r="B387" s="60" t="s">
        <v>2233</v>
      </c>
      <c r="C387" s="62" t="s">
        <v>493</v>
      </c>
      <c r="D387" s="1">
        <v>100</v>
      </c>
      <c r="F387" s="14"/>
      <c r="G387" s="14"/>
      <c r="H387" s="14"/>
      <c r="I387" s="11"/>
      <c r="J387" s="14"/>
      <c r="K387" s="16">
        <v>12</v>
      </c>
      <c r="L387" s="15"/>
      <c r="M387" s="14"/>
      <c r="N387" s="62"/>
      <c r="O387" s="60"/>
      <c r="P387" s="23"/>
      <c r="Q387" s="14"/>
      <c r="R387" s="14"/>
    </row>
    <row r="388" spans="1:18" s="1" customFormat="1">
      <c r="A388" s="62"/>
      <c r="B388" s="60" t="s">
        <v>2234</v>
      </c>
      <c r="C388" s="62" t="s">
        <v>493</v>
      </c>
      <c r="D388" s="1">
        <v>100</v>
      </c>
      <c r="F388" s="14"/>
      <c r="G388" s="14"/>
      <c r="H388" s="14"/>
      <c r="I388" s="11"/>
      <c r="J388" s="14"/>
      <c r="K388" s="16">
        <v>13</v>
      </c>
      <c r="L388" s="15"/>
      <c r="M388" s="14"/>
      <c r="N388" s="62"/>
      <c r="O388" s="60"/>
      <c r="P388" s="23"/>
      <c r="Q388" s="14"/>
      <c r="R388" s="14"/>
    </row>
    <row r="389" spans="1:18" s="1" customFormat="1">
      <c r="A389" s="62"/>
      <c r="B389" s="60" t="s">
        <v>2237</v>
      </c>
      <c r="C389" s="62" t="s">
        <v>493</v>
      </c>
      <c r="D389" s="1">
        <v>250</v>
      </c>
      <c r="F389" s="14"/>
      <c r="G389" s="14"/>
      <c r="H389" s="14"/>
      <c r="I389" s="11"/>
      <c r="J389" s="14"/>
      <c r="K389" s="16">
        <v>14</v>
      </c>
      <c r="L389" s="15"/>
      <c r="M389" s="14"/>
      <c r="N389" s="62"/>
      <c r="O389" s="60"/>
      <c r="P389" s="23"/>
      <c r="Q389" s="14"/>
      <c r="R389" s="14"/>
    </row>
    <row r="390" spans="1:18" s="1" customFormat="1">
      <c r="A390" s="62"/>
      <c r="B390" s="60" t="s">
        <v>2236</v>
      </c>
      <c r="C390" s="62" t="s">
        <v>493</v>
      </c>
      <c r="D390" s="1">
        <v>250</v>
      </c>
      <c r="F390" s="14"/>
      <c r="G390" s="14"/>
      <c r="H390" s="14"/>
      <c r="I390" s="11"/>
      <c r="J390" s="14"/>
      <c r="K390" s="16">
        <v>15</v>
      </c>
      <c r="L390" s="15"/>
      <c r="M390" s="14"/>
      <c r="N390" s="62"/>
      <c r="O390" s="60"/>
      <c r="P390" s="23"/>
      <c r="Q390" s="14"/>
      <c r="R390" s="14"/>
    </row>
    <row r="391" spans="1:18" s="1" customFormat="1">
      <c r="A391" s="62"/>
      <c r="B391" s="60" t="s">
        <v>2235</v>
      </c>
      <c r="C391" s="62" t="s">
        <v>493</v>
      </c>
      <c r="D391" s="1">
        <v>250</v>
      </c>
      <c r="F391" s="14"/>
      <c r="G391" s="14"/>
      <c r="H391" s="14"/>
      <c r="I391" s="11"/>
      <c r="J391" s="14"/>
      <c r="K391" s="16">
        <v>16</v>
      </c>
      <c r="L391" s="15"/>
      <c r="M391" s="14"/>
      <c r="N391" s="62"/>
      <c r="O391" s="60"/>
      <c r="P391" s="23"/>
      <c r="Q391" s="14"/>
      <c r="R391" s="14"/>
    </row>
    <row r="392" spans="1:18" s="1" customFormat="1">
      <c r="A392" s="62"/>
      <c r="B392" s="67" t="s">
        <v>2243</v>
      </c>
      <c r="C392" s="62" t="s">
        <v>494</v>
      </c>
      <c r="F392" s="14"/>
      <c r="G392" s="14"/>
      <c r="H392" s="47" t="s">
        <v>2244</v>
      </c>
      <c r="I392" s="11"/>
      <c r="J392" s="14"/>
      <c r="K392" s="16">
        <v>17</v>
      </c>
      <c r="L392" s="15">
        <v>3</v>
      </c>
      <c r="M392" s="14"/>
      <c r="N392" s="62"/>
      <c r="O392" s="60">
        <v>703</v>
      </c>
      <c r="P392" s="23"/>
      <c r="Q392" s="14"/>
      <c r="R392" s="14"/>
    </row>
    <row r="393" spans="1:18" s="1" customFormat="1">
      <c r="A393" s="62"/>
      <c r="B393" s="60" t="s">
        <v>2241</v>
      </c>
      <c r="C393" s="62" t="s">
        <v>493</v>
      </c>
      <c r="D393" s="1">
        <v>250</v>
      </c>
      <c r="F393" s="14"/>
      <c r="G393" s="14"/>
      <c r="H393" s="14"/>
      <c r="I393" s="11"/>
      <c r="J393" s="14"/>
      <c r="K393" s="16">
        <v>18</v>
      </c>
      <c r="L393" s="15"/>
      <c r="M393" s="14"/>
      <c r="N393" s="62"/>
      <c r="O393" s="60"/>
      <c r="P393" s="23"/>
      <c r="Q393" s="14"/>
      <c r="R393" s="14"/>
    </row>
    <row r="394" spans="1:18" s="1" customFormat="1">
      <c r="A394" s="62"/>
      <c r="B394" s="60" t="s">
        <v>2271</v>
      </c>
      <c r="C394" s="62" t="s">
        <v>493</v>
      </c>
      <c r="D394" s="62">
        <v>100</v>
      </c>
      <c r="F394" s="14"/>
      <c r="G394" s="14"/>
      <c r="H394" s="14"/>
      <c r="I394" s="11"/>
      <c r="J394" s="14"/>
      <c r="K394" s="16">
        <v>19</v>
      </c>
      <c r="L394" s="15"/>
      <c r="M394" s="14"/>
      <c r="N394" s="62"/>
      <c r="O394" s="60"/>
      <c r="P394" s="23"/>
      <c r="Q394" s="14"/>
      <c r="R394" s="14"/>
    </row>
    <row r="395" spans="1:18" s="1" customFormat="1">
      <c r="A395" s="62"/>
      <c r="B395" s="60" t="s">
        <v>2272</v>
      </c>
      <c r="C395" s="62" t="s">
        <v>494</v>
      </c>
      <c r="D395" s="62"/>
      <c r="F395" s="14"/>
      <c r="G395" s="14"/>
      <c r="H395" s="14"/>
      <c r="I395" s="11"/>
      <c r="J395" s="14"/>
      <c r="K395" s="16">
        <v>20</v>
      </c>
      <c r="L395" s="15">
        <v>3</v>
      </c>
      <c r="M395" s="14"/>
      <c r="N395" s="62" t="s">
        <v>2273</v>
      </c>
      <c r="O395" s="60" t="s">
        <v>2274</v>
      </c>
      <c r="P395" s="60" t="s">
        <v>2275</v>
      </c>
      <c r="Q395" s="14"/>
      <c r="R395" s="14"/>
    </row>
    <row r="396" spans="1:18" s="1" customFormat="1">
      <c r="A396" s="62"/>
      <c r="B396" s="60" t="s">
        <v>2276</v>
      </c>
      <c r="C396" s="62" t="s">
        <v>493</v>
      </c>
      <c r="D396" s="62">
        <v>1</v>
      </c>
      <c r="F396" s="14"/>
      <c r="G396" s="14"/>
      <c r="H396" s="14"/>
      <c r="I396" s="11"/>
      <c r="J396" s="14"/>
      <c r="K396" s="16">
        <v>21</v>
      </c>
      <c r="L396" s="15">
        <v>3</v>
      </c>
      <c r="M396" s="14"/>
      <c r="N396" s="62"/>
      <c r="O396" s="60"/>
      <c r="P396" s="60"/>
      <c r="Q396" s="14"/>
      <c r="R396" s="14"/>
    </row>
    <row r="397" spans="1:18" s="1" customFormat="1">
      <c r="A397" s="62"/>
      <c r="B397" s="60" t="s">
        <v>3003</v>
      </c>
      <c r="C397" s="62" t="s">
        <v>493</v>
      </c>
      <c r="D397" s="62">
        <v>1</v>
      </c>
      <c r="F397" s="14"/>
      <c r="G397" s="14"/>
      <c r="H397" s="47"/>
      <c r="I397" s="11"/>
      <c r="J397" s="14"/>
      <c r="K397" s="16">
        <v>22</v>
      </c>
      <c r="L397" s="15">
        <v>3</v>
      </c>
      <c r="M397" s="14">
        <v>1</v>
      </c>
      <c r="N397" s="62"/>
      <c r="O397" s="60"/>
      <c r="P397" s="60"/>
      <c r="Q397" s="14"/>
      <c r="R397" s="14"/>
    </row>
    <row r="398" spans="1:18" s="1" customFormat="1">
      <c r="A398" s="62"/>
      <c r="B398" s="60" t="s">
        <v>4685</v>
      </c>
      <c r="C398" s="62" t="s">
        <v>494</v>
      </c>
      <c r="D398" s="62"/>
      <c r="F398" s="14"/>
      <c r="G398" s="14"/>
      <c r="H398" s="47"/>
      <c r="I398" s="11"/>
      <c r="J398" s="14"/>
      <c r="K398" s="16">
        <v>23</v>
      </c>
      <c r="L398" s="15">
        <v>3</v>
      </c>
      <c r="M398" s="14"/>
      <c r="N398" s="62" t="s">
        <v>4576</v>
      </c>
      <c r="O398" s="60" t="s">
        <v>4578</v>
      </c>
      <c r="P398" s="60" t="s">
        <v>4579</v>
      </c>
      <c r="Q398" s="14"/>
      <c r="R398" s="14"/>
    </row>
    <row r="399" spans="1:18" s="1" customFormat="1">
      <c r="A399" s="62"/>
      <c r="B399" s="60"/>
      <c r="C399" s="62"/>
      <c r="F399" s="14"/>
      <c r="G399" s="14"/>
      <c r="H399" s="14"/>
      <c r="I399" s="11"/>
      <c r="J399" s="14"/>
      <c r="K399" s="16"/>
      <c r="L399" s="15"/>
      <c r="M399" s="14"/>
      <c r="P399" s="23"/>
      <c r="Q399" s="14"/>
      <c r="R399" s="14"/>
    </row>
    <row r="400" spans="1:18" s="1" customFormat="1">
      <c r="A400" s="62" t="s">
        <v>2264</v>
      </c>
      <c r="B400" s="60" t="s">
        <v>2255</v>
      </c>
      <c r="C400" s="62" t="s">
        <v>494</v>
      </c>
      <c r="E400" s="62" t="s">
        <v>476</v>
      </c>
      <c r="F400" s="14">
        <v>1</v>
      </c>
      <c r="G400" s="14">
        <v>264</v>
      </c>
      <c r="H400" s="47" t="s">
        <v>2265</v>
      </c>
      <c r="I400" s="48"/>
      <c r="J400" s="14">
        <v>201</v>
      </c>
      <c r="K400" s="16">
        <v>1</v>
      </c>
      <c r="L400" s="15">
        <v>52</v>
      </c>
      <c r="M400" s="14"/>
      <c r="N400" s="62">
        <v>263</v>
      </c>
      <c r="O400" s="60" t="s">
        <v>2226</v>
      </c>
      <c r="P400" s="23"/>
      <c r="Q400" s="14"/>
      <c r="R400" s="14"/>
    </row>
    <row r="401" spans="1:18" s="1" customFormat="1">
      <c r="A401" s="62"/>
      <c r="B401" s="60" t="s">
        <v>2256</v>
      </c>
      <c r="C401" s="62" t="s">
        <v>493</v>
      </c>
      <c r="D401" s="1">
        <v>20</v>
      </c>
      <c r="E401" s="62" t="s">
        <v>476</v>
      </c>
      <c r="F401" s="14"/>
      <c r="G401" s="14"/>
      <c r="H401" s="14"/>
      <c r="I401" s="11"/>
      <c r="J401" s="14"/>
      <c r="K401" s="16">
        <v>2</v>
      </c>
      <c r="L401" s="15"/>
      <c r="M401" s="14"/>
      <c r="N401" s="62"/>
      <c r="O401" s="60"/>
      <c r="P401" s="23"/>
      <c r="Q401" s="14"/>
      <c r="R401" s="14"/>
    </row>
    <row r="402" spans="1:18" s="1" customFormat="1">
      <c r="A402" s="62"/>
      <c r="B402" s="60" t="s">
        <v>2257</v>
      </c>
      <c r="C402" s="62" t="s">
        <v>494</v>
      </c>
      <c r="F402" s="14"/>
      <c r="G402" s="14"/>
      <c r="H402" s="14"/>
      <c r="I402" s="11"/>
      <c r="J402" s="14"/>
      <c r="K402" s="16">
        <v>3</v>
      </c>
      <c r="L402" s="15">
        <v>6</v>
      </c>
      <c r="M402" s="14"/>
      <c r="N402" s="62"/>
      <c r="O402" s="60"/>
      <c r="P402" s="23"/>
      <c r="Q402" s="14"/>
      <c r="R402" s="14"/>
    </row>
    <row r="403" spans="1:18" s="1" customFormat="1">
      <c r="A403" s="62"/>
      <c r="B403" s="60" t="s">
        <v>2258</v>
      </c>
      <c r="C403" s="62" t="s">
        <v>493</v>
      </c>
      <c r="D403" s="1">
        <v>250</v>
      </c>
      <c r="F403" s="14"/>
      <c r="G403" s="14"/>
      <c r="H403" s="14"/>
      <c r="I403" s="11"/>
      <c r="J403" s="14"/>
      <c r="K403" s="16">
        <v>4</v>
      </c>
      <c r="L403" s="15"/>
      <c r="M403" s="14"/>
      <c r="N403" s="62"/>
      <c r="O403" s="60"/>
      <c r="P403" s="23"/>
      <c r="Q403" s="14"/>
      <c r="R403" s="14"/>
    </row>
    <row r="404" spans="1:18" s="1" customFormat="1">
      <c r="A404" s="62"/>
      <c r="B404" s="60" t="s">
        <v>2259</v>
      </c>
      <c r="C404" s="62" t="s">
        <v>493</v>
      </c>
      <c r="D404" s="1">
        <v>250</v>
      </c>
      <c r="F404" s="14"/>
      <c r="G404" s="14"/>
      <c r="H404" s="14"/>
      <c r="I404" s="11"/>
      <c r="J404" s="14"/>
      <c r="K404" s="16">
        <v>5</v>
      </c>
      <c r="L404" s="15"/>
      <c r="M404" s="14"/>
      <c r="N404" s="62"/>
      <c r="O404" s="60"/>
      <c r="P404" s="23"/>
      <c r="Q404" s="14"/>
      <c r="R404" s="14"/>
    </row>
    <row r="405" spans="1:18" s="1" customFormat="1">
      <c r="A405" s="62"/>
      <c r="B405" s="60" t="s">
        <v>2260</v>
      </c>
      <c r="C405" s="62" t="s">
        <v>493</v>
      </c>
      <c r="D405" s="1">
        <v>250</v>
      </c>
      <c r="F405" s="14"/>
      <c r="G405" s="14"/>
      <c r="H405" s="14"/>
      <c r="I405" s="11"/>
      <c r="J405" s="14"/>
      <c r="K405" s="16">
        <v>6</v>
      </c>
      <c r="L405" s="15"/>
      <c r="M405" s="14"/>
      <c r="N405" s="62"/>
      <c r="O405" s="60"/>
      <c r="P405" s="23"/>
      <c r="Q405" s="14"/>
      <c r="R405" s="14"/>
    </row>
    <row r="406" spans="1:18" s="1" customFormat="1">
      <c r="A406" s="62"/>
      <c r="B406" s="60" t="s">
        <v>2261</v>
      </c>
      <c r="C406" s="62" t="s">
        <v>494</v>
      </c>
      <c r="F406" s="14"/>
      <c r="G406" s="14"/>
      <c r="H406" s="14"/>
      <c r="I406" s="11"/>
      <c r="J406" s="14"/>
      <c r="K406" s="16">
        <v>7</v>
      </c>
      <c r="L406" s="15">
        <v>3</v>
      </c>
      <c r="M406" s="14"/>
      <c r="N406" s="62"/>
      <c r="O406" s="60">
        <v>703</v>
      </c>
      <c r="P406" s="23"/>
      <c r="Q406" s="14"/>
      <c r="R406" s="14"/>
    </row>
    <row r="407" spans="1:18" s="1" customFormat="1">
      <c r="A407" s="62"/>
      <c r="B407" s="60" t="s">
        <v>2262</v>
      </c>
      <c r="C407" s="62" t="s">
        <v>493</v>
      </c>
      <c r="D407" s="1">
        <v>250</v>
      </c>
      <c r="F407" s="14"/>
      <c r="G407" s="14"/>
      <c r="H407" s="14"/>
      <c r="I407" s="11"/>
      <c r="J407" s="14"/>
      <c r="K407" s="16">
        <v>8</v>
      </c>
      <c r="L407" s="15"/>
      <c r="M407" s="14"/>
      <c r="N407" s="62"/>
      <c r="O407" s="60"/>
      <c r="P407" s="23"/>
      <c r="Q407" s="14"/>
      <c r="R407" s="14"/>
    </row>
    <row r="408" spans="1:18" s="1" customFormat="1">
      <c r="A408" s="62"/>
      <c r="B408" s="60"/>
      <c r="C408" s="62"/>
      <c r="F408" s="14"/>
      <c r="G408" s="14"/>
      <c r="H408" s="14"/>
      <c r="I408" s="11"/>
      <c r="J408" s="14"/>
      <c r="K408" s="16"/>
      <c r="L408" s="15"/>
      <c r="M408" s="14"/>
      <c r="N408" s="62"/>
      <c r="O408" s="60"/>
      <c r="P408" s="23"/>
      <c r="Q408" s="14"/>
      <c r="R408" s="14"/>
    </row>
    <row r="409" spans="1:18" s="1" customFormat="1">
      <c r="A409" s="62" t="s">
        <v>2263</v>
      </c>
      <c r="B409" s="60" t="s">
        <v>2255</v>
      </c>
      <c r="C409" s="62" t="s">
        <v>494</v>
      </c>
      <c r="E409" s="62" t="s">
        <v>476</v>
      </c>
      <c r="F409" s="14">
        <v>1</v>
      </c>
      <c r="G409" s="14">
        <v>267</v>
      </c>
      <c r="H409" s="47" t="s">
        <v>2270</v>
      </c>
      <c r="I409" s="48"/>
      <c r="J409" s="14">
        <v>201</v>
      </c>
      <c r="K409" s="16">
        <v>1</v>
      </c>
      <c r="L409" s="15">
        <v>52</v>
      </c>
      <c r="M409" s="14"/>
      <c r="N409" s="62">
        <v>263</v>
      </c>
      <c r="O409" s="60" t="s">
        <v>2226</v>
      </c>
      <c r="P409" s="23"/>
      <c r="Q409" s="14"/>
      <c r="R409" s="14"/>
    </row>
    <row r="410" spans="1:18" s="1" customFormat="1" ht="12.75" customHeight="1">
      <c r="A410" s="62"/>
      <c r="B410" s="60" t="s">
        <v>2266</v>
      </c>
      <c r="C410" s="62" t="s">
        <v>494</v>
      </c>
      <c r="E410" s="62" t="s">
        <v>476</v>
      </c>
      <c r="F410" s="14"/>
      <c r="G410" s="14"/>
      <c r="H410" s="14"/>
      <c r="I410" s="11"/>
      <c r="J410" s="14"/>
      <c r="K410" s="16">
        <v>2</v>
      </c>
      <c r="L410" s="15">
        <v>3</v>
      </c>
      <c r="M410" s="14"/>
      <c r="N410" s="62" t="s">
        <v>2264</v>
      </c>
      <c r="O410" s="60" t="s">
        <v>2257</v>
      </c>
      <c r="P410" s="23" t="s">
        <v>2256</v>
      </c>
      <c r="Q410" s="14"/>
      <c r="R410" s="14"/>
    </row>
    <row r="411" spans="1:18" s="1" customFormat="1">
      <c r="A411" s="62"/>
      <c r="B411" s="60" t="s">
        <v>2267</v>
      </c>
      <c r="C411" s="62" t="s">
        <v>494</v>
      </c>
      <c r="E411" s="62" t="s">
        <v>476</v>
      </c>
      <c r="F411" s="14"/>
      <c r="G411" s="14"/>
      <c r="H411" s="14"/>
      <c r="I411" s="11"/>
      <c r="J411" s="14"/>
      <c r="K411" s="16">
        <v>3</v>
      </c>
      <c r="L411" s="15">
        <v>6</v>
      </c>
      <c r="M411" s="14"/>
      <c r="N411" s="62"/>
      <c r="O411" s="60"/>
      <c r="P411" s="23"/>
      <c r="Q411" s="14"/>
      <c r="R411" s="14"/>
    </row>
    <row r="412" spans="1:18" s="1" customFormat="1">
      <c r="A412" s="62"/>
      <c r="B412" s="60" t="s">
        <v>2257</v>
      </c>
      <c r="C412" s="62" t="s">
        <v>494</v>
      </c>
      <c r="F412" s="14"/>
      <c r="G412" s="14"/>
      <c r="H412" s="14"/>
      <c r="I412" s="11"/>
      <c r="J412" s="14"/>
      <c r="K412" s="16">
        <v>4</v>
      </c>
      <c r="L412" s="15">
        <v>6</v>
      </c>
      <c r="M412" s="14"/>
      <c r="N412" s="62"/>
      <c r="O412" s="60"/>
      <c r="P412" s="23"/>
      <c r="Q412" s="14"/>
      <c r="R412" s="14"/>
    </row>
    <row r="413" spans="1:18" s="1" customFormat="1">
      <c r="A413" s="62"/>
      <c r="B413" s="60" t="s">
        <v>2268</v>
      </c>
      <c r="C413" s="62" t="s">
        <v>493</v>
      </c>
      <c r="D413" s="1">
        <v>50</v>
      </c>
      <c r="F413" s="14"/>
      <c r="G413" s="14"/>
      <c r="H413" s="14"/>
      <c r="I413" s="11"/>
      <c r="J413" s="14"/>
      <c r="K413" s="16">
        <v>5</v>
      </c>
      <c r="L413" s="15"/>
      <c r="M413" s="14"/>
      <c r="N413" s="62"/>
      <c r="O413" s="60"/>
      <c r="P413" s="23"/>
      <c r="Q413" s="14"/>
      <c r="R413" s="14"/>
    </row>
    <row r="414" spans="1:18" s="1" customFormat="1">
      <c r="A414" s="62"/>
      <c r="B414" s="60" t="s">
        <v>2269</v>
      </c>
      <c r="C414" s="62" t="s">
        <v>493</v>
      </c>
      <c r="D414" s="1">
        <v>100</v>
      </c>
      <c r="F414" s="14"/>
      <c r="G414" s="14"/>
      <c r="H414" s="14"/>
      <c r="I414" s="11"/>
      <c r="J414" s="14"/>
      <c r="K414" s="16">
        <v>6</v>
      </c>
      <c r="L414" s="15"/>
      <c r="M414" s="14"/>
      <c r="N414" s="62"/>
      <c r="O414" s="60"/>
      <c r="P414" s="23"/>
      <c r="Q414" s="14"/>
      <c r="R414" s="14"/>
    </row>
    <row r="415" spans="1:18" s="1" customFormat="1">
      <c r="A415" s="62"/>
      <c r="B415" s="60"/>
      <c r="C415" s="62"/>
      <c r="F415" s="14"/>
      <c r="G415" s="14"/>
      <c r="H415" s="14"/>
      <c r="I415" s="11"/>
      <c r="J415" s="14"/>
      <c r="K415" s="16"/>
      <c r="L415" s="15">
        <v>3</v>
      </c>
      <c r="M415" s="14"/>
      <c r="N415" s="62" t="s">
        <v>2224</v>
      </c>
      <c r="O415" s="60" t="s">
        <v>2226</v>
      </c>
      <c r="P415" s="60" t="s">
        <v>2228</v>
      </c>
      <c r="Q415" s="14"/>
      <c r="R415" s="14"/>
    </row>
    <row r="416" spans="1:18" s="1" customFormat="1">
      <c r="A416" s="62" t="s">
        <v>2246</v>
      </c>
      <c r="B416" s="60" t="s">
        <v>2248</v>
      </c>
      <c r="C416" s="62" t="s">
        <v>494</v>
      </c>
      <c r="E416" s="62" t="s">
        <v>476</v>
      </c>
      <c r="F416" s="14">
        <v>1</v>
      </c>
      <c r="G416" s="14">
        <v>265</v>
      </c>
      <c r="H416" s="47" t="s">
        <v>2251</v>
      </c>
      <c r="I416" s="48"/>
      <c r="J416" s="14">
        <v>201</v>
      </c>
      <c r="K416" s="16">
        <v>1</v>
      </c>
      <c r="L416" s="15">
        <v>52</v>
      </c>
      <c r="M416" s="14"/>
      <c r="N416" s="62">
        <v>263</v>
      </c>
      <c r="O416" s="60" t="s">
        <v>2226</v>
      </c>
      <c r="P416" s="60"/>
      <c r="Q416" s="14"/>
      <c r="R416" s="14"/>
    </row>
    <row r="417" spans="1:18" s="1" customFormat="1">
      <c r="A417" s="62"/>
      <c r="B417" s="60" t="s">
        <v>2249</v>
      </c>
      <c r="C417" s="62" t="s">
        <v>494</v>
      </c>
      <c r="E417" s="62" t="s">
        <v>476</v>
      </c>
      <c r="F417" s="14"/>
      <c r="G417" s="14"/>
      <c r="H417" s="14"/>
      <c r="I417" s="11"/>
      <c r="J417" s="14"/>
      <c r="K417" s="16">
        <v>2</v>
      </c>
      <c r="L417" s="15">
        <v>8</v>
      </c>
      <c r="M417" s="14"/>
      <c r="N417" s="62"/>
      <c r="O417" s="60"/>
      <c r="P417" s="23"/>
      <c r="Q417" s="14"/>
      <c r="R417" s="14"/>
    </row>
    <row r="418" spans="1:18" s="1" customFormat="1">
      <c r="A418" s="62"/>
      <c r="B418" s="60" t="s">
        <v>2247</v>
      </c>
      <c r="C418" s="62" t="s">
        <v>494</v>
      </c>
      <c r="F418" s="14"/>
      <c r="G418" s="14"/>
      <c r="H418" s="14"/>
      <c r="I418" s="11"/>
      <c r="J418" s="14"/>
      <c r="K418" s="16">
        <v>3</v>
      </c>
      <c r="L418" s="15">
        <v>6</v>
      </c>
      <c r="M418" s="14"/>
      <c r="N418" s="62"/>
      <c r="O418" s="60"/>
      <c r="P418" s="23"/>
      <c r="Q418" s="14"/>
      <c r="R418" s="14"/>
    </row>
    <row r="419" spans="1:18" s="1" customFormat="1">
      <c r="A419" s="62"/>
      <c r="B419" s="60" t="s">
        <v>2250</v>
      </c>
      <c r="C419" s="62" t="s">
        <v>493</v>
      </c>
      <c r="D419" s="1">
        <v>13</v>
      </c>
      <c r="F419" s="14"/>
      <c r="G419" s="14"/>
      <c r="H419" s="14"/>
      <c r="I419" s="11"/>
      <c r="J419" s="14"/>
      <c r="K419" s="16">
        <v>4</v>
      </c>
      <c r="L419" s="15"/>
      <c r="M419" s="14">
        <v>1</v>
      </c>
      <c r="N419" s="62"/>
      <c r="O419" s="60"/>
      <c r="P419" s="23"/>
      <c r="Q419" s="14"/>
      <c r="R419" s="14"/>
    </row>
    <row r="420" spans="1:18" s="1" customFormat="1">
      <c r="A420" s="62"/>
      <c r="B420" s="60" t="s">
        <v>2252</v>
      </c>
      <c r="C420" s="62" t="s">
        <v>520</v>
      </c>
      <c r="F420" s="14"/>
      <c r="G420" s="14"/>
      <c r="H420" s="14"/>
      <c r="I420" s="11"/>
      <c r="J420" s="14"/>
      <c r="K420" s="16">
        <v>5</v>
      </c>
      <c r="L420" s="15"/>
      <c r="M420" s="14"/>
      <c r="N420" s="62"/>
      <c r="O420" s="60"/>
      <c r="P420" s="23"/>
      <c r="Q420" s="14"/>
      <c r="R420" s="14"/>
    </row>
    <row r="421" spans="1:18" s="1" customFormat="1">
      <c r="A421" s="62"/>
      <c r="B421" s="60"/>
      <c r="F421" s="14"/>
      <c r="G421" s="14"/>
      <c r="H421" s="14"/>
      <c r="I421" s="11"/>
      <c r="J421" s="14"/>
      <c r="K421" s="16"/>
      <c r="L421" s="15"/>
      <c r="M421" s="14"/>
      <c r="N421" s="62"/>
      <c r="O421" s="60"/>
      <c r="P421" s="23"/>
      <c r="Q421" s="14"/>
      <c r="R421" s="14"/>
    </row>
    <row r="422" spans="1:18" s="1" customFormat="1">
      <c r="A422" s="62" t="s">
        <v>2273</v>
      </c>
      <c r="B422" s="60" t="s">
        <v>2274</v>
      </c>
      <c r="C422" s="62" t="s">
        <v>494</v>
      </c>
      <c r="E422" s="62" t="s">
        <v>476</v>
      </c>
      <c r="F422" s="14"/>
      <c r="G422" s="14"/>
      <c r="H422" s="14"/>
      <c r="I422" s="11"/>
      <c r="J422" s="14"/>
      <c r="K422" s="16">
        <v>1</v>
      </c>
      <c r="L422" s="15"/>
      <c r="M422" s="14"/>
      <c r="N422" s="62"/>
      <c r="O422" s="60"/>
      <c r="P422" s="23"/>
      <c r="Q422" s="14"/>
      <c r="R422" s="14"/>
    </row>
    <row r="423" spans="1:18" s="1" customFormat="1">
      <c r="A423" s="62"/>
      <c r="B423" s="60" t="s">
        <v>2275</v>
      </c>
      <c r="C423" s="62" t="s">
        <v>493</v>
      </c>
      <c r="D423" s="1">
        <v>50</v>
      </c>
      <c r="F423" s="14"/>
      <c r="G423" s="14"/>
      <c r="H423" s="14"/>
      <c r="I423" s="11"/>
      <c r="J423" s="14"/>
      <c r="K423" s="16">
        <v>2</v>
      </c>
      <c r="L423" s="15"/>
      <c r="M423" s="14"/>
      <c r="N423" s="62"/>
      <c r="O423" s="60"/>
      <c r="P423" s="23"/>
      <c r="Q423" s="14"/>
      <c r="R423" s="14"/>
    </row>
    <row r="424" spans="1:18" s="1" customFormat="1">
      <c r="A424" s="62"/>
      <c r="B424" s="60"/>
      <c r="C424" s="62"/>
      <c r="F424" s="14"/>
      <c r="G424" s="14"/>
      <c r="H424" s="14"/>
      <c r="I424" s="11"/>
      <c r="J424" s="14"/>
      <c r="K424" s="16"/>
      <c r="L424" s="15"/>
      <c r="M424" s="14"/>
      <c r="N424" s="62"/>
      <c r="O424" s="60"/>
      <c r="P424" s="23"/>
      <c r="Q424" s="14"/>
      <c r="R424" s="14"/>
    </row>
    <row r="425" spans="1:18" s="62" customFormat="1" ht="12.75" customHeight="1">
      <c r="A425" s="62" t="s">
        <v>2495</v>
      </c>
      <c r="B425" s="62" t="s">
        <v>2496</v>
      </c>
      <c r="C425" s="62" t="s">
        <v>494</v>
      </c>
      <c r="E425" s="62" t="s">
        <v>476</v>
      </c>
      <c r="F425" s="47">
        <v>1</v>
      </c>
      <c r="G425" s="47">
        <v>169</v>
      </c>
      <c r="H425" s="47" t="s">
        <v>2494</v>
      </c>
      <c r="I425" s="48" t="s">
        <v>2509</v>
      </c>
      <c r="J425" s="47">
        <v>1501</v>
      </c>
      <c r="K425" s="57">
        <v>1</v>
      </c>
      <c r="L425" s="57">
        <v>6</v>
      </c>
      <c r="M425" s="47"/>
    </row>
    <row r="426" spans="1:18" s="62" customFormat="1" ht="12.75" customHeight="1">
      <c r="B426" s="62" t="s">
        <v>2497</v>
      </c>
      <c r="C426" s="62" t="s">
        <v>494</v>
      </c>
      <c r="F426" s="47"/>
      <c r="G426" s="47"/>
      <c r="H426" s="47"/>
      <c r="I426" s="48"/>
      <c r="J426" s="47"/>
      <c r="K426" s="57">
        <v>2</v>
      </c>
      <c r="L426" s="57">
        <v>6</v>
      </c>
      <c r="M426" s="47"/>
    </row>
    <row r="427" spans="1:18" s="62" customFormat="1" ht="12.75" customHeight="1">
      <c r="B427" s="62" t="s">
        <v>2498</v>
      </c>
      <c r="C427" s="62" t="s">
        <v>493</v>
      </c>
      <c r="D427" s="62">
        <v>1</v>
      </c>
      <c r="F427" s="47"/>
      <c r="G427" s="47"/>
      <c r="H427" s="47"/>
      <c r="I427" s="48"/>
      <c r="J427" s="47"/>
      <c r="K427" s="57">
        <v>3</v>
      </c>
      <c r="L427" s="57">
        <v>3</v>
      </c>
      <c r="M427" s="47"/>
    </row>
    <row r="428" spans="1:18" s="62" customFormat="1" ht="12.75" customHeight="1">
      <c r="B428" s="62" t="s">
        <v>2499</v>
      </c>
      <c r="C428" s="62" t="s">
        <v>493</v>
      </c>
      <c r="D428" s="62">
        <v>5</v>
      </c>
      <c r="F428" s="47"/>
      <c r="G428" s="47"/>
      <c r="H428" s="47"/>
      <c r="I428" s="48"/>
      <c r="J428" s="47"/>
      <c r="K428" s="57">
        <v>4</v>
      </c>
      <c r="L428" s="57">
        <v>3</v>
      </c>
      <c r="M428" s="47"/>
      <c r="O428" s="62">
        <v>1117</v>
      </c>
      <c r="P428" s="62">
        <v>1</v>
      </c>
    </row>
    <row r="429" spans="1:18" s="62" customFormat="1" ht="12.75" customHeight="1">
      <c r="B429" s="62" t="s">
        <v>2500</v>
      </c>
      <c r="C429" s="62" t="s">
        <v>493</v>
      </c>
      <c r="D429" s="62">
        <v>100</v>
      </c>
      <c r="F429" s="47"/>
      <c r="G429" s="47"/>
      <c r="H429" s="47"/>
      <c r="I429" s="48"/>
      <c r="J429" s="47"/>
      <c r="K429" s="57">
        <v>5</v>
      </c>
      <c r="L429" s="57"/>
      <c r="M429" s="47"/>
      <c r="N429" s="47"/>
      <c r="O429" s="47"/>
      <c r="P429" s="47"/>
    </row>
    <row r="430" spans="1:18" s="62" customFormat="1">
      <c r="B430" s="62" t="s">
        <v>2501</v>
      </c>
      <c r="C430" s="62" t="s">
        <v>493</v>
      </c>
      <c r="D430" s="62">
        <v>50</v>
      </c>
      <c r="F430" s="47"/>
      <c r="G430" s="47"/>
      <c r="H430" s="47"/>
      <c r="I430" s="48"/>
      <c r="J430" s="47"/>
      <c r="K430" s="57">
        <v>6</v>
      </c>
      <c r="L430" s="57"/>
      <c r="M430" s="47"/>
      <c r="N430" s="47"/>
      <c r="O430" s="47"/>
      <c r="P430" s="47"/>
    </row>
    <row r="431" spans="1:18" s="62" customFormat="1">
      <c r="B431" s="62" t="s">
        <v>2502</v>
      </c>
      <c r="C431" s="62" t="s">
        <v>493</v>
      </c>
      <c r="D431" s="62">
        <v>10</v>
      </c>
      <c r="F431" s="47"/>
      <c r="G431" s="47"/>
      <c r="H431" s="47"/>
      <c r="I431" s="48"/>
      <c r="J431" s="47"/>
      <c r="K431" s="57">
        <v>7</v>
      </c>
      <c r="L431" s="57"/>
      <c r="M431" s="47"/>
      <c r="N431" s="47"/>
      <c r="O431" s="47"/>
      <c r="P431" s="47"/>
    </row>
    <row r="432" spans="1:18" s="62" customFormat="1">
      <c r="B432" s="62" t="s">
        <v>2503</v>
      </c>
      <c r="C432" s="62" t="s">
        <v>493</v>
      </c>
      <c r="D432" s="62">
        <v>5</v>
      </c>
      <c r="F432" s="47"/>
      <c r="G432" s="47"/>
      <c r="H432" s="47"/>
      <c r="I432" s="48"/>
      <c r="J432" s="47"/>
      <c r="K432" s="57">
        <v>8</v>
      </c>
      <c r="L432" s="57">
        <v>3</v>
      </c>
      <c r="M432" s="47"/>
      <c r="N432" s="47"/>
      <c r="O432" s="47">
        <v>1117</v>
      </c>
      <c r="P432" s="47">
        <v>2</v>
      </c>
    </row>
    <row r="433" spans="1:16" s="62" customFormat="1">
      <c r="B433" s="62" t="s">
        <v>2504</v>
      </c>
      <c r="C433" s="62" t="s">
        <v>493</v>
      </c>
      <c r="D433" s="62">
        <v>50</v>
      </c>
      <c r="F433" s="47"/>
      <c r="G433" s="47"/>
      <c r="H433" s="47"/>
      <c r="I433" s="48"/>
      <c r="J433" s="47"/>
      <c r="K433" s="57">
        <v>9</v>
      </c>
      <c r="L433" s="57"/>
      <c r="M433" s="47"/>
      <c r="N433" s="47"/>
      <c r="O433" s="47"/>
      <c r="P433" s="47"/>
    </row>
    <row r="434" spans="1:16" s="62" customFormat="1">
      <c r="B434" s="62" t="s">
        <v>2505</v>
      </c>
      <c r="C434" s="62" t="s">
        <v>493</v>
      </c>
      <c r="D434" s="62">
        <v>50</v>
      </c>
      <c r="F434" s="47"/>
      <c r="G434" s="47"/>
      <c r="H434" s="47"/>
      <c r="I434" s="48"/>
      <c r="J434" s="47"/>
      <c r="K434" s="57">
        <v>10</v>
      </c>
      <c r="L434" s="57"/>
      <c r="M434" s="47"/>
      <c r="N434" s="47"/>
      <c r="O434" s="47"/>
      <c r="P434" s="47"/>
    </row>
    <row r="435" spans="1:16" s="62" customFormat="1">
      <c r="B435" s="62" t="s">
        <v>2506</v>
      </c>
      <c r="C435" s="62" t="s">
        <v>494</v>
      </c>
      <c r="F435" s="47"/>
      <c r="G435" s="47"/>
      <c r="H435" s="47"/>
      <c r="I435" s="48"/>
      <c r="J435" s="47"/>
      <c r="K435" s="57">
        <v>11</v>
      </c>
      <c r="L435" s="57"/>
      <c r="M435" s="47"/>
    </row>
    <row r="436" spans="1:16" s="62" customFormat="1" ht="12.75" customHeight="1">
      <c r="B436" s="62" t="s">
        <v>2507</v>
      </c>
      <c r="C436" s="62" t="s">
        <v>494</v>
      </c>
      <c r="F436" s="47"/>
      <c r="G436" s="47"/>
      <c r="H436" s="47"/>
      <c r="I436" s="48"/>
      <c r="J436" s="47"/>
      <c r="K436" s="57">
        <v>12</v>
      </c>
      <c r="L436" s="57"/>
      <c r="M436" s="47"/>
    </row>
    <row r="437" spans="1:16" s="62" customFormat="1" ht="12.75" customHeight="1">
      <c r="B437" s="62" t="s">
        <v>2508</v>
      </c>
      <c r="C437" s="62" t="s">
        <v>493</v>
      </c>
      <c r="D437" s="62">
        <v>1</v>
      </c>
      <c r="F437" s="47"/>
      <c r="G437" s="47"/>
      <c r="H437" s="47"/>
      <c r="I437" s="48"/>
      <c r="J437" s="47"/>
      <c r="K437" s="57">
        <v>13</v>
      </c>
      <c r="L437" s="76">
        <v>3</v>
      </c>
      <c r="M437" s="62">
        <v>1</v>
      </c>
    </row>
    <row r="438" spans="1:16" s="62" customFormat="1" ht="12.75" customHeight="1">
      <c r="F438" s="47"/>
      <c r="G438" s="47"/>
      <c r="H438" s="47"/>
      <c r="I438" s="48"/>
      <c r="J438" s="47"/>
      <c r="K438" s="57"/>
      <c r="L438" s="76"/>
    </row>
    <row r="439" spans="1:16" s="62" customFormat="1" ht="12.75" customHeight="1">
      <c r="A439" s="62" t="s">
        <v>2526</v>
      </c>
      <c r="B439" s="62" t="s">
        <v>2527</v>
      </c>
      <c r="C439" s="62" t="s">
        <v>494</v>
      </c>
      <c r="E439" s="62" t="s">
        <v>476</v>
      </c>
      <c r="F439" s="47"/>
      <c r="G439" s="47"/>
      <c r="H439" s="47"/>
      <c r="I439" s="48"/>
      <c r="J439" s="47"/>
      <c r="K439" s="57"/>
      <c r="L439" s="57"/>
      <c r="M439" s="47"/>
      <c r="N439" s="47"/>
      <c r="O439" s="47"/>
      <c r="P439" s="47"/>
    </row>
    <row r="440" spans="1:16" s="62" customFormat="1" ht="12.75" customHeight="1">
      <c r="B440" s="62" t="s">
        <v>2528</v>
      </c>
      <c r="C440" s="62" t="s">
        <v>494</v>
      </c>
      <c r="E440" s="62" t="s">
        <v>476</v>
      </c>
      <c r="F440" s="47"/>
      <c r="G440" s="47"/>
      <c r="H440" s="47"/>
      <c r="I440" s="48"/>
      <c r="J440" s="47"/>
      <c r="K440" s="57"/>
      <c r="L440" s="57"/>
      <c r="M440" s="47"/>
      <c r="N440" s="47"/>
      <c r="O440" s="47"/>
      <c r="P440" s="47"/>
    </row>
    <row r="441" spans="1:16" s="62" customFormat="1" ht="12.75" customHeight="1">
      <c r="B441" s="62" t="s">
        <v>2529</v>
      </c>
      <c r="C441" s="62" t="s">
        <v>493</v>
      </c>
      <c r="D441" s="62">
        <v>30</v>
      </c>
      <c r="F441" s="47"/>
      <c r="G441" s="47"/>
      <c r="H441" s="47"/>
      <c r="I441" s="48"/>
      <c r="J441" s="47"/>
      <c r="K441" s="57"/>
      <c r="L441" s="57"/>
      <c r="M441" s="47"/>
      <c r="N441" s="47"/>
      <c r="O441" s="47"/>
      <c r="P441" s="47"/>
    </row>
    <row r="442" spans="1:16" s="62" customFormat="1" ht="12.75" customHeight="1">
      <c r="B442" s="62" t="s">
        <v>2522</v>
      </c>
      <c r="C442" s="62" t="s">
        <v>493</v>
      </c>
      <c r="D442" s="62">
        <v>30</v>
      </c>
      <c r="F442" s="47"/>
      <c r="G442" s="47"/>
      <c r="H442" s="47"/>
      <c r="I442" s="48"/>
      <c r="J442" s="47"/>
      <c r="K442" s="57"/>
      <c r="L442" s="57"/>
      <c r="M442" s="47"/>
      <c r="N442" s="47"/>
      <c r="O442" s="47"/>
      <c r="P442" s="47"/>
    </row>
    <row r="443" spans="1:16" s="62" customFormat="1" ht="12.75" customHeight="1">
      <c r="B443" s="62" t="s">
        <v>2523</v>
      </c>
      <c r="C443" s="62" t="s">
        <v>493</v>
      </c>
      <c r="D443" s="62">
        <v>30</v>
      </c>
      <c r="F443" s="47"/>
      <c r="G443" s="47"/>
      <c r="H443" s="47"/>
      <c r="I443" s="48"/>
      <c r="J443" s="47"/>
      <c r="K443" s="57"/>
      <c r="L443" s="57"/>
      <c r="M443" s="47"/>
      <c r="N443" s="47"/>
      <c r="O443" s="47"/>
      <c r="P443" s="47"/>
    </row>
    <row r="444" spans="1:16" s="62" customFormat="1" ht="12.75" customHeight="1">
      <c r="B444" s="62" t="s">
        <v>2524</v>
      </c>
      <c r="C444" s="62" t="s">
        <v>520</v>
      </c>
      <c r="F444" s="47"/>
      <c r="G444" s="47"/>
      <c r="H444" s="47"/>
      <c r="I444" s="48"/>
      <c r="J444" s="47"/>
      <c r="K444" s="57"/>
      <c r="L444" s="57"/>
      <c r="M444" s="47"/>
      <c r="N444" s="47"/>
      <c r="O444" s="47"/>
      <c r="P444" s="47"/>
    </row>
    <row r="445" spans="1:16" s="62" customFormat="1" ht="12.75" customHeight="1">
      <c r="B445" s="62" t="s">
        <v>2525</v>
      </c>
      <c r="C445" s="62" t="s">
        <v>493</v>
      </c>
      <c r="D445" s="62">
        <v>50</v>
      </c>
      <c r="F445" s="47"/>
      <c r="G445" s="47"/>
      <c r="H445" s="47"/>
      <c r="I445" s="48"/>
      <c r="J445" s="47"/>
      <c r="K445" s="57"/>
      <c r="L445" s="57"/>
      <c r="M445" s="47"/>
      <c r="N445" s="47"/>
      <c r="O445" s="47"/>
      <c r="P445" s="47"/>
    </row>
    <row r="446" spans="1:16" s="62" customFormat="1" ht="12.75" customHeight="1">
      <c r="F446" s="47"/>
      <c r="G446" s="47"/>
      <c r="H446" s="47"/>
      <c r="I446" s="48"/>
      <c r="J446" s="47"/>
      <c r="K446" s="57"/>
      <c r="L446" s="57"/>
      <c r="M446" s="47"/>
      <c r="N446" s="47"/>
      <c r="O446" s="47"/>
      <c r="P446" s="47"/>
    </row>
    <row r="447" spans="1:16" s="62" customFormat="1">
      <c r="A447" s="62" t="s">
        <v>2644</v>
      </c>
      <c r="B447" s="62" t="s">
        <v>2645</v>
      </c>
      <c r="C447" s="62" t="s">
        <v>494</v>
      </c>
      <c r="E447" s="62" t="s">
        <v>476</v>
      </c>
      <c r="F447" s="62">
        <v>15</v>
      </c>
      <c r="G447" s="62">
        <v>1576</v>
      </c>
      <c r="H447" s="62" t="s">
        <v>2633</v>
      </c>
      <c r="I447" s="22" t="s">
        <v>2751</v>
      </c>
      <c r="J447" s="62">
        <v>11</v>
      </c>
      <c r="K447" s="32">
        <v>1</v>
      </c>
      <c r="L447" s="76">
        <v>6</v>
      </c>
    </row>
    <row r="448" spans="1:16" s="62" customFormat="1">
      <c r="B448" s="62" t="s">
        <v>2646</v>
      </c>
      <c r="C448" s="62" t="s">
        <v>494</v>
      </c>
      <c r="I448" s="22"/>
      <c r="K448" s="32">
        <v>2</v>
      </c>
      <c r="L448" s="76">
        <v>8</v>
      </c>
    </row>
    <row r="449" spans="2:16" s="62" customFormat="1">
      <c r="B449" s="62" t="s">
        <v>2634</v>
      </c>
      <c r="C449" s="62" t="s">
        <v>493</v>
      </c>
      <c r="D449" s="62">
        <v>50</v>
      </c>
      <c r="I449" s="22"/>
      <c r="K449" s="32">
        <v>3</v>
      </c>
      <c r="L449" s="76"/>
    </row>
    <row r="450" spans="2:16" s="62" customFormat="1">
      <c r="B450" s="62" t="s">
        <v>2635</v>
      </c>
      <c r="C450" s="62" t="s">
        <v>494</v>
      </c>
      <c r="I450" s="22"/>
      <c r="K450" s="32">
        <v>4</v>
      </c>
      <c r="L450" s="76"/>
    </row>
    <row r="451" spans="2:16" s="62" customFormat="1">
      <c r="B451" s="62" t="s">
        <v>2636</v>
      </c>
      <c r="C451" s="62" t="s">
        <v>494</v>
      </c>
      <c r="I451" s="22"/>
      <c r="K451" s="32">
        <v>5</v>
      </c>
      <c r="L451" s="76"/>
    </row>
    <row r="452" spans="2:16" s="62" customFormat="1">
      <c r="B452" s="62" t="s">
        <v>2637</v>
      </c>
      <c r="C452" s="62" t="s">
        <v>494</v>
      </c>
      <c r="I452" s="22"/>
      <c r="K452" s="32">
        <v>6</v>
      </c>
      <c r="L452" s="76"/>
    </row>
    <row r="453" spans="2:16" s="62" customFormat="1">
      <c r="B453" s="62" t="s">
        <v>2638</v>
      </c>
      <c r="C453" s="62" t="s">
        <v>494</v>
      </c>
      <c r="I453" s="22"/>
      <c r="K453" s="32">
        <v>7</v>
      </c>
      <c r="L453" s="76"/>
    </row>
    <row r="454" spans="2:16" s="62" customFormat="1">
      <c r="B454" s="62" t="s">
        <v>2639</v>
      </c>
      <c r="C454" s="62" t="s">
        <v>494</v>
      </c>
      <c r="I454" s="22"/>
      <c r="K454" s="32">
        <v>8</v>
      </c>
      <c r="L454" s="76"/>
    </row>
    <row r="455" spans="2:16" s="62" customFormat="1">
      <c r="B455" s="62" t="s">
        <v>2640</v>
      </c>
      <c r="C455" s="62" t="s">
        <v>494</v>
      </c>
      <c r="I455" s="22"/>
      <c r="K455" s="32">
        <v>9</v>
      </c>
      <c r="L455" s="76"/>
    </row>
    <row r="456" spans="2:16" s="62" customFormat="1">
      <c r="B456" s="62" t="s">
        <v>2641</v>
      </c>
      <c r="C456" s="62" t="s">
        <v>494</v>
      </c>
      <c r="I456" s="22"/>
      <c r="K456" s="32">
        <v>10</v>
      </c>
      <c r="L456" s="76"/>
    </row>
    <row r="457" spans="2:16" s="62" customFormat="1">
      <c r="B457" s="62" t="s">
        <v>2642</v>
      </c>
      <c r="C457" s="62" t="s">
        <v>493</v>
      </c>
      <c r="D457" s="62">
        <v>50</v>
      </c>
      <c r="I457" s="22"/>
      <c r="K457" s="32">
        <v>11</v>
      </c>
      <c r="L457" s="76"/>
    </row>
    <row r="458" spans="2:16" s="62" customFormat="1">
      <c r="B458" s="62" t="s">
        <v>2643</v>
      </c>
      <c r="C458" s="62" t="s">
        <v>493</v>
      </c>
      <c r="D458" s="62">
        <v>50</v>
      </c>
      <c r="I458" s="22"/>
      <c r="K458" s="32">
        <v>12</v>
      </c>
      <c r="L458" s="76"/>
    </row>
    <row r="459" spans="2:16" s="62" customFormat="1">
      <c r="B459" s="62" t="s">
        <v>2647</v>
      </c>
      <c r="C459" s="62" t="s">
        <v>494</v>
      </c>
      <c r="I459" s="22"/>
      <c r="K459" s="32">
        <v>13</v>
      </c>
      <c r="L459" s="76"/>
    </row>
    <row r="460" spans="2:16" s="62" customFormat="1">
      <c r="B460" s="62" t="s">
        <v>2648</v>
      </c>
      <c r="C460" s="62" t="s">
        <v>493</v>
      </c>
      <c r="D460" s="62">
        <v>10</v>
      </c>
      <c r="I460" s="22"/>
      <c r="K460" s="32">
        <v>14</v>
      </c>
      <c r="L460" s="76"/>
    </row>
    <row r="461" spans="2:16" s="62" customFormat="1">
      <c r="B461" s="62" t="s">
        <v>2649</v>
      </c>
      <c r="C461" s="62" t="s">
        <v>494</v>
      </c>
      <c r="I461" s="22"/>
      <c r="K461" s="32">
        <v>15</v>
      </c>
      <c r="L461" s="76"/>
    </row>
    <row r="462" spans="2:16" s="62" customFormat="1">
      <c r="B462" s="62" t="s">
        <v>2650</v>
      </c>
      <c r="C462" s="62" t="s">
        <v>493</v>
      </c>
      <c r="D462" s="62">
        <v>10</v>
      </c>
      <c r="I462" s="22"/>
      <c r="K462" s="32">
        <v>16</v>
      </c>
      <c r="L462" s="76"/>
    </row>
    <row r="463" spans="2:16" s="62" customFormat="1">
      <c r="B463" s="62" t="s">
        <v>2906</v>
      </c>
      <c r="C463" s="62" t="s">
        <v>494</v>
      </c>
      <c r="I463" s="22"/>
      <c r="K463" s="32">
        <v>17</v>
      </c>
      <c r="L463" s="76"/>
    </row>
    <row r="464" spans="2:16" s="62" customFormat="1">
      <c r="B464" s="62" t="s">
        <v>2940</v>
      </c>
      <c r="C464" s="62" t="s">
        <v>494</v>
      </c>
      <c r="I464" s="22"/>
      <c r="K464" s="32">
        <v>18</v>
      </c>
      <c r="L464" s="76">
        <v>3</v>
      </c>
      <c r="N464" s="62" t="s">
        <v>2941</v>
      </c>
      <c r="O464" s="62" t="s">
        <v>2942</v>
      </c>
      <c r="P464" s="62" t="s">
        <v>2943</v>
      </c>
    </row>
    <row r="465" spans="1:12" s="62" customFormat="1">
      <c r="B465" s="62" t="s">
        <v>4560</v>
      </c>
      <c r="C465" s="62" t="s">
        <v>493</v>
      </c>
      <c r="D465" s="62">
        <v>100</v>
      </c>
      <c r="I465" s="22"/>
      <c r="K465" s="32">
        <v>19</v>
      </c>
      <c r="L465" s="76"/>
    </row>
    <row r="466" spans="1:12" s="62" customFormat="1">
      <c r="B466" s="62" t="s">
        <v>6068</v>
      </c>
      <c r="C466" s="62" t="s">
        <v>494</v>
      </c>
      <c r="I466" s="22"/>
      <c r="K466" s="32">
        <v>20</v>
      </c>
      <c r="L466" s="76"/>
    </row>
    <row r="467" spans="1:12" s="62" customFormat="1">
      <c r="B467" s="62" t="s">
        <v>6069</v>
      </c>
      <c r="C467" s="62" t="s">
        <v>494</v>
      </c>
      <c r="I467" s="22"/>
      <c r="K467" s="32">
        <v>21</v>
      </c>
      <c r="L467" s="76"/>
    </row>
    <row r="468" spans="1:12" s="62" customFormat="1">
      <c r="B468" s="62" t="s">
        <v>6070</v>
      </c>
      <c r="C468" s="62" t="s">
        <v>494</v>
      </c>
      <c r="I468" s="22"/>
      <c r="K468" s="32">
        <v>22</v>
      </c>
      <c r="L468" s="76"/>
    </row>
    <row r="469" spans="1:12" s="62" customFormat="1">
      <c r="I469" s="22"/>
      <c r="K469" s="32"/>
      <c r="L469" s="76"/>
    </row>
    <row r="470" spans="1:12" s="62" customFormat="1">
      <c r="A470" s="62" t="s">
        <v>6803</v>
      </c>
      <c r="B470" s="62" t="s">
        <v>6804</v>
      </c>
      <c r="C470" s="62" t="s">
        <v>494</v>
      </c>
      <c r="E470" s="62" t="s">
        <v>476</v>
      </c>
      <c r="I470" s="22"/>
      <c r="K470" s="32"/>
      <c r="L470" s="76"/>
    </row>
    <row r="471" spans="1:12" s="62" customFormat="1">
      <c r="B471" s="62" t="s">
        <v>6805</v>
      </c>
      <c r="C471" s="62" t="s">
        <v>494</v>
      </c>
      <c r="E471" s="62" t="s">
        <v>476</v>
      </c>
      <c r="I471" s="22"/>
      <c r="K471" s="32"/>
      <c r="L471" s="76"/>
    </row>
    <row r="472" spans="1:12" s="62" customFormat="1">
      <c r="B472" s="62" t="s">
        <v>6809</v>
      </c>
      <c r="C472" s="62" t="s">
        <v>494</v>
      </c>
      <c r="I472" s="22"/>
      <c r="K472" s="32"/>
      <c r="L472" s="76"/>
    </row>
    <row r="473" spans="1:12" s="62" customFormat="1">
      <c r="B473" s="62" t="s">
        <v>6810</v>
      </c>
      <c r="C473" s="62" t="s">
        <v>494</v>
      </c>
      <c r="I473" s="22"/>
      <c r="K473" s="32"/>
      <c r="L473" s="76"/>
    </row>
    <row r="474" spans="1:12" s="62" customFormat="1">
      <c r="B474" s="62" t="s">
        <v>6811</v>
      </c>
      <c r="C474" s="62" t="s">
        <v>494</v>
      </c>
      <c r="H474" s="62" t="s">
        <v>6815</v>
      </c>
      <c r="I474" s="22"/>
      <c r="K474" s="32"/>
      <c r="L474" s="76"/>
    </row>
    <row r="475" spans="1:12" s="62" customFormat="1">
      <c r="B475" s="62" t="s">
        <v>6812</v>
      </c>
      <c r="C475" s="62" t="s">
        <v>494</v>
      </c>
      <c r="I475" s="22"/>
      <c r="K475" s="32"/>
      <c r="L475" s="76"/>
    </row>
    <row r="476" spans="1:12" s="62" customFormat="1">
      <c r="B476" s="62" t="s">
        <v>6813</v>
      </c>
      <c r="C476" s="62" t="s">
        <v>494</v>
      </c>
      <c r="I476" s="22"/>
      <c r="K476" s="32"/>
      <c r="L476" s="76"/>
    </row>
    <row r="477" spans="1:12" s="62" customFormat="1">
      <c r="B477" s="62" t="s">
        <v>6806</v>
      </c>
      <c r="C477" s="62" t="s">
        <v>493</v>
      </c>
      <c r="D477" s="62">
        <v>50</v>
      </c>
      <c r="I477" s="22"/>
      <c r="K477" s="32"/>
      <c r="L477" s="76"/>
    </row>
    <row r="478" spans="1:12" s="62" customFormat="1">
      <c r="B478" s="62" t="s">
        <v>6807</v>
      </c>
      <c r="C478" s="62" t="s">
        <v>493</v>
      </c>
      <c r="D478" s="62">
        <v>50</v>
      </c>
      <c r="I478" s="22"/>
      <c r="K478" s="32"/>
      <c r="L478" s="76"/>
    </row>
    <row r="479" spans="1:12" s="62" customFormat="1">
      <c r="B479" s="62" t="s">
        <v>6808</v>
      </c>
      <c r="C479" s="62" t="s">
        <v>493</v>
      </c>
      <c r="D479" s="62">
        <v>50</v>
      </c>
      <c r="I479" s="22"/>
      <c r="K479" s="32"/>
      <c r="L479" s="76"/>
    </row>
    <row r="480" spans="1:12" s="62" customFormat="1">
      <c r="B480" s="62" t="s">
        <v>6814</v>
      </c>
      <c r="C480" s="62" t="s">
        <v>494</v>
      </c>
      <c r="I480" s="22"/>
      <c r="K480" s="32"/>
      <c r="L480" s="76"/>
    </row>
    <row r="481" spans="1:12" s="62" customFormat="1">
      <c r="I481" s="22"/>
      <c r="K481" s="32"/>
      <c r="L481" s="76"/>
    </row>
    <row r="482" spans="1:12" s="62" customFormat="1">
      <c r="A482" s="62" t="s">
        <v>2941</v>
      </c>
      <c r="B482" s="62" t="s">
        <v>2942</v>
      </c>
      <c r="C482" s="62" t="s">
        <v>494</v>
      </c>
      <c r="E482" s="62" t="s">
        <v>476</v>
      </c>
      <c r="I482" s="22"/>
      <c r="K482" s="32"/>
      <c r="L482" s="76"/>
    </row>
    <row r="483" spans="1:12" s="62" customFormat="1">
      <c r="B483" s="62" t="s">
        <v>2943</v>
      </c>
      <c r="C483" s="62" t="s">
        <v>493</v>
      </c>
      <c r="D483" s="62">
        <v>40</v>
      </c>
      <c r="H483" s="62" t="s">
        <v>2944</v>
      </c>
      <c r="I483" s="22"/>
      <c r="K483" s="32"/>
      <c r="L483" s="76"/>
    </row>
    <row r="484" spans="1:12" s="62" customFormat="1">
      <c r="I484" s="22"/>
      <c r="K484" s="32"/>
      <c r="L484" s="76"/>
    </row>
    <row r="485" spans="1:12" s="62" customFormat="1">
      <c r="A485" s="62" t="s">
        <v>2945</v>
      </c>
      <c r="B485" s="62" t="s">
        <v>2946</v>
      </c>
      <c r="C485" s="62" t="s">
        <v>494</v>
      </c>
      <c r="E485" s="62" t="s">
        <v>476</v>
      </c>
      <c r="F485" s="62">
        <v>15</v>
      </c>
      <c r="G485" s="62">
        <v>1582</v>
      </c>
      <c r="H485" s="62" t="s">
        <v>2955</v>
      </c>
      <c r="I485" s="22" t="s">
        <v>2956</v>
      </c>
      <c r="J485" s="62">
        <v>1</v>
      </c>
      <c r="K485" s="32">
        <v>1</v>
      </c>
      <c r="L485" s="76"/>
    </row>
    <row r="486" spans="1:12" s="62" customFormat="1">
      <c r="B486" s="62" t="s">
        <v>2953</v>
      </c>
      <c r="C486" s="62" t="s">
        <v>494</v>
      </c>
      <c r="E486" s="62" t="s">
        <v>476</v>
      </c>
      <c r="I486" s="22"/>
      <c r="K486" s="32">
        <v>2</v>
      </c>
      <c r="L486" s="76">
        <v>6</v>
      </c>
    </row>
    <row r="487" spans="1:12" s="62" customFormat="1">
      <c r="B487" s="62" t="s">
        <v>2954</v>
      </c>
      <c r="C487" s="62" t="s">
        <v>494</v>
      </c>
      <c r="I487" s="22"/>
      <c r="K487" s="32">
        <v>3</v>
      </c>
      <c r="L487" s="76">
        <v>6</v>
      </c>
    </row>
    <row r="488" spans="1:12" s="62" customFormat="1">
      <c r="B488" s="62" t="s">
        <v>2951</v>
      </c>
      <c r="C488" s="62" t="s">
        <v>493</v>
      </c>
      <c r="D488" s="62">
        <v>50</v>
      </c>
      <c r="I488" s="22"/>
      <c r="K488" s="32">
        <v>4</v>
      </c>
      <c r="L488" s="76"/>
    </row>
    <row r="489" spans="1:12" s="62" customFormat="1">
      <c r="B489" s="62" t="s">
        <v>2947</v>
      </c>
      <c r="C489" s="62" t="s">
        <v>494</v>
      </c>
      <c r="I489" s="22"/>
      <c r="K489" s="32">
        <v>5</v>
      </c>
      <c r="L489" s="76"/>
    </row>
    <row r="490" spans="1:12" s="62" customFormat="1">
      <c r="B490" s="62" t="s">
        <v>2948</v>
      </c>
      <c r="C490" s="62" t="s">
        <v>493</v>
      </c>
      <c r="D490" s="62">
        <v>10</v>
      </c>
      <c r="I490" s="22"/>
      <c r="K490" s="32">
        <v>6</v>
      </c>
      <c r="L490" s="76"/>
    </row>
    <row r="491" spans="1:12" s="62" customFormat="1">
      <c r="B491" s="62" t="s">
        <v>2949</v>
      </c>
      <c r="C491" s="62" t="s">
        <v>494</v>
      </c>
      <c r="I491" s="22"/>
      <c r="K491" s="32">
        <v>7</v>
      </c>
      <c r="L491" s="76"/>
    </row>
    <row r="492" spans="1:12" s="62" customFormat="1">
      <c r="B492" s="62" t="s">
        <v>2950</v>
      </c>
      <c r="C492" s="62" t="s">
        <v>493</v>
      </c>
      <c r="D492" s="62">
        <v>10</v>
      </c>
      <c r="I492" s="22"/>
      <c r="K492" s="32">
        <v>8</v>
      </c>
      <c r="L492" s="76"/>
    </row>
    <row r="493" spans="1:12" s="62" customFormat="1">
      <c r="B493" s="62" t="s">
        <v>2952</v>
      </c>
      <c r="C493" s="62" t="s">
        <v>494</v>
      </c>
      <c r="I493" s="22"/>
      <c r="K493" s="32">
        <v>9</v>
      </c>
      <c r="L493" s="76"/>
    </row>
    <row r="494" spans="1:12" s="62" customFormat="1">
      <c r="I494" s="22"/>
      <c r="K494" s="32"/>
      <c r="L494" s="76"/>
    </row>
    <row r="495" spans="1:12" s="62" customFormat="1">
      <c r="A495" s="62" t="s">
        <v>2959</v>
      </c>
      <c r="B495" s="62" t="s">
        <v>2960</v>
      </c>
      <c r="C495" s="62" t="s">
        <v>494</v>
      </c>
      <c r="E495" s="62" t="s">
        <v>476</v>
      </c>
      <c r="F495" s="62">
        <v>1</v>
      </c>
      <c r="G495" s="62">
        <v>183</v>
      </c>
      <c r="H495" s="62" t="s">
        <v>2970</v>
      </c>
      <c r="I495" s="22" t="s">
        <v>2971</v>
      </c>
      <c r="J495" s="62">
        <v>6</v>
      </c>
      <c r="K495" s="32">
        <v>1</v>
      </c>
      <c r="L495" s="76">
        <v>6</v>
      </c>
    </row>
    <row r="496" spans="1:12" s="62" customFormat="1">
      <c r="B496" s="62" t="s">
        <v>2961</v>
      </c>
      <c r="C496" s="62" t="s">
        <v>494</v>
      </c>
      <c r="I496" s="22"/>
      <c r="K496" s="32">
        <v>2</v>
      </c>
      <c r="L496" s="76">
        <v>6</v>
      </c>
    </row>
    <row r="497" spans="1:18" s="62" customFormat="1">
      <c r="B497" s="62" t="s">
        <v>2969</v>
      </c>
      <c r="C497" s="62" t="s">
        <v>493</v>
      </c>
      <c r="D497" s="62">
        <v>1</v>
      </c>
      <c r="I497" s="22"/>
      <c r="K497" s="32">
        <v>3</v>
      </c>
      <c r="L497" s="76">
        <v>30</v>
      </c>
    </row>
    <row r="498" spans="1:18" s="62" customFormat="1">
      <c r="B498" s="62" t="s">
        <v>2962</v>
      </c>
      <c r="C498" s="62" t="s">
        <v>494</v>
      </c>
      <c r="I498" s="22"/>
      <c r="K498" s="32">
        <v>4</v>
      </c>
      <c r="L498" s="76">
        <v>8</v>
      </c>
    </row>
    <row r="499" spans="1:18" s="62" customFormat="1">
      <c r="B499" s="62" t="s">
        <v>2963</v>
      </c>
      <c r="C499" s="62" t="s">
        <v>494</v>
      </c>
      <c r="I499" s="22"/>
      <c r="K499" s="32">
        <v>5</v>
      </c>
      <c r="L499" s="76">
        <v>7</v>
      </c>
    </row>
    <row r="500" spans="1:18" s="62" customFormat="1">
      <c r="B500" s="62" t="s">
        <v>2964</v>
      </c>
      <c r="C500" s="62" t="s">
        <v>520</v>
      </c>
      <c r="I500" s="22"/>
      <c r="K500" s="32">
        <v>6</v>
      </c>
      <c r="L500" s="76"/>
    </row>
    <row r="501" spans="1:18" s="62" customFormat="1">
      <c r="B501" s="62" t="s">
        <v>2965</v>
      </c>
      <c r="C501" s="62" t="s">
        <v>494</v>
      </c>
      <c r="I501" s="22"/>
      <c r="K501" s="32">
        <v>7</v>
      </c>
      <c r="L501" s="76">
        <v>8</v>
      </c>
      <c r="M501" s="62">
        <v>1</v>
      </c>
    </row>
    <row r="502" spans="1:18" s="62" customFormat="1">
      <c r="B502" s="62" t="s">
        <v>2966</v>
      </c>
      <c r="C502" s="62" t="s">
        <v>494</v>
      </c>
      <c r="I502" s="22"/>
      <c r="K502" s="32">
        <v>8</v>
      </c>
      <c r="L502" s="76">
        <v>7</v>
      </c>
      <c r="M502" s="62">
        <v>1</v>
      </c>
    </row>
    <row r="503" spans="1:18" s="62" customFormat="1">
      <c r="B503" s="62" t="s">
        <v>2967</v>
      </c>
      <c r="C503" s="62" t="s">
        <v>494</v>
      </c>
      <c r="I503" s="22"/>
      <c r="K503" s="32">
        <v>9</v>
      </c>
      <c r="L503" s="76"/>
      <c r="M503" s="62">
        <v>73</v>
      </c>
    </row>
    <row r="504" spans="1:18" s="62" customFormat="1">
      <c r="B504" s="62" t="s">
        <v>2968</v>
      </c>
      <c r="C504" s="62" t="s">
        <v>494</v>
      </c>
      <c r="I504" s="22"/>
      <c r="K504" s="32">
        <v>10</v>
      </c>
      <c r="L504" s="76"/>
      <c r="M504" s="62">
        <v>74</v>
      </c>
    </row>
    <row r="505" spans="1:18" s="62" customFormat="1">
      <c r="I505" s="22"/>
      <c r="K505" s="32"/>
      <c r="L505" s="76"/>
    </row>
    <row r="506" spans="1:18" s="1" customFormat="1">
      <c r="A506" s="62" t="s">
        <v>2991</v>
      </c>
      <c r="B506" s="60" t="s">
        <v>2992</v>
      </c>
      <c r="C506" s="62" t="s">
        <v>494</v>
      </c>
      <c r="E506" s="62" t="s">
        <v>476</v>
      </c>
      <c r="F506" s="14"/>
      <c r="G506" s="14"/>
      <c r="H506" s="14"/>
      <c r="I506" s="11"/>
      <c r="J506" s="14"/>
      <c r="K506" s="16"/>
      <c r="L506" s="15"/>
      <c r="M506" s="14"/>
      <c r="P506" s="23"/>
      <c r="Q506" s="14"/>
      <c r="R506" s="14"/>
    </row>
    <row r="507" spans="1:18" s="1" customFormat="1">
      <c r="A507" s="62"/>
      <c r="B507" s="60" t="s">
        <v>2993</v>
      </c>
      <c r="C507" s="62" t="s">
        <v>493</v>
      </c>
      <c r="D507" s="1">
        <v>50</v>
      </c>
      <c r="F507" s="14"/>
      <c r="G507" s="14"/>
      <c r="H507" s="14"/>
      <c r="I507" s="11"/>
      <c r="J507" s="14"/>
      <c r="K507" s="16"/>
      <c r="L507" s="15"/>
      <c r="M507" s="14"/>
      <c r="P507" s="23"/>
      <c r="Q507" s="14"/>
      <c r="R507" s="14"/>
    </row>
    <row r="508" spans="1:18" s="1" customFormat="1">
      <c r="A508" s="62"/>
      <c r="B508" s="60" t="s">
        <v>2995</v>
      </c>
      <c r="C508" s="62" t="s">
        <v>494</v>
      </c>
      <c r="F508" s="14"/>
      <c r="G508" s="14"/>
      <c r="H508" s="14"/>
      <c r="I508" s="11"/>
      <c r="J508" s="14"/>
      <c r="K508" s="16"/>
      <c r="L508" s="15"/>
      <c r="M508" s="14"/>
      <c r="P508" s="23"/>
      <c r="Q508" s="14"/>
      <c r="R508" s="14"/>
    </row>
    <row r="509" spans="1:18" s="1" customFormat="1">
      <c r="A509" s="62"/>
      <c r="B509" s="60"/>
      <c r="C509" s="62"/>
      <c r="F509" s="14"/>
      <c r="G509" s="14"/>
      <c r="H509" s="14"/>
      <c r="I509" s="11"/>
      <c r="J509" s="14"/>
      <c r="K509" s="16"/>
      <c r="L509" s="15"/>
      <c r="M509" s="14"/>
      <c r="P509" s="23"/>
      <c r="Q509" s="14"/>
      <c r="R509" s="14"/>
    </row>
    <row r="510" spans="1:18" s="1" customFormat="1">
      <c r="A510" s="62" t="s">
        <v>2999</v>
      </c>
      <c r="B510" s="60" t="s">
        <v>3000</v>
      </c>
      <c r="C510" s="62" t="s">
        <v>494</v>
      </c>
      <c r="E510" s="62" t="s">
        <v>476</v>
      </c>
      <c r="F510" s="14">
        <v>1</v>
      </c>
      <c r="G510" s="14">
        <v>185</v>
      </c>
      <c r="H510" s="47" t="s">
        <v>3001</v>
      </c>
      <c r="I510" s="48" t="s">
        <v>3002</v>
      </c>
      <c r="J510" s="14">
        <v>1</v>
      </c>
      <c r="K510" s="16">
        <v>1</v>
      </c>
      <c r="L510" s="15">
        <v>6</v>
      </c>
      <c r="M510" s="14"/>
      <c r="P510" s="23"/>
      <c r="Q510" s="14"/>
      <c r="R510" s="14"/>
    </row>
    <row r="511" spans="1:18" s="1" customFormat="1">
      <c r="A511" s="62"/>
      <c r="B511" s="60" t="s">
        <v>2997</v>
      </c>
      <c r="C511" s="62" t="s">
        <v>494</v>
      </c>
      <c r="E511" s="62"/>
      <c r="F511" s="14"/>
      <c r="G511" s="14"/>
      <c r="H511" s="14"/>
      <c r="I511" s="11"/>
      <c r="J511" s="14"/>
      <c r="K511" s="16">
        <v>2</v>
      </c>
      <c r="L511" s="15">
        <v>6</v>
      </c>
      <c r="M511" s="14"/>
      <c r="P511" s="23"/>
      <c r="Q511" s="14"/>
      <c r="R511" s="14"/>
    </row>
    <row r="512" spans="1:18" s="1" customFormat="1">
      <c r="A512" s="62"/>
      <c r="B512" s="60" t="s">
        <v>2998</v>
      </c>
      <c r="C512" s="62" t="s">
        <v>493</v>
      </c>
      <c r="D512" s="1">
        <v>50</v>
      </c>
      <c r="F512" s="14"/>
      <c r="G512" s="14"/>
      <c r="H512" s="14"/>
      <c r="I512" s="11"/>
      <c r="J512" s="14"/>
      <c r="K512" s="16">
        <v>3</v>
      </c>
      <c r="L512" s="15"/>
      <c r="M512" s="14"/>
      <c r="P512" s="23"/>
      <c r="Q512" s="14"/>
      <c r="R512" s="14"/>
    </row>
    <row r="513" spans="1:18" s="1" customFormat="1">
      <c r="A513" s="62"/>
      <c r="B513" s="60"/>
      <c r="C513" s="62"/>
      <c r="F513" s="14"/>
      <c r="G513" s="14"/>
      <c r="H513" s="14"/>
      <c r="I513" s="11"/>
      <c r="J513" s="14"/>
      <c r="K513" s="16"/>
      <c r="L513" s="15"/>
      <c r="M513" s="14"/>
      <c r="P513" s="23"/>
      <c r="Q513" s="14"/>
      <c r="R513" s="14"/>
    </row>
    <row r="514" spans="1:18" s="1" customFormat="1">
      <c r="A514" s="62" t="s">
        <v>5943</v>
      </c>
      <c r="B514" s="60" t="s">
        <v>5944</v>
      </c>
      <c r="C514" s="62" t="s">
        <v>494</v>
      </c>
      <c r="E514" s="62" t="s">
        <v>476</v>
      </c>
      <c r="F514" s="14"/>
      <c r="G514" s="14"/>
      <c r="H514" s="14"/>
      <c r="I514" s="11"/>
      <c r="J514" s="14"/>
      <c r="K514" s="16"/>
      <c r="L514" s="15"/>
      <c r="M514" s="14"/>
      <c r="P514" s="23"/>
      <c r="Q514" s="14"/>
      <c r="R514" s="14"/>
    </row>
    <row r="515" spans="1:18" s="1" customFormat="1">
      <c r="A515" s="62"/>
      <c r="B515" s="60" t="s">
        <v>5945</v>
      </c>
      <c r="C515" s="62" t="s">
        <v>493</v>
      </c>
      <c r="D515" s="1">
        <v>20</v>
      </c>
      <c r="F515" s="14"/>
      <c r="G515" s="14"/>
      <c r="H515" s="14"/>
      <c r="I515" s="11"/>
      <c r="J515" s="14"/>
      <c r="K515" s="16"/>
      <c r="L515" s="15"/>
      <c r="M515" s="14"/>
      <c r="P515" s="23"/>
      <c r="Q515" s="14"/>
      <c r="R515" s="14"/>
    </row>
    <row r="516" spans="1:18" s="1" customFormat="1">
      <c r="A516" s="62"/>
      <c r="B516" s="60" t="s">
        <v>5946</v>
      </c>
      <c r="C516" s="62" t="s">
        <v>494</v>
      </c>
      <c r="F516" s="14"/>
      <c r="G516" s="14"/>
      <c r="H516" s="14"/>
      <c r="I516" s="11"/>
      <c r="J516" s="14"/>
      <c r="K516" s="16"/>
      <c r="L516" s="15"/>
      <c r="M516" s="14"/>
      <c r="P516" s="23"/>
      <c r="Q516" s="14"/>
      <c r="R516" s="14"/>
    </row>
    <row r="517" spans="1:18" s="1" customFormat="1">
      <c r="A517" s="62"/>
      <c r="B517" s="60"/>
      <c r="C517" s="62"/>
      <c r="F517" s="14"/>
      <c r="G517" s="14"/>
      <c r="H517" s="14"/>
      <c r="I517" s="11"/>
      <c r="J517" s="14"/>
      <c r="K517" s="16"/>
      <c r="L517" s="15"/>
      <c r="M517" s="14"/>
      <c r="P517" s="23"/>
      <c r="Q517" s="14"/>
      <c r="R517" s="14"/>
    </row>
    <row r="518" spans="1:18" s="1" customFormat="1">
      <c r="A518" s="62" t="s">
        <v>2915</v>
      </c>
      <c r="B518" s="60" t="s">
        <v>2916</v>
      </c>
      <c r="C518" s="62" t="s">
        <v>494</v>
      </c>
      <c r="E518" s="62" t="s">
        <v>476</v>
      </c>
      <c r="F518" s="14">
        <v>1</v>
      </c>
      <c r="G518" s="14">
        <v>188</v>
      </c>
      <c r="H518" s="47" t="s">
        <v>2920</v>
      </c>
      <c r="I518" s="48" t="s">
        <v>2921</v>
      </c>
      <c r="J518" s="14">
        <v>2</v>
      </c>
      <c r="K518" s="16">
        <v>1</v>
      </c>
      <c r="L518" s="15"/>
      <c r="M518" s="14"/>
      <c r="P518" s="23"/>
      <c r="Q518" s="14"/>
      <c r="R518" s="14"/>
    </row>
    <row r="519" spans="1:18" s="1" customFormat="1">
      <c r="A519" s="62"/>
      <c r="B519" s="60" t="s">
        <v>2919</v>
      </c>
      <c r="C519" s="62" t="s">
        <v>494</v>
      </c>
      <c r="F519" s="14"/>
      <c r="G519" s="14"/>
      <c r="H519" s="14"/>
      <c r="I519" s="11"/>
      <c r="J519" s="14"/>
      <c r="K519" s="16">
        <v>2</v>
      </c>
      <c r="L519" s="15">
        <v>3</v>
      </c>
      <c r="M519" s="14"/>
      <c r="P519" s="23"/>
      <c r="Q519" s="14"/>
      <c r="R519" s="14"/>
    </row>
    <row r="520" spans="1:18" s="1" customFormat="1">
      <c r="A520" s="62"/>
      <c r="B520" s="60" t="s">
        <v>2918</v>
      </c>
      <c r="C520" s="62" t="s">
        <v>494</v>
      </c>
      <c r="F520" s="14"/>
      <c r="G520" s="14"/>
      <c r="H520" s="14"/>
      <c r="I520" s="11"/>
      <c r="J520" s="14"/>
      <c r="K520" s="16">
        <v>3</v>
      </c>
      <c r="L520" s="15">
        <v>3</v>
      </c>
      <c r="M520" s="14"/>
      <c r="P520" s="23"/>
      <c r="Q520" s="14"/>
      <c r="R520" s="14"/>
    </row>
    <row r="521" spans="1:18" s="1" customFormat="1">
      <c r="A521" s="62"/>
      <c r="B521" s="60" t="s">
        <v>2917</v>
      </c>
      <c r="C521" s="62" t="s">
        <v>520</v>
      </c>
      <c r="F521" s="14"/>
      <c r="G521" s="14"/>
      <c r="H521" s="14"/>
      <c r="I521" s="11"/>
      <c r="J521" s="14"/>
      <c r="K521" s="16">
        <v>4</v>
      </c>
      <c r="L521" s="15"/>
      <c r="M521" s="14"/>
      <c r="P521" s="23"/>
      <c r="Q521" s="14"/>
      <c r="R521" s="14"/>
    </row>
    <row r="522" spans="1:18" s="1" customFormat="1">
      <c r="A522" s="62"/>
      <c r="B522" s="60" t="s">
        <v>3015</v>
      </c>
      <c r="C522" s="62" t="s">
        <v>493</v>
      </c>
      <c r="D522" s="1">
        <v>1</v>
      </c>
      <c r="F522" s="14"/>
      <c r="G522" s="14"/>
      <c r="H522" s="14"/>
      <c r="I522" s="11"/>
      <c r="J522" s="14"/>
      <c r="K522" s="16">
        <v>5</v>
      </c>
      <c r="L522" s="15">
        <v>3</v>
      </c>
      <c r="M522" s="14"/>
      <c r="P522" s="23"/>
      <c r="Q522" s="14"/>
      <c r="R522" s="14"/>
    </row>
    <row r="523" spans="1:18" s="1" customFormat="1">
      <c r="A523" s="62"/>
      <c r="B523" s="60" t="s">
        <v>3017</v>
      </c>
      <c r="C523" s="62" t="s">
        <v>493</v>
      </c>
      <c r="D523" s="1">
        <v>1</v>
      </c>
      <c r="F523" s="14"/>
      <c r="G523" s="14"/>
      <c r="H523" s="14"/>
      <c r="I523" s="11"/>
      <c r="J523" s="14"/>
      <c r="K523" s="16">
        <v>6</v>
      </c>
      <c r="L523" s="15">
        <v>3</v>
      </c>
      <c r="M523" s="14"/>
      <c r="P523" s="23"/>
      <c r="Q523" s="14"/>
      <c r="R523" s="14"/>
    </row>
    <row r="524" spans="1:18" s="1" customFormat="1">
      <c r="A524" s="62"/>
      <c r="B524" s="60" t="s">
        <v>3018</v>
      </c>
      <c r="C524" s="62" t="s">
        <v>493</v>
      </c>
      <c r="D524" s="1">
        <v>1</v>
      </c>
      <c r="F524" s="14"/>
      <c r="G524" s="14"/>
      <c r="H524" s="14"/>
      <c r="I524" s="11"/>
      <c r="J524" s="14"/>
      <c r="K524" s="16">
        <v>7</v>
      </c>
      <c r="L524" s="15">
        <v>3</v>
      </c>
      <c r="M524" s="14"/>
      <c r="P524" s="23"/>
      <c r="Q524" s="14"/>
      <c r="R524" s="14"/>
    </row>
    <row r="525" spans="1:18" s="1" customFormat="1">
      <c r="A525" s="62"/>
      <c r="B525" s="60" t="s">
        <v>3016</v>
      </c>
      <c r="C525" s="62" t="s">
        <v>493</v>
      </c>
      <c r="D525" s="1">
        <v>1</v>
      </c>
      <c r="F525" s="14"/>
      <c r="G525" s="14"/>
      <c r="H525" s="14"/>
      <c r="I525" s="11"/>
      <c r="J525" s="14"/>
      <c r="K525" s="16">
        <v>8</v>
      </c>
      <c r="L525" s="15">
        <v>3</v>
      </c>
      <c r="M525" s="14"/>
      <c r="P525" s="23"/>
      <c r="Q525" s="14"/>
      <c r="R525" s="14"/>
    </row>
    <row r="526" spans="1:18" s="1" customFormat="1">
      <c r="A526" s="62"/>
      <c r="B526" s="60" t="s">
        <v>3014</v>
      </c>
      <c r="C526" s="62" t="s">
        <v>494</v>
      </c>
      <c r="F526" s="14"/>
      <c r="G526" s="14"/>
      <c r="H526" s="14"/>
      <c r="I526" s="11"/>
      <c r="J526" s="14"/>
      <c r="K526" s="16">
        <v>9</v>
      </c>
      <c r="L526" s="15">
        <v>3</v>
      </c>
      <c r="M526" s="14"/>
      <c r="P526" s="23"/>
      <c r="Q526" s="14"/>
      <c r="R526" s="14"/>
    </row>
    <row r="527" spans="1:18">
      <c r="B527" s="60" t="s">
        <v>3019</v>
      </c>
      <c r="C527" s="62" t="s">
        <v>520</v>
      </c>
      <c r="K527" s="16">
        <v>10</v>
      </c>
    </row>
    <row r="528" spans="1:18">
      <c r="B528" s="60" t="s">
        <v>3021</v>
      </c>
      <c r="C528" s="62" t="s">
        <v>493</v>
      </c>
      <c r="D528">
        <v>1</v>
      </c>
      <c r="K528" s="57">
        <v>11</v>
      </c>
    </row>
    <row r="529" spans="1:15">
      <c r="B529" s="67" t="s">
        <v>3042</v>
      </c>
      <c r="C529" s="62" t="s">
        <v>493</v>
      </c>
      <c r="D529">
        <v>1</v>
      </c>
      <c r="K529" s="57">
        <v>12</v>
      </c>
      <c r="L529" s="55">
        <v>3</v>
      </c>
    </row>
    <row r="530" spans="1:15">
      <c r="B530" s="67" t="s">
        <v>3076</v>
      </c>
      <c r="C530" s="62" t="s">
        <v>493</v>
      </c>
      <c r="D530">
        <v>100</v>
      </c>
      <c r="K530" s="57">
        <v>13</v>
      </c>
      <c r="L530" s="55"/>
    </row>
    <row r="531" spans="1:15">
      <c r="B531" s="67" t="s">
        <v>3077</v>
      </c>
      <c r="C531" s="62" t="s">
        <v>493</v>
      </c>
      <c r="D531">
        <v>100</v>
      </c>
      <c r="K531" s="57">
        <v>14</v>
      </c>
      <c r="L531" s="55"/>
    </row>
    <row r="532" spans="1:15">
      <c r="B532" s="67" t="s">
        <v>3887</v>
      </c>
      <c r="C532" s="62" t="s">
        <v>493</v>
      </c>
      <c r="D532">
        <v>1</v>
      </c>
      <c r="K532" s="57">
        <v>15</v>
      </c>
      <c r="L532" s="55">
        <v>3</v>
      </c>
    </row>
    <row r="533" spans="1:15">
      <c r="B533" s="67" t="s">
        <v>4223</v>
      </c>
      <c r="C533" s="62" t="s">
        <v>493</v>
      </c>
      <c r="D533">
        <v>1</v>
      </c>
      <c r="K533" s="57">
        <v>16</v>
      </c>
      <c r="L533" s="55">
        <v>3</v>
      </c>
    </row>
    <row r="534" spans="1:15">
      <c r="B534" s="67" t="s">
        <v>4224</v>
      </c>
      <c r="C534" s="62" t="s">
        <v>493</v>
      </c>
      <c r="D534">
        <v>1</v>
      </c>
      <c r="K534" s="57">
        <v>17</v>
      </c>
      <c r="L534" s="55">
        <v>3</v>
      </c>
    </row>
    <row r="535" spans="1:15">
      <c r="B535" s="67" t="s">
        <v>4225</v>
      </c>
      <c r="C535" s="62" t="s">
        <v>493</v>
      </c>
      <c r="D535">
        <v>1</v>
      </c>
      <c r="K535" s="57">
        <v>18</v>
      </c>
      <c r="L535" s="55">
        <v>3</v>
      </c>
    </row>
    <row r="537" spans="1:15">
      <c r="A537" s="62" t="s">
        <v>3022</v>
      </c>
      <c r="B537" s="60" t="s">
        <v>3023</v>
      </c>
      <c r="C537" s="62" t="s">
        <v>494</v>
      </c>
      <c r="E537" s="62" t="s">
        <v>476</v>
      </c>
      <c r="F537">
        <v>1</v>
      </c>
      <c r="G537">
        <v>189</v>
      </c>
      <c r="H537" s="62" t="s">
        <v>3028</v>
      </c>
      <c r="J537">
        <v>2</v>
      </c>
      <c r="K537" s="57">
        <v>1</v>
      </c>
      <c r="L537">
        <v>52</v>
      </c>
      <c r="N537">
        <v>188</v>
      </c>
      <c r="O537" s="62" t="s">
        <v>2916</v>
      </c>
    </row>
    <row r="538" spans="1:15">
      <c r="B538" s="60" t="s">
        <v>3024</v>
      </c>
      <c r="C538" s="62" t="s">
        <v>494</v>
      </c>
      <c r="E538" s="62" t="s">
        <v>476</v>
      </c>
      <c r="K538" s="57">
        <v>2</v>
      </c>
      <c r="L538">
        <v>3</v>
      </c>
    </row>
    <row r="539" spans="1:15">
      <c r="B539" s="60" t="s">
        <v>3025</v>
      </c>
      <c r="C539" s="62" t="s">
        <v>494</v>
      </c>
      <c r="K539" s="57">
        <v>3</v>
      </c>
      <c r="L539">
        <v>6</v>
      </c>
    </row>
    <row r="540" spans="1:15">
      <c r="B540" s="60" t="s">
        <v>3026</v>
      </c>
      <c r="C540" s="62" t="s">
        <v>493</v>
      </c>
      <c r="D540">
        <v>1</v>
      </c>
      <c r="K540" s="57">
        <v>4</v>
      </c>
      <c r="L540">
        <v>3</v>
      </c>
    </row>
    <row r="541" spans="1:15">
      <c r="B541" s="60" t="s">
        <v>3027</v>
      </c>
      <c r="C541" s="62" t="s">
        <v>494</v>
      </c>
      <c r="K541" s="57">
        <v>5</v>
      </c>
    </row>
    <row r="543" spans="1:15">
      <c r="A543" s="62" t="s">
        <v>3095</v>
      </c>
      <c r="B543" s="60" t="s">
        <v>3097</v>
      </c>
      <c r="C543" s="62" t="s">
        <v>493</v>
      </c>
      <c r="D543">
        <v>50</v>
      </c>
      <c r="E543" s="62" t="s">
        <v>476</v>
      </c>
      <c r="F543">
        <v>1</v>
      </c>
      <c r="G543">
        <v>190</v>
      </c>
      <c r="H543" s="62" t="s">
        <v>3105</v>
      </c>
      <c r="I543" s="62" t="s">
        <v>3106</v>
      </c>
      <c r="J543">
        <v>6</v>
      </c>
      <c r="K543" s="57">
        <v>1</v>
      </c>
    </row>
    <row r="544" spans="1:15">
      <c r="B544" s="60" t="s">
        <v>3096</v>
      </c>
      <c r="C544" s="62" t="s">
        <v>494</v>
      </c>
      <c r="K544" s="57">
        <v>2</v>
      </c>
      <c r="L544">
        <v>6</v>
      </c>
    </row>
    <row r="545" spans="1:16">
      <c r="B545" s="60" t="s">
        <v>3098</v>
      </c>
      <c r="C545" s="62" t="s">
        <v>494</v>
      </c>
      <c r="H545" s="61" t="s">
        <v>3099</v>
      </c>
      <c r="K545" s="57">
        <v>3</v>
      </c>
      <c r="L545">
        <v>3</v>
      </c>
      <c r="N545" s="62" t="s">
        <v>3113</v>
      </c>
      <c r="O545" s="62" t="s">
        <v>3114</v>
      </c>
      <c r="P545" s="62" t="s">
        <v>3115</v>
      </c>
    </row>
    <row r="546" spans="1:16" s="62" customFormat="1">
      <c r="B546" s="62" t="s">
        <v>3100</v>
      </c>
      <c r="C546" s="62" t="s">
        <v>494</v>
      </c>
      <c r="I546" s="22"/>
      <c r="K546" s="57">
        <v>4</v>
      </c>
      <c r="L546" s="76"/>
      <c r="M546" s="62">
        <v>1</v>
      </c>
    </row>
    <row r="547" spans="1:16" s="62" customFormat="1">
      <c r="B547" s="62" t="s">
        <v>3101</v>
      </c>
      <c r="C547" s="62" t="s">
        <v>493</v>
      </c>
      <c r="D547" s="62">
        <v>10</v>
      </c>
      <c r="I547" s="22"/>
      <c r="K547" s="57">
        <v>5</v>
      </c>
      <c r="L547" s="76"/>
      <c r="M547" s="62">
        <v>1</v>
      </c>
    </row>
    <row r="548" spans="1:16" s="62" customFormat="1">
      <c r="B548" s="62" t="s">
        <v>3102</v>
      </c>
      <c r="C548" s="62" t="s">
        <v>494</v>
      </c>
      <c r="I548" s="22"/>
      <c r="K548" s="57">
        <v>6</v>
      </c>
      <c r="L548" s="76"/>
      <c r="M548" s="62">
        <v>1</v>
      </c>
    </row>
    <row r="549" spans="1:16" s="62" customFormat="1">
      <c r="B549" s="62" t="s">
        <v>3103</v>
      </c>
      <c r="C549" s="62" t="s">
        <v>493</v>
      </c>
      <c r="D549" s="62">
        <v>10</v>
      </c>
      <c r="I549" s="22"/>
      <c r="K549" s="57">
        <v>7</v>
      </c>
      <c r="L549" s="76"/>
      <c r="M549" s="62">
        <v>1</v>
      </c>
    </row>
    <row r="550" spans="1:16">
      <c r="B550" s="62" t="s">
        <v>3104</v>
      </c>
      <c r="C550" s="62" t="s">
        <v>520</v>
      </c>
      <c r="K550" s="57">
        <v>8</v>
      </c>
    </row>
    <row r="551" spans="1:16">
      <c r="B551" s="62" t="s">
        <v>3118</v>
      </c>
      <c r="C551" s="62" t="s">
        <v>494</v>
      </c>
      <c r="K551" s="57">
        <v>9</v>
      </c>
      <c r="L551">
        <v>7</v>
      </c>
      <c r="M551">
        <v>1</v>
      </c>
    </row>
    <row r="552" spans="1:16">
      <c r="B552" s="62" t="s">
        <v>3119</v>
      </c>
      <c r="C552" s="62" t="s">
        <v>493</v>
      </c>
      <c r="D552">
        <v>250</v>
      </c>
      <c r="K552" s="57">
        <v>10</v>
      </c>
      <c r="M552">
        <v>1</v>
      </c>
    </row>
    <row r="553" spans="1:16">
      <c r="B553" s="62" t="s">
        <v>3120</v>
      </c>
      <c r="C553" s="62" t="s">
        <v>493</v>
      </c>
      <c r="D553">
        <v>10</v>
      </c>
      <c r="K553" s="57">
        <v>11</v>
      </c>
      <c r="M553">
        <v>1</v>
      </c>
    </row>
    <row r="554" spans="1:16">
      <c r="B554" s="62" t="s">
        <v>3121</v>
      </c>
      <c r="C554" s="62" t="s">
        <v>493</v>
      </c>
      <c r="D554">
        <v>50</v>
      </c>
      <c r="K554" s="57">
        <v>12</v>
      </c>
      <c r="M554">
        <v>1</v>
      </c>
    </row>
    <row r="555" spans="1:16">
      <c r="B555" s="62" t="s">
        <v>3122</v>
      </c>
      <c r="C555" s="62" t="s">
        <v>493</v>
      </c>
      <c r="D555">
        <v>20</v>
      </c>
      <c r="K555" s="57">
        <v>13</v>
      </c>
      <c r="M555">
        <v>1</v>
      </c>
    </row>
    <row r="557" spans="1:16">
      <c r="A557" s="62" t="s">
        <v>3107</v>
      </c>
      <c r="B557" s="62" t="s">
        <v>3108</v>
      </c>
      <c r="C557" s="62" t="s">
        <v>494</v>
      </c>
      <c r="E557" s="62" t="s">
        <v>476</v>
      </c>
      <c r="F557">
        <v>1</v>
      </c>
      <c r="G557">
        <v>191</v>
      </c>
      <c r="H557" s="62" t="s">
        <v>3112</v>
      </c>
      <c r="J557">
        <v>6</v>
      </c>
      <c r="K557" s="57">
        <v>1</v>
      </c>
      <c r="L557">
        <v>52</v>
      </c>
      <c r="N557">
        <v>190</v>
      </c>
      <c r="O557" s="62" t="s">
        <v>3096</v>
      </c>
    </row>
    <row r="558" spans="1:16">
      <c r="B558" s="62" t="s">
        <v>3109</v>
      </c>
      <c r="C558" s="62" t="s">
        <v>494</v>
      </c>
      <c r="E558" s="62" t="s">
        <v>476</v>
      </c>
      <c r="K558" s="57">
        <v>2</v>
      </c>
      <c r="L558">
        <v>8</v>
      </c>
    </row>
    <row r="559" spans="1:16">
      <c r="B559" s="62" t="s">
        <v>3110</v>
      </c>
      <c r="C559" s="62" t="s">
        <v>494</v>
      </c>
      <c r="K559" s="57">
        <v>3</v>
      </c>
      <c r="L559">
        <v>6</v>
      </c>
    </row>
    <row r="560" spans="1:16">
      <c r="B560" s="62" t="s">
        <v>3111</v>
      </c>
      <c r="C560" s="62" t="s">
        <v>493</v>
      </c>
      <c r="D560">
        <v>1</v>
      </c>
      <c r="K560" s="57">
        <v>4</v>
      </c>
      <c r="L560">
        <v>3</v>
      </c>
    </row>
    <row r="561" spans="1:16">
      <c r="B561" s="62" t="s">
        <v>3117</v>
      </c>
      <c r="C561" s="62" t="s">
        <v>493</v>
      </c>
      <c r="D561">
        <v>250</v>
      </c>
      <c r="K561" s="57">
        <v>5</v>
      </c>
    </row>
    <row r="563" spans="1:16">
      <c r="A563" s="62" t="s">
        <v>3113</v>
      </c>
      <c r="B563" s="62" t="s">
        <v>3114</v>
      </c>
      <c r="C563" s="62" t="s">
        <v>494</v>
      </c>
      <c r="E563" s="62" t="s">
        <v>476</v>
      </c>
    </row>
    <row r="564" spans="1:16">
      <c r="B564" s="62" t="s">
        <v>3115</v>
      </c>
      <c r="C564" s="62" t="s">
        <v>493</v>
      </c>
      <c r="D564">
        <v>50</v>
      </c>
    </row>
    <row r="565" spans="1:16">
      <c r="B565" s="62" t="s">
        <v>3116</v>
      </c>
      <c r="C565" s="62" t="s">
        <v>494</v>
      </c>
    </row>
    <row r="567" spans="1:16" s="44" customFormat="1">
      <c r="A567" s="62" t="s">
        <v>3167</v>
      </c>
      <c r="B567" s="62" t="s">
        <v>3168</v>
      </c>
      <c r="C567" s="44" t="s">
        <v>494</v>
      </c>
      <c r="E567" s="44" t="s">
        <v>476</v>
      </c>
      <c r="F567" s="44">
        <v>1</v>
      </c>
      <c r="G567" s="44">
        <v>193</v>
      </c>
      <c r="H567" s="62" t="s">
        <v>3183</v>
      </c>
      <c r="I567" s="22" t="s">
        <v>3184</v>
      </c>
      <c r="J567" s="44">
        <v>1501</v>
      </c>
      <c r="K567" s="59">
        <v>1</v>
      </c>
      <c r="L567" s="59"/>
    </row>
    <row r="568" spans="1:16" s="44" customFormat="1">
      <c r="A568" s="62"/>
      <c r="B568" s="62" t="s">
        <v>3170</v>
      </c>
      <c r="C568" s="44" t="s">
        <v>494</v>
      </c>
      <c r="I568" s="58"/>
      <c r="K568" s="59">
        <v>2</v>
      </c>
      <c r="L568" s="59">
        <v>8</v>
      </c>
    </row>
    <row r="569" spans="1:16" s="44" customFormat="1">
      <c r="A569" s="62"/>
      <c r="B569" s="62" t="s">
        <v>3171</v>
      </c>
      <c r="C569" s="62" t="s">
        <v>494</v>
      </c>
      <c r="I569" s="58"/>
      <c r="K569" s="59">
        <v>3</v>
      </c>
      <c r="L569" s="59">
        <v>7</v>
      </c>
    </row>
    <row r="570" spans="1:16" s="44" customFormat="1">
      <c r="A570" s="62"/>
      <c r="B570" s="44" t="s">
        <v>3172</v>
      </c>
      <c r="C570" s="44" t="s">
        <v>494</v>
      </c>
      <c r="I570" s="58"/>
      <c r="K570" s="59">
        <v>4</v>
      </c>
      <c r="L570" s="59"/>
      <c r="M570" s="44">
        <v>73</v>
      </c>
    </row>
    <row r="571" spans="1:16" s="44" customFormat="1">
      <c r="A571" s="62"/>
      <c r="B571" s="44" t="s">
        <v>3173</v>
      </c>
      <c r="C571" s="44" t="s">
        <v>494</v>
      </c>
      <c r="I571" s="58"/>
      <c r="K571" s="59">
        <v>5</v>
      </c>
      <c r="L571" s="59"/>
      <c r="M571" s="44">
        <v>74</v>
      </c>
    </row>
    <row r="572" spans="1:16" s="44" customFormat="1">
      <c r="A572" s="62"/>
      <c r="B572" s="44" t="s">
        <v>3174</v>
      </c>
      <c r="C572" s="44" t="s">
        <v>494</v>
      </c>
      <c r="I572" s="58"/>
      <c r="K572" s="59">
        <v>6</v>
      </c>
      <c r="L572" s="59"/>
    </row>
    <row r="573" spans="1:16" s="44" customFormat="1">
      <c r="A573" s="62"/>
      <c r="B573" s="62" t="s">
        <v>3181</v>
      </c>
      <c r="C573" s="62" t="s">
        <v>493</v>
      </c>
      <c r="D573" s="44">
        <v>250</v>
      </c>
      <c r="I573" s="58"/>
      <c r="K573" s="59">
        <v>7</v>
      </c>
      <c r="L573" s="59"/>
    </row>
    <row r="574" spans="1:16" s="44" customFormat="1">
      <c r="A574" s="62"/>
      <c r="B574" s="62" t="s">
        <v>3169</v>
      </c>
      <c r="C574" s="44" t="s">
        <v>494</v>
      </c>
      <c r="I574" s="58"/>
      <c r="K574" s="59">
        <v>8</v>
      </c>
      <c r="L574" s="59">
        <v>3</v>
      </c>
      <c r="N574" s="44" t="s">
        <v>540</v>
      </c>
      <c r="O574" s="47" t="s">
        <v>541</v>
      </c>
      <c r="P574" s="47" t="s">
        <v>542</v>
      </c>
    </row>
    <row r="575" spans="1:16" s="44" customFormat="1">
      <c r="A575" s="62"/>
      <c r="B575" s="62" t="s">
        <v>3175</v>
      </c>
      <c r="C575" s="44" t="s">
        <v>494</v>
      </c>
      <c r="I575" s="58"/>
      <c r="K575" s="59">
        <v>9</v>
      </c>
      <c r="L575" s="59">
        <v>3</v>
      </c>
      <c r="N575" s="62" t="s">
        <v>3178</v>
      </c>
      <c r="O575" s="62" t="s">
        <v>3179</v>
      </c>
      <c r="P575" s="62" t="s">
        <v>3180</v>
      </c>
    </row>
    <row r="576" spans="1:16" s="44" customFormat="1">
      <c r="A576" s="62"/>
      <c r="B576" s="62" t="s">
        <v>6090</v>
      </c>
      <c r="C576" s="44" t="s">
        <v>494</v>
      </c>
      <c r="I576" s="58"/>
      <c r="K576" s="59">
        <v>10</v>
      </c>
      <c r="L576" s="59">
        <v>3</v>
      </c>
      <c r="N576" s="62"/>
      <c r="O576" s="62"/>
      <c r="P576" s="62"/>
    </row>
    <row r="577" spans="1:16" s="44" customFormat="1">
      <c r="A577" s="62"/>
      <c r="B577" s="62" t="s">
        <v>3177</v>
      </c>
      <c r="C577" s="44" t="s">
        <v>494</v>
      </c>
      <c r="F577" s="47"/>
      <c r="G577" s="47"/>
      <c r="H577" s="47"/>
      <c r="I577" s="48"/>
      <c r="J577" s="47"/>
      <c r="K577" s="59">
        <v>11</v>
      </c>
      <c r="L577" s="57"/>
      <c r="M577" s="47"/>
      <c r="N577" s="47"/>
      <c r="O577" s="47"/>
      <c r="P577" s="47"/>
    </row>
    <row r="578" spans="1:16" s="44" customFormat="1">
      <c r="A578" s="62"/>
      <c r="B578" s="62" t="s">
        <v>3182</v>
      </c>
      <c r="C578" s="62" t="s">
        <v>494</v>
      </c>
      <c r="F578" s="47"/>
      <c r="G578" s="47"/>
      <c r="H578" s="47"/>
      <c r="I578" s="48"/>
      <c r="J578" s="47"/>
      <c r="K578" s="59">
        <v>12</v>
      </c>
      <c r="L578" s="57">
        <v>8</v>
      </c>
      <c r="M578" s="47"/>
      <c r="N578" s="47"/>
      <c r="O578" s="47"/>
      <c r="P578" s="47"/>
    </row>
    <row r="579" spans="1:16" s="44" customFormat="1">
      <c r="A579" s="62"/>
      <c r="B579" s="62" t="s">
        <v>3176</v>
      </c>
      <c r="C579" s="44" t="s">
        <v>520</v>
      </c>
      <c r="I579" s="58"/>
      <c r="K579" s="59">
        <v>13</v>
      </c>
      <c r="L579" s="59"/>
    </row>
    <row r="580" spans="1:16" s="44" customFormat="1">
      <c r="A580" s="62"/>
      <c r="B580" s="62" t="s">
        <v>6055</v>
      </c>
      <c r="C580" s="62" t="s">
        <v>494</v>
      </c>
      <c r="I580" s="58"/>
      <c r="K580" s="59">
        <v>14</v>
      </c>
      <c r="L580" s="59"/>
    </row>
    <row r="581" spans="1:16" s="44" customFormat="1">
      <c r="A581" s="62"/>
      <c r="I581" s="58"/>
      <c r="K581" s="59"/>
      <c r="L581" s="59"/>
    </row>
    <row r="582" spans="1:16" s="44" customFormat="1">
      <c r="A582" s="62" t="s">
        <v>3178</v>
      </c>
      <c r="B582" s="62" t="s">
        <v>3179</v>
      </c>
      <c r="C582" s="62" t="s">
        <v>494</v>
      </c>
      <c r="E582" s="62" t="s">
        <v>476</v>
      </c>
      <c r="I582" s="58"/>
      <c r="K582" s="59"/>
      <c r="L582" s="59"/>
    </row>
    <row r="583" spans="1:16" s="44" customFormat="1">
      <c r="A583" s="62"/>
      <c r="B583" s="62" t="s">
        <v>3180</v>
      </c>
      <c r="C583" s="62" t="s">
        <v>493</v>
      </c>
      <c r="D583" s="44">
        <v>100</v>
      </c>
      <c r="I583" s="58"/>
      <c r="K583" s="59"/>
      <c r="L583" s="59"/>
    </row>
    <row r="584" spans="1:16" s="44" customFormat="1">
      <c r="A584" s="62"/>
      <c r="I584" s="58"/>
      <c r="K584" s="59"/>
      <c r="L584" s="59"/>
    </row>
    <row r="585" spans="1:16">
      <c r="A585" s="62" t="s">
        <v>3860</v>
      </c>
      <c r="B585" s="62" t="s">
        <v>3861</v>
      </c>
      <c r="C585" s="62" t="s">
        <v>494</v>
      </c>
      <c r="E585" s="62" t="s">
        <v>476</v>
      </c>
    </row>
    <row r="586" spans="1:16">
      <c r="B586" s="62" t="s">
        <v>3862</v>
      </c>
      <c r="C586" s="62" t="s">
        <v>493</v>
      </c>
      <c r="D586">
        <v>50</v>
      </c>
    </row>
    <row r="588" spans="1:16">
      <c r="A588" s="62" t="s">
        <v>3863</v>
      </c>
      <c r="B588" s="62" t="s">
        <v>3865</v>
      </c>
      <c r="C588" s="62" t="s">
        <v>494</v>
      </c>
      <c r="E588" s="62" t="s">
        <v>476</v>
      </c>
      <c r="F588">
        <v>1</v>
      </c>
      <c r="G588">
        <v>202</v>
      </c>
      <c r="H588" s="62" t="s">
        <v>3872</v>
      </c>
      <c r="I588" s="62" t="s">
        <v>3873</v>
      </c>
      <c r="J588">
        <v>1501</v>
      </c>
      <c r="K588">
        <v>1</v>
      </c>
      <c r="L588">
        <v>3</v>
      </c>
      <c r="N588" s="62" t="s">
        <v>3860</v>
      </c>
      <c r="O588" s="62" t="s">
        <v>3861</v>
      </c>
      <c r="P588" s="62" t="s">
        <v>3862</v>
      </c>
    </row>
    <row r="589" spans="1:16">
      <c r="B589" s="62" t="s">
        <v>3864</v>
      </c>
      <c r="C589" s="62" t="s">
        <v>494</v>
      </c>
      <c r="E589" s="62" t="s">
        <v>476</v>
      </c>
      <c r="K589">
        <v>2</v>
      </c>
      <c r="L589">
        <v>6</v>
      </c>
    </row>
    <row r="590" spans="1:16">
      <c r="B590" s="62" t="s">
        <v>3866</v>
      </c>
      <c r="C590" s="62" t="s">
        <v>494</v>
      </c>
      <c r="K590">
        <v>3</v>
      </c>
      <c r="L590">
        <v>6</v>
      </c>
    </row>
    <row r="591" spans="1:16">
      <c r="B591" s="62" t="s">
        <v>3870</v>
      </c>
      <c r="C591" s="62" t="s">
        <v>494</v>
      </c>
      <c r="K591">
        <v>4</v>
      </c>
    </row>
    <row r="592" spans="1:16">
      <c r="B592" s="62" t="s">
        <v>3871</v>
      </c>
      <c r="C592" s="62" t="s">
        <v>493</v>
      </c>
      <c r="D592">
        <v>1</v>
      </c>
      <c r="K592">
        <v>5</v>
      </c>
      <c r="L592">
        <v>3</v>
      </c>
    </row>
    <row r="593" spans="1:16">
      <c r="B593" s="62" t="s">
        <v>3867</v>
      </c>
      <c r="C593" s="62" t="s">
        <v>493</v>
      </c>
      <c r="D593">
        <v>250</v>
      </c>
      <c r="K593">
        <v>6</v>
      </c>
    </row>
    <row r="594" spans="1:16">
      <c r="B594" s="62" t="s">
        <v>3868</v>
      </c>
      <c r="C594" s="62" t="s">
        <v>494</v>
      </c>
      <c r="K594">
        <v>7</v>
      </c>
      <c r="L594">
        <v>91</v>
      </c>
    </row>
    <row r="595" spans="1:16">
      <c r="B595" s="62" t="s">
        <v>3869</v>
      </c>
      <c r="C595" s="62" t="s">
        <v>494</v>
      </c>
      <c r="K595">
        <v>8</v>
      </c>
      <c r="L595">
        <v>92</v>
      </c>
    </row>
    <row r="597" spans="1:16">
      <c r="A597" s="70" t="s">
        <v>3863</v>
      </c>
      <c r="B597" s="70" t="s">
        <v>3865</v>
      </c>
      <c r="C597" s="70" t="s">
        <v>494</v>
      </c>
      <c r="E597" s="62" t="s">
        <v>476</v>
      </c>
      <c r="F597">
        <v>1</v>
      </c>
      <c r="G597">
        <v>202</v>
      </c>
      <c r="H597" s="62" t="s">
        <v>3872</v>
      </c>
      <c r="I597" s="62" t="s">
        <v>6247</v>
      </c>
      <c r="J597">
        <v>1501</v>
      </c>
      <c r="K597">
        <v>1</v>
      </c>
      <c r="L597">
        <v>3</v>
      </c>
      <c r="N597" s="62" t="s">
        <v>3860</v>
      </c>
      <c r="O597" s="62" t="s">
        <v>3861</v>
      </c>
      <c r="P597" s="62" t="s">
        <v>3862</v>
      </c>
    </row>
    <row r="598" spans="1:16">
      <c r="A598" s="70"/>
      <c r="B598" s="70" t="s">
        <v>3864</v>
      </c>
      <c r="C598" s="70" t="s">
        <v>494</v>
      </c>
      <c r="E598" s="62" t="s">
        <v>476</v>
      </c>
      <c r="K598">
        <v>2</v>
      </c>
      <c r="L598">
        <v>6</v>
      </c>
    </row>
    <row r="599" spans="1:16">
      <c r="A599" s="70"/>
      <c r="B599" s="70" t="s">
        <v>3866</v>
      </c>
      <c r="C599" s="70" t="s">
        <v>494</v>
      </c>
      <c r="K599">
        <v>3</v>
      </c>
      <c r="L599">
        <v>6</v>
      </c>
    </row>
    <row r="600" spans="1:16">
      <c r="A600" s="70"/>
      <c r="B600" s="70" t="s">
        <v>3870</v>
      </c>
      <c r="C600" s="70" t="s">
        <v>494</v>
      </c>
      <c r="K600">
        <v>4</v>
      </c>
    </row>
    <row r="601" spans="1:16">
      <c r="A601" s="70"/>
      <c r="B601" s="70" t="s">
        <v>3871</v>
      </c>
      <c r="C601" s="70" t="s">
        <v>493</v>
      </c>
      <c r="D601">
        <v>1</v>
      </c>
      <c r="H601" s="62" t="s">
        <v>6248</v>
      </c>
      <c r="K601">
        <v>5</v>
      </c>
      <c r="L601">
        <v>3</v>
      </c>
    </row>
    <row r="602" spans="1:16">
      <c r="A602" s="70"/>
      <c r="B602" s="70" t="s">
        <v>3867</v>
      </c>
      <c r="C602" s="70" t="s">
        <v>493</v>
      </c>
      <c r="D602">
        <v>250</v>
      </c>
      <c r="K602">
        <v>6</v>
      </c>
    </row>
    <row r="603" spans="1:16">
      <c r="A603" s="70"/>
      <c r="B603" s="70" t="s">
        <v>3868</v>
      </c>
      <c r="C603" s="70" t="s">
        <v>494</v>
      </c>
      <c r="K603">
        <v>7</v>
      </c>
      <c r="L603">
        <v>91</v>
      </c>
    </row>
    <row r="604" spans="1:16">
      <c r="A604" s="70"/>
      <c r="B604" s="70" t="s">
        <v>3869</v>
      </c>
      <c r="C604" s="70" t="s">
        <v>494</v>
      </c>
      <c r="K604">
        <v>8</v>
      </c>
      <c r="L604">
        <v>92</v>
      </c>
    </row>
    <row r="606" spans="1:16">
      <c r="A606" s="62" t="s">
        <v>3894</v>
      </c>
      <c r="B606" s="62" t="s">
        <v>3895</v>
      </c>
      <c r="C606" s="62" t="s">
        <v>494</v>
      </c>
      <c r="E606" s="62" t="s">
        <v>476</v>
      </c>
      <c r="F606">
        <v>1</v>
      </c>
      <c r="G606">
        <v>203</v>
      </c>
      <c r="H606" s="62" t="s">
        <v>3909</v>
      </c>
      <c r="I606" s="62" t="s">
        <v>3910</v>
      </c>
      <c r="J606">
        <v>7</v>
      </c>
      <c r="K606">
        <v>1</v>
      </c>
      <c r="M606">
        <v>3</v>
      </c>
      <c r="N606" t="s">
        <v>3924</v>
      </c>
      <c r="O606" t="s">
        <v>3923</v>
      </c>
      <c r="P606" s="62" t="s">
        <v>3925</v>
      </c>
    </row>
    <row r="607" spans="1:16">
      <c r="B607" s="62" t="s">
        <v>3896</v>
      </c>
      <c r="C607" s="62" t="s">
        <v>494</v>
      </c>
      <c r="E607" s="62" t="s">
        <v>476</v>
      </c>
      <c r="K607">
        <v>2</v>
      </c>
      <c r="L607">
        <v>6</v>
      </c>
    </row>
    <row r="608" spans="1:16">
      <c r="B608" s="62" t="s">
        <v>3897</v>
      </c>
      <c r="C608" s="62" t="s">
        <v>494</v>
      </c>
      <c r="K608">
        <v>3</v>
      </c>
      <c r="L608">
        <v>6</v>
      </c>
    </row>
    <row r="609" spans="1:18">
      <c r="B609" s="62" t="s">
        <v>3898</v>
      </c>
      <c r="C609" s="62" t="s">
        <v>494</v>
      </c>
      <c r="K609">
        <v>4</v>
      </c>
    </row>
    <row r="610" spans="1:18">
      <c r="B610" s="62" t="s">
        <v>3899</v>
      </c>
      <c r="C610" s="62" t="s">
        <v>494</v>
      </c>
      <c r="K610">
        <v>5</v>
      </c>
    </row>
    <row r="611" spans="1:18">
      <c r="B611" s="62" t="s">
        <v>3908</v>
      </c>
      <c r="C611" s="62" t="s">
        <v>494</v>
      </c>
      <c r="K611">
        <v>6</v>
      </c>
    </row>
    <row r="612" spans="1:18">
      <c r="B612" s="62" t="s">
        <v>3900</v>
      </c>
      <c r="C612" s="62" t="s">
        <v>494</v>
      </c>
      <c r="K612">
        <v>7</v>
      </c>
      <c r="L612">
        <v>8</v>
      </c>
    </row>
    <row r="613" spans="1:18">
      <c r="B613" s="62" t="s">
        <v>3904</v>
      </c>
      <c r="C613" s="62" t="s">
        <v>494</v>
      </c>
      <c r="K613">
        <v>8</v>
      </c>
      <c r="L613">
        <v>3</v>
      </c>
      <c r="N613" s="62" t="s">
        <v>3905</v>
      </c>
      <c r="O613" s="62" t="s">
        <v>3906</v>
      </c>
      <c r="P613" s="62" t="s">
        <v>3907</v>
      </c>
    </row>
    <row r="614" spans="1:18">
      <c r="B614" s="62" t="s">
        <v>3901</v>
      </c>
      <c r="C614" s="62" t="s">
        <v>494</v>
      </c>
      <c r="K614">
        <v>9</v>
      </c>
      <c r="L614">
        <v>7</v>
      </c>
    </row>
    <row r="615" spans="1:18">
      <c r="B615" s="62" t="s">
        <v>3902</v>
      </c>
      <c r="C615" s="62" t="s">
        <v>494</v>
      </c>
      <c r="K615">
        <v>10</v>
      </c>
      <c r="L615">
        <v>7</v>
      </c>
    </row>
    <row r="616" spans="1:18">
      <c r="B616" s="62" t="s">
        <v>3903</v>
      </c>
      <c r="C616" s="62" t="s">
        <v>520</v>
      </c>
      <c r="K616">
        <v>11</v>
      </c>
    </row>
    <row r="617" spans="1:18">
      <c r="B617" s="70" t="s">
        <v>3912</v>
      </c>
      <c r="C617" s="70" t="s">
        <v>494</v>
      </c>
      <c r="K617">
        <v>12</v>
      </c>
      <c r="L617">
        <v>3</v>
      </c>
      <c r="M617">
        <v>31</v>
      </c>
      <c r="N617" s="62" t="s">
        <v>3920</v>
      </c>
      <c r="O617" s="62" t="s">
        <v>3915</v>
      </c>
      <c r="P617" s="62" t="s">
        <v>3919</v>
      </c>
      <c r="Q617" s="62" t="s">
        <v>3916</v>
      </c>
      <c r="R617">
        <v>1</v>
      </c>
    </row>
    <row r="618" spans="1:18">
      <c r="B618" s="70" t="s">
        <v>3911</v>
      </c>
      <c r="C618" s="70" t="s">
        <v>494</v>
      </c>
      <c r="K618">
        <v>13</v>
      </c>
      <c r="L618">
        <v>8</v>
      </c>
      <c r="M618">
        <v>1</v>
      </c>
    </row>
    <row r="619" spans="1:18">
      <c r="B619" s="70" t="s">
        <v>3936</v>
      </c>
      <c r="C619" s="70" t="s">
        <v>494</v>
      </c>
      <c r="K619">
        <v>14</v>
      </c>
      <c r="L619">
        <v>7</v>
      </c>
      <c r="M619">
        <v>1</v>
      </c>
      <c r="N619" s="62"/>
      <c r="O619" s="62"/>
      <c r="P619" s="62"/>
    </row>
    <row r="620" spans="1:18">
      <c r="B620" s="62"/>
      <c r="C620" s="62"/>
      <c r="N620" s="62"/>
      <c r="O620" s="62"/>
      <c r="P620" s="62"/>
    </row>
    <row r="621" spans="1:18">
      <c r="A621" s="62" t="s">
        <v>3926</v>
      </c>
      <c r="B621" s="62" t="s">
        <v>3927</v>
      </c>
      <c r="C621" s="62" t="s">
        <v>494</v>
      </c>
      <c r="E621" s="62" t="s">
        <v>476</v>
      </c>
      <c r="F621">
        <v>1</v>
      </c>
      <c r="G621">
        <v>207</v>
      </c>
      <c r="H621" s="62" t="s">
        <v>521</v>
      </c>
      <c r="J621">
        <v>7</v>
      </c>
      <c r="K621">
        <v>1</v>
      </c>
      <c r="L621">
        <v>52</v>
      </c>
      <c r="N621" s="62">
        <v>203</v>
      </c>
      <c r="O621" s="62" t="s">
        <v>3897</v>
      </c>
      <c r="P621" s="62"/>
    </row>
    <row r="622" spans="1:18">
      <c r="B622" s="62" t="s">
        <v>3928</v>
      </c>
      <c r="C622" s="62" t="s">
        <v>494</v>
      </c>
      <c r="E622" s="62" t="s">
        <v>476</v>
      </c>
      <c r="K622">
        <v>2</v>
      </c>
      <c r="L622">
        <v>6</v>
      </c>
      <c r="N622" s="62"/>
      <c r="O622" s="62"/>
      <c r="P622" s="62"/>
    </row>
    <row r="623" spans="1:18">
      <c r="B623" s="62" t="s">
        <v>3929</v>
      </c>
      <c r="C623" s="62" t="s">
        <v>494</v>
      </c>
      <c r="K623">
        <v>3</v>
      </c>
      <c r="L623">
        <v>6</v>
      </c>
      <c r="N623" s="62"/>
      <c r="O623" s="62"/>
      <c r="P623" s="62"/>
    </row>
    <row r="624" spans="1:18">
      <c r="B624" s="62" t="s">
        <v>3930</v>
      </c>
      <c r="C624" s="62" t="s">
        <v>494</v>
      </c>
      <c r="K624">
        <v>4</v>
      </c>
      <c r="L624">
        <v>8</v>
      </c>
      <c r="M624">
        <v>1</v>
      </c>
      <c r="N624" s="62"/>
      <c r="O624" s="62"/>
      <c r="P624" s="62"/>
    </row>
    <row r="625" spans="1:16">
      <c r="B625" s="62" t="s">
        <v>3931</v>
      </c>
      <c r="C625" s="62" t="s">
        <v>494</v>
      </c>
      <c r="K625">
        <v>5</v>
      </c>
      <c r="L625">
        <v>7</v>
      </c>
      <c r="M625">
        <v>1</v>
      </c>
      <c r="N625" s="62"/>
      <c r="O625" s="62"/>
      <c r="P625" s="62"/>
    </row>
    <row r="626" spans="1:16">
      <c r="B626" s="62" t="s">
        <v>3932</v>
      </c>
      <c r="C626" s="62" t="s">
        <v>494</v>
      </c>
      <c r="K626">
        <v>6</v>
      </c>
      <c r="M626">
        <v>1</v>
      </c>
      <c r="N626" s="62"/>
      <c r="O626" s="62"/>
      <c r="P626" s="62"/>
    </row>
    <row r="627" spans="1:16">
      <c r="B627" s="62" t="s">
        <v>3933</v>
      </c>
      <c r="C627" s="62" t="s">
        <v>520</v>
      </c>
      <c r="K627">
        <v>7</v>
      </c>
      <c r="N627" s="62"/>
      <c r="O627" s="62"/>
      <c r="P627" s="62"/>
    </row>
    <row r="628" spans="1:16">
      <c r="B628" s="62" t="s">
        <v>3934</v>
      </c>
      <c r="C628" s="62" t="s">
        <v>494</v>
      </c>
      <c r="K628">
        <v>8</v>
      </c>
      <c r="L628">
        <v>91</v>
      </c>
      <c r="N628" s="62"/>
      <c r="O628" s="62"/>
      <c r="P628" s="62"/>
    </row>
    <row r="629" spans="1:16">
      <c r="B629" s="62" t="s">
        <v>3935</v>
      </c>
      <c r="C629" s="62" t="s">
        <v>494</v>
      </c>
      <c r="K629">
        <v>9</v>
      </c>
      <c r="L629">
        <v>92</v>
      </c>
    </row>
    <row r="630" spans="1:16">
      <c r="B630" s="62"/>
    </row>
    <row r="631" spans="1:16">
      <c r="A631" s="62" t="s">
        <v>3905</v>
      </c>
      <c r="B631" s="62" t="s">
        <v>3906</v>
      </c>
      <c r="C631" s="62" t="s">
        <v>494</v>
      </c>
      <c r="E631" s="62" t="s">
        <v>476</v>
      </c>
    </row>
    <row r="632" spans="1:16">
      <c r="B632" s="62" t="s">
        <v>3907</v>
      </c>
      <c r="C632" s="62" t="s">
        <v>493</v>
      </c>
      <c r="D632">
        <v>50</v>
      </c>
    </row>
    <row r="634" spans="1:16">
      <c r="A634" s="62" t="s">
        <v>3920</v>
      </c>
      <c r="B634" s="62" t="s">
        <v>3914</v>
      </c>
      <c r="C634" s="62" t="s">
        <v>494</v>
      </c>
      <c r="E634" s="62" t="s">
        <v>476</v>
      </c>
      <c r="F634">
        <v>1</v>
      </c>
      <c r="G634">
        <v>205</v>
      </c>
      <c r="H634" s="62" t="s">
        <v>3921</v>
      </c>
      <c r="I634" s="62" t="s">
        <v>3922</v>
      </c>
      <c r="J634">
        <v>2</v>
      </c>
      <c r="K634">
        <v>1</v>
      </c>
      <c r="L634">
        <v>6</v>
      </c>
    </row>
    <row r="635" spans="1:16">
      <c r="B635" s="62" t="s">
        <v>3915</v>
      </c>
      <c r="C635" s="62" t="s">
        <v>494</v>
      </c>
      <c r="K635">
        <v>2</v>
      </c>
      <c r="L635">
        <v>6</v>
      </c>
    </row>
    <row r="636" spans="1:16">
      <c r="B636" s="62" t="s">
        <v>3916</v>
      </c>
      <c r="C636" s="62" t="s">
        <v>494</v>
      </c>
      <c r="K636">
        <v>3</v>
      </c>
      <c r="L636">
        <v>3</v>
      </c>
      <c r="M636">
        <v>3</v>
      </c>
      <c r="N636" s="62" t="s">
        <v>3924</v>
      </c>
      <c r="O636" s="62" t="s">
        <v>3923</v>
      </c>
      <c r="P636" s="62" t="s">
        <v>3925</v>
      </c>
    </row>
    <row r="637" spans="1:16">
      <c r="B637" s="62" t="s">
        <v>3917</v>
      </c>
      <c r="C637" s="62" t="s">
        <v>493</v>
      </c>
      <c r="D637">
        <v>1</v>
      </c>
      <c r="K637">
        <v>4</v>
      </c>
      <c r="L637">
        <v>3</v>
      </c>
    </row>
    <row r="638" spans="1:16">
      <c r="B638" s="62" t="s">
        <v>3918</v>
      </c>
      <c r="C638" s="62" t="s">
        <v>494</v>
      </c>
      <c r="K638">
        <v>5</v>
      </c>
    </row>
    <row r="639" spans="1:16">
      <c r="B639" s="62" t="s">
        <v>3919</v>
      </c>
      <c r="C639" s="62" t="s">
        <v>493</v>
      </c>
      <c r="D639">
        <v>200</v>
      </c>
      <c r="K639">
        <v>6</v>
      </c>
    </row>
    <row r="641" spans="1:11">
      <c r="A641" s="62" t="s">
        <v>3924</v>
      </c>
      <c r="B641" s="62" t="s">
        <v>3923</v>
      </c>
      <c r="C641" s="62" t="s">
        <v>494</v>
      </c>
      <c r="E641" s="62" t="s">
        <v>476</v>
      </c>
    </row>
    <row r="642" spans="1:11">
      <c r="B642" s="62" t="s">
        <v>3925</v>
      </c>
      <c r="C642" s="62" t="s">
        <v>493</v>
      </c>
    </row>
    <row r="643" spans="1:11">
      <c r="B643" s="70" t="s">
        <v>4320</v>
      </c>
      <c r="C643" s="70" t="s">
        <v>494</v>
      </c>
    </row>
    <row r="645" spans="1:11">
      <c r="A645" s="62" t="s">
        <v>3963</v>
      </c>
      <c r="B645" s="62" t="s">
        <v>3964</v>
      </c>
      <c r="C645" s="62" t="s">
        <v>520</v>
      </c>
      <c r="F645">
        <v>1</v>
      </c>
      <c r="G645">
        <v>208</v>
      </c>
      <c r="H645" s="62" t="s">
        <v>3965</v>
      </c>
      <c r="I645" s="62" t="s">
        <v>3966</v>
      </c>
      <c r="J645">
        <v>1501</v>
      </c>
      <c r="K645">
        <v>1</v>
      </c>
    </row>
    <row r="647" spans="1:11">
      <c r="A647" s="62" t="s">
        <v>6756</v>
      </c>
      <c r="B647" s="62" t="s">
        <v>6757</v>
      </c>
      <c r="C647" s="62" t="s">
        <v>493</v>
      </c>
      <c r="D647">
        <v>5</v>
      </c>
      <c r="E647" s="62" t="s">
        <v>476</v>
      </c>
    </row>
    <row r="648" spans="1:11">
      <c r="B648" s="62" t="s">
        <v>6758</v>
      </c>
      <c r="C648" s="62" t="s">
        <v>493</v>
      </c>
      <c r="D648">
        <v>50</v>
      </c>
    </row>
    <row r="650" spans="1:11">
      <c r="A650" s="62" t="s">
        <v>4076</v>
      </c>
      <c r="B650" s="62" t="s">
        <v>4078</v>
      </c>
      <c r="C650" s="62" t="s">
        <v>493</v>
      </c>
      <c r="D650">
        <v>20</v>
      </c>
      <c r="F650">
        <v>1</v>
      </c>
      <c r="G650">
        <v>209</v>
      </c>
      <c r="H650" s="62" t="s">
        <v>4077</v>
      </c>
      <c r="I650" s="62" t="s">
        <v>4080</v>
      </c>
      <c r="J650">
        <v>6</v>
      </c>
      <c r="K650">
        <v>1</v>
      </c>
    </row>
    <row r="651" spans="1:11">
      <c r="B651" s="62" t="s">
        <v>4079</v>
      </c>
      <c r="C651" s="62" t="s">
        <v>493</v>
      </c>
      <c r="D651">
        <v>50</v>
      </c>
      <c r="K651">
        <v>2</v>
      </c>
    </row>
    <row r="653" spans="1:11">
      <c r="A653" s="62" t="s">
        <v>4121</v>
      </c>
      <c r="B653" s="62" t="s">
        <v>4122</v>
      </c>
      <c r="C653" s="62" t="s">
        <v>494</v>
      </c>
      <c r="E653" s="62" t="s">
        <v>476</v>
      </c>
    </row>
    <row r="654" spans="1:11">
      <c r="B654" s="62" t="s">
        <v>4123</v>
      </c>
      <c r="C654" s="62" t="s">
        <v>494</v>
      </c>
      <c r="E654" s="62" t="s">
        <v>476</v>
      </c>
    </row>
    <row r="655" spans="1:11">
      <c r="B655" s="62" t="s">
        <v>4124</v>
      </c>
      <c r="C655" s="62" t="s">
        <v>493</v>
      </c>
      <c r="D655">
        <v>50</v>
      </c>
    </row>
    <row r="657" spans="1:12">
      <c r="A657" s="62" t="s">
        <v>4132</v>
      </c>
      <c r="B657" s="62" t="s">
        <v>4133</v>
      </c>
      <c r="C657" s="62" t="s">
        <v>494</v>
      </c>
      <c r="F657">
        <v>1</v>
      </c>
      <c r="G657">
        <v>211</v>
      </c>
      <c r="H657" s="62" t="s">
        <v>4134</v>
      </c>
      <c r="I657" s="62" t="s">
        <v>4135</v>
      </c>
      <c r="J657">
        <v>11</v>
      </c>
      <c r="K657">
        <v>1</v>
      </c>
    </row>
    <row r="658" spans="1:12">
      <c r="B658" s="62"/>
      <c r="C658" s="62"/>
      <c r="H658" s="62"/>
      <c r="I658" s="62"/>
    </row>
    <row r="659" spans="1:12">
      <c r="A659" s="62" t="s">
        <v>4563</v>
      </c>
      <c r="B659" s="62" t="s">
        <v>4564</v>
      </c>
      <c r="C659" s="62" t="s">
        <v>494</v>
      </c>
      <c r="F659">
        <v>1</v>
      </c>
      <c r="G659">
        <v>212</v>
      </c>
      <c r="H659" s="62"/>
      <c r="I659" s="62"/>
    </row>
    <row r="661" spans="1:12">
      <c r="A661" s="62" t="s">
        <v>4565</v>
      </c>
      <c r="B661" s="62" t="s">
        <v>4566</v>
      </c>
      <c r="C661" s="62" t="s">
        <v>494</v>
      </c>
      <c r="E661" s="62" t="s">
        <v>476</v>
      </c>
      <c r="F661">
        <v>1</v>
      </c>
      <c r="G661">
        <v>213</v>
      </c>
      <c r="H661" s="62" t="s">
        <v>4561</v>
      </c>
      <c r="I661" s="62" t="s">
        <v>4562</v>
      </c>
      <c r="J661">
        <v>6</v>
      </c>
      <c r="K661">
        <v>1</v>
      </c>
      <c r="L661">
        <v>7</v>
      </c>
    </row>
    <row r="662" spans="1:12">
      <c r="B662" s="62" t="s">
        <v>4567</v>
      </c>
      <c r="C662" s="62" t="s">
        <v>494</v>
      </c>
      <c r="E662" s="62" t="s">
        <v>476</v>
      </c>
      <c r="K662">
        <v>2</v>
      </c>
      <c r="L662">
        <v>8</v>
      </c>
    </row>
    <row r="663" spans="1:12">
      <c r="B663" s="62" t="s">
        <v>4568</v>
      </c>
      <c r="C663" s="62" t="s">
        <v>494</v>
      </c>
      <c r="K663">
        <v>3</v>
      </c>
      <c r="L663">
        <v>6</v>
      </c>
    </row>
    <row r="664" spans="1:12">
      <c r="B664" s="62" t="s">
        <v>4569</v>
      </c>
      <c r="C664" s="62" t="s">
        <v>494</v>
      </c>
      <c r="K664">
        <v>4</v>
      </c>
      <c r="L664">
        <v>3</v>
      </c>
    </row>
    <row r="665" spans="1:12">
      <c r="B665" s="62" t="s">
        <v>4570</v>
      </c>
      <c r="C665" s="62" t="s">
        <v>494</v>
      </c>
      <c r="K665">
        <v>5</v>
      </c>
      <c r="L665">
        <v>8</v>
      </c>
    </row>
    <row r="666" spans="1:12">
      <c r="B666" s="62" t="s">
        <v>4571</v>
      </c>
      <c r="C666" s="62" t="s">
        <v>494</v>
      </c>
      <c r="K666">
        <v>6</v>
      </c>
      <c r="L666">
        <v>7</v>
      </c>
    </row>
    <row r="667" spans="1:12">
      <c r="B667" s="62" t="s">
        <v>4572</v>
      </c>
      <c r="C667" s="62" t="s">
        <v>520</v>
      </c>
      <c r="K667">
        <v>7</v>
      </c>
    </row>
    <row r="668" spans="1:12">
      <c r="B668" s="62" t="s">
        <v>4573</v>
      </c>
      <c r="C668" s="62" t="s">
        <v>493</v>
      </c>
      <c r="D668">
        <v>100</v>
      </c>
      <c r="K668">
        <v>8</v>
      </c>
    </row>
    <row r="669" spans="1:12">
      <c r="B669" s="62" t="s">
        <v>4574</v>
      </c>
      <c r="C669" s="62" t="s">
        <v>494</v>
      </c>
      <c r="K669">
        <v>9</v>
      </c>
    </row>
    <row r="670" spans="1:12">
      <c r="B670" s="62" t="s">
        <v>4575</v>
      </c>
      <c r="C670" s="62" t="s">
        <v>493</v>
      </c>
      <c r="D670">
        <v>50</v>
      </c>
      <c r="K670">
        <v>10</v>
      </c>
    </row>
    <row r="671" spans="1:12" s="62" customFormat="1">
      <c r="B671" s="62" t="s">
        <v>6042</v>
      </c>
      <c r="C671" s="62" t="s">
        <v>494</v>
      </c>
      <c r="I671" s="22"/>
      <c r="K671">
        <v>11</v>
      </c>
      <c r="L671" s="76"/>
    </row>
    <row r="672" spans="1:12" s="62" customFormat="1">
      <c r="B672" s="62" t="s">
        <v>6043</v>
      </c>
      <c r="C672" s="62" t="s">
        <v>493</v>
      </c>
      <c r="D672" s="62">
        <v>10</v>
      </c>
      <c r="I672" s="22"/>
      <c r="K672">
        <v>12</v>
      </c>
      <c r="L672" s="76"/>
    </row>
    <row r="673" spans="1:16" s="62" customFormat="1">
      <c r="B673" s="62" t="s">
        <v>6044</v>
      </c>
      <c r="C673" s="62" t="s">
        <v>494</v>
      </c>
      <c r="I673" s="22"/>
      <c r="K673">
        <v>13</v>
      </c>
      <c r="L673" s="76"/>
    </row>
    <row r="674" spans="1:16" s="62" customFormat="1">
      <c r="B674" s="62" t="s">
        <v>6045</v>
      </c>
      <c r="C674" s="62" t="s">
        <v>493</v>
      </c>
      <c r="D674" s="62">
        <v>10</v>
      </c>
      <c r="I674" s="22"/>
      <c r="K674">
        <v>14</v>
      </c>
      <c r="L674" s="76"/>
    </row>
    <row r="675" spans="1:16" s="62" customFormat="1">
      <c r="B675" s="62" t="s">
        <v>6046</v>
      </c>
      <c r="C675" s="62" t="s">
        <v>494</v>
      </c>
      <c r="I675" s="22"/>
      <c r="K675">
        <v>15</v>
      </c>
      <c r="L675" s="76"/>
    </row>
    <row r="676" spans="1:16" s="62" customFormat="1">
      <c r="B676" s="62" t="s">
        <v>6047</v>
      </c>
      <c r="C676" s="62" t="s">
        <v>494</v>
      </c>
      <c r="I676" s="22"/>
      <c r="K676">
        <v>16</v>
      </c>
      <c r="L676" s="76"/>
    </row>
    <row r="677" spans="1:16" s="62" customFormat="1">
      <c r="B677" s="62" t="s">
        <v>6056</v>
      </c>
      <c r="C677" s="62" t="s">
        <v>494</v>
      </c>
      <c r="I677" s="22"/>
      <c r="K677">
        <v>17</v>
      </c>
      <c r="L677" s="76"/>
    </row>
    <row r="678" spans="1:16" s="62" customFormat="1">
      <c r="I678" s="22"/>
      <c r="K678"/>
      <c r="L678" s="76"/>
    </row>
    <row r="679" spans="1:16" s="62" customFormat="1">
      <c r="A679" s="62" t="s">
        <v>6057</v>
      </c>
      <c r="B679" s="62" t="s">
        <v>6058</v>
      </c>
      <c r="C679" s="62" t="s">
        <v>494</v>
      </c>
      <c r="E679" s="62" t="s">
        <v>476</v>
      </c>
      <c r="F679" s="62">
        <v>1</v>
      </c>
      <c r="G679" s="62">
        <v>224</v>
      </c>
      <c r="H679" s="62" t="s">
        <v>6063</v>
      </c>
      <c r="I679" s="22"/>
      <c r="J679" s="62">
        <v>6</v>
      </c>
      <c r="K679" s="62">
        <v>1</v>
      </c>
      <c r="L679" s="76">
        <v>52</v>
      </c>
      <c r="N679" s="62">
        <v>213</v>
      </c>
      <c r="O679" s="62" t="s">
        <v>4568</v>
      </c>
    </row>
    <row r="680" spans="1:16" s="62" customFormat="1">
      <c r="B680" s="62" t="s">
        <v>6067</v>
      </c>
      <c r="C680" s="62" t="s">
        <v>494</v>
      </c>
      <c r="E680" s="62" t="s">
        <v>476</v>
      </c>
      <c r="I680" s="22"/>
      <c r="K680" s="62">
        <v>2</v>
      </c>
      <c r="L680" s="76">
        <v>3</v>
      </c>
      <c r="N680" s="64" t="s">
        <v>506</v>
      </c>
      <c r="O680" s="10" t="s">
        <v>514</v>
      </c>
      <c r="P680" s="62" t="s">
        <v>515</v>
      </c>
    </row>
    <row r="681" spans="1:16" s="62" customFormat="1">
      <c r="B681" s="62" t="s">
        <v>6059</v>
      </c>
      <c r="C681" s="62" t="s">
        <v>494</v>
      </c>
      <c r="E681" s="62" t="s">
        <v>476</v>
      </c>
      <c r="I681" s="22"/>
      <c r="K681" s="62">
        <v>3</v>
      </c>
      <c r="L681" s="76">
        <v>3</v>
      </c>
      <c r="N681" s="62" t="s">
        <v>1038</v>
      </c>
      <c r="O681" s="23" t="s">
        <v>1040</v>
      </c>
      <c r="P681" s="60" t="s">
        <v>1041</v>
      </c>
    </row>
    <row r="682" spans="1:16" s="62" customFormat="1">
      <c r="B682" s="62" t="s">
        <v>6060</v>
      </c>
      <c r="C682" s="62" t="s">
        <v>494</v>
      </c>
      <c r="I682" s="22"/>
      <c r="K682" s="62">
        <v>4</v>
      </c>
      <c r="L682" s="76">
        <v>6</v>
      </c>
    </row>
    <row r="683" spans="1:16" s="62" customFormat="1">
      <c r="B683" s="62" t="s">
        <v>6061</v>
      </c>
      <c r="C683" s="62" t="s">
        <v>494</v>
      </c>
      <c r="I683" s="22"/>
      <c r="K683" s="62">
        <v>5</v>
      </c>
      <c r="L683" s="76">
        <v>7</v>
      </c>
    </row>
    <row r="684" spans="1:16" s="62" customFormat="1">
      <c r="B684" s="62" t="s">
        <v>6062</v>
      </c>
      <c r="C684" s="62" t="s">
        <v>494</v>
      </c>
      <c r="I684" s="22"/>
      <c r="K684" s="62">
        <v>6</v>
      </c>
      <c r="L684" s="76">
        <v>8</v>
      </c>
    </row>
    <row r="686" spans="1:16">
      <c r="A686" s="62" t="s">
        <v>5096</v>
      </c>
      <c r="B686" s="62" t="s">
        <v>5098</v>
      </c>
      <c r="C686" s="62" t="s">
        <v>494</v>
      </c>
      <c r="E686" s="62" t="s">
        <v>476</v>
      </c>
      <c r="F686">
        <v>1</v>
      </c>
      <c r="G686">
        <v>214</v>
      </c>
      <c r="H686" s="62" t="s">
        <v>5101</v>
      </c>
      <c r="I686" s="62" t="s">
        <v>5102</v>
      </c>
      <c r="J686">
        <v>1501</v>
      </c>
      <c r="K686">
        <v>1</v>
      </c>
      <c r="L686">
        <v>7</v>
      </c>
    </row>
    <row r="687" spans="1:16">
      <c r="B687" s="62" t="s">
        <v>5095</v>
      </c>
      <c r="C687" s="62" t="s">
        <v>494</v>
      </c>
      <c r="E687" s="62" t="s">
        <v>476</v>
      </c>
      <c r="K687">
        <v>2</v>
      </c>
      <c r="L687">
        <v>6</v>
      </c>
    </row>
    <row r="688" spans="1:16">
      <c r="B688" s="62" t="s">
        <v>5097</v>
      </c>
      <c r="C688" s="62" t="s">
        <v>494</v>
      </c>
      <c r="K688">
        <v>3</v>
      </c>
      <c r="L688">
        <v>6</v>
      </c>
    </row>
    <row r="689" spans="1:16">
      <c r="B689" s="62" t="s">
        <v>5099</v>
      </c>
      <c r="C689" s="62" t="s">
        <v>494</v>
      </c>
      <c r="K689">
        <v>4</v>
      </c>
      <c r="M689">
        <v>1</v>
      </c>
    </row>
    <row r="690" spans="1:16">
      <c r="B690" s="62" t="s">
        <v>5100</v>
      </c>
      <c r="C690" s="62" t="s">
        <v>494</v>
      </c>
      <c r="K690">
        <v>5</v>
      </c>
      <c r="M690">
        <v>1</v>
      </c>
    </row>
    <row r="692" spans="1:16">
      <c r="A692" s="62" t="s">
        <v>5110</v>
      </c>
      <c r="B692" s="62" t="s">
        <v>5103</v>
      </c>
      <c r="C692" s="62" t="s">
        <v>494</v>
      </c>
      <c r="E692" s="62" t="s">
        <v>476</v>
      </c>
      <c r="F692">
        <v>1</v>
      </c>
      <c r="G692">
        <v>215</v>
      </c>
      <c r="H692" s="62" t="s">
        <v>5113</v>
      </c>
      <c r="J692">
        <v>1501</v>
      </c>
      <c r="K692">
        <v>1</v>
      </c>
      <c r="L692">
        <v>52</v>
      </c>
      <c r="N692">
        <v>214</v>
      </c>
      <c r="O692" s="62" t="s">
        <v>5097</v>
      </c>
    </row>
    <row r="693" spans="1:16">
      <c r="B693" s="62" t="s">
        <v>5104</v>
      </c>
      <c r="C693" s="62" t="s">
        <v>494</v>
      </c>
      <c r="E693" s="62" t="s">
        <v>476</v>
      </c>
      <c r="K693">
        <v>2</v>
      </c>
      <c r="L693">
        <v>6</v>
      </c>
    </row>
    <row r="694" spans="1:16">
      <c r="B694" s="62" t="s">
        <v>5105</v>
      </c>
      <c r="C694" s="62" t="s">
        <v>494</v>
      </c>
      <c r="K694">
        <v>3</v>
      </c>
      <c r="L694">
        <v>6</v>
      </c>
    </row>
    <row r="695" spans="1:16">
      <c r="B695" s="62" t="s">
        <v>5106</v>
      </c>
      <c r="C695" s="62" t="s">
        <v>494</v>
      </c>
      <c r="K695">
        <v>4</v>
      </c>
      <c r="L695">
        <v>3</v>
      </c>
      <c r="N695" s="62" t="s">
        <v>5109</v>
      </c>
      <c r="O695" s="62" t="s">
        <v>5111</v>
      </c>
      <c r="P695" s="62" t="s">
        <v>5112</v>
      </c>
    </row>
    <row r="696" spans="1:16">
      <c r="B696" s="62" t="s">
        <v>5107</v>
      </c>
      <c r="C696" s="62" t="s">
        <v>520</v>
      </c>
      <c r="K696">
        <v>5</v>
      </c>
    </row>
    <row r="697" spans="1:16">
      <c r="B697" s="62" t="s">
        <v>5108</v>
      </c>
      <c r="C697" s="62" t="s">
        <v>494</v>
      </c>
      <c r="K697">
        <v>6</v>
      </c>
    </row>
    <row r="699" spans="1:16">
      <c r="A699" s="62" t="s">
        <v>5109</v>
      </c>
      <c r="B699" s="62" t="s">
        <v>5111</v>
      </c>
      <c r="C699" s="62" t="s">
        <v>494</v>
      </c>
      <c r="E699" s="62" t="s">
        <v>476</v>
      </c>
    </row>
    <row r="700" spans="1:16">
      <c r="B700" s="62" t="s">
        <v>5112</v>
      </c>
      <c r="C700" s="62" t="s">
        <v>493</v>
      </c>
      <c r="D700">
        <v>100</v>
      </c>
    </row>
    <row r="702" spans="1:16">
      <c r="A702" s="62" t="s">
        <v>5129</v>
      </c>
      <c r="B702" s="62" t="s">
        <v>5130</v>
      </c>
      <c r="C702" s="62" t="s">
        <v>494</v>
      </c>
      <c r="E702" s="62" t="s">
        <v>476</v>
      </c>
      <c r="F702">
        <v>1</v>
      </c>
      <c r="G702">
        <v>217</v>
      </c>
      <c r="H702" s="62" t="s">
        <v>5138</v>
      </c>
      <c r="I702" s="62" t="s">
        <v>5139</v>
      </c>
      <c r="J702">
        <v>2</v>
      </c>
      <c r="K702">
        <v>1</v>
      </c>
      <c r="L702">
        <v>6</v>
      </c>
    </row>
    <row r="703" spans="1:16">
      <c r="B703" s="62" t="s">
        <v>5131</v>
      </c>
      <c r="C703" s="62" t="s">
        <v>494</v>
      </c>
      <c r="K703">
        <v>2</v>
      </c>
      <c r="L703">
        <v>6</v>
      </c>
    </row>
    <row r="704" spans="1:16">
      <c r="B704" s="62" t="s">
        <v>5132</v>
      </c>
      <c r="C704" s="62" t="s">
        <v>494</v>
      </c>
      <c r="K704">
        <v>3</v>
      </c>
    </row>
    <row r="705" spans="1:16">
      <c r="B705" s="62" t="s">
        <v>5134</v>
      </c>
      <c r="C705" s="62" t="s">
        <v>493</v>
      </c>
      <c r="D705">
        <v>100</v>
      </c>
      <c r="K705">
        <v>4</v>
      </c>
    </row>
    <row r="706" spans="1:16">
      <c r="B706" s="62" t="s">
        <v>5133</v>
      </c>
      <c r="C706" s="62" t="s">
        <v>494</v>
      </c>
      <c r="K706">
        <v>5</v>
      </c>
      <c r="L706">
        <v>7</v>
      </c>
    </row>
    <row r="707" spans="1:16">
      <c r="B707" s="62" t="s">
        <v>5135</v>
      </c>
      <c r="C707" s="62" t="s">
        <v>494</v>
      </c>
      <c r="K707">
        <v>6</v>
      </c>
      <c r="L707">
        <v>7</v>
      </c>
    </row>
    <row r="708" spans="1:16">
      <c r="B708" s="62" t="s">
        <v>5136</v>
      </c>
      <c r="C708" s="62" t="s">
        <v>494</v>
      </c>
      <c r="K708">
        <v>7</v>
      </c>
      <c r="M708">
        <v>1</v>
      </c>
    </row>
    <row r="709" spans="1:16">
      <c r="B709" s="62" t="s">
        <v>5137</v>
      </c>
      <c r="C709" s="62" t="s">
        <v>494</v>
      </c>
      <c r="K709">
        <v>8</v>
      </c>
      <c r="M709">
        <v>1</v>
      </c>
    </row>
    <row r="711" spans="1:16" s="1" customFormat="1">
      <c r="A711" s="62" t="s">
        <v>579</v>
      </c>
      <c r="B711" s="1" t="s">
        <v>580</v>
      </c>
      <c r="C711" s="1" t="s">
        <v>493</v>
      </c>
      <c r="D711" s="1">
        <v>2</v>
      </c>
      <c r="E711" s="1" t="s">
        <v>476</v>
      </c>
      <c r="F711" s="1">
        <v>1</v>
      </c>
      <c r="G711" s="1">
        <v>298</v>
      </c>
      <c r="H711" s="62" t="s">
        <v>5164</v>
      </c>
      <c r="I711" s="22" t="s">
        <v>5165</v>
      </c>
      <c r="J711" s="1">
        <v>1501</v>
      </c>
      <c r="K711" s="82">
        <v>1</v>
      </c>
      <c r="L711" s="9">
        <v>3</v>
      </c>
      <c r="N711"/>
    </row>
    <row r="712" spans="1:16" s="1" customFormat="1">
      <c r="A712" s="62"/>
      <c r="B712" s="62" t="s">
        <v>581</v>
      </c>
      <c r="C712" s="1" t="s">
        <v>493</v>
      </c>
      <c r="D712" s="1">
        <v>13</v>
      </c>
      <c r="E712" s="1" t="s">
        <v>476</v>
      </c>
      <c r="I712" s="2"/>
      <c r="K712" s="82">
        <v>2</v>
      </c>
      <c r="L712" s="9"/>
    </row>
    <row r="713" spans="1:16" s="1" customFormat="1">
      <c r="A713" s="62"/>
      <c r="B713" s="1" t="s">
        <v>582</v>
      </c>
      <c r="C713" s="1" t="s">
        <v>494</v>
      </c>
      <c r="I713" s="2"/>
      <c r="K713" s="82">
        <v>3</v>
      </c>
      <c r="L713" s="9">
        <v>6</v>
      </c>
    </row>
    <row r="714" spans="1:16" s="1" customFormat="1">
      <c r="A714" s="62"/>
      <c r="B714" s="1" t="s">
        <v>594</v>
      </c>
      <c r="C714" s="1" t="s">
        <v>493</v>
      </c>
      <c r="D714" s="1">
        <v>100</v>
      </c>
      <c r="I714" s="2"/>
      <c r="K714" s="82">
        <v>4</v>
      </c>
      <c r="L714" s="9"/>
    </row>
    <row r="715" spans="1:16" s="1" customFormat="1">
      <c r="A715" s="62"/>
      <c r="B715" s="62" t="s">
        <v>595</v>
      </c>
      <c r="C715" s="1" t="s">
        <v>493</v>
      </c>
      <c r="D715" s="1">
        <v>100</v>
      </c>
      <c r="I715" s="2"/>
      <c r="K715" s="82">
        <v>5</v>
      </c>
      <c r="L715" s="9"/>
    </row>
    <row r="716" spans="1:16" s="1" customFormat="1">
      <c r="A716" s="62"/>
      <c r="B716" s="62" t="s">
        <v>596</v>
      </c>
      <c r="C716" s="1" t="s">
        <v>493</v>
      </c>
      <c r="D716" s="1">
        <v>30</v>
      </c>
      <c r="I716" s="2"/>
      <c r="K716" s="82">
        <v>6</v>
      </c>
      <c r="L716" s="9"/>
    </row>
    <row r="717" spans="1:16" s="1" customFormat="1">
      <c r="A717" s="62"/>
      <c r="B717" s="62" t="s">
        <v>597</v>
      </c>
      <c r="C717" s="1" t="s">
        <v>493</v>
      </c>
      <c r="D717" s="1">
        <v>50</v>
      </c>
      <c r="I717" s="2"/>
      <c r="K717" s="82">
        <v>7</v>
      </c>
      <c r="L717" s="9"/>
    </row>
    <row r="718" spans="1:16" s="62" customFormat="1">
      <c r="B718" s="62" t="s">
        <v>5160</v>
      </c>
      <c r="C718" s="62" t="s">
        <v>493</v>
      </c>
      <c r="D718" s="1">
        <v>5</v>
      </c>
      <c r="I718" s="22"/>
      <c r="K718" s="82">
        <v>8</v>
      </c>
      <c r="L718" s="76">
        <v>3</v>
      </c>
      <c r="O718" s="60"/>
      <c r="P718" s="60"/>
    </row>
    <row r="719" spans="1:16" s="62" customFormat="1">
      <c r="B719" s="62" t="s">
        <v>5161</v>
      </c>
      <c r="C719" s="62" t="s">
        <v>494</v>
      </c>
      <c r="D719" s="1"/>
      <c r="I719" s="22"/>
      <c r="K719" s="82">
        <v>9</v>
      </c>
      <c r="L719" s="76">
        <v>3</v>
      </c>
      <c r="O719" s="60"/>
      <c r="P719" s="60"/>
    </row>
    <row r="720" spans="1:16" s="62" customFormat="1">
      <c r="B720" s="62" t="s">
        <v>5162</v>
      </c>
      <c r="C720" s="62" t="s">
        <v>494</v>
      </c>
      <c r="D720" s="1"/>
      <c r="I720" s="22"/>
      <c r="K720" s="82">
        <v>10</v>
      </c>
      <c r="L720" s="76">
        <v>3</v>
      </c>
      <c r="O720" s="60"/>
      <c r="P720" s="60"/>
    </row>
    <row r="721" spans="1:16" s="62" customFormat="1">
      <c r="B721" s="62" t="s">
        <v>5163</v>
      </c>
      <c r="C721" s="62" t="s">
        <v>494</v>
      </c>
      <c r="D721" s="1"/>
      <c r="I721" s="22"/>
      <c r="K721" s="82">
        <v>11</v>
      </c>
      <c r="L721" s="76">
        <v>3</v>
      </c>
      <c r="O721" s="60"/>
      <c r="P721" s="60"/>
    </row>
    <row r="722" spans="1:16" s="62" customFormat="1">
      <c r="I722" s="22"/>
      <c r="K722" s="57"/>
      <c r="L722" s="76"/>
      <c r="O722" s="60"/>
      <c r="P722" s="60"/>
    </row>
    <row r="723" spans="1:16">
      <c r="A723" s="62" t="s">
        <v>5339</v>
      </c>
      <c r="B723" s="62" t="s">
        <v>5340</v>
      </c>
      <c r="C723" s="62" t="s">
        <v>494</v>
      </c>
      <c r="E723" s="62" t="s">
        <v>476</v>
      </c>
      <c r="F723">
        <v>1</v>
      </c>
      <c r="G723">
        <v>218</v>
      </c>
      <c r="H723" s="62" t="s">
        <v>5344</v>
      </c>
      <c r="I723" s="62" t="s">
        <v>5345</v>
      </c>
      <c r="J723">
        <v>2</v>
      </c>
      <c r="K723" s="76">
        <v>1</v>
      </c>
      <c r="L723" s="76">
        <v>6</v>
      </c>
    </row>
    <row r="724" spans="1:16">
      <c r="B724" s="62" t="s">
        <v>5341</v>
      </c>
      <c r="C724" s="62" t="s">
        <v>494</v>
      </c>
      <c r="K724" s="76">
        <v>2</v>
      </c>
      <c r="L724" s="76">
        <v>6</v>
      </c>
    </row>
    <row r="725" spans="1:16">
      <c r="B725" s="62" t="s">
        <v>5343</v>
      </c>
      <c r="C725" s="62" t="s">
        <v>493</v>
      </c>
      <c r="D725">
        <v>1</v>
      </c>
      <c r="K725" s="76">
        <v>3</v>
      </c>
      <c r="L725" s="76">
        <v>30</v>
      </c>
    </row>
    <row r="726" spans="1:16">
      <c r="B726" s="62" t="s">
        <v>5342</v>
      </c>
      <c r="C726" s="62" t="s">
        <v>493</v>
      </c>
      <c r="D726">
        <v>100</v>
      </c>
      <c r="K726" s="76">
        <v>4</v>
      </c>
    </row>
    <row r="728" spans="1:16">
      <c r="A728" s="62" t="s">
        <v>5346</v>
      </c>
      <c r="B728" s="62" t="s">
        <v>5347</v>
      </c>
      <c r="C728" s="62" t="s">
        <v>494</v>
      </c>
      <c r="E728" s="62" t="s">
        <v>476</v>
      </c>
      <c r="F728">
        <v>1</v>
      </c>
      <c r="G728">
        <v>219</v>
      </c>
      <c r="H728" s="62" t="s">
        <v>5353</v>
      </c>
      <c r="J728">
        <v>2</v>
      </c>
      <c r="K728" s="76">
        <v>1</v>
      </c>
      <c r="L728" s="76">
        <v>51</v>
      </c>
      <c r="N728">
        <v>218</v>
      </c>
      <c r="O728" s="62" t="s">
        <v>5341</v>
      </c>
    </row>
    <row r="729" spans="1:16">
      <c r="B729" s="62" t="s">
        <v>5348</v>
      </c>
      <c r="C729" s="62" t="s">
        <v>494</v>
      </c>
      <c r="E729" s="62" t="s">
        <v>476</v>
      </c>
      <c r="K729" s="76">
        <v>2</v>
      </c>
      <c r="L729" s="76">
        <v>6</v>
      </c>
    </row>
    <row r="730" spans="1:16">
      <c r="B730" s="62" t="s">
        <v>5349</v>
      </c>
      <c r="C730" s="62" t="s">
        <v>494</v>
      </c>
      <c r="K730" s="76">
        <v>3</v>
      </c>
      <c r="L730" s="76">
        <v>6</v>
      </c>
    </row>
    <row r="731" spans="1:16">
      <c r="B731" s="62" t="s">
        <v>5350</v>
      </c>
      <c r="C731" s="62" t="s">
        <v>493</v>
      </c>
      <c r="D731">
        <v>100</v>
      </c>
      <c r="K731" s="76">
        <v>4</v>
      </c>
    </row>
    <row r="732" spans="1:16">
      <c r="B732" s="62" t="s">
        <v>5351</v>
      </c>
      <c r="C732" s="62" t="s">
        <v>494</v>
      </c>
      <c r="K732" s="76">
        <v>5</v>
      </c>
    </row>
    <row r="733" spans="1:16">
      <c r="B733" s="62" t="s">
        <v>5352</v>
      </c>
      <c r="C733" s="62" t="s">
        <v>494</v>
      </c>
      <c r="K733" s="76">
        <v>6</v>
      </c>
    </row>
    <row r="735" spans="1:16">
      <c r="A735" s="62" t="s">
        <v>5354</v>
      </c>
      <c r="B735" s="62" t="s">
        <v>5355</v>
      </c>
      <c r="C735" s="62" t="s">
        <v>494</v>
      </c>
      <c r="E735" s="62" t="s">
        <v>476</v>
      </c>
      <c r="F735">
        <v>1</v>
      </c>
      <c r="G735">
        <v>220</v>
      </c>
      <c r="H735" s="62" t="s">
        <v>5359</v>
      </c>
      <c r="J735">
        <v>2</v>
      </c>
      <c r="K735" s="76">
        <v>1</v>
      </c>
      <c r="L735">
        <v>51</v>
      </c>
      <c r="N735">
        <v>218</v>
      </c>
      <c r="O735" s="62" t="s">
        <v>5341</v>
      </c>
    </row>
    <row r="736" spans="1:16">
      <c r="B736" s="62" t="s">
        <v>5356</v>
      </c>
      <c r="C736" s="62" t="s">
        <v>494</v>
      </c>
      <c r="E736" s="62" t="s">
        <v>476</v>
      </c>
      <c r="K736" s="76">
        <v>2</v>
      </c>
    </row>
    <row r="737" spans="1:12">
      <c r="B737" s="62" t="s">
        <v>5357</v>
      </c>
      <c r="C737" s="62" t="s">
        <v>494</v>
      </c>
      <c r="K737" s="76">
        <v>3</v>
      </c>
      <c r="L737">
        <v>6</v>
      </c>
    </row>
    <row r="738" spans="1:12">
      <c r="B738" s="62" t="s">
        <v>5358</v>
      </c>
      <c r="C738" s="62" t="s">
        <v>494</v>
      </c>
      <c r="K738" s="76">
        <v>4</v>
      </c>
    </row>
    <row r="740" spans="1:12">
      <c r="A740" s="62" t="s">
        <v>5422</v>
      </c>
      <c r="B740" s="62" t="s">
        <v>5423</v>
      </c>
      <c r="C740" s="62" t="s">
        <v>494</v>
      </c>
      <c r="E740" s="62" t="s">
        <v>476</v>
      </c>
      <c r="F740">
        <v>1</v>
      </c>
      <c r="G740">
        <v>221</v>
      </c>
      <c r="H740" s="62" t="s">
        <v>5427</v>
      </c>
      <c r="I740" s="62" t="s">
        <v>5428</v>
      </c>
      <c r="J740">
        <v>6</v>
      </c>
      <c r="K740" s="76">
        <v>1</v>
      </c>
      <c r="L740">
        <v>6</v>
      </c>
    </row>
    <row r="741" spans="1:12">
      <c r="B741" s="62" t="s">
        <v>5424</v>
      </c>
      <c r="C741" s="62" t="s">
        <v>494</v>
      </c>
      <c r="K741" s="76">
        <v>2</v>
      </c>
      <c r="L741">
        <v>6</v>
      </c>
    </row>
    <row r="742" spans="1:12">
      <c r="B742" s="62" t="s">
        <v>5425</v>
      </c>
      <c r="C742" s="62" t="s">
        <v>493</v>
      </c>
      <c r="D742">
        <v>100</v>
      </c>
      <c r="K742" s="76">
        <v>3</v>
      </c>
    </row>
    <row r="743" spans="1:12">
      <c r="B743" s="62" t="s">
        <v>5426</v>
      </c>
      <c r="C743" s="62" t="s">
        <v>520</v>
      </c>
      <c r="K743" s="76">
        <v>4</v>
      </c>
    </row>
    <row r="745" spans="1:12">
      <c r="A745" s="62" t="s">
        <v>6035</v>
      </c>
      <c r="B745" s="62" t="s">
        <v>6036</v>
      </c>
      <c r="C745" s="62" t="s">
        <v>494</v>
      </c>
      <c r="F745">
        <v>1</v>
      </c>
      <c r="G745">
        <v>222</v>
      </c>
      <c r="H745" s="62" t="s">
        <v>6039</v>
      </c>
      <c r="I745" s="62" t="s">
        <v>6040</v>
      </c>
      <c r="J745">
        <v>6</v>
      </c>
      <c r="K745" s="76">
        <v>1</v>
      </c>
      <c r="L745">
        <v>8</v>
      </c>
    </row>
    <row r="746" spans="1:12">
      <c r="B746" s="62" t="s">
        <v>6037</v>
      </c>
      <c r="C746" s="62" t="s">
        <v>494</v>
      </c>
      <c r="K746" s="76">
        <v>2</v>
      </c>
      <c r="L746">
        <v>7</v>
      </c>
    </row>
    <row r="747" spans="1:12">
      <c r="B747" s="62" t="s">
        <v>6038</v>
      </c>
      <c r="C747" s="62" t="s">
        <v>494</v>
      </c>
      <c r="K747" s="76">
        <v>3</v>
      </c>
      <c r="L747">
        <v>7</v>
      </c>
    </row>
    <row r="748" spans="1:12">
      <c r="B748" s="62" t="s">
        <v>6041</v>
      </c>
      <c r="C748" s="62" t="s">
        <v>493</v>
      </c>
      <c r="D748">
        <v>1</v>
      </c>
    </row>
    <row r="750" spans="1:12">
      <c r="A750" s="62" t="s">
        <v>6048</v>
      </c>
      <c r="B750" s="62" t="s">
        <v>6050</v>
      </c>
      <c r="C750" s="62" t="s">
        <v>494</v>
      </c>
      <c r="D750" s="62"/>
      <c r="E750" s="62" t="s">
        <v>476</v>
      </c>
      <c r="F750" s="48">
        <v>99</v>
      </c>
      <c r="G750" s="48">
        <v>1057</v>
      </c>
      <c r="H750" s="48" t="s">
        <v>354</v>
      </c>
      <c r="I750" s="48" t="s">
        <v>6049</v>
      </c>
      <c r="J750" s="48">
        <v>99</v>
      </c>
      <c r="K750" s="55">
        <v>1</v>
      </c>
    </row>
    <row r="751" spans="1:12">
      <c r="B751" s="62" t="s">
        <v>6051</v>
      </c>
      <c r="C751" s="62" t="s">
        <v>493</v>
      </c>
      <c r="D751" s="62">
        <v>50</v>
      </c>
      <c r="E751" s="62"/>
      <c r="F751" s="48"/>
      <c r="G751" s="48"/>
      <c r="H751" s="48"/>
      <c r="I751" s="48"/>
      <c r="J751" s="48"/>
      <c r="K751" s="55">
        <v>2</v>
      </c>
    </row>
    <row r="752" spans="1:12">
      <c r="B752" s="62" t="s">
        <v>6052</v>
      </c>
      <c r="C752" s="62" t="s">
        <v>494</v>
      </c>
      <c r="D752" s="62"/>
      <c r="E752" s="62"/>
      <c r="F752" s="48"/>
      <c r="G752" s="48"/>
      <c r="H752" s="48"/>
      <c r="I752" s="48"/>
      <c r="J752" s="48"/>
      <c r="K752" s="55">
        <v>3</v>
      </c>
    </row>
    <row r="753" spans="1:13">
      <c r="B753" s="62" t="s">
        <v>6053</v>
      </c>
      <c r="C753" s="62" t="s">
        <v>494</v>
      </c>
      <c r="D753" s="62"/>
      <c r="E753" s="62"/>
      <c r="F753" s="48"/>
      <c r="G753" s="48"/>
      <c r="H753" s="48"/>
      <c r="I753" s="48"/>
      <c r="J753" s="48"/>
      <c r="K753" s="55">
        <v>4</v>
      </c>
    </row>
    <row r="754" spans="1:13">
      <c r="B754" s="62" t="s">
        <v>6054</v>
      </c>
      <c r="C754" s="62" t="s">
        <v>493</v>
      </c>
      <c r="D754" s="62">
        <v>50</v>
      </c>
      <c r="E754" s="62"/>
      <c r="F754" s="48"/>
      <c r="G754" s="48"/>
      <c r="H754" s="48"/>
      <c r="I754" s="48"/>
      <c r="J754" s="48"/>
      <c r="K754" s="55">
        <v>5</v>
      </c>
    </row>
    <row r="756" spans="1:13">
      <c r="A756" s="62" t="s">
        <v>6071</v>
      </c>
      <c r="B756" t="s">
        <v>6075</v>
      </c>
      <c r="C756" t="s">
        <v>494</v>
      </c>
      <c r="E756" t="s">
        <v>476</v>
      </c>
      <c r="F756">
        <v>1</v>
      </c>
      <c r="G756">
        <v>225</v>
      </c>
      <c r="H756" t="s">
        <v>6085</v>
      </c>
      <c r="I756" t="s">
        <v>6086</v>
      </c>
      <c r="J756">
        <v>6</v>
      </c>
      <c r="K756" s="55">
        <v>1</v>
      </c>
      <c r="L756">
        <v>6</v>
      </c>
    </row>
    <row r="757" spans="1:13">
      <c r="B757" t="s">
        <v>6072</v>
      </c>
      <c r="C757" t="s">
        <v>493</v>
      </c>
      <c r="D757">
        <v>100</v>
      </c>
      <c r="K757" s="55">
        <v>2</v>
      </c>
      <c r="M757">
        <v>1</v>
      </c>
    </row>
    <row r="758" spans="1:13">
      <c r="B758" t="s">
        <v>6073</v>
      </c>
      <c r="C758" t="s">
        <v>493</v>
      </c>
      <c r="D758">
        <v>50</v>
      </c>
      <c r="K758" s="55">
        <v>3</v>
      </c>
      <c r="M758">
        <v>1</v>
      </c>
    </row>
    <row r="759" spans="1:13">
      <c r="B759" t="s">
        <v>6074</v>
      </c>
      <c r="C759" t="s">
        <v>494</v>
      </c>
      <c r="K759" s="55">
        <v>4</v>
      </c>
      <c r="L759">
        <v>7</v>
      </c>
      <c r="M759">
        <v>1</v>
      </c>
    </row>
    <row r="760" spans="1:13">
      <c r="B760" t="s">
        <v>6076</v>
      </c>
      <c r="C760" t="s">
        <v>494</v>
      </c>
      <c r="K760" s="55">
        <v>5</v>
      </c>
      <c r="M760">
        <v>73</v>
      </c>
    </row>
    <row r="761" spans="1:13">
      <c r="B761" t="s">
        <v>6077</v>
      </c>
      <c r="C761" t="s">
        <v>494</v>
      </c>
      <c r="K761" s="55">
        <v>6</v>
      </c>
      <c r="M761">
        <v>74</v>
      </c>
    </row>
    <row r="762" spans="1:13">
      <c r="B762" t="s">
        <v>6078</v>
      </c>
      <c r="C762" t="s">
        <v>494</v>
      </c>
      <c r="K762" s="55">
        <v>7</v>
      </c>
      <c r="M762">
        <v>1</v>
      </c>
    </row>
    <row r="763" spans="1:13">
      <c r="B763" s="62" t="s">
        <v>6084</v>
      </c>
      <c r="C763" s="62" t="s">
        <v>493</v>
      </c>
      <c r="D763">
        <v>50</v>
      </c>
      <c r="K763" s="55">
        <v>8</v>
      </c>
      <c r="M763">
        <v>1</v>
      </c>
    </row>
    <row r="764" spans="1:13">
      <c r="B764" s="62" t="s">
        <v>6087</v>
      </c>
      <c r="C764" s="62" t="s">
        <v>494</v>
      </c>
      <c r="K764" s="55">
        <v>9</v>
      </c>
      <c r="M764">
        <v>1</v>
      </c>
    </row>
    <row r="765" spans="1:13">
      <c r="B765" s="62" t="s">
        <v>6088</v>
      </c>
      <c r="C765" s="62" t="s">
        <v>494</v>
      </c>
      <c r="K765" s="55">
        <v>10</v>
      </c>
      <c r="M765">
        <v>1</v>
      </c>
    </row>
    <row r="766" spans="1:13">
      <c r="B766" s="62" t="s">
        <v>6079</v>
      </c>
      <c r="C766" s="62" t="s">
        <v>494</v>
      </c>
      <c r="D766" s="62"/>
      <c r="K766" s="55">
        <v>11</v>
      </c>
      <c r="M766">
        <v>1</v>
      </c>
    </row>
    <row r="767" spans="1:13">
      <c r="B767" s="62" t="s">
        <v>6080</v>
      </c>
      <c r="C767" s="62" t="s">
        <v>493</v>
      </c>
      <c r="D767" s="62">
        <v>10</v>
      </c>
      <c r="K767" s="55">
        <v>12</v>
      </c>
      <c r="M767">
        <v>1</v>
      </c>
    </row>
    <row r="768" spans="1:13">
      <c r="B768" s="62" t="s">
        <v>6081</v>
      </c>
      <c r="C768" s="62" t="s">
        <v>494</v>
      </c>
      <c r="D768" s="62"/>
      <c r="K768" s="55">
        <v>13</v>
      </c>
      <c r="M768">
        <v>1</v>
      </c>
    </row>
    <row r="769" spans="1:16">
      <c r="B769" s="62" t="s">
        <v>6082</v>
      </c>
      <c r="C769" s="62" t="s">
        <v>493</v>
      </c>
      <c r="D769" s="62">
        <v>10</v>
      </c>
      <c r="K769" s="55">
        <v>14</v>
      </c>
      <c r="M769">
        <v>1</v>
      </c>
    </row>
    <row r="770" spans="1:16">
      <c r="B770" s="62" t="s">
        <v>6083</v>
      </c>
      <c r="C770" s="62" t="s">
        <v>494</v>
      </c>
      <c r="D770" s="62"/>
      <c r="K770" s="55">
        <v>15</v>
      </c>
      <c r="M770">
        <v>1</v>
      </c>
    </row>
    <row r="771" spans="1:16">
      <c r="B771" s="62"/>
      <c r="C771" s="62"/>
      <c r="D771" s="62"/>
      <c r="K771" s="55"/>
    </row>
    <row r="772" spans="1:16">
      <c r="A772" s="62" t="s">
        <v>6344</v>
      </c>
      <c r="B772" s="62" t="s">
        <v>6347</v>
      </c>
      <c r="C772" s="62" t="s">
        <v>494</v>
      </c>
      <c r="D772" s="62"/>
      <c r="E772" s="62" t="s">
        <v>476</v>
      </c>
      <c r="F772">
        <v>1</v>
      </c>
      <c r="G772">
        <v>226</v>
      </c>
      <c r="H772" s="62" t="s">
        <v>6345</v>
      </c>
      <c r="I772" s="62" t="s">
        <v>6346</v>
      </c>
      <c r="J772">
        <v>1</v>
      </c>
      <c r="K772" s="55">
        <v>1</v>
      </c>
      <c r="L772">
        <v>6</v>
      </c>
    </row>
    <row r="773" spans="1:16">
      <c r="B773" s="62" t="s">
        <v>6355</v>
      </c>
      <c r="C773" s="62" t="s">
        <v>494</v>
      </c>
      <c r="D773" s="62"/>
      <c r="E773" s="62" t="s">
        <v>476</v>
      </c>
      <c r="H773" s="62"/>
      <c r="I773" s="62"/>
      <c r="K773" s="55">
        <v>2</v>
      </c>
      <c r="M773">
        <v>2</v>
      </c>
      <c r="N773" s="62" t="s">
        <v>6356</v>
      </c>
    </row>
    <row r="774" spans="1:16">
      <c r="B774" s="62" t="s">
        <v>6348</v>
      </c>
      <c r="C774" s="62" t="s">
        <v>494</v>
      </c>
      <c r="D774" s="62"/>
      <c r="K774" s="55">
        <v>3</v>
      </c>
      <c r="L774">
        <v>6</v>
      </c>
    </row>
    <row r="775" spans="1:16">
      <c r="B775" s="62" t="s">
        <v>6349</v>
      </c>
      <c r="C775" s="62" t="s">
        <v>493</v>
      </c>
      <c r="D775" s="62">
        <v>1</v>
      </c>
      <c r="K775" s="55">
        <v>4</v>
      </c>
      <c r="L775">
        <v>3</v>
      </c>
    </row>
    <row r="776" spans="1:16">
      <c r="B776" s="62" t="s">
        <v>6350</v>
      </c>
      <c r="C776" s="62" t="s">
        <v>493</v>
      </c>
      <c r="D776" s="62">
        <v>100</v>
      </c>
      <c r="K776" s="55">
        <v>5</v>
      </c>
    </row>
    <row r="777" spans="1:16">
      <c r="B777" s="62" t="s">
        <v>6352</v>
      </c>
      <c r="C777" s="62" t="s">
        <v>493</v>
      </c>
      <c r="D777" s="62">
        <v>1</v>
      </c>
      <c r="K777" s="55">
        <v>6</v>
      </c>
      <c r="L777">
        <v>3</v>
      </c>
    </row>
    <row r="778" spans="1:16">
      <c r="B778" s="62" t="s">
        <v>6351</v>
      </c>
      <c r="C778" s="62" t="s">
        <v>494</v>
      </c>
      <c r="D778" s="62"/>
      <c r="K778" s="55">
        <v>7</v>
      </c>
      <c r="L778">
        <v>3</v>
      </c>
      <c r="N778" s="62" t="s">
        <v>6344</v>
      </c>
      <c r="O778" s="62" t="s">
        <v>6348</v>
      </c>
      <c r="P778" s="62" t="s">
        <v>6350</v>
      </c>
    </row>
    <row r="779" spans="1:16">
      <c r="B779" s="62" t="s">
        <v>6354</v>
      </c>
      <c r="C779" s="62" t="s">
        <v>494</v>
      </c>
      <c r="D779" s="62"/>
      <c r="K779" s="55">
        <v>8</v>
      </c>
      <c r="L779">
        <v>8</v>
      </c>
    </row>
    <row r="780" spans="1:16">
      <c r="B780" s="62" t="s">
        <v>6353</v>
      </c>
      <c r="C780" s="62" t="s">
        <v>493</v>
      </c>
      <c r="D780" s="62">
        <v>100</v>
      </c>
      <c r="K780" s="55">
        <v>9</v>
      </c>
    </row>
    <row r="781" spans="1:16">
      <c r="B781" s="62" t="s">
        <v>6695</v>
      </c>
      <c r="C781" s="62" t="s">
        <v>494</v>
      </c>
      <c r="D781" s="62"/>
      <c r="K781" s="55">
        <v>10</v>
      </c>
      <c r="M781">
        <v>2</v>
      </c>
    </row>
    <row r="782" spans="1:16">
      <c r="B782" s="62" t="s">
        <v>6696</v>
      </c>
      <c r="C782" s="62" t="s">
        <v>494</v>
      </c>
      <c r="D782" s="62"/>
      <c r="K782" s="55">
        <v>11</v>
      </c>
    </row>
    <row r="783" spans="1:16">
      <c r="B783" s="62" t="s">
        <v>6697</v>
      </c>
      <c r="C783" s="62" t="s">
        <v>494</v>
      </c>
      <c r="D783" s="62"/>
      <c r="K783" s="55">
        <v>12</v>
      </c>
      <c r="M783">
        <v>2</v>
      </c>
    </row>
    <row r="784" spans="1:16">
      <c r="B784" s="62" t="s">
        <v>6699</v>
      </c>
      <c r="C784" s="62" t="s">
        <v>493</v>
      </c>
      <c r="D784" s="62">
        <v>20</v>
      </c>
      <c r="K784" s="55">
        <v>13</v>
      </c>
      <c r="M784">
        <v>2</v>
      </c>
    </row>
    <row r="785" spans="1:16">
      <c r="B785" s="62"/>
      <c r="C785" s="62"/>
      <c r="D785" s="62"/>
      <c r="K785" s="55"/>
    </row>
    <row r="786" spans="1:16">
      <c r="A786" s="70" t="s">
        <v>6344</v>
      </c>
      <c r="B786" s="70" t="s">
        <v>6437</v>
      </c>
      <c r="C786" s="70" t="s">
        <v>494</v>
      </c>
      <c r="D786" s="70"/>
      <c r="E786" s="62" t="s">
        <v>476</v>
      </c>
      <c r="F786">
        <v>1</v>
      </c>
      <c r="G786">
        <v>227</v>
      </c>
      <c r="H786" s="62" t="s">
        <v>6357</v>
      </c>
      <c r="I786" s="62"/>
      <c r="J786">
        <v>1</v>
      </c>
      <c r="K786" s="55">
        <v>1</v>
      </c>
      <c r="L786">
        <v>52</v>
      </c>
      <c r="N786">
        <v>226</v>
      </c>
      <c r="O786" s="62" t="s">
        <v>6347</v>
      </c>
    </row>
    <row r="787" spans="1:16">
      <c r="A787" s="70"/>
      <c r="B787" s="70" t="s">
        <v>6438</v>
      </c>
      <c r="C787" s="70" t="s">
        <v>494</v>
      </c>
      <c r="D787" s="70"/>
      <c r="E787" s="62" t="s">
        <v>476</v>
      </c>
      <c r="H787" s="70" t="s">
        <v>6445</v>
      </c>
      <c r="I787" s="62"/>
      <c r="K787" s="55">
        <v>2</v>
      </c>
      <c r="L787">
        <v>3</v>
      </c>
      <c r="N787" s="62" t="s">
        <v>693</v>
      </c>
      <c r="O787" s="1" t="s">
        <v>695</v>
      </c>
      <c r="P787" s="62" t="s">
        <v>696</v>
      </c>
    </row>
    <row r="788" spans="1:16">
      <c r="A788" s="70"/>
      <c r="B788" s="70" t="s">
        <v>6439</v>
      </c>
      <c r="C788" s="70" t="s">
        <v>494</v>
      </c>
      <c r="D788" s="70"/>
      <c r="K788" s="55">
        <v>3</v>
      </c>
      <c r="L788">
        <v>6</v>
      </c>
    </row>
    <row r="789" spans="1:16">
      <c r="A789" s="70"/>
      <c r="B789" s="70" t="s">
        <v>6440</v>
      </c>
      <c r="C789" s="70" t="s">
        <v>493</v>
      </c>
      <c r="D789" s="70">
        <v>1</v>
      </c>
      <c r="K789" s="55">
        <v>4</v>
      </c>
      <c r="L789">
        <v>3</v>
      </c>
    </row>
    <row r="790" spans="1:16">
      <c r="A790" s="70"/>
      <c r="B790" s="70" t="s">
        <v>6441</v>
      </c>
      <c r="C790" s="70" t="s">
        <v>493</v>
      </c>
      <c r="D790" s="70">
        <v>100</v>
      </c>
      <c r="K790" s="55">
        <v>5</v>
      </c>
    </row>
    <row r="791" spans="1:16">
      <c r="A791" s="70"/>
      <c r="B791" s="70" t="s">
        <v>6442</v>
      </c>
      <c r="C791" s="70" t="s">
        <v>493</v>
      </c>
      <c r="D791" s="70">
        <v>1</v>
      </c>
      <c r="H791" s="62" t="s">
        <v>6358</v>
      </c>
      <c r="K791" s="55">
        <v>6</v>
      </c>
      <c r="L791">
        <v>3</v>
      </c>
      <c r="M791">
        <v>2</v>
      </c>
    </row>
    <row r="792" spans="1:16">
      <c r="B792" s="62" t="s">
        <v>6436</v>
      </c>
      <c r="C792" s="62" t="s">
        <v>494</v>
      </c>
      <c r="D792" s="62"/>
      <c r="K792" s="55">
        <v>7</v>
      </c>
      <c r="L792">
        <v>3</v>
      </c>
      <c r="M792">
        <v>2</v>
      </c>
      <c r="N792" s="62" t="s">
        <v>6344</v>
      </c>
      <c r="O792" s="62" t="s">
        <v>6348</v>
      </c>
      <c r="P792" s="62" t="s">
        <v>6350</v>
      </c>
    </row>
    <row r="793" spans="1:16">
      <c r="A793" s="70"/>
      <c r="B793" s="70" t="s">
        <v>6443</v>
      </c>
      <c r="C793" s="70" t="s">
        <v>494</v>
      </c>
      <c r="D793" s="70"/>
      <c r="K793" s="55">
        <v>8</v>
      </c>
      <c r="L793">
        <v>8</v>
      </c>
    </row>
    <row r="794" spans="1:16">
      <c r="A794" s="70"/>
      <c r="B794" s="70" t="s">
        <v>6444</v>
      </c>
      <c r="C794" s="70" t="s">
        <v>493</v>
      </c>
      <c r="D794" s="70">
        <v>100</v>
      </c>
      <c r="K794" s="55">
        <v>9</v>
      </c>
    </row>
    <row r="795" spans="1:16">
      <c r="B795" s="62" t="s">
        <v>6698</v>
      </c>
      <c r="C795" s="62" t="s">
        <v>494</v>
      </c>
      <c r="D795" s="62"/>
      <c r="K795" s="55">
        <v>10</v>
      </c>
    </row>
    <row r="796" spans="1:16">
      <c r="B796" s="62"/>
      <c r="C796" s="62"/>
      <c r="D796" s="62"/>
      <c r="K796" s="55"/>
    </row>
    <row r="797" spans="1:16">
      <c r="A797" s="62" t="s">
        <v>4132</v>
      </c>
      <c r="B797" s="62" t="s">
        <v>4133</v>
      </c>
      <c r="C797" s="62" t="s">
        <v>494</v>
      </c>
      <c r="F797">
        <v>1</v>
      </c>
      <c r="G797">
        <v>228</v>
      </c>
      <c r="H797" s="62" t="s">
        <v>6892</v>
      </c>
      <c r="I797" s="62" t="s">
        <v>6893</v>
      </c>
      <c r="J797">
        <v>11</v>
      </c>
      <c r="K797">
        <v>1</v>
      </c>
    </row>
    <row r="798" spans="1:16">
      <c r="B798" s="62"/>
      <c r="C798" s="62"/>
      <c r="H798" s="62"/>
      <c r="I798" s="62"/>
    </row>
    <row r="799" spans="1:16">
      <c r="B799" s="62"/>
      <c r="C799" s="62"/>
      <c r="D799" s="62"/>
      <c r="K799" s="55"/>
    </row>
    <row r="800" spans="1:16">
      <c r="B800" s="62"/>
      <c r="C800" s="62"/>
      <c r="D800" s="62"/>
      <c r="K800" s="55"/>
    </row>
    <row r="802" spans="1:18">
      <c r="A802" s="62" t="s">
        <v>6143</v>
      </c>
      <c r="B802" s="62" t="s">
        <v>6144</v>
      </c>
      <c r="C802" s="62" t="s">
        <v>494</v>
      </c>
      <c r="D802">
        <v>30</v>
      </c>
      <c r="F802">
        <v>1</v>
      </c>
      <c r="G802">
        <v>152</v>
      </c>
      <c r="H802" s="62" t="s">
        <v>6148</v>
      </c>
      <c r="I802" s="62" t="s">
        <v>6146</v>
      </c>
      <c r="J802">
        <v>99</v>
      </c>
      <c r="K802" s="55">
        <v>1</v>
      </c>
      <c r="L802">
        <v>3</v>
      </c>
    </row>
    <row r="803" spans="1:18">
      <c r="B803" s="62" t="s">
        <v>6145</v>
      </c>
      <c r="C803" s="62" t="s">
        <v>494</v>
      </c>
      <c r="D803">
        <v>30</v>
      </c>
      <c r="H803" s="62" t="s">
        <v>6147</v>
      </c>
      <c r="K803" s="55">
        <v>2</v>
      </c>
      <c r="L803">
        <v>3</v>
      </c>
      <c r="M803">
        <v>31</v>
      </c>
      <c r="N803" s="62" t="s">
        <v>6149</v>
      </c>
      <c r="O803" s="62" t="s">
        <v>6150</v>
      </c>
      <c r="P803" s="62" t="s">
        <v>6151</v>
      </c>
      <c r="Q803" s="62" t="s">
        <v>6152</v>
      </c>
      <c r="R803">
        <v>1</v>
      </c>
    </row>
  </sheetData>
  <pageMargins left="0.7" right="0.7" top="0.75" bottom="0.75" header="0.3" footer="0.3"/>
  <pageSetup orientation="portrait" horizontalDpi="1200" verticalDpi="1200" r:id="rId1"/>
  <legacyDrawing r:id="rId2"/>
</worksheet>
</file>

<file path=xl/worksheets/sheet8.xml><?xml version="1.0" encoding="utf-8"?>
<worksheet xmlns="http://schemas.openxmlformats.org/spreadsheetml/2006/main" xmlns:r="http://schemas.openxmlformats.org/officeDocument/2006/relationships">
  <sheetPr>
    <tabColor rgb="FFFFC000"/>
  </sheetPr>
  <dimension ref="A1:DE316"/>
  <sheetViews>
    <sheetView topLeftCell="A31" workbookViewId="0">
      <selection activeCell="M70" sqref="M70"/>
    </sheetView>
  </sheetViews>
  <sheetFormatPr baseColWidth="10" defaultRowHeight="12.75"/>
  <cols>
    <col min="1" max="1" width="16.7109375" bestFit="1" customWidth="1"/>
    <col min="2" max="2" width="21.7109375" bestFit="1" customWidth="1"/>
    <col min="3" max="3" width="8.42578125" customWidth="1"/>
    <col min="4" max="4" width="6.28515625" bestFit="1" customWidth="1"/>
    <col min="5" max="5" width="3.42578125" customWidth="1"/>
    <col min="6" max="6" width="4.85546875" customWidth="1"/>
    <col min="7" max="7" width="7" customWidth="1"/>
    <col min="8" max="8" width="21.5703125" customWidth="1"/>
    <col min="9" max="9" width="14.7109375" bestFit="1" customWidth="1"/>
    <col min="10" max="10" width="6.140625" customWidth="1"/>
    <col min="11" max="11" width="3.85546875" customWidth="1"/>
    <col min="12" max="12" width="4.42578125" customWidth="1"/>
    <col min="13" max="13" width="5.140625" customWidth="1"/>
    <col min="14" max="14" width="13.5703125" bestFit="1" customWidth="1"/>
    <col min="15" max="15" width="9.28515625" customWidth="1"/>
    <col min="16" max="16" width="14.5703125" bestFit="1" customWidth="1"/>
    <col min="18" max="18" width="6.85546875" customWidth="1"/>
  </cols>
  <sheetData>
    <row r="1" spans="1:109" s="3" customFormat="1">
      <c r="A1" s="3" t="s">
        <v>3242</v>
      </c>
      <c r="B1" s="3" t="s">
        <v>3243</v>
      </c>
      <c r="C1" s="3" t="s">
        <v>3244</v>
      </c>
      <c r="D1" s="3" t="s">
        <v>3245</v>
      </c>
      <c r="E1" s="3" t="s">
        <v>3246</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09" s="3" customFormat="1">
      <c r="A2" s="120" t="s">
        <v>4843</v>
      </c>
      <c r="B2" s="120" t="s">
        <v>6214</v>
      </c>
      <c r="C2" s="62" t="s">
        <v>494</v>
      </c>
      <c r="D2" s="62"/>
      <c r="E2" s="62" t="s">
        <v>476</v>
      </c>
      <c r="F2" s="47">
        <v>2</v>
      </c>
      <c r="G2" s="47">
        <v>251</v>
      </c>
      <c r="H2" s="47" t="s">
        <v>4847</v>
      </c>
      <c r="I2" s="48" t="s">
        <v>4846</v>
      </c>
      <c r="J2" s="47">
        <v>1512</v>
      </c>
      <c r="K2" s="57">
        <v>1</v>
      </c>
      <c r="L2" s="55">
        <v>3</v>
      </c>
      <c r="M2" s="47"/>
      <c r="N2" s="47" t="s">
        <v>161</v>
      </c>
      <c r="O2" s="47" t="s">
        <v>170</v>
      </c>
      <c r="P2" s="47" t="s">
        <v>172</v>
      </c>
      <c r="Q2" s="47"/>
      <c r="R2" s="47"/>
      <c r="S2" s="62"/>
      <c r="T2" s="62"/>
      <c r="U2" s="62"/>
      <c r="V2" s="62"/>
      <c r="W2" s="62"/>
      <c r="X2" s="62"/>
      <c r="Y2" s="62"/>
      <c r="Z2" s="62"/>
      <c r="AA2" s="62"/>
      <c r="AB2" s="62"/>
      <c r="AC2" s="62"/>
      <c r="AD2" s="62"/>
      <c r="AE2" s="62"/>
      <c r="AF2" s="62"/>
      <c r="AG2" s="62"/>
      <c r="AH2" s="62"/>
      <c r="AI2" s="62"/>
      <c r="AJ2" s="62"/>
      <c r="AK2" s="62"/>
      <c r="AL2" s="62"/>
      <c r="AM2" s="62"/>
      <c r="AN2" s="62"/>
      <c r="AO2" s="62"/>
      <c r="AP2" s="62"/>
      <c r="AQ2" s="62"/>
      <c r="AR2" s="62"/>
      <c r="AS2" s="62"/>
      <c r="AT2" s="62"/>
      <c r="AU2" s="62"/>
      <c r="AV2" s="62"/>
      <c r="AW2" s="62"/>
      <c r="AX2" s="62"/>
      <c r="AY2" s="62"/>
      <c r="AZ2" s="62"/>
      <c r="BA2" s="62"/>
      <c r="BB2" s="62"/>
      <c r="BC2" s="62"/>
      <c r="BD2" s="62"/>
      <c r="BE2" s="62"/>
      <c r="BF2" s="62"/>
      <c r="BG2" s="62"/>
      <c r="BH2" s="62"/>
      <c r="BI2" s="62"/>
      <c r="BJ2" s="62"/>
      <c r="BK2" s="62"/>
      <c r="BL2" s="62"/>
      <c r="BM2" s="62"/>
      <c r="BN2" s="62"/>
      <c r="BO2" s="62"/>
      <c r="BP2" s="62"/>
      <c r="BQ2" s="62"/>
      <c r="BR2" s="62"/>
      <c r="BS2" s="62"/>
      <c r="BT2" s="62"/>
      <c r="BU2" s="62"/>
      <c r="BV2" s="62"/>
      <c r="BW2" s="62"/>
      <c r="BX2" s="62"/>
      <c r="BY2" s="62"/>
      <c r="BZ2" s="62"/>
      <c r="CA2" s="62"/>
      <c r="CB2" s="62"/>
      <c r="CC2" s="62"/>
      <c r="CD2" s="62"/>
      <c r="CE2" s="62"/>
      <c r="CF2" s="62"/>
      <c r="CG2" s="62"/>
      <c r="CH2" s="62"/>
      <c r="CI2" s="62"/>
      <c r="CJ2" s="62"/>
      <c r="CK2" s="62"/>
      <c r="CL2" s="62"/>
      <c r="CM2" s="62"/>
      <c r="CN2" s="62"/>
      <c r="CO2" s="62"/>
      <c r="CP2" s="62"/>
      <c r="CQ2" s="62"/>
      <c r="CR2" s="62"/>
      <c r="CS2" s="62"/>
      <c r="CT2" s="62"/>
      <c r="CU2" s="62"/>
      <c r="CV2" s="62"/>
      <c r="CW2" s="62"/>
      <c r="CX2" s="62"/>
      <c r="CY2" s="62"/>
      <c r="CZ2" s="62"/>
      <c r="DA2" s="62"/>
      <c r="DB2" s="62"/>
      <c r="DC2" s="62"/>
      <c r="DD2" s="62"/>
      <c r="DE2" s="62"/>
    </row>
    <row r="3" spans="1:109" s="3" customFormat="1">
      <c r="A3" s="120"/>
      <c r="B3" s="120" t="s">
        <v>4844</v>
      </c>
      <c r="C3" s="62" t="s">
        <v>494</v>
      </c>
      <c r="D3" s="62"/>
      <c r="E3" s="62" t="s">
        <v>476</v>
      </c>
      <c r="F3" s="47"/>
      <c r="G3" s="47"/>
      <c r="H3" s="47"/>
      <c r="I3" s="48"/>
      <c r="J3" s="47"/>
      <c r="K3" s="57">
        <v>2</v>
      </c>
      <c r="L3" s="55">
        <v>6</v>
      </c>
      <c r="M3" s="47"/>
      <c r="N3" s="47"/>
      <c r="O3" s="47"/>
      <c r="P3" s="47"/>
      <c r="Q3" s="47"/>
      <c r="R3" s="47"/>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row>
    <row r="4" spans="1:109" s="3" customFormat="1">
      <c r="A4" s="120"/>
      <c r="B4" s="120" t="s">
        <v>6239</v>
      </c>
      <c r="C4" s="62" t="s">
        <v>494</v>
      </c>
      <c r="D4" s="62"/>
      <c r="E4" s="62" t="s">
        <v>476</v>
      </c>
      <c r="F4" s="47"/>
      <c r="G4" s="47"/>
      <c r="H4" s="47" t="s">
        <v>6426</v>
      </c>
      <c r="I4" s="48"/>
      <c r="J4" s="47"/>
      <c r="K4" s="57">
        <v>3</v>
      </c>
      <c r="L4" s="55"/>
      <c r="M4" s="47">
        <v>2</v>
      </c>
      <c r="N4" s="47"/>
      <c r="O4" s="47"/>
      <c r="P4" s="47"/>
      <c r="Q4" s="47"/>
      <c r="R4" s="47"/>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c r="BR4" s="62"/>
      <c r="BS4" s="62"/>
      <c r="BT4" s="62"/>
      <c r="BU4" s="62"/>
      <c r="BV4" s="62"/>
      <c r="BW4" s="62"/>
      <c r="BX4" s="62"/>
      <c r="BY4" s="62"/>
      <c r="BZ4" s="62"/>
      <c r="CA4" s="62"/>
      <c r="CB4" s="62"/>
      <c r="CC4" s="62"/>
      <c r="CD4" s="62"/>
      <c r="CE4" s="62"/>
      <c r="CF4" s="62"/>
      <c r="CG4" s="62"/>
      <c r="CH4" s="62"/>
      <c r="CI4" s="62"/>
      <c r="CJ4" s="62"/>
      <c r="CK4" s="62"/>
      <c r="CL4" s="62"/>
      <c r="CM4" s="62"/>
      <c r="CN4" s="62"/>
      <c r="CO4" s="62"/>
      <c r="CP4" s="62"/>
      <c r="CQ4" s="62"/>
      <c r="CR4" s="62"/>
      <c r="CS4" s="62"/>
      <c r="CT4" s="62"/>
      <c r="CU4" s="62"/>
      <c r="CV4" s="62"/>
      <c r="CW4" s="62"/>
      <c r="CX4" s="62"/>
      <c r="CY4" s="62"/>
      <c r="CZ4" s="62"/>
      <c r="DA4" s="62"/>
      <c r="DB4" s="62"/>
      <c r="DC4" s="62"/>
      <c r="DD4" s="62"/>
      <c r="DE4" s="62"/>
    </row>
    <row r="5" spans="1:109" s="3" customFormat="1">
      <c r="A5" s="120"/>
      <c r="B5" s="120" t="s">
        <v>6423</v>
      </c>
      <c r="C5" s="62" t="s">
        <v>494</v>
      </c>
      <c r="D5" s="62"/>
      <c r="E5" s="62" t="s">
        <v>476</v>
      </c>
      <c r="F5" s="47"/>
      <c r="G5" s="47"/>
      <c r="H5" s="47" t="s">
        <v>6427</v>
      </c>
      <c r="I5" s="48"/>
      <c r="J5" s="47"/>
      <c r="K5" s="57">
        <v>4</v>
      </c>
      <c r="L5" s="55"/>
      <c r="M5" s="47">
        <v>2</v>
      </c>
      <c r="N5" s="47"/>
      <c r="O5" s="47"/>
      <c r="P5" s="47"/>
      <c r="Q5" s="47"/>
      <c r="R5" s="47"/>
      <c r="S5" s="62"/>
      <c r="T5" s="62"/>
      <c r="U5" s="62"/>
      <c r="V5" s="62"/>
      <c r="W5" s="62"/>
      <c r="X5" s="62"/>
      <c r="Y5" s="62"/>
      <c r="Z5" s="62"/>
      <c r="AA5" s="62"/>
      <c r="AB5" s="62"/>
      <c r="AC5" s="62"/>
      <c r="AD5" s="62"/>
      <c r="AE5" s="62"/>
      <c r="AF5" s="62"/>
      <c r="AG5" s="62"/>
      <c r="AH5" s="62"/>
      <c r="AI5" s="62"/>
      <c r="AJ5" s="62"/>
      <c r="AK5" s="62"/>
      <c r="AL5" s="62"/>
      <c r="AM5" s="62"/>
      <c r="AN5" s="62"/>
      <c r="AO5" s="62"/>
      <c r="AP5" s="62"/>
      <c r="AQ5" s="62"/>
      <c r="AR5" s="62"/>
      <c r="AS5" s="62"/>
      <c r="AT5" s="62"/>
      <c r="AU5" s="62"/>
      <c r="AV5" s="62"/>
      <c r="AW5" s="62"/>
      <c r="AX5" s="62"/>
      <c r="AY5" s="62"/>
      <c r="AZ5" s="62"/>
      <c r="BA5" s="62"/>
      <c r="BB5" s="62"/>
      <c r="BC5" s="62"/>
      <c r="BD5" s="62"/>
      <c r="BE5" s="62"/>
      <c r="BF5" s="62"/>
      <c r="BG5" s="62"/>
      <c r="BH5" s="62"/>
      <c r="BI5" s="62"/>
      <c r="BJ5" s="62"/>
      <c r="BK5" s="62"/>
      <c r="BL5" s="62"/>
      <c r="BM5" s="62"/>
      <c r="BN5" s="62"/>
      <c r="BO5" s="62"/>
      <c r="BP5" s="62"/>
      <c r="BQ5" s="62"/>
      <c r="BR5" s="62"/>
      <c r="BS5" s="62"/>
      <c r="BT5" s="62"/>
      <c r="BU5" s="62"/>
      <c r="BV5" s="62"/>
      <c r="BW5" s="62"/>
      <c r="BX5" s="62"/>
      <c r="BY5" s="62"/>
      <c r="BZ5" s="62"/>
      <c r="CA5" s="62"/>
      <c r="CB5" s="62"/>
      <c r="CC5" s="62"/>
      <c r="CD5" s="62"/>
      <c r="CE5" s="62"/>
      <c r="CF5" s="62"/>
      <c r="CG5" s="62"/>
      <c r="CH5" s="62"/>
      <c r="CI5" s="62"/>
      <c r="CJ5" s="62"/>
      <c r="CK5" s="62"/>
      <c r="CL5" s="62"/>
      <c r="CM5" s="62"/>
      <c r="CN5" s="62"/>
      <c r="CO5" s="62"/>
      <c r="CP5" s="62"/>
      <c r="CQ5" s="62"/>
      <c r="CR5" s="62"/>
      <c r="CS5" s="62"/>
      <c r="CT5" s="62"/>
      <c r="CU5" s="62"/>
      <c r="CV5" s="62"/>
      <c r="CW5" s="62"/>
      <c r="CX5" s="62"/>
      <c r="CY5" s="62"/>
      <c r="CZ5" s="62"/>
      <c r="DA5" s="62"/>
      <c r="DB5" s="62"/>
      <c r="DC5" s="62"/>
      <c r="DD5" s="62"/>
      <c r="DE5" s="62"/>
    </row>
    <row r="6" spans="1:109" s="3" customFormat="1">
      <c r="A6" s="120"/>
      <c r="B6" s="120" t="s">
        <v>4845</v>
      </c>
      <c r="C6" s="62" t="s">
        <v>494</v>
      </c>
      <c r="D6" s="62"/>
      <c r="E6" s="62"/>
      <c r="F6" s="47"/>
      <c r="G6" s="47"/>
      <c r="H6" s="47"/>
      <c r="I6" s="48"/>
      <c r="J6" s="47"/>
      <c r="K6" s="57">
        <v>5</v>
      </c>
      <c r="L6" s="55">
        <v>6</v>
      </c>
      <c r="M6" s="47"/>
      <c r="N6" s="47"/>
      <c r="O6" s="47"/>
      <c r="P6" s="47"/>
      <c r="Q6" s="47"/>
      <c r="R6" s="47"/>
      <c r="S6" s="62"/>
      <c r="T6" s="62"/>
      <c r="U6" s="62"/>
      <c r="V6" s="62"/>
      <c r="W6" s="62"/>
      <c r="X6" s="62"/>
      <c r="Y6" s="62"/>
      <c r="Z6" s="62"/>
      <c r="AA6" s="62"/>
      <c r="AB6" s="62"/>
      <c r="AC6" s="62"/>
      <c r="AD6" s="62"/>
      <c r="AE6" s="62"/>
      <c r="AF6" s="62"/>
      <c r="AG6" s="62"/>
      <c r="AH6" s="62"/>
      <c r="AI6" s="62"/>
      <c r="AJ6" s="62"/>
      <c r="AK6" s="62"/>
      <c r="AL6" s="62"/>
      <c r="AM6" s="62"/>
      <c r="AN6" s="62"/>
      <c r="AO6" s="62"/>
      <c r="AP6" s="62"/>
      <c r="AQ6" s="62"/>
      <c r="AR6" s="62"/>
      <c r="AS6" s="62"/>
      <c r="AT6" s="62"/>
      <c r="AU6" s="62"/>
      <c r="AV6" s="62"/>
      <c r="AW6" s="62"/>
      <c r="AX6" s="62"/>
      <c r="AY6" s="62"/>
      <c r="AZ6" s="62"/>
      <c r="BA6" s="62"/>
      <c r="BB6" s="62"/>
      <c r="BC6" s="62"/>
      <c r="BD6" s="62"/>
      <c r="BE6" s="62"/>
      <c r="BF6" s="62"/>
      <c r="BG6" s="62"/>
      <c r="BH6" s="62"/>
      <c r="BI6" s="62"/>
      <c r="BJ6" s="62"/>
      <c r="BK6" s="62"/>
      <c r="BL6" s="62"/>
      <c r="BM6" s="62"/>
      <c r="BN6" s="62"/>
      <c r="BO6" s="62"/>
      <c r="BP6" s="62"/>
      <c r="BQ6" s="62"/>
      <c r="BR6" s="62"/>
      <c r="BS6" s="62"/>
      <c r="BT6" s="62"/>
      <c r="BU6" s="62"/>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row>
    <row r="7" spans="1:109" s="3" customFormat="1">
      <c r="A7" s="120"/>
      <c r="B7" s="120" t="s">
        <v>4858</v>
      </c>
      <c r="C7" s="62" t="s">
        <v>493</v>
      </c>
      <c r="D7" s="62">
        <v>1</v>
      </c>
      <c r="E7" s="62"/>
      <c r="F7" s="47"/>
      <c r="G7" s="47"/>
      <c r="H7" s="47"/>
      <c r="I7" s="48"/>
      <c r="J7" s="47"/>
      <c r="K7" s="57">
        <v>6</v>
      </c>
      <c r="L7" s="55">
        <v>3</v>
      </c>
      <c r="M7" s="47"/>
      <c r="N7" s="47"/>
      <c r="O7" s="47"/>
      <c r="P7" s="47"/>
      <c r="Q7" s="47"/>
      <c r="R7" s="47"/>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row>
    <row r="8" spans="1:109" s="3" customFormat="1">
      <c r="A8" s="120"/>
      <c r="B8" s="120" t="s">
        <v>4849</v>
      </c>
      <c r="C8" s="62" t="s">
        <v>494</v>
      </c>
      <c r="D8" s="62"/>
      <c r="E8" s="62"/>
      <c r="F8" s="47"/>
      <c r="G8" s="47"/>
      <c r="H8" s="47"/>
      <c r="I8" s="48"/>
      <c r="J8" s="47"/>
      <c r="K8" s="57">
        <v>7</v>
      </c>
      <c r="L8" s="55">
        <v>7</v>
      </c>
      <c r="M8" s="47"/>
      <c r="N8" s="47"/>
      <c r="O8" s="47"/>
      <c r="P8" s="47"/>
      <c r="Q8" s="47"/>
      <c r="R8" s="47"/>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c r="CA8" s="62"/>
      <c r="CB8" s="62"/>
      <c r="CC8" s="62"/>
      <c r="CD8" s="62"/>
      <c r="CE8" s="62"/>
      <c r="CF8" s="62"/>
      <c r="CG8" s="62"/>
      <c r="CH8" s="62"/>
      <c r="CI8" s="62"/>
      <c r="CJ8" s="62"/>
      <c r="CK8" s="62"/>
      <c r="CL8" s="62"/>
      <c r="CM8" s="62"/>
      <c r="CN8" s="62"/>
      <c r="CO8" s="62"/>
      <c r="CP8" s="62"/>
      <c r="CQ8" s="62"/>
      <c r="CR8" s="62"/>
      <c r="CS8" s="62"/>
      <c r="CT8" s="62"/>
      <c r="CU8" s="62"/>
      <c r="CV8" s="62"/>
      <c r="CW8" s="62"/>
      <c r="CX8" s="62"/>
      <c r="CY8" s="62"/>
      <c r="CZ8" s="62"/>
      <c r="DA8" s="62"/>
      <c r="DB8" s="62"/>
      <c r="DC8" s="62"/>
      <c r="DD8" s="62"/>
      <c r="DE8" s="62"/>
    </row>
    <row r="9" spans="1:109" s="3" customFormat="1">
      <c r="A9" s="120"/>
      <c r="B9" s="120" t="s">
        <v>4850</v>
      </c>
      <c r="C9" s="62" t="s">
        <v>494</v>
      </c>
      <c r="D9" s="62"/>
      <c r="E9" s="62"/>
      <c r="F9" s="47"/>
      <c r="G9" s="47"/>
      <c r="H9" s="47"/>
      <c r="I9" s="48"/>
      <c r="J9" s="47"/>
      <c r="K9" s="57">
        <v>8</v>
      </c>
      <c r="L9" s="55"/>
      <c r="M9" s="47">
        <v>71</v>
      </c>
      <c r="N9" s="47"/>
      <c r="O9" s="47"/>
      <c r="P9" s="47"/>
      <c r="Q9" s="47"/>
      <c r="R9" s="47"/>
      <c r="S9" s="62"/>
      <c r="T9" s="62"/>
      <c r="U9" s="62"/>
      <c r="V9" s="62"/>
      <c r="W9" s="62"/>
      <c r="X9" s="62"/>
      <c r="Y9" s="62"/>
      <c r="Z9" s="62"/>
      <c r="AA9" s="62"/>
      <c r="AB9" s="62"/>
      <c r="AC9" s="62"/>
      <c r="AD9" s="62"/>
      <c r="AE9" s="62"/>
      <c r="AF9" s="62"/>
      <c r="AG9" s="62"/>
      <c r="AH9" s="62"/>
      <c r="AI9" s="62"/>
      <c r="AJ9" s="62"/>
      <c r="AK9" s="62"/>
      <c r="AL9" s="62"/>
      <c r="AM9" s="62"/>
      <c r="AN9" s="62"/>
      <c r="AO9" s="62"/>
      <c r="AP9" s="62"/>
      <c r="AQ9" s="62"/>
      <c r="AR9" s="62"/>
      <c r="AS9" s="62"/>
      <c r="AT9" s="62"/>
      <c r="AU9" s="62"/>
      <c r="AV9" s="62"/>
      <c r="AW9" s="62"/>
      <c r="AX9" s="62"/>
      <c r="AY9" s="62"/>
      <c r="AZ9" s="62"/>
      <c r="BA9" s="62"/>
      <c r="BB9" s="62"/>
      <c r="BC9" s="62"/>
      <c r="BD9" s="62"/>
      <c r="BE9" s="62"/>
      <c r="BF9" s="62"/>
      <c r="BG9" s="62"/>
      <c r="BH9" s="62"/>
      <c r="BI9" s="62"/>
      <c r="BJ9" s="62"/>
      <c r="BK9" s="62"/>
      <c r="BL9" s="62"/>
      <c r="BM9" s="62"/>
      <c r="BN9" s="62"/>
      <c r="BO9" s="62"/>
      <c r="BP9" s="62"/>
      <c r="BQ9" s="62"/>
      <c r="BR9" s="62"/>
      <c r="BS9" s="62"/>
      <c r="BT9" s="62"/>
      <c r="BU9" s="62"/>
      <c r="BV9" s="62"/>
      <c r="BW9" s="62"/>
      <c r="BX9" s="62"/>
      <c r="BY9" s="62"/>
      <c r="BZ9" s="62"/>
      <c r="CA9" s="62"/>
      <c r="CB9" s="62"/>
      <c r="CC9" s="62"/>
      <c r="CD9" s="62"/>
      <c r="CE9" s="62"/>
      <c r="CF9" s="62"/>
      <c r="CG9" s="62"/>
      <c r="CH9" s="62"/>
      <c r="CI9" s="62"/>
      <c r="CJ9" s="62"/>
      <c r="CK9" s="62"/>
      <c r="CL9" s="62"/>
      <c r="CM9" s="62"/>
      <c r="CN9" s="62"/>
      <c r="CO9" s="62"/>
      <c r="CP9" s="62"/>
      <c r="CQ9" s="62"/>
      <c r="CR9" s="62"/>
      <c r="CS9" s="62"/>
      <c r="CT9" s="62"/>
      <c r="CU9" s="62"/>
      <c r="CV9" s="62"/>
      <c r="CW9" s="62"/>
      <c r="CX9" s="62"/>
      <c r="CY9" s="62"/>
      <c r="CZ9" s="62"/>
      <c r="DA9" s="62"/>
      <c r="DB9" s="62"/>
      <c r="DC9" s="62"/>
      <c r="DD9" s="62"/>
      <c r="DE9" s="62"/>
    </row>
    <row r="10" spans="1:109" s="3" customFormat="1">
      <c r="A10" s="120"/>
      <c r="B10" s="120" t="s">
        <v>4851</v>
      </c>
      <c r="C10" s="62" t="s">
        <v>494</v>
      </c>
      <c r="D10" s="62"/>
      <c r="E10" s="62"/>
      <c r="F10" s="47"/>
      <c r="G10" s="47"/>
      <c r="H10" s="47"/>
      <c r="I10" s="48"/>
      <c r="J10" s="47"/>
      <c r="K10" s="57">
        <v>9</v>
      </c>
      <c r="L10" s="55"/>
      <c r="M10" s="47">
        <v>72</v>
      </c>
      <c r="N10" s="47"/>
      <c r="O10" s="47"/>
      <c r="P10" s="47"/>
      <c r="Q10" s="47"/>
      <c r="R10" s="47"/>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row>
    <row r="11" spans="1:109" s="3" customFormat="1">
      <c r="A11" s="120"/>
      <c r="B11" s="120" t="s">
        <v>4852</v>
      </c>
      <c r="C11" s="62" t="s">
        <v>494</v>
      </c>
      <c r="D11" s="62"/>
      <c r="E11" s="62"/>
      <c r="F11" s="47"/>
      <c r="G11" s="47"/>
      <c r="H11" s="47"/>
      <c r="I11" s="48"/>
      <c r="J11" s="47"/>
      <c r="K11" s="57">
        <v>10</v>
      </c>
      <c r="L11" s="55"/>
      <c r="M11" s="47">
        <v>71</v>
      </c>
      <c r="N11" s="47"/>
      <c r="O11" s="47"/>
      <c r="P11" s="47"/>
      <c r="Q11" s="47"/>
      <c r="R11" s="47"/>
      <c r="S11" s="62"/>
      <c r="T11" s="62"/>
      <c r="U11" s="62"/>
      <c r="V11" s="62"/>
      <c r="W11" s="62"/>
      <c r="X11" s="62"/>
      <c r="Y11" s="62"/>
      <c r="Z11" s="62"/>
      <c r="AA11" s="62"/>
      <c r="AB11" s="62"/>
      <c r="AC11" s="62"/>
      <c r="AD11" s="62"/>
      <c r="AE11" s="62"/>
      <c r="AF11" s="62"/>
      <c r="AG11" s="62"/>
      <c r="AH11" s="62"/>
      <c r="AI11" s="62"/>
      <c r="AJ11" s="62"/>
      <c r="AK11" s="62"/>
      <c r="AL11" s="62"/>
      <c r="AM11" s="62"/>
      <c r="AN11" s="62"/>
      <c r="AO11" s="62"/>
      <c r="AP11" s="62"/>
      <c r="AQ11" s="62"/>
      <c r="AR11" s="62"/>
      <c r="AS11" s="62"/>
      <c r="AT11" s="62"/>
      <c r="AU11" s="62"/>
      <c r="AV11" s="62"/>
      <c r="AW11" s="62"/>
      <c r="AX11" s="62"/>
      <c r="AY11" s="62"/>
      <c r="AZ11" s="62"/>
      <c r="BA11" s="62"/>
      <c r="BB11" s="62"/>
      <c r="BC11" s="62"/>
      <c r="BD11" s="62"/>
      <c r="BE11" s="62"/>
      <c r="BF11" s="62"/>
      <c r="BG11" s="62"/>
      <c r="BH11" s="62"/>
      <c r="BI11" s="62"/>
      <c r="BJ11" s="62"/>
      <c r="BK11" s="62"/>
      <c r="BL11" s="62"/>
      <c r="BM11" s="62"/>
      <c r="BN11" s="62"/>
      <c r="BO11" s="62"/>
      <c r="BP11" s="62"/>
      <c r="BQ11" s="62"/>
      <c r="BR11" s="62"/>
      <c r="BS11" s="62"/>
      <c r="BT11" s="62"/>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row>
    <row r="12" spans="1:109" s="3" customFormat="1">
      <c r="A12" s="120"/>
      <c r="B12" s="120" t="s">
        <v>4853</v>
      </c>
      <c r="C12" s="62" t="s">
        <v>494</v>
      </c>
      <c r="D12" s="62"/>
      <c r="E12" s="62"/>
      <c r="F12" s="47"/>
      <c r="G12" s="47"/>
      <c r="H12" s="47"/>
      <c r="I12" s="48"/>
      <c r="J12" s="47"/>
      <c r="K12" s="57">
        <v>11</v>
      </c>
      <c r="L12" s="55"/>
      <c r="M12" s="47">
        <v>72</v>
      </c>
      <c r="N12" s="47"/>
      <c r="O12" s="47"/>
      <c r="P12" s="47"/>
      <c r="Q12" s="47"/>
      <c r="R12" s="47"/>
      <c r="S12" s="62"/>
      <c r="T12" s="62"/>
      <c r="U12" s="62"/>
      <c r="V12" s="62"/>
      <c r="W12" s="62"/>
      <c r="X12" s="62"/>
      <c r="Y12" s="62"/>
      <c r="Z12" s="62"/>
      <c r="AA12" s="62"/>
      <c r="AB12" s="62"/>
      <c r="AC12" s="62"/>
      <c r="AD12" s="62"/>
      <c r="AE12" s="62"/>
      <c r="AF12" s="62"/>
      <c r="AG12" s="62"/>
      <c r="AH12" s="62"/>
      <c r="AI12" s="62"/>
      <c r="AJ12" s="62"/>
      <c r="AK12" s="62"/>
      <c r="AL12" s="62"/>
      <c r="AM12" s="62"/>
      <c r="AN12" s="62"/>
      <c r="AO12" s="62"/>
      <c r="AP12" s="62"/>
      <c r="AQ12" s="62"/>
      <c r="AR12" s="62"/>
      <c r="AS12" s="62"/>
      <c r="AT12" s="62"/>
      <c r="AU12" s="62"/>
      <c r="AV12" s="62"/>
      <c r="AW12" s="62"/>
      <c r="AX12" s="62"/>
      <c r="AY12" s="62"/>
      <c r="AZ12" s="62"/>
      <c r="BA12" s="62"/>
      <c r="BB12" s="62"/>
      <c r="BC12" s="62"/>
      <c r="BD12" s="62"/>
      <c r="BE12" s="62"/>
      <c r="BF12" s="62"/>
      <c r="BG12" s="62"/>
      <c r="BH12" s="62"/>
      <c r="BI12" s="62"/>
      <c r="BJ12" s="62"/>
      <c r="BK12" s="62"/>
      <c r="BL12" s="62"/>
      <c r="BM12" s="62"/>
      <c r="BN12" s="62"/>
      <c r="BO12" s="62"/>
      <c r="BP12" s="62"/>
      <c r="BQ12" s="62"/>
      <c r="BR12" s="62"/>
      <c r="BS12" s="62"/>
      <c r="BT12" s="62"/>
      <c r="BU12" s="62"/>
      <c r="BV12" s="62"/>
      <c r="BW12" s="62"/>
      <c r="BX12" s="62"/>
      <c r="BY12" s="62"/>
      <c r="BZ12" s="62"/>
      <c r="CA12" s="62"/>
      <c r="CB12" s="62"/>
      <c r="CC12" s="62"/>
      <c r="CD12" s="62"/>
      <c r="CE12" s="62"/>
      <c r="CF12" s="62"/>
      <c r="CG12" s="62"/>
      <c r="CH12" s="62"/>
      <c r="CI12" s="62"/>
      <c r="CJ12" s="62"/>
      <c r="CK12" s="62"/>
      <c r="CL12" s="62"/>
      <c r="CM12" s="62"/>
      <c r="CN12" s="62"/>
      <c r="CO12" s="62"/>
      <c r="CP12" s="62"/>
      <c r="CQ12" s="62"/>
      <c r="CR12" s="62"/>
      <c r="CS12" s="62"/>
      <c r="CT12" s="62"/>
      <c r="CU12" s="62"/>
      <c r="CV12" s="62"/>
      <c r="CW12" s="62"/>
      <c r="CX12" s="62"/>
      <c r="CY12" s="62"/>
      <c r="CZ12" s="62"/>
      <c r="DA12" s="62"/>
      <c r="DB12" s="62"/>
      <c r="DC12" s="62"/>
      <c r="DD12" s="62"/>
      <c r="DE12" s="62"/>
    </row>
    <row r="13" spans="1:109" s="3" customFormat="1">
      <c r="A13" s="120"/>
      <c r="B13" s="120" t="s">
        <v>4848</v>
      </c>
      <c r="C13" s="62" t="s">
        <v>494</v>
      </c>
      <c r="D13" s="62"/>
      <c r="E13" s="62"/>
      <c r="F13" s="47"/>
      <c r="G13" s="47"/>
      <c r="H13" s="47"/>
      <c r="I13" s="48"/>
      <c r="J13" s="47"/>
      <c r="K13" s="57">
        <v>12</v>
      </c>
      <c r="L13" s="55">
        <v>3</v>
      </c>
      <c r="M13" s="47">
        <v>1</v>
      </c>
      <c r="N13" s="47" t="s">
        <v>536</v>
      </c>
      <c r="O13" s="47" t="s">
        <v>537</v>
      </c>
      <c r="P13" s="47" t="s">
        <v>538</v>
      </c>
      <c r="Q13" s="47"/>
      <c r="R13" s="47"/>
      <c r="S13" s="62"/>
      <c r="T13" s="62"/>
      <c r="U13" s="62"/>
      <c r="V13" s="62"/>
      <c r="W13" s="62"/>
      <c r="X13" s="62"/>
      <c r="Y13" s="62"/>
      <c r="Z13" s="62"/>
      <c r="AA13" s="62"/>
      <c r="AB13" s="62"/>
      <c r="AC13" s="62"/>
      <c r="AD13" s="62"/>
      <c r="AE13" s="62"/>
      <c r="AF13" s="62"/>
      <c r="AG13" s="62"/>
      <c r="AH13" s="62"/>
      <c r="AI13" s="62"/>
      <c r="AJ13" s="62"/>
      <c r="AK13" s="62"/>
      <c r="AL13" s="62"/>
      <c r="AM13" s="62"/>
      <c r="AN13" s="62"/>
      <c r="AO13" s="62"/>
      <c r="AP13" s="62"/>
      <c r="AQ13" s="62"/>
      <c r="AR13" s="62"/>
      <c r="AS13" s="62"/>
      <c r="AT13" s="62"/>
      <c r="AU13" s="62"/>
      <c r="AV13" s="62"/>
      <c r="AW13" s="62"/>
      <c r="AX13" s="62"/>
      <c r="AY13" s="62"/>
      <c r="AZ13" s="62"/>
      <c r="BA13" s="62"/>
      <c r="BB13" s="62"/>
      <c r="BC13" s="62"/>
      <c r="BD13" s="62"/>
      <c r="BE13" s="62"/>
      <c r="BF13" s="62"/>
      <c r="BG13" s="62"/>
      <c r="BH13" s="62"/>
      <c r="BI13" s="62"/>
      <c r="BJ13" s="62"/>
      <c r="BK13" s="62"/>
      <c r="BL13" s="62"/>
      <c r="BM13" s="62"/>
      <c r="BN13" s="62"/>
      <c r="BO13" s="62"/>
      <c r="BP13" s="62"/>
      <c r="BQ13" s="62"/>
      <c r="BR13" s="62"/>
      <c r="BS13" s="62"/>
      <c r="BT13" s="62"/>
      <c r="BU13" s="62"/>
      <c r="BV13" s="62"/>
      <c r="BW13" s="62"/>
      <c r="BX13" s="62"/>
      <c r="BY13" s="62"/>
      <c r="BZ13" s="62"/>
      <c r="CA13" s="62"/>
      <c r="CB13" s="62"/>
      <c r="CC13" s="62"/>
      <c r="CD13" s="62"/>
      <c r="CE13" s="62"/>
      <c r="CF13" s="62"/>
      <c r="CG13" s="62"/>
      <c r="CH13" s="62"/>
      <c r="CI13" s="62"/>
      <c r="CJ13" s="62"/>
      <c r="CK13" s="62"/>
      <c r="CL13" s="62"/>
      <c r="CM13" s="62"/>
      <c r="CN13" s="62"/>
      <c r="CO13" s="62"/>
      <c r="CP13" s="62"/>
      <c r="CQ13" s="62"/>
      <c r="CR13" s="62"/>
      <c r="CS13" s="62"/>
      <c r="CT13" s="62"/>
      <c r="CU13" s="62"/>
      <c r="CV13" s="62"/>
      <c r="CW13" s="62"/>
      <c r="CX13" s="62"/>
      <c r="CY13" s="62"/>
      <c r="CZ13" s="62"/>
      <c r="DA13" s="62"/>
      <c r="DB13" s="62"/>
      <c r="DC13" s="62"/>
      <c r="DD13" s="62"/>
      <c r="DE13" s="62"/>
    </row>
    <row r="14" spans="1:109" s="3" customFormat="1">
      <c r="A14" s="120"/>
      <c r="B14" s="120" t="s">
        <v>6402</v>
      </c>
      <c r="C14" s="62" t="s">
        <v>493</v>
      </c>
      <c r="D14" s="62">
        <v>250</v>
      </c>
      <c r="E14" s="62"/>
      <c r="F14" s="47"/>
      <c r="G14" s="47"/>
      <c r="H14" s="47"/>
      <c r="I14" s="48"/>
      <c r="J14" s="47"/>
      <c r="K14" s="57">
        <v>13</v>
      </c>
      <c r="L14" s="55"/>
      <c r="M14" s="47"/>
      <c r="N14" s="47"/>
      <c r="O14" s="47"/>
      <c r="P14" s="47"/>
      <c r="Q14" s="47"/>
      <c r="R14" s="47"/>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row>
    <row r="15" spans="1:109" s="3" customFormat="1">
      <c r="A15" s="120"/>
      <c r="B15" s="120" t="s">
        <v>4854</v>
      </c>
      <c r="C15" s="62" t="s">
        <v>493</v>
      </c>
      <c r="D15" s="62">
        <v>250</v>
      </c>
      <c r="E15" s="62"/>
      <c r="F15" s="47"/>
      <c r="G15" s="47"/>
      <c r="H15" s="47"/>
      <c r="I15" s="48"/>
      <c r="J15" s="47"/>
      <c r="K15" s="57">
        <v>14</v>
      </c>
      <c r="L15" s="55"/>
      <c r="M15" s="47"/>
      <c r="N15" s="47"/>
      <c r="O15" s="47"/>
      <c r="P15" s="47"/>
      <c r="Q15" s="47"/>
      <c r="R15" s="47"/>
      <c r="S15" s="62"/>
      <c r="T15" s="62"/>
      <c r="U15" s="62"/>
      <c r="V15" s="62"/>
      <c r="W15" s="62"/>
      <c r="X15" s="62"/>
      <c r="Y15" s="62"/>
      <c r="Z15" s="62"/>
      <c r="AA15" s="62"/>
      <c r="AB15" s="62"/>
      <c r="AC15" s="62"/>
      <c r="AD15" s="62"/>
      <c r="AE15" s="62"/>
      <c r="AF15" s="62"/>
      <c r="AG15" s="62"/>
      <c r="AH15" s="62"/>
      <c r="AI15" s="62"/>
      <c r="AJ15" s="62"/>
      <c r="AK15" s="62"/>
      <c r="AL15" s="62"/>
      <c r="AM15" s="62"/>
      <c r="AN15" s="62"/>
      <c r="AO15" s="62"/>
      <c r="AP15" s="62"/>
      <c r="AQ15" s="62"/>
      <c r="AR15" s="62"/>
      <c r="AS15" s="62"/>
      <c r="AT15" s="62"/>
      <c r="AU15" s="62"/>
      <c r="AV15" s="62"/>
      <c r="AW15" s="62"/>
      <c r="AX15" s="62"/>
      <c r="AY15" s="62"/>
      <c r="AZ15" s="62"/>
      <c r="BA15" s="62"/>
      <c r="BB15" s="62"/>
      <c r="BC15" s="62"/>
      <c r="BD15" s="62"/>
      <c r="BE15" s="62"/>
      <c r="BF15" s="62"/>
      <c r="BG15" s="62"/>
      <c r="BH15" s="62"/>
      <c r="BI15" s="62"/>
      <c r="BJ15" s="62"/>
      <c r="BK15" s="62"/>
      <c r="BL15" s="62"/>
      <c r="BM15" s="62"/>
      <c r="BN15" s="62"/>
      <c r="BO15" s="62"/>
      <c r="BP15" s="62"/>
      <c r="BQ15" s="62"/>
      <c r="BR15" s="62"/>
      <c r="BS15" s="62"/>
      <c r="BT15" s="62"/>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row>
    <row r="16" spans="1:109" s="3" customFormat="1">
      <c r="A16" s="120"/>
      <c r="B16" s="120" t="s">
        <v>6403</v>
      </c>
      <c r="C16" s="62" t="s">
        <v>520</v>
      </c>
      <c r="D16" s="62"/>
      <c r="E16" s="62"/>
      <c r="F16" s="47"/>
      <c r="G16" s="47"/>
      <c r="H16" s="47"/>
      <c r="I16" s="48"/>
      <c r="J16" s="47"/>
      <c r="K16" s="57">
        <v>15</v>
      </c>
      <c r="L16" s="55"/>
      <c r="M16" s="47"/>
      <c r="N16" s="47"/>
      <c r="O16" s="47"/>
      <c r="P16" s="47"/>
      <c r="Q16" s="47"/>
      <c r="R16" s="47"/>
      <c r="S16" s="62"/>
      <c r="T16" s="62"/>
      <c r="U16" s="62"/>
      <c r="V16" s="62"/>
      <c r="W16" s="62"/>
      <c r="X16" s="62"/>
      <c r="Y16" s="62"/>
      <c r="Z16" s="62"/>
      <c r="AA16" s="62"/>
      <c r="AB16" s="62"/>
      <c r="AC16" s="62"/>
      <c r="AD16" s="62"/>
      <c r="AE16" s="62"/>
      <c r="AF16" s="62"/>
      <c r="AG16" s="62"/>
      <c r="AH16" s="62"/>
      <c r="AI16" s="62"/>
      <c r="AJ16" s="62"/>
      <c r="AK16" s="62"/>
      <c r="AL16" s="62"/>
      <c r="AM16" s="62"/>
      <c r="AN16" s="62"/>
      <c r="AO16" s="62"/>
      <c r="AP16" s="62"/>
      <c r="AQ16" s="62"/>
      <c r="AR16" s="62"/>
      <c r="AS16" s="62"/>
      <c r="AT16" s="62"/>
      <c r="AU16" s="62"/>
      <c r="AV16" s="62"/>
      <c r="AW16" s="62"/>
      <c r="AX16" s="62"/>
      <c r="AY16" s="62"/>
      <c r="AZ16" s="62"/>
      <c r="BA16" s="62"/>
      <c r="BB16" s="62"/>
      <c r="BC16" s="62"/>
      <c r="BD16" s="62"/>
      <c r="BE16" s="62"/>
      <c r="BF16" s="62"/>
      <c r="BG16" s="62"/>
      <c r="BH16" s="62"/>
      <c r="BI16" s="62"/>
      <c r="BJ16" s="62"/>
      <c r="BK16" s="62"/>
      <c r="BL16" s="62"/>
      <c r="BM16" s="62"/>
      <c r="BN16" s="62"/>
      <c r="BO16" s="62"/>
      <c r="BP16" s="62"/>
      <c r="BQ16" s="62"/>
      <c r="BR16" s="62"/>
      <c r="BS16" s="62"/>
      <c r="BT16" s="62"/>
      <c r="BU16" s="62"/>
      <c r="BV16" s="62"/>
      <c r="BW16" s="62"/>
      <c r="BX16" s="62"/>
      <c r="BY16" s="62"/>
      <c r="BZ16" s="62"/>
      <c r="CA16" s="62"/>
      <c r="CB16" s="62"/>
      <c r="CC16" s="62"/>
      <c r="CD16" s="62"/>
      <c r="CE16" s="62"/>
      <c r="CF16" s="62"/>
      <c r="CG16" s="62"/>
      <c r="CH16" s="62"/>
      <c r="CI16" s="62"/>
      <c r="CJ16" s="62"/>
      <c r="CK16" s="62"/>
      <c r="CL16" s="62"/>
      <c r="CM16" s="62"/>
      <c r="CN16" s="62"/>
      <c r="CO16" s="62"/>
      <c r="CP16" s="62"/>
      <c r="CQ16" s="62"/>
      <c r="CR16" s="62"/>
      <c r="CS16" s="62"/>
      <c r="CT16" s="62"/>
      <c r="CU16" s="62"/>
      <c r="CV16" s="62"/>
      <c r="CW16" s="62"/>
      <c r="CX16" s="62"/>
      <c r="CY16" s="62"/>
      <c r="CZ16" s="62"/>
      <c r="DA16" s="62"/>
      <c r="DB16" s="62"/>
      <c r="DC16" s="62"/>
      <c r="DD16" s="62"/>
      <c r="DE16" s="62"/>
    </row>
    <row r="17" spans="1:109" s="3" customFormat="1">
      <c r="A17" s="120"/>
      <c r="B17" s="120" t="s">
        <v>4856</v>
      </c>
      <c r="C17" s="62" t="s">
        <v>520</v>
      </c>
      <c r="D17" s="62"/>
      <c r="E17" s="62"/>
      <c r="F17" s="47"/>
      <c r="G17" s="47"/>
      <c r="H17" s="47"/>
      <c r="I17" s="48"/>
      <c r="J17" s="47"/>
      <c r="K17" s="57">
        <v>16</v>
      </c>
      <c r="L17" s="55"/>
      <c r="M17" s="47"/>
      <c r="N17" s="47"/>
      <c r="O17" s="47"/>
      <c r="P17" s="47"/>
      <c r="Q17" s="47"/>
      <c r="R17" s="47"/>
      <c r="S17" s="62"/>
      <c r="T17" s="62"/>
      <c r="U17" s="62"/>
      <c r="V17" s="62"/>
      <c r="W17" s="62"/>
      <c r="X17" s="62"/>
      <c r="Y17" s="62"/>
      <c r="Z17" s="62"/>
      <c r="AA17" s="62"/>
      <c r="AB17" s="62"/>
      <c r="AC17" s="62"/>
      <c r="AD17" s="62"/>
      <c r="AE17" s="62"/>
      <c r="AF17" s="62"/>
      <c r="AG17" s="62"/>
      <c r="AH17" s="62"/>
      <c r="AI17" s="62"/>
      <c r="AJ17" s="62"/>
      <c r="AK17" s="62"/>
      <c r="AL17" s="62"/>
      <c r="AM17" s="62"/>
      <c r="AN17" s="62"/>
      <c r="AO17" s="62"/>
      <c r="AP17" s="62"/>
      <c r="AQ17" s="62"/>
      <c r="AR17" s="62"/>
      <c r="AS17" s="62"/>
      <c r="AT17" s="62"/>
      <c r="AU17" s="62"/>
      <c r="AV17" s="62"/>
      <c r="AW17" s="62"/>
      <c r="AX17" s="62"/>
      <c r="AY17" s="62"/>
      <c r="AZ17" s="62"/>
      <c r="BA17" s="62"/>
      <c r="BB17" s="62"/>
      <c r="BC17" s="62"/>
      <c r="BD17" s="62"/>
      <c r="BE17" s="62"/>
      <c r="BF17" s="62"/>
      <c r="BG17" s="62"/>
      <c r="BH17" s="62"/>
      <c r="BI17" s="62"/>
      <c r="BJ17" s="62"/>
      <c r="BK17" s="62"/>
      <c r="BL17" s="62"/>
      <c r="BM17" s="62"/>
      <c r="BN17" s="62"/>
      <c r="BO17" s="62"/>
      <c r="BP17" s="62"/>
      <c r="BQ17" s="62"/>
      <c r="BR17" s="62"/>
      <c r="BS17" s="62"/>
      <c r="BT17" s="62"/>
      <c r="BU17" s="62"/>
      <c r="BV17" s="62"/>
      <c r="BW17" s="62"/>
      <c r="BX17" s="62"/>
      <c r="BY17" s="62"/>
      <c r="BZ17" s="62"/>
      <c r="CA17" s="62"/>
      <c r="CB17" s="62"/>
      <c r="CC17" s="62"/>
      <c r="CD17" s="62"/>
      <c r="CE17" s="62"/>
      <c r="CF17" s="62"/>
      <c r="CG17" s="62"/>
      <c r="CH17" s="62"/>
      <c r="CI17" s="62"/>
      <c r="CJ17" s="62"/>
      <c r="CK17" s="62"/>
      <c r="CL17" s="62"/>
      <c r="CM17" s="62"/>
      <c r="CN17" s="62"/>
      <c r="CO17" s="62"/>
      <c r="CP17" s="62"/>
      <c r="CQ17" s="62"/>
      <c r="CR17" s="62"/>
      <c r="CS17" s="62"/>
      <c r="CT17" s="62"/>
      <c r="CU17" s="62"/>
      <c r="CV17" s="62"/>
      <c r="CW17" s="62"/>
      <c r="CX17" s="62"/>
      <c r="CY17" s="62"/>
      <c r="CZ17" s="62"/>
      <c r="DA17" s="62"/>
      <c r="DB17" s="62"/>
      <c r="DC17" s="62"/>
      <c r="DD17" s="62"/>
      <c r="DE17" s="62"/>
    </row>
    <row r="18" spans="1:109" s="3" customFormat="1">
      <c r="A18" s="120"/>
      <c r="B18" s="120" t="s">
        <v>4857</v>
      </c>
      <c r="C18" s="62" t="s">
        <v>520</v>
      </c>
      <c r="D18" s="62"/>
      <c r="E18" s="62"/>
      <c r="F18" s="47"/>
      <c r="G18" s="47"/>
      <c r="H18" s="47"/>
      <c r="I18" s="48"/>
      <c r="J18" s="47"/>
      <c r="K18" s="57">
        <v>17</v>
      </c>
      <c r="L18" s="55"/>
      <c r="M18" s="47"/>
      <c r="N18" s="47"/>
      <c r="O18" s="47"/>
      <c r="P18" s="47"/>
      <c r="Q18" s="47"/>
      <c r="R18" s="47"/>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row>
    <row r="19" spans="1:109" s="3" customFormat="1">
      <c r="A19" s="120"/>
      <c r="B19" s="120" t="s">
        <v>6406</v>
      </c>
      <c r="C19" s="62" t="s">
        <v>494</v>
      </c>
      <c r="D19" s="62"/>
      <c r="E19" s="62"/>
      <c r="F19" s="47"/>
      <c r="G19" s="47"/>
      <c r="H19" s="47"/>
      <c r="I19" s="48"/>
      <c r="J19" s="47"/>
      <c r="K19" s="57">
        <v>18</v>
      </c>
      <c r="L19" s="55">
        <v>8</v>
      </c>
      <c r="M19" s="47"/>
      <c r="N19" s="47"/>
      <c r="O19" s="47"/>
      <c r="P19" s="47"/>
      <c r="Q19" s="47"/>
      <c r="R19" s="47"/>
      <c r="S19" s="62"/>
      <c r="T19" s="62"/>
      <c r="U19" s="62"/>
      <c r="V19" s="62"/>
      <c r="W19" s="62"/>
      <c r="X19" s="62"/>
      <c r="Y19" s="62"/>
      <c r="Z19" s="62"/>
      <c r="AA19" s="62"/>
      <c r="AB19" s="62"/>
      <c r="AC19" s="62"/>
      <c r="AD19" s="62"/>
      <c r="AE19" s="62"/>
      <c r="AF19" s="62"/>
      <c r="AG19" s="62"/>
      <c r="AH19" s="62"/>
      <c r="AI19" s="62"/>
      <c r="AJ19" s="62"/>
      <c r="AK19" s="62"/>
      <c r="AL19" s="62"/>
      <c r="AM19" s="62"/>
      <c r="AN19" s="62"/>
      <c r="AO19" s="62"/>
      <c r="AP19" s="62"/>
      <c r="AQ19" s="62"/>
      <c r="AR19" s="62"/>
      <c r="AS19" s="62"/>
      <c r="AT19" s="62"/>
      <c r="AU19" s="62"/>
      <c r="AV19" s="62"/>
      <c r="AW19" s="62"/>
      <c r="AX19" s="62"/>
      <c r="AY19" s="62"/>
      <c r="AZ19" s="62"/>
      <c r="BA19" s="62"/>
      <c r="BB19" s="62"/>
      <c r="BC19" s="62"/>
      <c r="BD19" s="62"/>
      <c r="BE19" s="62"/>
      <c r="BF19" s="62"/>
      <c r="BG19" s="62"/>
      <c r="BH19" s="62"/>
      <c r="BI19" s="62"/>
      <c r="BJ19" s="62"/>
      <c r="BK19" s="62"/>
      <c r="BL19" s="62"/>
      <c r="BM19" s="62"/>
      <c r="BN19" s="62"/>
      <c r="BO19" s="62"/>
      <c r="BP19" s="62"/>
      <c r="BQ19" s="62"/>
      <c r="BR19" s="62"/>
      <c r="BS19" s="62"/>
      <c r="BT19" s="62"/>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row>
    <row r="20" spans="1:109" s="3" customFormat="1">
      <c r="A20" s="120"/>
      <c r="B20" s="120" t="s">
        <v>6360</v>
      </c>
      <c r="C20" s="62" t="s">
        <v>494</v>
      </c>
      <c r="D20" s="62"/>
      <c r="E20" s="62"/>
      <c r="F20" s="47"/>
      <c r="G20" s="47"/>
      <c r="H20" s="47"/>
      <c r="I20" s="48"/>
      <c r="J20" s="47"/>
      <c r="K20" s="57">
        <v>19</v>
      </c>
      <c r="L20" s="55">
        <v>3</v>
      </c>
      <c r="M20" s="47"/>
      <c r="N20" s="62" t="s">
        <v>6407</v>
      </c>
      <c r="O20" s="62" t="s">
        <v>6408</v>
      </c>
      <c r="P20" s="62" t="s">
        <v>6409</v>
      </c>
      <c r="Q20" s="47"/>
      <c r="R20" s="47"/>
      <c r="S20" s="62"/>
      <c r="T20" s="62"/>
      <c r="U20" s="62"/>
      <c r="V20" s="62"/>
      <c r="W20" s="62"/>
      <c r="X20" s="62"/>
      <c r="Y20" s="62"/>
      <c r="Z20" s="62"/>
      <c r="AA20" s="62"/>
      <c r="AB20" s="62"/>
      <c r="AC20" s="62"/>
      <c r="AD20" s="62"/>
      <c r="AE20" s="62"/>
      <c r="AF20" s="62"/>
      <c r="AG20" s="62"/>
      <c r="AH20" s="62"/>
      <c r="AI20" s="62"/>
      <c r="AJ20" s="62"/>
      <c r="AK20" s="62"/>
      <c r="AL20" s="62"/>
      <c r="AM20" s="62"/>
      <c r="AN20" s="62"/>
      <c r="AO20" s="62"/>
      <c r="AP20" s="62"/>
      <c r="AQ20" s="62"/>
      <c r="AR20" s="62"/>
      <c r="AS20" s="62"/>
      <c r="AT20" s="62"/>
      <c r="AU20" s="62"/>
      <c r="AV20" s="62"/>
      <c r="AW20" s="62"/>
      <c r="AX20" s="62"/>
      <c r="AY20" s="62"/>
      <c r="AZ20" s="62"/>
      <c r="BA20" s="62"/>
      <c r="BB20" s="62"/>
      <c r="BC20" s="62"/>
      <c r="BD20" s="62"/>
      <c r="BE20" s="62"/>
      <c r="BF20" s="62"/>
      <c r="BG20" s="62"/>
      <c r="BH20" s="62"/>
      <c r="BI20" s="62"/>
      <c r="BJ20" s="62"/>
      <c r="BK20" s="62"/>
      <c r="BL20" s="62"/>
      <c r="BM20" s="62"/>
      <c r="BN20" s="62"/>
      <c r="BO20" s="62"/>
      <c r="BP20" s="62"/>
      <c r="BQ20" s="62"/>
      <c r="BR20" s="62"/>
      <c r="BS20" s="62"/>
      <c r="BT20" s="62"/>
      <c r="BU20" s="62"/>
      <c r="BV20" s="62"/>
      <c r="BW20" s="62"/>
      <c r="BX20" s="62"/>
      <c r="BY20" s="62"/>
      <c r="BZ20" s="62"/>
      <c r="CA20" s="62"/>
      <c r="CB20" s="62"/>
      <c r="CC20" s="62"/>
      <c r="CD20" s="62"/>
      <c r="CE20" s="62"/>
      <c r="CF20" s="62"/>
      <c r="CG20" s="62"/>
      <c r="CH20" s="62"/>
      <c r="CI20" s="62"/>
      <c r="CJ20" s="62"/>
      <c r="CK20" s="62"/>
      <c r="CL20" s="62"/>
      <c r="CM20" s="62"/>
      <c r="CN20" s="62"/>
      <c r="CO20" s="62"/>
      <c r="CP20" s="62"/>
      <c r="CQ20" s="62"/>
      <c r="CR20" s="62"/>
      <c r="CS20" s="62"/>
      <c r="CT20" s="62"/>
      <c r="CU20" s="62"/>
      <c r="CV20" s="62"/>
      <c r="CW20" s="62"/>
      <c r="CX20" s="62"/>
      <c r="CY20" s="62"/>
      <c r="CZ20" s="62"/>
      <c r="DA20" s="62"/>
      <c r="DB20" s="62"/>
      <c r="DC20" s="62"/>
      <c r="DD20" s="62"/>
      <c r="DE20" s="62"/>
    </row>
    <row r="21" spans="1:109" s="3" customFormat="1">
      <c r="A21" s="62"/>
      <c r="B21" s="62" t="s">
        <v>6361</v>
      </c>
      <c r="C21" s="62" t="s">
        <v>494</v>
      </c>
      <c r="D21" s="62"/>
      <c r="E21" s="62"/>
      <c r="F21" s="47"/>
      <c r="G21" s="47"/>
      <c r="H21" s="47"/>
      <c r="I21" s="48"/>
      <c r="J21" s="47"/>
      <c r="K21" s="57">
        <v>20</v>
      </c>
      <c r="L21" s="55">
        <v>3</v>
      </c>
      <c r="M21" s="47"/>
      <c r="N21" s="62" t="s">
        <v>6404</v>
      </c>
      <c r="O21" s="62" t="s">
        <v>6222</v>
      </c>
      <c r="P21" s="62" t="s">
        <v>6405</v>
      </c>
      <c r="Q21" s="47"/>
      <c r="R21" s="47"/>
      <c r="S21" s="62"/>
      <c r="T21" s="62"/>
      <c r="U21" s="62"/>
      <c r="V21" s="62"/>
      <c r="W21" s="62"/>
      <c r="X21" s="62"/>
      <c r="Y21" s="62"/>
      <c r="Z21" s="62"/>
      <c r="AA21" s="62"/>
      <c r="AB21" s="62"/>
      <c r="AC21" s="62"/>
      <c r="AD21" s="62"/>
      <c r="AE21" s="62"/>
      <c r="AF21" s="62"/>
      <c r="AG21" s="62"/>
      <c r="AH21" s="62"/>
      <c r="AI21" s="62"/>
      <c r="AJ21" s="62"/>
      <c r="AK21" s="62"/>
      <c r="AL21" s="62"/>
      <c r="AM21" s="62"/>
      <c r="AN21" s="62"/>
      <c r="AO21" s="62"/>
      <c r="AP21" s="62"/>
      <c r="AQ21" s="62"/>
      <c r="AR21" s="62"/>
      <c r="AS21" s="62"/>
      <c r="AT21" s="62"/>
      <c r="AU21" s="62"/>
      <c r="AV21" s="62"/>
      <c r="AW21" s="62"/>
      <c r="AX21" s="62"/>
      <c r="AY21" s="62"/>
      <c r="AZ21" s="62"/>
      <c r="BA21" s="62"/>
      <c r="BB21" s="62"/>
      <c r="BC21" s="62"/>
      <c r="BD21" s="62"/>
      <c r="BE21" s="62"/>
      <c r="BF21" s="62"/>
      <c r="BG21" s="62"/>
      <c r="BH21" s="62"/>
      <c r="BI21" s="62"/>
      <c r="BJ21" s="62"/>
      <c r="BK21" s="62"/>
      <c r="BL21" s="62"/>
      <c r="BM21" s="62"/>
      <c r="BN21" s="62"/>
      <c r="BO21" s="62"/>
      <c r="BP21" s="62"/>
      <c r="BQ21" s="62"/>
      <c r="BR21" s="62"/>
      <c r="BS21" s="62"/>
      <c r="BT21" s="62"/>
      <c r="BU21" s="62"/>
      <c r="BV21" s="62"/>
      <c r="BW21" s="62"/>
      <c r="BX21" s="62"/>
      <c r="BY21" s="62"/>
      <c r="BZ21" s="62"/>
      <c r="CA21" s="62"/>
      <c r="CB21" s="62"/>
      <c r="CC21" s="62"/>
      <c r="CD21" s="62"/>
      <c r="CE21" s="62"/>
      <c r="CF21" s="62"/>
      <c r="CG21" s="62"/>
      <c r="CH21" s="62"/>
      <c r="CI21" s="62"/>
      <c r="CJ21" s="62"/>
      <c r="CK21" s="62"/>
      <c r="CL21" s="62"/>
      <c r="CM21" s="62"/>
      <c r="CN21" s="62"/>
      <c r="CO21" s="62"/>
      <c r="CP21" s="62"/>
      <c r="CQ21" s="62"/>
      <c r="CR21" s="62"/>
      <c r="CS21" s="62"/>
      <c r="CT21" s="62"/>
      <c r="CU21" s="62"/>
      <c r="CV21" s="62"/>
      <c r="CW21" s="62"/>
      <c r="CX21" s="62"/>
      <c r="CY21" s="62"/>
      <c r="CZ21" s="62"/>
      <c r="DA21" s="62"/>
      <c r="DB21" s="62"/>
      <c r="DC21" s="62"/>
      <c r="DD21" s="62"/>
      <c r="DE21" s="62"/>
    </row>
    <row r="22" spans="1:109" s="3" customFormat="1">
      <c r="A22" s="62"/>
      <c r="B22" s="62" t="s">
        <v>6411</v>
      </c>
      <c r="C22" s="62" t="s">
        <v>520</v>
      </c>
      <c r="D22" s="62"/>
      <c r="E22" s="62"/>
      <c r="F22" s="47"/>
      <c r="G22" s="47"/>
      <c r="H22" s="47"/>
      <c r="I22" s="48"/>
      <c r="J22" s="47"/>
      <c r="K22" s="57">
        <v>21</v>
      </c>
      <c r="L22" s="55"/>
      <c r="M22" s="47"/>
      <c r="N22" s="62"/>
      <c r="P22" s="47"/>
      <c r="Q22" s="47"/>
      <c r="R22" s="47"/>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c r="BM22" s="62"/>
      <c r="BN22" s="62"/>
      <c r="BO22" s="62"/>
      <c r="BP22" s="62"/>
      <c r="BQ22" s="62"/>
      <c r="BR22" s="62"/>
      <c r="BS22" s="62"/>
      <c r="BT22" s="62"/>
      <c r="BU22" s="62"/>
      <c r="BV22" s="62"/>
      <c r="BW22" s="62"/>
      <c r="BX22" s="62"/>
      <c r="BY22" s="62"/>
      <c r="BZ22" s="62"/>
      <c r="CA22" s="62"/>
      <c r="CB22" s="62"/>
      <c r="CC22" s="62"/>
      <c r="CD22" s="62"/>
      <c r="CE22" s="62"/>
      <c r="CF22" s="62"/>
      <c r="CG22" s="62"/>
      <c r="CH22" s="62"/>
      <c r="CI22" s="62"/>
      <c r="CJ22" s="62"/>
      <c r="CK22" s="62"/>
      <c r="CL22" s="62"/>
      <c r="CM22" s="62"/>
      <c r="CN22" s="62"/>
      <c r="CO22" s="62"/>
      <c r="CP22" s="62"/>
      <c r="CQ22" s="62"/>
      <c r="CR22" s="62"/>
      <c r="CS22" s="62"/>
      <c r="CT22" s="62"/>
      <c r="CU22" s="62"/>
      <c r="CV22" s="62"/>
      <c r="CW22" s="62"/>
      <c r="CX22" s="62"/>
      <c r="CY22" s="62"/>
      <c r="CZ22" s="62"/>
      <c r="DA22" s="62"/>
      <c r="DB22" s="62"/>
      <c r="DC22" s="62"/>
      <c r="DD22" s="62"/>
      <c r="DE22" s="62"/>
    </row>
    <row r="23" spans="1:109" s="3" customFormat="1">
      <c r="A23" s="62"/>
      <c r="B23" s="62" t="s">
        <v>6363</v>
      </c>
      <c r="C23" s="62" t="s">
        <v>494</v>
      </c>
      <c r="D23" s="62"/>
      <c r="E23" s="62"/>
      <c r="F23" s="47"/>
      <c r="G23" s="47"/>
      <c r="H23" s="47" t="s">
        <v>4874</v>
      </c>
      <c r="I23" s="48"/>
      <c r="J23" s="47"/>
      <c r="K23" s="57">
        <v>22</v>
      </c>
      <c r="L23" s="55">
        <v>3</v>
      </c>
      <c r="M23" s="47"/>
      <c r="N23" s="47"/>
      <c r="O23" s="47"/>
      <c r="P23" s="47"/>
      <c r="Q23" s="47"/>
      <c r="R23" s="47"/>
      <c r="S23" s="62"/>
      <c r="T23" s="62"/>
      <c r="U23" s="62"/>
      <c r="V23" s="62"/>
      <c r="W23" s="62"/>
      <c r="X23" s="62"/>
      <c r="Y23" s="62"/>
      <c r="Z23" s="62"/>
      <c r="AA23" s="62"/>
      <c r="AB23" s="62"/>
      <c r="AC23" s="62"/>
      <c r="AD23" s="62"/>
      <c r="AE23" s="62"/>
      <c r="AF23" s="62"/>
      <c r="AG23" s="62"/>
      <c r="AH23" s="62"/>
      <c r="AI23" s="62"/>
      <c r="AJ23" s="62"/>
      <c r="AK23" s="62"/>
      <c r="AL23" s="62"/>
      <c r="AM23" s="62"/>
      <c r="AN23" s="62"/>
      <c r="AO23" s="62"/>
      <c r="AP23" s="62"/>
      <c r="AQ23" s="62"/>
      <c r="AR23" s="62"/>
      <c r="AS23" s="62"/>
      <c r="AT23" s="62"/>
      <c r="AU23" s="62"/>
      <c r="AV23" s="62"/>
      <c r="AW23" s="62"/>
      <c r="AX23" s="62"/>
      <c r="AY23" s="62"/>
      <c r="AZ23" s="62"/>
      <c r="BA23" s="62"/>
      <c r="BB23" s="62"/>
      <c r="BC23" s="62"/>
      <c r="BD23" s="62"/>
      <c r="BE23" s="62"/>
      <c r="BF23" s="62"/>
      <c r="BG23" s="62"/>
      <c r="BH23" s="62"/>
      <c r="BI23" s="62"/>
      <c r="BJ23" s="62"/>
      <c r="BK23" s="62"/>
      <c r="BL23" s="62"/>
      <c r="BM23" s="62"/>
      <c r="BN23" s="62"/>
      <c r="BO23" s="62"/>
      <c r="BP23" s="62"/>
      <c r="BQ23" s="62"/>
      <c r="BR23" s="62"/>
      <c r="BS23" s="62"/>
      <c r="BT23" s="62"/>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row>
    <row r="24" spans="1:109" s="3" customFormat="1">
      <c r="A24" s="62"/>
      <c r="B24" s="62" t="s">
        <v>6364</v>
      </c>
      <c r="C24" s="62" t="s">
        <v>494</v>
      </c>
      <c r="D24" s="62"/>
      <c r="E24" s="62"/>
      <c r="F24" s="47"/>
      <c r="G24" s="47"/>
      <c r="H24" s="47" t="s">
        <v>4876</v>
      </c>
      <c r="I24" s="48"/>
      <c r="J24" s="47"/>
      <c r="K24" s="57">
        <v>23</v>
      </c>
      <c r="L24" s="55"/>
      <c r="M24" s="47"/>
      <c r="N24" s="47"/>
      <c r="O24" s="47"/>
      <c r="P24" s="47"/>
      <c r="Q24" s="47"/>
      <c r="R24" s="47"/>
      <c r="S24" s="62"/>
      <c r="T24" s="62"/>
      <c r="U24" s="62"/>
      <c r="V24" s="62"/>
      <c r="W24" s="62"/>
      <c r="X24" s="62"/>
      <c r="Y24" s="62"/>
      <c r="Z24" s="62"/>
      <c r="AA24" s="62"/>
      <c r="AB24" s="62"/>
      <c r="AC24" s="62"/>
      <c r="AD24" s="62"/>
      <c r="AE24" s="62"/>
      <c r="AF24" s="62"/>
      <c r="AG24" s="62"/>
      <c r="AH24" s="62"/>
      <c r="AI24" s="62"/>
      <c r="AJ24" s="62"/>
      <c r="AK24" s="62"/>
      <c r="AL24" s="62"/>
      <c r="AM24" s="62"/>
      <c r="AN24" s="62"/>
      <c r="AO24" s="62"/>
      <c r="AP24" s="62"/>
      <c r="AQ24" s="62"/>
      <c r="AR24" s="62"/>
      <c r="AS24" s="62"/>
      <c r="AT24" s="62"/>
      <c r="AU24" s="62"/>
      <c r="AV24" s="62"/>
      <c r="AW24" s="62"/>
      <c r="AX24" s="62"/>
      <c r="AY24" s="62"/>
      <c r="AZ24" s="62"/>
      <c r="BA24" s="62"/>
      <c r="BB24" s="62"/>
      <c r="BC24" s="62"/>
      <c r="BD24" s="62"/>
      <c r="BE24" s="62"/>
      <c r="BF24" s="62"/>
      <c r="BG24" s="62"/>
      <c r="BH24" s="62"/>
      <c r="BI24" s="62"/>
      <c r="BJ24" s="62"/>
      <c r="BK24" s="62"/>
      <c r="BL24" s="62"/>
      <c r="BM24" s="62"/>
      <c r="BN24" s="62"/>
      <c r="BO24" s="62"/>
      <c r="BP24" s="62"/>
      <c r="BQ24" s="62"/>
      <c r="BR24" s="62"/>
      <c r="BS24" s="62"/>
      <c r="BT24" s="62"/>
      <c r="BU24" s="62"/>
      <c r="BV24" s="62"/>
      <c r="BW24" s="62"/>
      <c r="BX24" s="62"/>
      <c r="BY24" s="62"/>
      <c r="BZ24" s="62"/>
      <c r="CA24" s="62"/>
      <c r="CB24" s="62"/>
      <c r="CC24" s="62"/>
      <c r="CD24" s="62"/>
      <c r="CE24" s="62"/>
      <c r="CF24" s="62"/>
      <c r="CG24" s="62"/>
      <c r="CH24" s="62"/>
      <c r="CI24" s="62"/>
      <c r="CJ24" s="62"/>
      <c r="CK24" s="62"/>
      <c r="CL24" s="62"/>
      <c r="CM24" s="62"/>
      <c r="CN24" s="62"/>
      <c r="CO24" s="62"/>
      <c r="CP24" s="62"/>
      <c r="CQ24" s="62"/>
      <c r="CR24" s="62"/>
      <c r="CS24" s="62"/>
      <c r="CT24" s="62"/>
      <c r="CU24" s="62"/>
      <c r="CV24" s="62"/>
      <c r="CW24" s="62"/>
      <c r="CX24" s="62"/>
      <c r="CY24" s="62"/>
      <c r="CZ24" s="62"/>
      <c r="DA24" s="62"/>
      <c r="DB24" s="62"/>
      <c r="DC24" s="62"/>
      <c r="DD24" s="62"/>
      <c r="DE24" s="62"/>
    </row>
    <row r="25" spans="1:109" s="3" customFormat="1">
      <c r="A25" s="62"/>
      <c r="B25" s="62" t="s">
        <v>6365</v>
      </c>
      <c r="C25" s="62" t="s">
        <v>494</v>
      </c>
      <c r="D25" s="62"/>
      <c r="E25" s="62"/>
      <c r="F25" s="47"/>
      <c r="G25" s="47"/>
      <c r="H25" s="47"/>
      <c r="I25" s="48"/>
      <c r="J25" s="47"/>
      <c r="K25" s="57">
        <v>24</v>
      </c>
      <c r="L25" s="55"/>
      <c r="M25" s="47"/>
      <c r="N25" s="47"/>
      <c r="O25" s="47"/>
      <c r="P25" s="47"/>
      <c r="Q25" s="47"/>
      <c r="R25" s="47"/>
      <c r="S25" s="62"/>
      <c r="T25" s="62"/>
      <c r="U25" s="62"/>
      <c r="V25" s="62"/>
      <c r="W25" s="62"/>
      <c r="X25" s="62"/>
      <c r="Y25" s="62"/>
      <c r="Z25" s="62"/>
      <c r="AA25" s="62"/>
      <c r="AB25" s="62"/>
      <c r="AC25" s="62"/>
      <c r="AD25" s="62"/>
      <c r="AE25" s="62"/>
      <c r="AF25" s="62"/>
      <c r="AG25" s="62"/>
      <c r="AH25" s="62"/>
      <c r="AI25" s="62"/>
      <c r="AJ25" s="62"/>
      <c r="AK25" s="62"/>
      <c r="AL25" s="62"/>
      <c r="AM25" s="62"/>
      <c r="AN25" s="62"/>
      <c r="AO25" s="62"/>
      <c r="AP25" s="62"/>
      <c r="AQ25" s="62"/>
      <c r="AR25" s="62"/>
      <c r="AS25" s="62"/>
      <c r="AT25" s="62"/>
      <c r="AU25" s="62"/>
      <c r="AV25" s="62"/>
      <c r="AW25" s="62"/>
      <c r="AX25" s="62"/>
      <c r="AY25" s="62"/>
      <c r="AZ25" s="62"/>
      <c r="BA25" s="62"/>
      <c r="BB25" s="62"/>
      <c r="BC25" s="62"/>
      <c r="BD25" s="62"/>
      <c r="BE25" s="62"/>
      <c r="BF25" s="62"/>
      <c r="BG25" s="62"/>
      <c r="BH25" s="62"/>
      <c r="BI25" s="62"/>
      <c r="BJ25" s="62"/>
      <c r="BK25" s="62"/>
      <c r="BL25" s="62"/>
      <c r="BM25" s="62"/>
      <c r="BN25" s="62"/>
      <c r="BO25" s="62"/>
      <c r="BP25" s="62"/>
      <c r="BQ25" s="62"/>
      <c r="BR25" s="62"/>
      <c r="BS25" s="62"/>
      <c r="BT25" s="62"/>
      <c r="BU25" s="62"/>
      <c r="BV25" s="62"/>
      <c r="BW25" s="62"/>
      <c r="BX25" s="62"/>
      <c r="BY25" s="62"/>
      <c r="BZ25" s="62"/>
      <c r="CA25" s="62"/>
      <c r="CB25" s="62"/>
      <c r="CC25" s="62"/>
      <c r="CD25" s="62"/>
      <c r="CE25" s="62"/>
      <c r="CF25" s="62"/>
      <c r="CG25" s="62"/>
      <c r="CH25" s="62"/>
      <c r="CI25" s="62"/>
      <c r="CJ25" s="62"/>
      <c r="CK25" s="62"/>
      <c r="CL25" s="62"/>
      <c r="CM25" s="62"/>
      <c r="CN25" s="62"/>
      <c r="CO25" s="62"/>
      <c r="CP25" s="62"/>
      <c r="CQ25" s="62"/>
      <c r="CR25" s="62"/>
      <c r="CS25" s="62"/>
      <c r="CT25" s="62"/>
      <c r="CU25" s="62"/>
      <c r="CV25" s="62"/>
      <c r="CW25" s="62"/>
      <c r="CX25" s="62"/>
      <c r="CY25" s="62"/>
      <c r="CZ25" s="62"/>
      <c r="DA25" s="62"/>
      <c r="DB25" s="62"/>
      <c r="DC25" s="62"/>
      <c r="DD25" s="62"/>
      <c r="DE25" s="62"/>
    </row>
    <row r="26" spans="1:109" s="3" customFormat="1">
      <c r="A26" s="62"/>
      <c r="B26" s="62" t="s">
        <v>6366</v>
      </c>
      <c r="C26" s="62" t="s">
        <v>494</v>
      </c>
      <c r="D26" s="62"/>
      <c r="E26" s="62"/>
      <c r="F26" s="47"/>
      <c r="G26" s="47"/>
      <c r="H26" s="47"/>
      <c r="I26" s="48"/>
      <c r="J26" s="47"/>
      <c r="K26" s="57">
        <v>25</v>
      </c>
      <c r="L26" s="55"/>
      <c r="M26" s="47"/>
      <c r="N26" s="47"/>
      <c r="O26" s="47"/>
      <c r="P26" s="47"/>
      <c r="Q26" s="47"/>
      <c r="R26" s="47"/>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row>
    <row r="27" spans="1:109" s="3" customFormat="1">
      <c r="A27" s="62"/>
      <c r="B27" s="62" t="s">
        <v>6415</v>
      </c>
      <c r="C27" s="62" t="s">
        <v>520</v>
      </c>
      <c r="D27" s="62"/>
      <c r="E27" s="62"/>
      <c r="F27" s="47"/>
      <c r="G27" s="47"/>
      <c r="H27" s="47"/>
      <c r="I27" s="48"/>
      <c r="J27" s="47"/>
      <c r="K27" s="57">
        <v>26</v>
      </c>
      <c r="L27" s="55"/>
      <c r="M27" s="47"/>
      <c r="N27" s="47"/>
      <c r="O27" s="47"/>
      <c r="P27" s="47"/>
      <c r="Q27" s="47"/>
      <c r="R27" s="47"/>
      <c r="S27" s="62"/>
      <c r="T27" s="62"/>
      <c r="U27" s="62"/>
      <c r="V27" s="62"/>
      <c r="W27" s="62"/>
      <c r="X27" s="62"/>
      <c r="Y27" s="62"/>
      <c r="Z27" s="62"/>
      <c r="AA27" s="62"/>
      <c r="AB27" s="62"/>
      <c r="AC27" s="62"/>
      <c r="AD27" s="62"/>
      <c r="AE27" s="62"/>
      <c r="AF27" s="62"/>
      <c r="AG27" s="62"/>
      <c r="AH27" s="62"/>
      <c r="AI27" s="62"/>
      <c r="AJ27" s="62"/>
      <c r="AK27" s="62"/>
      <c r="AL27" s="62"/>
      <c r="AM27" s="62"/>
      <c r="AN27" s="62"/>
      <c r="AO27" s="62"/>
      <c r="AP27" s="62"/>
      <c r="AQ27" s="62"/>
      <c r="AR27" s="62"/>
      <c r="AS27" s="62"/>
      <c r="AT27" s="62"/>
      <c r="AU27" s="62"/>
      <c r="AV27" s="62"/>
      <c r="AW27" s="62"/>
      <c r="AX27" s="62"/>
      <c r="AY27" s="62"/>
      <c r="AZ27" s="62"/>
      <c r="BA27" s="62"/>
      <c r="BB27" s="62"/>
      <c r="BC27" s="62"/>
      <c r="BD27" s="62"/>
      <c r="BE27" s="62"/>
      <c r="BF27" s="62"/>
      <c r="BG27" s="62"/>
      <c r="BH27" s="62"/>
      <c r="BI27" s="62"/>
      <c r="BJ27" s="62"/>
      <c r="BK27" s="62"/>
      <c r="BL27" s="62"/>
      <c r="BM27" s="62"/>
      <c r="BN27" s="62"/>
      <c r="BO27" s="62"/>
      <c r="BP27" s="62"/>
      <c r="BQ27" s="62"/>
      <c r="BR27" s="62"/>
      <c r="BS27" s="62"/>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row>
    <row r="28" spans="1:109" s="3" customFormat="1">
      <c r="A28" s="62"/>
      <c r="B28" s="62" t="s">
        <v>6367</v>
      </c>
      <c r="C28" s="62" t="s">
        <v>520</v>
      </c>
      <c r="D28" s="62"/>
      <c r="E28" s="62"/>
      <c r="F28" s="47"/>
      <c r="G28" s="47"/>
      <c r="H28" s="47"/>
      <c r="I28" s="48"/>
      <c r="J28" s="47"/>
      <c r="K28" s="57">
        <v>27</v>
      </c>
      <c r="L28" s="55"/>
      <c r="M28" s="47"/>
      <c r="P28" s="47"/>
      <c r="Q28" s="47"/>
      <c r="R28" s="47"/>
      <c r="S28" s="62"/>
      <c r="T28" s="62"/>
      <c r="U28" s="62"/>
      <c r="V28" s="62"/>
      <c r="W28" s="62"/>
      <c r="X28" s="62"/>
      <c r="Y28" s="62"/>
      <c r="Z28" s="62"/>
      <c r="AA28" s="62"/>
      <c r="AB28" s="62"/>
      <c r="AC28" s="62"/>
      <c r="AD28" s="62"/>
      <c r="AE28" s="62"/>
      <c r="AF28" s="62"/>
      <c r="AG28" s="62"/>
      <c r="AH28" s="62"/>
      <c r="AI28" s="62"/>
      <c r="AJ28" s="62"/>
      <c r="AK28" s="62"/>
      <c r="AL28" s="62"/>
      <c r="AM28" s="62"/>
      <c r="AN28" s="62"/>
      <c r="AO28" s="62"/>
      <c r="AP28" s="62"/>
      <c r="AQ28" s="62"/>
      <c r="AR28" s="62"/>
      <c r="AS28" s="62"/>
      <c r="AT28" s="62"/>
      <c r="AU28" s="62"/>
      <c r="AV28" s="62"/>
      <c r="AW28" s="62"/>
      <c r="AX28" s="62"/>
      <c r="AY28" s="62"/>
      <c r="AZ28" s="62"/>
      <c r="BA28" s="62"/>
      <c r="BB28" s="62"/>
      <c r="BC28" s="62"/>
      <c r="BD28" s="62"/>
      <c r="BE28" s="62"/>
      <c r="BF28" s="62"/>
      <c r="BG28" s="62"/>
      <c r="BH28" s="62"/>
      <c r="BI28" s="62"/>
      <c r="BJ28" s="62"/>
      <c r="BK28" s="62"/>
      <c r="BL28" s="62"/>
      <c r="BM28" s="62"/>
      <c r="BN28" s="62"/>
      <c r="BO28" s="62"/>
      <c r="BP28" s="62"/>
      <c r="BQ28" s="62"/>
      <c r="BR28" s="62"/>
      <c r="BS28" s="62"/>
      <c r="BT28" s="62"/>
      <c r="BU28" s="62"/>
      <c r="BV28" s="62"/>
      <c r="BW28" s="62"/>
      <c r="BX28" s="62"/>
      <c r="BY28" s="62"/>
      <c r="BZ28" s="62"/>
      <c r="CA28" s="62"/>
      <c r="CB28" s="62"/>
      <c r="CC28" s="62"/>
      <c r="CD28" s="62"/>
      <c r="CE28" s="62"/>
      <c r="CF28" s="62"/>
      <c r="CG28" s="62"/>
      <c r="CH28" s="62"/>
      <c r="CI28" s="62"/>
      <c r="CJ28" s="62"/>
      <c r="CK28" s="62"/>
      <c r="CL28" s="62"/>
      <c r="CM28" s="62"/>
      <c r="CN28" s="62"/>
      <c r="CO28" s="62"/>
      <c r="CP28" s="62"/>
      <c r="CQ28" s="62"/>
      <c r="CR28" s="62"/>
      <c r="CS28" s="62"/>
      <c r="CT28" s="62"/>
      <c r="CU28" s="62"/>
      <c r="CV28" s="62"/>
      <c r="CW28" s="62"/>
      <c r="CX28" s="62"/>
      <c r="CY28" s="62"/>
      <c r="CZ28" s="62"/>
      <c r="DA28" s="62"/>
      <c r="DB28" s="62"/>
      <c r="DC28" s="62"/>
      <c r="DD28" s="62"/>
      <c r="DE28" s="62"/>
    </row>
    <row r="29" spans="1:109" s="3" customFormat="1">
      <c r="A29" s="62"/>
      <c r="B29" s="62" t="s">
        <v>6417</v>
      </c>
      <c r="C29" s="62" t="s">
        <v>494</v>
      </c>
      <c r="D29" s="62"/>
      <c r="E29" s="62"/>
      <c r="F29" s="47"/>
      <c r="G29" s="47"/>
      <c r="H29" s="47" t="s">
        <v>6418</v>
      </c>
      <c r="I29" s="48"/>
      <c r="J29" s="47"/>
      <c r="K29" s="57">
        <v>28</v>
      </c>
      <c r="L29" s="55">
        <v>3</v>
      </c>
      <c r="M29" s="47"/>
      <c r="N29" s="64" t="s">
        <v>4843</v>
      </c>
      <c r="O29" s="64" t="s">
        <v>4845</v>
      </c>
      <c r="P29" s="47" t="s">
        <v>6402</v>
      </c>
      <c r="Q29" s="47"/>
      <c r="R29" s="47"/>
      <c r="S29" s="62"/>
      <c r="T29" s="62"/>
      <c r="U29" s="62"/>
      <c r="V29" s="62"/>
      <c r="W29" s="62"/>
      <c r="X29" s="62"/>
      <c r="Y29" s="62"/>
      <c r="Z29" s="62"/>
      <c r="AA29" s="62"/>
      <c r="AB29" s="62"/>
      <c r="AC29" s="62"/>
      <c r="AD29" s="62"/>
      <c r="AE29" s="62"/>
      <c r="AF29" s="62"/>
      <c r="AG29" s="62"/>
      <c r="AH29" s="62"/>
      <c r="AI29" s="62"/>
      <c r="AJ29" s="62"/>
      <c r="AK29" s="62"/>
      <c r="AL29" s="62"/>
      <c r="AM29" s="62"/>
      <c r="AN29" s="62"/>
      <c r="AO29" s="62"/>
      <c r="AP29" s="62"/>
      <c r="AQ29" s="62"/>
      <c r="AR29" s="62"/>
      <c r="AS29" s="62"/>
      <c r="AT29" s="62"/>
      <c r="AU29" s="62"/>
      <c r="AV29" s="62"/>
      <c r="AW29" s="62"/>
      <c r="AX29" s="62"/>
      <c r="AY29" s="62"/>
      <c r="AZ29" s="62"/>
      <c r="BA29" s="62"/>
      <c r="BB29" s="62"/>
      <c r="BC29" s="62"/>
      <c r="BD29" s="62"/>
      <c r="BE29" s="62"/>
      <c r="BF29" s="62"/>
      <c r="BG29" s="62"/>
      <c r="BH29" s="62"/>
      <c r="BI29" s="62"/>
      <c r="BJ29" s="62"/>
      <c r="BK29" s="62"/>
      <c r="BL29" s="62"/>
      <c r="BM29" s="62"/>
      <c r="BN29" s="62"/>
      <c r="BO29" s="62"/>
      <c r="BP29" s="62"/>
      <c r="BQ29" s="62"/>
      <c r="BR29" s="62"/>
      <c r="BS29" s="62"/>
      <c r="BT29" s="62"/>
      <c r="BU29" s="62"/>
      <c r="BV29" s="62"/>
      <c r="BW29" s="62"/>
      <c r="BX29" s="62"/>
      <c r="BY29" s="62"/>
      <c r="BZ29" s="62"/>
      <c r="CA29" s="62"/>
      <c r="CB29" s="62"/>
      <c r="CC29" s="62"/>
      <c r="CD29" s="62"/>
      <c r="CE29" s="62"/>
      <c r="CF29" s="62"/>
      <c r="CG29" s="62"/>
      <c r="CH29" s="62"/>
      <c r="CI29" s="62"/>
      <c r="CJ29" s="62"/>
      <c r="CK29" s="62"/>
      <c r="CL29" s="62"/>
      <c r="CM29" s="62"/>
      <c r="CN29" s="62"/>
      <c r="CO29" s="62"/>
      <c r="CP29" s="62"/>
      <c r="CQ29" s="62"/>
      <c r="CR29" s="62"/>
      <c r="CS29" s="62"/>
      <c r="CT29" s="62"/>
      <c r="CU29" s="62"/>
      <c r="CV29" s="62"/>
      <c r="CW29" s="62"/>
      <c r="CX29" s="62"/>
      <c r="CY29" s="62"/>
      <c r="CZ29" s="62"/>
      <c r="DA29" s="62"/>
      <c r="DB29" s="62"/>
      <c r="DC29" s="62"/>
      <c r="DD29" s="62"/>
      <c r="DE29" s="62"/>
    </row>
    <row r="30" spans="1:109" s="3" customFormat="1">
      <c r="A30" s="62"/>
      <c r="B30" s="62" t="s">
        <v>6369</v>
      </c>
      <c r="C30" s="62" t="s">
        <v>494</v>
      </c>
      <c r="D30" s="62"/>
      <c r="E30" s="62"/>
      <c r="F30" s="47"/>
      <c r="G30" s="47"/>
      <c r="H30" s="47"/>
      <c r="I30" s="48"/>
      <c r="J30" s="47"/>
      <c r="K30" s="57">
        <v>29</v>
      </c>
      <c r="L30" s="55"/>
      <c r="M30" s="47">
        <v>31</v>
      </c>
      <c r="N30" s="47" t="s">
        <v>6370</v>
      </c>
      <c r="O30" s="47" t="s">
        <v>4888</v>
      </c>
      <c r="P30" s="47" t="s">
        <v>6238</v>
      </c>
      <c r="Q30" s="47"/>
      <c r="R30" s="47"/>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row>
    <row r="31" spans="1:109" s="3" customFormat="1">
      <c r="A31" s="62"/>
      <c r="B31" s="62" t="s">
        <v>6371</v>
      </c>
      <c r="C31" s="62" t="s">
        <v>494</v>
      </c>
      <c r="D31" s="62"/>
      <c r="E31" s="62"/>
      <c r="F31" s="47"/>
      <c r="G31" s="47"/>
      <c r="H31" s="47"/>
      <c r="I31" s="48"/>
      <c r="J31" s="47"/>
      <c r="K31" s="57">
        <v>30</v>
      </c>
      <c r="L31" s="55"/>
      <c r="M31" s="47"/>
      <c r="N31" s="47"/>
      <c r="O31" s="47"/>
      <c r="P31" s="47"/>
      <c r="Q31" s="47"/>
      <c r="R31" s="47"/>
      <c r="S31" s="62"/>
      <c r="T31" s="62"/>
      <c r="U31" s="62"/>
      <c r="V31" s="62"/>
      <c r="W31" s="62"/>
      <c r="X31" s="62"/>
      <c r="Y31" s="62"/>
      <c r="Z31" s="62"/>
      <c r="AA31" s="62"/>
      <c r="AB31" s="62"/>
      <c r="AC31" s="62"/>
      <c r="AD31" s="62"/>
      <c r="AE31" s="62"/>
      <c r="AF31" s="62"/>
      <c r="AG31" s="62"/>
      <c r="AH31" s="62"/>
      <c r="AI31" s="62"/>
      <c r="AJ31" s="62"/>
      <c r="AK31" s="62"/>
      <c r="AL31" s="62"/>
      <c r="AM31" s="62"/>
      <c r="AN31" s="62"/>
      <c r="AO31" s="62"/>
      <c r="AP31" s="62"/>
      <c r="AQ31" s="62"/>
      <c r="AR31" s="62"/>
      <c r="AS31" s="62"/>
      <c r="AT31" s="62"/>
      <c r="AU31" s="62"/>
      <c r="AV31" s="62"/>
      <c r="AW31" s="62"/>
      <c r="AX31" s="62"/>
      <c r="AY31" s="62"/>
      <c r="AZ31" s="62"/>
      <c r="BA31" s="62"/>
      <c r="BB31" s="62"/>
      <c r="BC31" s="62"/>
      <c r="BD31" s="62"/>
      <c r="BE31" s="62"/>
      <c r="BF31" s="62"/>
      <c r="BG31" s="62"/>
      <c r="BH31" s="62"/>
      <c r="BI31" s="62"/>
      <c r="BJ31" s="62"/>
      <c r="BK31" s="62"/>
      <c r="BL31" s="62"/>
      <c r="BM31" s="62"/>
      <c r="BN31" s="62"/>
      <c r="BO31" s="62"/>
      <c r="BP31" s="62"/>
      <c r="BQ31" s="62"/>
      <c r="BR31" s="62"/>
      <c r="BS31" s="62"/>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row>
    <row r="32" spans="1:109" s="3" customFormat="1">
      <c r="A32" s="62"/>
      <c r="B32" s="62" t="s">
        <v>6372</v>
      </c>
      <c r="C32" s="62" t="s">
        <v>494</v>
      </c>
      <c r="D32" s="62"/>
      <c r="E32" s="62"/>
      <c r="F32" s="47"/>
      <c r="G32" s="47"/>
      <c r="H32" s="47"/>
      <c r="I32" s="48"/>
      <c r="J32" s="47"/>
      <c r="K32" s="57">
        <v>31</v>
      </c>
      <c r="L32" s="55"/>
      <c r="M32" s="47"/>
      <c r="N32" s="47"/>
      <c r="O32" s="47"/>
      <c r="P32" s="47"/>
      <c r="Q32" s="47"/>
      <c r="R32" s="47"/>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row>
    <row r="33" spans="1:109" s="3" customFormat="1">
      <c r="A33" s="62"/>
      <c r="B33" s="62" t="s">
        <v>6373</v>
      </c>
      <c r="C33" s="62" t="s">
        <v>494</v>
      </c>
      <c r="D33" s="62"/>
      <c r="E33" s="62"/>
      <c r="F33" s="47"/>
      <c r="G33" s="47"/>
      <c r="H33" s="47"/>
      <c r="I33" s="48"/>
      <c r="J33" s="47"/>
      <c r="K33" s="57">
        <v>32</v>
      </c>
      <c r="L33" s="55">
        <v>7</v>
      </c>
      <c r="M33" s="47"/>
      <c r="N33" s="47"/>
      <c r="O33" s="47"/>
      <c r="P33" s="47"/>
      <c r="Q33" s="47"/>
      <c r="R33" s="47"/>
      <c r="S33" s="62"/>
      <c r="T33" s="62"/>
      <c r="U33" s="62"/>
      <c r="V33" s="62"/>
      <c r="W33" s="62"/>
      <c r="X33" s="62"/>
      <c r="Y33" s="62"/>
      <c r="Z33" s="62"/>
      <c r="AA33" s="62"/>
      <c r="AB33" s="62"/>
      <c r="AC33" s="62"/>
      <c r="AD33" s="62"/>
      <c r="AE33" s="62"/>
      <c r="AF33" s="62"/>
      <c r="AG33" s="62"/>
      <c r="AH33" s="62"/>
      <c r="AI33" s="62"/>
      <c r="AJ33" s="62"/>
      <c r="AK33" s="62"/>
      <c r="AL33" s="62"/>
      <c r="AM33" s="62"/>
      <c r="AN33" s="62"/>
      <c r="AO33" s="62"/>
      <c r="AP33" s="62"/>
      <c r="AQ33" s="62"/>
      <c r="AR33" s="62"/>
      <c r="AS33" s="62"/>
      <c r="AT33" s="62"/>
      <c r="AU33" s="62"/>
      <c r="AV33" s="62"/>
      <c r="AW33" s="62"/>
      <c r="AX33" s="62"/>
      <c r="AY33" s="62"/>
      <c r="AZ33" s="62"/>
      <c r="BA33" s="62"/>
      <c r="BB33" s="62"/>
      <c r="BC33" s="62"/>
      <c r="BD33" s="62"/>
      <c r="BE33" s="62"/>
      <c r="BF33" s="62"/>
      <c r="BG33" s="62"/>
      <c r="BH33" s="62"/>
      <c r="BI33" s="62"/>
      <c r="BJ33" s="62"/>
      <c r="BK33" s="62"/>
      <c r="BL33" s="62"/>
      <c r="BM33" s="62"/>
      <c r="BN33" s="62"/>
      <c r="BO33" s="62"/>
      <c r="BP33" s="62"/>
      <c r="BQ33" s="62"/>
      <c r="BR33" s="62"/>
      <c r="BS33" s="62"/>
      <c r="BT33" s="62"/>
      <c r="BU33" s="62"/>
      <c r="BV33" s="62"/>
      <c r="BW33" s="62"/>
      <c r="BX33" s="62"/>
      <c r="BY33" s="62"/>
      <c r="BZ33" s="62"/>
      <c r="CA33" s="62"/>
      <c r="CB33" s="62"/>
      <c r="CC33" s="62"/>
      <c r="CD33" s="62"/>
      <c r="CE33" s="62"/>
      <c r="CF33" s="62"/>
      <c r="CG33" s="62"/>
      <c r="CH33" s="62"/>
      <c r="CI33" s="62"/>
      <c r="CJ33" s="62"/>
      <c r="CK33" s="62"/>
      <c r="CL33" s="62"/>
      <c r="CM33" s="62"/>
      <c r="CN33" s="62"/>
      <c r="CO33" s="62"/>
      <c r="CP33" s="62"/>
      <c r="CQ33" s="62"/>
      <c r="CR33" s="62"/>
      <c r="CS33" s="62"/>
      <c r="CT33" s="62"/>
      <c r="CU33" s="62"/>
      <c r="CV33" s="62"/>
      <c r="CW33" s="62"/>
      <c r="CX33" s="62"/>
      <c r="CY33" s="62"/>
      <c r="CZ33" s="62"/>
      <c r="DA33" s="62"/>
      <c r="DB33" s="62"/>
      <c r="DC33" s="62"/>
      <c r="DD33" s="62"/>
      <c r="DE33" s="62"/>
    </row>
    <row r="34" spans="1:109" s="3" customFormat="1">
      <c r="A34" s="62"/>
      <c r="B34" s="62" t="s">
        <v>6416</v>
      </c>
      <c r="C34" s="62" t="s">
        <v>494</v>
      </c>
      <c r="D34" s="62"/>
      <c r="E34" s="62"/>
      <c r="F34" s="47"/>
      <c r="G34" s="47"/>
      <c r="H34" s="47" t="s">
        <v>6368</v>
      </c>
      <c r="I34" s="48"/>
      <c r="J34" s="47"/>
      <c r="K34" s="57">
        <v>33</v>
      </c>
      <c r="L34" s="55">
        <v>3</v>
      </c>
      <c r="M34" s="47">
        <v>1</v>
      </c>
      <c r="Q34" s="47"/>
      <c r="R34" s="47"/>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row>
    <row r="35" spans="1:109" s="3" customFormat="1">
      <c r="A35" s="62"/>
      <c r="B35" s="62" t="s">
        <v>6374</v>
      </c>
      <c r="C35" s="62" t="s">
        <v>494</v>
      </c>
      <c r="D35" s="62"/>
      <c r="E35" s="62"/>
      <c r="F35" s="47"/>
      <c r="G35" s="47"/>
      <c r="H35" s="47"/>
      <c r="I35" s="48"/>
      <c r="J35" s="47"/>
      <c r="K35" s="57">
        <v>34</v>
      </c>
      <c r="L35" s="55">
        <v>7</v>
      </c>
      <c r="M35" s="47"/>
      <c r="N35" s="47"/>
      <c r="O35" s="47"/>
      <c r="P35" s="47"/>
      <c r="Q35" s="47"/>
      <c r="R35" s="47"/>
      <c r="S35" s="62"/>
      <c r="T35" s="62"/>
      <c r="U35" s="62"/>
      <c r="V35" s="62"/>
      <c r="W35" s="62"/>
      <c r="X35" s="62"/>
      <c r="Y35" s="62"/>
      <c r="Z35" s="62"/>
      <c r="AA35" s="62"/>
      <c r="AB35" s="62"/>
      <c r="AC35" s="62"/>
      <c r="AD35" s="62"/>
      <c r="AE35" s="62"/>
      <c r="AF35" s="62"/>
      <c r="AG35" s="62"/>
      <c r="AH35" s="62"/>
      <c r="AI35" s="62"/>
      <c r="AJ35" s="62"/>
      <c r="AK35" s="62"/>
      <c r="AL35" s="62"/>
      <c r="AM35" s="62"/>
      <c r="AN35" s="62"/>
      <c r="AO35" s="62"/>
      <c r="AP35" s="62"/>
      <c r="AQ35" s="62"/>
      <c r="AR35" s="62"/>
      <c r="AS35" s="62"/>
      <c r="AT35" s="62"/>
      <c r="AU35" s="62"/>
      <c r="AV35" s="62"/>
      <c r="AW35" s="62"/>
      <c r="AX35" s="62"/>
      <c r="AY35" s="62"/>
      <c r="AZ35" s="62"/>
      <c r="BA35" s="62"/>
      <c r="BB35" s="62"/>
      <c r="BC35" s="62"/>
      <c r="BD35" s="62"/>
      <c r="BE35" s="62"/>
      <c r="BF35" s="62"/>
      <c r="BG35" s="62"/>
      <c r="BH35" s="62"/>
      <c r="BI35" s="62"/>
      <c r="BJ35" s="62"/>
      <c r="BK35" s="62"/>
      <c r="BL35" s="62"/>
      <c r="BM35" s="62"/>
      <c r="BN35" s="62"/>
      <c r="BO35" s="62"/>
      <c r="BP35" s="62"/>
      <c r="BQ35" s="62"/>
      <c r="BR35" s="62"/>
      <c r="BS35" s="62"/>
      <c r="BT35" s="62"/>
      <c r="BU35" s="62"/>
      <c r="BV35" s="62"/>
      <c r="BW35" s="62"/>
      <c r="BX35" s="62"/>
      <c r="BY35" s="62"/>
      <c r="BZ35" s="62"/>
      <c r="CA35" s="62"/>
      <c r="CB35" s="62"/>
      <c r="CC35" s="62"/>
      <c r="CD35" s="62"/>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row>
    <row r="36" spans="1:109" s="3" customFormat="1">
      <c r="A36" s="62"/>
      <c r="B36" s="62" t="s">
        <v>6375</v>
      </c>
      <c r="C36" s="62" t="s">
        <v>520</v>
      </c>
      <c r="D36" s="62"/>
      <c r="E36" s="62"/>
      <c r="F36" s="47"/>
      <c r="G36" s="47"/>
      <c r="H36" s="47"/>
      <c r="I36" s="48"/>
      <c r="J36" s="47"/>
      <c r="K36" s="57">
        <v>35</v>
      </c>
      <c r="L36" s="55"/>
      <c r="M36" s="47"/>
      <c r="N36" s="47"/>
      <c r="O36" s="47"/>
      <c r="P36" s="47"/>
      <c r="Q36" s="47"/>
      <c r="R36" s="47"/>
      <c r="S36" s="62"/>
      <c r="T36" s="62"/>
      <c r="U36" s="62"/>
      <c r="V36" s="62"/>
      <c r="W36" s="62"/>
      <c r="X36" s="62"/>
      <c r="Y36" s="62"/>
      <c r="Z36" s="62"/>
      <c r="AA36" s="62"/>
      <c r="AB36" s="62"/>
      <c r="AC36" s="62"/>
      <c r="AD36" s="62"/>
      <c r="AE36" s="62"/>
      <c r="AF36" s="62"/>
      <c r="AG36" s="62"/>
      <c r="AH36" s="62"/>
      <c r="AI36" s="62"/>
      <c r="AJ36" s="62"/>
      <c r="AK36" s="62"/>
      <c r="AL36" s="62"/>
      <c r="AM36" s="62"/>
      <c r="AN36" s="62"/>
      <c r="AO36" s="62"/>
      <c r="AP36" s="62"/>
      <c r="AQ36" s="62"/>
      <c r="AR36" s="62"/>
      <c r="AS36" s="62"/>
      <c r="AT36" s="62"/>
      <c r="AU36" s="62"/>
      <c r="AV36" s="62"/>
      <c r="AW36" s="62"/>
      <c r="AX36" s="62"/>
      <c r="AY36" s="62"/>
      <c r="AZ36" s="62"/>
      <c r="BA36" s="62"/>
      <c r="BB36" s="62"/>
      <c r="BC36" s="62"/>
      <c r="BD36" s="62"/>
      <c r="BE36" s="62"/>
      <c r="BF36" s="62"/>
      <c r="BG36" s="62"/>
      <c r="BH36" s="62"/>
      <c r="BI36" s="62"/>
      <c r="BJ36" s="62"/>
      <c r="BK36" s="62"/>
      <c r="BL36" s="62"/>
      <c r="BM36" s="62"/>
      <c r="BN36" s="62"/>
      <c r="BO36" s="62"/>
      <c r="BP36" s="62"/>
      <c r="BQ36" s="62"/>
      <c r="BR36" s="62"/>
      <c r="BS36" s="62"/>
      <c r="BT36" s="62"/>
      <c r="BU36" s="62"/>
      <c r="BV36" s="62"/>
      <c r="BW36" s="62"/>
      <c r="BX36" s="62"/>
      <c r="BY36" s="62"/>
      <c r="BZ36" s="62"/>
      <c r="CA36" s="62"/>
      <c r="CB36" s="62"/>
      <c r="CC36" s="62"/>
      <c r="CD36" s="62"/>
      <c r="CE36" s="62"/>
      <c r="CF36" s="62"/>
      <c r="CG36" s="62"/>
      <c r="CH36" s="62"/>
      <c r="CI36" s="62"/>
      <c r="CJ36" s="62"/>
      <c r="CK36" s="62"/>
      <c r="CL36" s="62"/>
      <c r="CM36" s="62"/>
      <c r="CN36" s="62"/>
      <c r="CO36" s="62"/>
      <c r="CP36" s="62"/>
      <c r="CQ36" s="62"/>
      <c r="CR36" s="62"/>
      <c r="CS36" s="62"/>
      <c r="CT36" s="62"/>
      <c r="CU36" s="62"/>
      <c r="CV36" s="62"/>
      <c r="CW36" s="62"/>
      <c r="CX36" s="62"/>
      <c r="CY36" s="62"/>
      <c r="CZ36" s="62"/>
      <c r="DA36" s="62"/>
      <c r="DB36" s="62"/>
      <c r="DC36" s="62"/>
      <c r="DD36" s="62"/>
      <c r="DE36" s="62"/>
    </row>
    <row r="37" spans="1:109" s="3" customFormat="1">
      <c r="A37" s="62"/>
      <c r="B37" s="62" t="s">
        <v>6376</v>
      </c>
      <c r="C37" s="62" t="s">
        <v>520</v>
      </c>
      <c r="D37" s="62"/>
      <c r="E37" s="62"/>
      <c r="F37" s="47"/>
      <c r="G37" s="47"/>
      <c r="H37" s="47"/>
      <c r="I37" s="48"/>
      <c r="J37" s="47"/>
      <c r="K37" s="57">
        <v>36</v>
      </c>
      <c r="L37" s="55"/>
      <c r="M37" s="47"/>
      <c r="N37" s="47"/>
      <c r="O37" s="47"/>
      <c r="P37" s="47"/>
      <c r="Q37" s="47"/>
      <c r="R37" s="47"/>
      <c r="S37" s="62"/>
      <c r="T37" s="62"/>
      <c r="U37" s="62"/>
      <c r="V37" s="62"/>
      <c r="W37" s="62"/>
      <c r="X37" s="62"/>
      <c r="Y37" s="62"/>
      <c r="Z37" s="62"/>
      <c r="AA37" s="62"/>
      <c r="AB37" s="62"/>
      <c r="AC37" s="62"/>
      <c r="AD37" s="62"/>
      <c r="AE37" s="62"/>
      <c r="AF37" s="62"/>
      <c r="AG37" s="62"/>
      <c r="AH37" s="62"/>
      <c r="AI37" s="62"/>
      <c r="AJ37" s="62"/>
      <c r="AK37" s="62"/>
      <c r="AL37" s="62"/>
      <c r="AM37" s="62"/>
      <c r="AN37" s="62"/>
      <c r="AO37" s="62"/>
      <c r="AP37" s="62"/>
      <c r="AQ37" s="62"/>
      <c r="AR37" s="62"/>
      <c r="AS37" s="62"/>
      <c r="AT37" s="62"/>
      <c r="AU37" s="62"/>
      <c r="AV37" s="62"/>
      <c r="AW37" s="62"/>
      <c r="AX37" s="62"/>
      <c r="AY37" s="62"/>
      <c r="AZ37" s="62"/>
      <c r="BA37" s="62"/>
      <c r="BB37" s="62"/>
      <c r="BC37" s="62"/>
      <c r="BD37" s="62"/>
      <c r="BE37" s="62"/>
      <c r="BF37" s="62"/>
      <c r="BG37" s="62"/>
      <c r="BH37" s="62"/>
      <c r="BI37" s="62"/>
      <c r="BJ37" s="62"/>
      <c r="BK37" s="62"/>
      <c r="BL37" s="62"/>
      <c r="BM37" s="62"/>
      <c r="BN37" s="62"/>
      <c r="BO37" s="62"/>
      <c r="BP37" s="62"/>
      <c r="BQ37" s="62"/>
      <c r="BR37" s="62"/>
      <c r="BS37" s="62"/>
      <c r="BT37" s="62"/>
      <c r="BU37" s="62"/>
      <c r="BV37" s="62"/>
      <c r="BW37" s="62"/>
      <c r="BX37" s="62"/>
      <c r="BY37" s="62"/>
      <c r="BZ37" s="62"/>
      <c r="CA37" s="62"/>
      <c r="CB37" s="62"/>
      <c r="CC37" s="62"/>
      <c r="CD37" s="62"/>
      <c r="CE37" s="62"/>
      <c r="CF37" s="62"/>
      <c r="CG37" s="62"/>
      <c r="CH37" s="62"/>
      <c r="CI37" s="62"/>
      <c r="CJ37" s="62"/>
      <c r="CK37" s="62"/>
      <c r="CL37" s="62"/>
      <c r="CM37" s="62"/>
      <c r="CN37" s="62"/>
      <c r="CO37" s="62"/>
      <c r="CP37" s="62"/>
      <c r="CQ37" s="62"/>
      <c r="CR37" s="62"/>
      <c r="CS37" s="62"/>
      <c r="CT37" s="62"/>
      <c r="CU37" s="62"/>
      <c r="CV37" s="62"/>
      <c r="CW37" s="62"/>
      <c r="CX37" s="62"/>
      <c r="CY37" s="62"/>
      <c r="CZ37" s="62"/>
      <c r="DA37" s="62"/>
      <c r="DB37" s="62"/>
      <c r="DC37" s="62"/>
      <c r="DD37" s="62"/>
      <c r="DE37" s="62"/>
    </row>
    <row r="38" spans="1:109" s="3" customFormat="1">
      <c r="A38" s="62"/>
      <c r="B38" s="62" t="s">
        <v>6377</v>
      </c>
      <c r="C38" s="62" t="s">
        <v>520</v>
      </c>
      <c r="D38" s="62"/>
      <c r="E38" s="62"/>
      <c r="F38" s="47"/>
      <c r="G38" s="47"/>
      <c r="H38" s="47"/>
      <c r="I38" s="48"/>
      <c r="J38" s="47"/>
      <c r="K38" s="57">
        <v>37</v>
      </c>
      <c r="L38" s="55"/>
      <c r="M38" s="47"/>
      <c r="N38" s="47"/>
      <c r="O38" s="47"/>
      <c r="P38" s="47"/>
      <c r="Q38" s="47"/>
      <c r="R38" s="47"/>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c r="BM38" s="62"/>
      <c r="BN38" s="62"/>
      <c r="BO38" s="62"/>
      <c r="BP38" s="62"/>
      <c r="BQ38" s="62"/>
      <c r="BR38" s="62"/>
      <c r="BS38" s="62"/>
      <c r="BT38" s="62"/>
      <c r="BU38" s="62"/>
      <c r="BV38" s="62"/>
      <c r="BW38" s="62"/>
      <c r="BX38" s="62"/>
      <c r="BY38" s="62"/>
      <c r="BZ38" s="62"/>
      <c r="CA38" s="62"/>
      <c r="CB38" s="62"/>
      <c r="CC38" s="62"/>
      <c r="CD38" s="62"/>
      <c r="CE38" s="62"/>
      <c r="CF38" s="62"/>
      <c r="CG38" s="62"/>
      <c r="CH38" s="62"/>
      <c r="CI38" s="62"/>
      <c r="CJ38" s="62"/>
      <c r="CK38" s="62"/>
      <c r="CL38" s="62"/>
      <c r="CM38" s="62"/>
      <c r="CN38" s="62"/>
      <c r="CO38" s="62"/>
      <c r="CP38" s="62"/>
      <c r="CQ38" s="62"/>
      <c r="CR38" s="62"/>
      <c r="CS38" s="62"/>
      <c r="CT38" s="62"/>
      <c r="CU38" s="62"/>
      <c r="CV38" s="62"/>
      <c r="CW38" s="62"/>
      <c r="CX38" s="62"/>
      <c r="CY38" s="62"/>
      <c r="CZ38" s="62"/>
      <c r="DA38" s="62"/>
      <c r="DB38" s="62"/>
      <c r="DC38" s="62"/>
      <c r="DD38" s="62"/>
      <c r="DE38" s="62"/>
    </row>
    <row r="39" spans="1:109" s="3" customFormat="1">
      <c r="A39" s="62"/>
      <c r="B39" s="62" t="s">
        <v>6419</v>
      </c>
      <c r="C39" s="62" t="s">
        <v>493</v>
      </c>
      <c r="D39" s="62">
        <v>1</v>
      </c>
      <c r="E39" s="62"/>
      <c r="F39" s="47"/>
      <c r="G39" s="47"/>
      <c r="H39" s="47"/>
      <c r="I39" s="48"/>
      <c r="J39" s="47"/>
      <c r="K39" s="57">
        <v>38</v>
      </c>
      <c r="L39" s="55">
        <v>3</v>
      </c>
      <c r="M39" s="47"/>
      <c r="N39" s="47"/>
      <c r="O39" s="47"/>
      <c r="P39" s="47"/>
      <c r="Q39" s="47"/>
      <c r="R39" s="47"/>
      <c r="S39" s="62"/>
      <c r="T39" s="62"/>
      <c r="U39" s="62"/>
      <c r="V39" s="62"/>
      <c r="W39" s="62"/>
      <c r="X39" s="62"/>
      <c r="Y39" s="62"/>
      <c r="Z39" s="62"/>
      <c r="AA39" s="62"/>
      <c r="AB39" s="62"/>
      <c r="AC39" s="62"/>
      <c r="AD39" s="62"/>
      <c r="AE39" s="62"/>
      <c r="AF39" s="62"/>
      <c r="AG39" s="62"/>
      <c r="AH39" s="62"/>
      <c r="AI39" s="62"/>
      <c r="AJ39" s="62"/>
      <c r="AK39" s="62"/>
      <c r="AL39" s="62"/>
      <c r="AM39" s="62"/>
      <c r="AN39" s="62"/>
      <c r="AO39" s="62"/>
      <c r="AP39" s="62"/>
      <c r="AQ39" s="62"/>
      <c r="AR39" s="62"/>
      <c r="AS39" s="62"/>
      <c r="AT39" s="62"/>
      <c r="AU39" s="62"/>
      <c r="AV39" s="62"/>
      <c r="AW39" s="62"/>
      <c r="AX39" s="62"/>
      <c r="AY39" s="62"/>
      <c r="AZ39" s="62"/>
      <c r="BA39" s="62"/>
      <c r="BB39" s="62"/>
      <c r="BC39" s="62"/>
      <c r="BD39" s="62"/>
      <c r="BE39" s="62"/>
      <c r="BF39" s="62"/>
      <c r="BG39" s="62"/>
      <c r="BH39" s="62"/>
      <c r="BI39" s="62"/>
      <c r="BJ39" s="62"/>
      <c r="BK39" s="62"/>
      <c r="BL39" s="62"/>
      <c r="BM39" s="62"/>
      <c r="BN39" s="62"/>
      <c r="BO39" s="62"/>
      <c r="BP39" s="62"/>
      <c r="BQ39" s="62"/>
      <c r="BR39" s="62"/>
      <c r="BS39" s="62"/>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row>
    <row r="40" spans="1:109" s="3" customFormat="1">
      <c r="A40" s="62"/>
      <c r="B40" s="62" t="s">
        <v>6420</v>
      </c>
      <c r="C40" s="62" t="s">
        <v>493</v>
      </c>
      <c r="D40" s="62">
        <v>1</v>
      </c>
      <c r="E40" s="62"/>
      <c r="F40" s="47"/>
      <c r="G40" s="47"/>
      <c r="H40" s="47"/>
      <c r="I40" s="48"/>
      <c r="J40" s="47"/>
      <c r="K40" s="57">
        <v>39</v>
      </c>
      <c r="L40" s="55">
        <v>3</v>
      </c>
      <c r="M40" s="47"/>
      <c r="N40" s="47"/>
      <c r="O40" s="47"/>
      <c r="P40" s="47"/>
      <c r="Q40" s="47"/>
      <c r="R40" s="47"/>
      <c r="S40" s="62"/>
      <c r="T40" s="62"/>
      <c r="U40" s="62"/>
      <c r="V40" s="62"/>
      <c r="W40" s="62"/>
      <c r="X40" s="62"/>
      <c r="Y40" s="62"/>
      <c r="Z40" s="62"/>
      <c r="AA40" s="62"/>
      <c r="AB40" s="62"/>
      <c r="AC40" s="62"/>
      <c r="AD40" s="62"/>
      <c r="AE40" s="62"/>
      <c r="AF40" s="62"/>
      <c r="AG40" s="62"/>
      <c r="AH40" s="62"/>
      <c r="AI40" s="62"/>
      <c r="AJ40" s="62"/>
      <c r="AK40" s="62"/>
      <c r="AL40" s="62"/>
      <c r="AM40" s="62"/>
      <c r="AN40" s="62"/>
      <c r="AO40" s="62"/>
      <c r="AP40" s="62"/>
      <c r="AQ40" s="62"/>
      <c r="AR40" s="62"/>
      <c r="AS40" s="62"/>
      <c r="AT40" s="62"/>
      <c r="AU40" s="62"/>
      <c r="AV40" s="62"/>
      <c r="AW40" s="62"/>
      <c r="AX40" s="62"/>
      <c r="AY40" s="62"/>
      <c r="AZ40" s="62"/>
      <c r="BA40" s="62"/>
      <c r="BB40" s="62"/>
      <c r="BC40" s="62"/>
      <c r="BD40" s="62"/>
      <c r="BE40" s="62"/>
      <c r="BF40" s="62"/>
      <c r="BG40" s="62"/>
      <c r="BH40" s="62"/>
      <c r="BI40" s="62"/>
      <c r="BJ40" s="62"/>
      <c r="BK40" s="62"/>
      <c r="BL40" s="62"/>
      <c r="BM40" s="62"/>
      <c r="BN40" s="62"/>
      <c r="BO40" s="62"/>
      <c r="BP40" s="62"/>
      <c r="BQ40" s="62"/>
      <c r="BR40" s="62"/>
      <c r="BS40" s="62"/>
      <c r="BT40" s="62"/>
      <c r="BU40" s="62"/>
      <c r="BV40" s="62"/>
      <c r="BW40" s="62"/>
      <c r="BX40" s="62"/>
      <c r="BY40" s="62"/>
      <c r="BZ40" s="62"/>
      <c r="CA40" s="62"/>
      <c r="CB40" s="62"/>
      <c r="CC40" s="62"/>
      <c r="CD40" s="62"/>
      <c r="CE40" s="62"/>
      <c r="CF40" s="62"/>
      <c r="CG40" s="62"/>
      <c r="CH40" s="62"/>
      <c r="CI40" s="62"/>
      <c r="CJ40" s="62"/>
      <c r="CK40" s="62"/>
      <c r="CL40" s="62"/>
      <c r="CM40" s="62"/>
      <c r="CN40" s="62"/>
      <c r="CO40" s="62"/>
      <c r="CP40" s="62"/>
      <c r="CQ40" s="62"/>
      <c r="CR40" s="62"/>
      <c r="CS40" s="62"/>
      <c r="CT40" s="62"/>
      <c r="CU40" s="62"/>
      <c r="CV40" s="62"/>
      <c r="CW40" s="62"/>
      <c r="CX40" s="62"/>
      <c r="CY40" s="62"/>
      <c r="CZ40" s="62"/>
      <c r="DA40" s="62"/>
      <c r="DB40" s="62"/>
      <c r="DC40" s="62"/>
      <c r="DD40" s="62"/>
      <c r="DE40" s="62"/>
    </row>
    <row r="41" spans="1:109" s="3" customFormat="1">
      <c r="A41" s="62"/>
      <c r="B41" s="62" t="s">
        <v>6421</v>
      </c>
      <c r="C41" s="62" t="s">
        <v>493</v>
      </c>
      <c r="D41" s="62">
        <v>1</v>
      </c>
      <c r="E41" s="62"/>
      <c r="F41" s="47"/>
      <c r="G41" s="47"/>
      <c r="H41" s="47"/>
      <c r="I41" s="48"/>
      <c r="J41" s="47"/>
      <c r="K41" s="57">
        <v>40</v>
      </c>
      <c r="L41" s="55">
        <v>3</v>
      </c>
      <c r="M41" s="47"/>
      <c r="N41" s="47"/>
      <c r="O41" s="47"/>
      <c r="P41" s="47"/>
      <c r="Q41" s="47"/>
      <c r="R41" s="47"/>
      <c r="S41" s="62"/>
      <c r="T41" s="62"/>
      <c r="U41" s="62"/>
      <c r="V41" s="62"/>
      <c r="W41" s="62"/>
      <c r="X41" s="62"/>
      <c r="Y41" s="62"/>
      <c r="Z41" s="62"/>
      <c r="AA41" s="62"/>
      <c r="AB41" s="62"/>
      <c r="AC41" s="62"/>
      <c r="AD41" s="62"/>
      <c r="AE41" s="62"/>
      <c r="AF41" s="62"/>
      <c r="AG41" s="62"/>
      <c r="AH41" s="62"/>
      <c r="AI41" s="62"/>
      <c r="AJ41" s="62"/>
      <c r="AK41" s="62"/>
      <c r="AL41" s="62"/>
      <c r="AM41" s="62"/>
      <c r="AN41" s="62"/>
      <c r="AO41" s="62"/>
      <c r="AP41" s="62"/>
      <c r="AQ41" s="62"/>
      <c r="AR41" s="62"/>
      <c r="AS41" s="62"/>
      <c r="AT41" s="62"/>
      <c r="AU41" s="62"/>
      <c r="AV41" s="62"/>
      <c r="AW41" s="62"/>
      <c r="AX41" s="62"/>
      <c r="AY41" s="62"/>
      <c r="AZ41" s="62"/>
      <c r="BA41" s="62"/>
      <c r="BB41" s="62"/>
      <c r="BC41" s="62"/>
      <c r="BD41" s="62"/>
      <c r="BE41" s="62"/>
      <c r="BF41" s="62"/>
      <c r="BG41" s="62"/>
      <c r="BH41" s="62"/>
      <c r="BI41" s="62"/>
      <c r="BJ41" s="62"/>
      <c r="BK41" s="62"/>
      <c r="BL41" s="62"/>
      <c r="BM41" s="62"/>
      <c r="BN41" s="62"/>
      <c r="BO41" s="62"/>
      <c r="BP41" s="62"/>
      <c r="BQ41" s="62"/>
      <c r="BR41" s="62"/>
      <c r="BS41" s="62"/>
      <c r="BT41" s="62"/>
      <c r="BU41" s="62"/>
      <c r="BV41" s="62"/>
      <c r="BW41" s="62"/>
      <c r="BX41" s="62"/>
      <c r="BY41" s="62"/>
      <c r="BZ41" s="62"/>
      <c r="CA41" s="62"/>
      <c r="CB41" s="62"/>
      <c r="CC41" s="62"/>
      <c r="CD41" s="62"/>
      <c r="CE41" s="62"/>
      <c r="CF41" s="62"/>
      <c r="CG41" s="62"/>
      <c r="CH41" s="62"/>
      <c r="CI41" s="62"/>
      <c r="CJ41" s="62"/>
      <c r="CK41" s="62"/>
      <c r="CL41" s="62"/>
      <c r="CM41" s="62"/>
      <c r="CN41" s="62"/>
      <c r="CO41" s="62"/>
      <c r="CP41" s="62"/>
      <c r="CQ41" s="62"/>
      <c r="CR41" s="62"/>
      <c r="CS41" s="62"/>
      <c r="CT41" s="62"/>
      <c r="CU41" s="62"/>
      <c r="CV41" s="62"/>
      <c r="CW41" s="62"/>
      <c r="CX41" s="62"/>
      <c r="CY41" s="62"/>
      <c r="CZ41" s="62"/>
      <c r="DA41" s="62"/>
      <c r="DB41" s="62"/>
      <c r="DC41" s="62"/>
      <c r="DD41" s="62"/>
      <c r="DE41" s="62"/>
    </row>
    <row r="42" spans="1:109" s="3" customFormat="1">
      <c r="A42" s="62"/>
      <c r="B42" s="62" t="s">
        <v>6378</v>
      </c>
      <c r="C42" s="62" t="s">
        <v>493</v>
      </c>
      <c r="D42" s="62">
        <v>1</v>
      </c>
      <c r="E42" s="62"/>
      <c r="F42" s="47"/>
      <c r="G42" s="47"/>
      <c r="H42" s="47" t="s">
        <v>6379</v>
      </c>
      <c r="I42" s="48"/>
      <c r="J42" s="47"/>
      <c r="K42" s="57">
        <v>41</v>
      </c>
      <c r="L42" s="55">
        <v>3</v>
      </c>
      <c r="M42" s="47"/>
      <c r="N42" s="47"/>
      <c r="O42" s="47"/>
      <c r="P42" s="47"/>
      <c r="Q42" s="47"/>
      <c r="R42" s="47"/>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row>
    <row r="43" spans="1:109" s="3" customFormat="1">
      <c r="A43" s="62"/>
      <c r="B43" s="62" t="s">
        <v>6430</v>
      </c>
      <c r="C43" s="62" t="s">
        <v>520</v>
      </c>
      <c r="D43" s="62"/>
      <c r="E43" s="62"/>
      <c r="F43" s="47"/>
      <c r="G43" s="47"/>
      <c r="H43" s="47"/>
      <c r="I43" s="48"/>
      <c r="J43" s="47"/>
      <c r="K43" s="57">
        <v>42</v>
      </c>
      <c r="L43" s="55"/>
      <c r="M43" s="47"/>
      <c r="N43" s="47"/>
      <c r="O43" s="47"/>
      <c r="P43" s="47"/>
      <c r="Q43" s="47"/>
      <c r="R43" s="47"/>
      <c r="S43" s="62"/>
      <c r="T43" s="62"/>
      <c r="U43" s="62"/>
      <c r="V43" s="62"/>
      <c r="W43" s="62"/>
      <c r="X43" s="62"/>
      <c r="Y43" s="62"/>
      <c r="Z43" s="62"/>
      <c r="AA43" s="62"/>
      <c r="AB43" s="62"/>
      <c r="AC43" s="62"/>
      <c r="AD43" s="62"/>
      <c r="AE43" s="62"/>
      <c r="AF43" s="62"/>
      <c r="AG43" s="62"/>
      <c r="AH43" s="62"/>
      <c r="AI43" s="62"/>
      <c r="AJ43" s="62"/>
      <c r="AK43" s="62"/>
      <c r="AL43" s="62"/>
      <c r="AM43" s="62"/>
      <c r="AN43" s="62"/>
      <c r="AO43" s="62"/>
      <c r="AP43" s="62"/>
      <c r="AQ43" s="62"/>
      <c r="AR43" s="62"/>
      <c r="AS43" s="62"/>
      <c r="AT43" s="62"/>
      <c r="AU43" s="62"/>
      <c r="AV43" s="62"/>
      <c r="AW43" s="62"/>
      <c r="AX43" s="62"/>
      <c r="AY43" s="62"/>
      <c r="AZ43" s="62"/>
      <c r="BA43" s="62"/>
      <c r="BB43" s="62"/>
      <c r="BC43" s="62"/>
      <c r="BD43" s="62"/>
      <c r="BE43" s="62"/>
      <c r="BF43" s="62"/>
      <c r="BG43" s="62"/>
      <c r="BH43" s="62"/>
      <c r="BI43" s="62"/>
      <c r="BJ43" s="62"/>
      <c r="BK43" s="62"/>
      <c r="BL43" s="62"/>
      <c r="BM43" s="62"/>
      <c r="BN43" s="62"/>
      <c r="BO43" s="62"/>
      <c r="BP43" s="62"/>
      <c r="BQ43" s="62"/>
      <c r="BR43" s="62"/>
      <c r="BS43" s="62"/>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row>
    <row r="44" spans="1:109" s="3" customFormat="1">
      <c r="A44" s="62"/>
      <c r="B44" s="62" t="s">
        <v>6380</v>
      </c>
      <c r="C44" s="62" t="s">
        <v>494</v>
      </c>
      <c r="D44" s="62"/>
      <c r="E44" s="62"/>
      <c r="F44" s="47"/>
      <c r="G44" s="47"/>
      <c r="H44" s="47"/>
      <c r="I44" s="48"/>
      <c r="J44" s="47"/>
      <c r="K44" s="57">
        <v>43</v>
      </c>
      <c r="L44" s="55">
        <v>8</v>
      </c>
      <c r="M44" s="47"/>
      <c r="N44" s="47"/>
      <c r="O44" s="47"/>
      <c r="P44" s="47"/>
      <c r="Q44" s="47"/>
      <c r="R44" s="47"/>
      <c r="S44" s="62"/>
      <c r="T44" s="62"/>
      <c r="U44" s="62"/>
      <c r="V44" s="62"/>
      <c r="W44" s="62"/>
      <c r="X44" s="62"/>
      <c r="Y44" s="62"/>
      <c r="Z44" s="62"/>
      <c r="AA44" s="62"/>
      <c r="AB44" s="62"/>
      <c r="AC44" s="62"/>
      <c r="AD44" s="62"/>
      <c r="AE44" s="62"/>
      <c r="AF44" s="62"/>
      <c r="AG44" s="62"/>
      <c r="AH44" s="62"/>
      <c r="AI44" s="62"/>
      <c r="AJ44" s="62"/>
      <c r="AK44" s="62"/>
      <c r="AL44" s="62"/>
      <c r="AM44" s="62"/>
      <c r="AN44" s="62"/>
      <c r="AO44" s="62"/>
      <c r="AP44" s="62"/>
      <c r="AQ44" s="62"/>
      <c r="AR44" s="62"/>
      <c r="AS44" s="62"/>
      <c r="AT44" s="62"/>
      <c r="AU44" s="62"/>
      <c r="AV44" s="62"/>
      <c r="AW44" s="62"/>
      <c r="AX44" s="62"/>
      <c r="AY44" s="62"/>
      <c r="AZ44" s="62"/>
      <c r="BA44" s="62"/>
      <c r="BB44" s="62"/>
      <c r="BC44" s="62"/>
      <c r="BD44" s="62"/>
      <c r="BE44" s="62"/>
      <c r="BF44" s="62"/>
      <c r="BG44" s="62"/>
      <c r="BH44" s="62"/>
      <c r="BI44" s="62"/>
      <c r="BJ44" s="62"/>
      <c r="BK44" s="62"/>
      <c r="BL44" s="62"/>
      <c r="BM44" s="62"/>
      <c r="BN44" s="62"/>
      <c r="BO44" s="62"/>
      <c r="BP44" s="62"/>
      <c r="BQ44" s="62"/>
      <c r="BR44" s="62"/>
      <c r="BS44" s="62"/>
      <c r="BT44" s="62"/>
      <c r="BU44" s="62"/>
      <c r="BV44" s="62"/>
      <c r="BW44" s="62"/>
      <c r="BX44" s="62"/>
      <c r="BY44" s="62"/>
      <c r="BZ44" s="62"/>
      <c r="CA44" s="62"/>
      <c r="CB44" s="62"/>
      <c r="CC44" s="62"/>
      <c r="CD44" s="62"/>
      <c r="CE44" s="62"/>
      <c r="CF44" s="62"/>
      <c r="CG44" s="62"/>
      <c r="CH44" s="62"/>
      <c r="CI44" s="62"/>
      <c r="CJ44" s="62"/>
      <c r="CK44" s="62"/>
      <c r="CL44" s="62"/>
      <c r="CM44" s="62"/>
      <c r="CN44" s="62"/>
      <c r="CO44" s="62"/>
      <c r="CP44" s="62"/>
      <c r="CQ44" s="62"/>
      <c r="CR44" s="62"/>
      <c r="CS44" s="62"/>
      <c r="CT44" s="62"/>
      <c r="CU44" s="62"/>
      <c r="CV44" s="62"/>
      <c r="CW44" s="62"/>
      <c r="CX44" s="62"/>
      <c r="CY44" s="62"/>
      <c r="CZ44" s="62"/>
      <c r="DA44" s="62"/>
      <c r="DB44" s="62"/>
      <c r="DC44" s="62"/>
      <c r="DD44" s="62"/>
      <c r="DE44" s="62"/>
    </row>
    <row r="45" spans="1:109" s="3" customFormat="1">
      <c r="A45" s="62"/>
      <c r="B45" s="62" t="s">
        <v>6428</v>
      </c>
      <c r="C45" s="62" t="s">
        <v>494</v>
      </c>
      <c r="D45" s="62"/>
      <c r="E45" s="62"/>
      <c r="F45" s="47"/>
      <c r="G45" s="47"/>
      <c r="H45" s="47" t="s">
        <v>6418</v>
      </c>
      <c r="I45" s="48"/>
      <c r="J45" s="47"/>
      <c r="K45" s="57">
        <v>44</v>
      </c>
      <c r="L45" s="55">
        <v>3</v>
      </c>
      <c r="M45" s="47"/>
      <c r="N45" s="64" t="s">
        <v>4843</v>
      </c>
      <c r="O45" s="64" t="s">
        <v>4845</v>
      </c>
      <c r="P45" s="47" t="s">
        <v>6402</v>
      </c>
      <c r="Q45" s="47"/>
      <c r="R45" s="47"/>
      <c r="S45" s="62"/>
      <c r="T45" s="62"/>
      <c r="U45" s="62"/>
      <c r="V45" s="62"/>
      <c r="W45" s="62"/>
      <c r="X45" s="62"/>
      <c r="Y45" s="62"/>
      <c r="Z45" s="62"/>
      <c r="AA45" s="62"/>
      <c r="AB45" s="62"/>
      <c r="AC45" s="62"/>
      <c r="AD45" s="62"/>
      <c r="AE45" s="62"/>
      <c r="AF45" s="62"/>
      <c r="AG45" s="62"/>
      <c r="AH45" s="62"/>
      <c r="AI45" s="62"/>
      <c r="AJ45" s="62"/>
      <c r="AK45" s="62"/>
      <c r="AL45" s="62"/>
      <c r="AM45" s="62"/>
      <c r="AN45" s="62"/>
      <c r="AO45" s="62"/>
      <c r="AP45" s="62"/>
      <c r="AQ45" s="62"/>
      <c r="AR45" s="62"/>
      <c r="AS45" s="62"/>
      <c r="AT45" s="62"/>
      <c r="AU45" s="62"/>
      <c r="AV45" s="62"/>
      <c r="AW45" s="62"/>
      <c r="AX45" s="62"/>
      <c r="AY45" s="62"/>
      <c r="AZ45" s="62"/>
      <c r="BA45" s="62"/>
      <c r="BB45" s="62"/>
      <c r="BC45" s="62"/>
      <c r="BD45" s="62"/>
      <c r="BE45" s="62"/>
      <c r="BF45" s="62"/>
      <c r="BG45" s="62"/>
      <c r="BH45" s="62"/>
      <c r="BI45" s="62"/>
      <c r="BJ45" s="62"/>
      <c r="BK45" s="62"/>
      <c r="BL45" s="62"/>
      <c r="BM45" s="62"/>
      <c r="BN45" s="62"/>
      <c r="BO45" s="62"/>
      <c r="BP45" s="62"/>
      <c r="BQ45" s="62"/>
      <c r="BR45" s="62"/>
      <c r="BS45" s="62"/>
      <c r="BT45" s="62"/>
      <c r="BU45" s="62"/>
      <c r="BV45" s="62"/>
      <c r="BW45" s="62"/>
      <c r="BX45" s="62"/>
      <c r="BY45" s="62"/>
      <c r="BZ45" s="62"/>
      <c r="CA45" s="62"/>
      <c r="CB45" s="62"/>
      <c r="CC45" s="62"/>
      <c r="CD45" s="62"/>
      <c r="CE45" s="62"/>
      <c r="CF45" s="62"/>
      <c r="CG45" s="62"/>
      <c r="CH45" s="62"/>
      <c r="CI45" s="62"/>
      <c r="CJ45" s="62"/>
      <c r="CK45" s="62"/>
      <c r="CL45" s="62"/>
      <c r="CM45" s="62"/>
      <c r="CN45" s="62"/>
      <c r="CO45" s="62"/>
      <c r="CP45" s="62"/>
      <c r="CQ45" s="62"/>
      <c r="CR45" s="62"/>
      <c r="CS45" s="62"/>
      <c r="CT45" s="62"/>
      <c r="CU45" s="62"/>
      <c r="CV45" s="62"/>
      <c r="CW45" s="62"/>
      <c r="CX45" s="62"/>
      <c r="CY45" s="62"/>
      <c r="CZ45" s="62"/>
      <c r="DA45" s="62"/>
      <c r="DB45" s="62"/>
      <c r="DC45" s="62"/>
      <c r="DD45" s="62"/>
      <c r="DE45" s="62"/>
    </row>
    <row r="46" spans="1:109" s="3" customFormat="1">
      <c r="A46" s="62"/>
      <c r="B46" s="62" t="s">
        <v>6422</v>
      </c>
      <c r="C46" s="62" t="s">
        <v>493</v>
      </c>
      <c r="D46" s="62">
        <v>1</v>
      </c>
      <c r="E46" s="62"/>
      <c r="F46" s="47"/>
      <c r="G46" s="47"/>
      <c r="H46" s="47" t="s">
        <v>4903</v>
      </c>
      <c r="I46" s="48"/>
      <c r="J46" s="47"/>
      <c r="K46" s="57">
        <v>45</v>
      </c>
      <c r="L46" s="55">
        <v>3</v>
      </c>
      <c r="M46" s="47"/>
      <c r="N46" s="47"/>
      <c r="O46" s="47"/>
      <c r="P46" s="47"/>
      <c r="Q46" s="47"/>
      <c r="R46" s="47"/>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row>
    <row r="47" spans="1:109" s="3" customFormat="1">
      <c r="A47" s="62"/>
      <c r="B47" s="62" t="s">
        <v>6381</v>
      </c>
      <c r="C47" s="62" t="s">
        <v>493</v>
      </c>
      <c r="D47" s="62">
        <v>200</v>
      </c>
      <c r="E47" s="62"/>
      <c r="F47" s="47"/>
      <c r="G47" s="47"/>
      <c r="H47" s="47"/>
      <c r="I47" s="48"/>
      <c r="J47" s="47"/>
      <c r="K47" s="57">
        <v>46</v>
      </c>
      <c r="L47" s="55"/>
      <c r="M47" s="47"/>
      <c r="N47" s="47"/>
      <c r="O47" s="47"/>
      <c r="P47" s="47"/>
      <c r="Q47" s="47"/>
      <c r="R47" s="47"/>
      <c r="S47" s="62"/>
      <c r="T47" s="62"/>
      <c r="U47" s="62"/>
      <c r="V47" s="62"/>
      <c r="W47" s="62"/>
      <c r="X47" s="62"/>
      <c r="Y47" s="62"/>
      <c r="Z47" s="62"/>
      <c r="AA47" s="62"/>
      <c r="AB47" s="62"/>
      <c r="AC47" s="62"/>
      <c r="AD47" s="62"/>
      <c r="AE47" s="62"/>
      <c r="AF47" s="62"/>
      <c r="AG47" s="62"/>
      <c r="AH47" s="62"/>
      <c r="AI47" s="62"/>
      <c r="AJ47" s="62"/>
      <c r="AK47" s="62"/>
      <c r="AL47" s="62"/>
      <c r="AM47" s="62"/>
      <c r="AN47" s="62"/>
      <c r="AO47" s="62"/>
      <c r="AP47" s="62"/>
      <c r="AQ47" s="62"/>
      <c r="AR47" s="62"/>
      <c r="AS47" s="62"/>
      <c r="AT47" s="62"/>
      <c r="AU47" s="62"/>
      <c r="AV47" s="62"/>
      <c r="AW47" s="62"/>
      <c r="AX47" s="62"/>
      <c r="AY47" s="62"/>
      <c r="AZ47" s="62"/>
      <c r="BA47" s="62"/>
      <c r="BB47" s="62"/>
      <c r="BC47" s="62"/>
      <c r="BD47" s="62"/>
      <c r="BE47" s="62"/>
      <c r="BF47" s="62"/>
      <c r="BG47" s="62"/>
      <c r="BH47" s="62"/>
      <c r="BI47" s="62"/>
      <c r="BJ47" s="62"/>
      <c r="BK47" s="62"/>
      <c r="BL47" s="62"/>
      <c r="BM47" s="62"/>
      <c r="BN47" s="62"/>
      <c r="BO47" s="62"/>
      <c r="BP47" s="62"/>
      <c r="BQ47" s="62"/>
      <c r="BR47" s="62"/>
      <c r="BS47" s="62"/>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row>
    <row r="48" spans="1:109" s="3" customFormat="1">
      <c r="A48" s="62"/>
      <c r="B48" s="62" t="s">
        <v>6382</v>
      </c>
      <c r="C48" s="62" t="s">
        <v>520</v>
      </c>
      <c r="D48" s="62"/>
      <c r="E48" s="62"/>
      <c r="F48" s="47"/>
      <c r="G48" s="47"/>
      <c r="H48" s="47"/>
      <c r="I48" s="48"/>
      <c r="J48" s="47"/>
      <c r="K48" s="57">
        <v>47</v>
      </c>
      <c r="L48" s="55"/>
      <c r="M48" s="47"/>
      <c r="N48" s="47"/>
      <c r="O48" s="47"/>
      <c r="P48" s="47"/>
      <c r="Q48" s="47"/>
      <c r="R48" s="47"/>
      <c r="S48" s="62"/>
      <c r="T48" s="62"/>
      <c r="U48" s="62"/>
      <c r="V48" s="62"/>
      <c r="W48" s="62"/>
      <c r="X48" s="62"/>
      <c r="Y48" s="62"/>
      <c r="Z48" s="62"/>
      <c r="AA48" s="62"/>
      <c r="AB48" s="62"/>
      <c r="AC48" s="62"/>
      <c r="AD48" s="62"/>
      <c r="AE48" s="62"/>
      <c r="AF48" s="62"/>
      <c r="AG48" s="62"/>
      <c r="AH48" s="62"/>
      <c r="AI48" s="62"/>
      <c r="AJ48" s="62"/>
      <c r="AK48" s="62"/>
      <c r="AL48" s="62"/>
      <c r="AM48" s="62"/>
      <c r="AN48" s="62"/>
      <c r="AO48" s="62"/>
      <c r="AP48" s="62"/>
      <c r="AQ48" s="62"/>
      <c r="AR48" s="62"/>
      <c r="AS48" s="62"/>
      <c r="AT48" s="62"/>
      <c r="AU48" s="62"/>
      <c r="AV48" s="62"/>
      <c r="AW48" s="62"/>
      <c r="AX48" s="62"/>
      <c r="AY48" s="62"/>
      <c r="AZ48" s="62"/>
      <c r="BA48" s="62"/>
      <c r="BB48" s="62"/>
      <c r="BC48" s="62"/>
      <c r="BD48" s="62"/>
      <c r="BE48" s="62"/>
      <c r="BF48" s="62"/>
      <c r="BG48" s="62"/>
      <c r="BH48" s="62"/>
      <c r="BI48" s="62"/>
      <c r="BJ48" s="62"/>
      <c r="BK48" s="62"/>
      <c r="BL48" s="62"/>
      <c r="BM48" s="62"/>
      <c r="BN48" s="62"/>
      <c r="BO48" s="62"/>
      <c r="BP48" s="62"/>
      <c r="BQ48" s="62"/>
      <c r="BR48" s="62"/>
      <c r="BS48" s="62"/>
      <c r="BT48" s="62"/>
      <c r="BU48" s="62"/>
      <c r="BV48" s="62"/>
      <c r="BW48" s="62"/>
      <c r="BX48" s="62"/>
      <c r="BY48" s="62"/>
      <c r="BZ48" s="62"/>
      <c r="CA48" s="62"/>
      <c r="CB48" s="62"/>
      <c r="CC48" s="62"/>
      <c r="CD48" s="62"/>
      <c r="CE48" s="62"/>
      <c r="CF48" s="62"/>
      <c r="CG48" s="62"/>
      <c r="CH48" s="62"/>
      <c r="CI48" s="62"/>
      <c r="CJ48" s="62"/>
      <c r="CK48" s="62"/>
      <c r="CL48" s="62"/>
      <c r="CM48" s="62"/>
      <c r="CN48" s="62"/>
      <c r="CO48" s="62"/>
      <c r="CP48" s="62"/>
      <c r="CQ48" s="62"/>
      <c r="CR48" s="62"/>
      <c r="CS48" s="62"/>
      <c r="CT48" s="62"/>
      <c r="CU48" s="62"/>
      <c r="CV48" s="62"/>
      <c r="CW48" s="62"/>
      <c r="CX48" s="62"/>
      <c r="CY48" s="62"/>
      <c r="CZ48" s="62"/>
      <c r="DA48" s="62"/>
      <c r="DB48" s="62"/>
      <c r="DC48" s="62"/>
      <c r="DD48" s="62"/>
      <c r="DE48" s="62"/>
    </row>
    <row r="49" spans="1:109" s="3" customFormat="1">
      <c r="A49" s="62"/>
      <c r="B49" s="62" t="s">
        <v>6383</v>
      </c>
      <c r="C49" s="62" t="s">
        <v>520</v>
      </c>
      <c r="D49" s="62"/>
      <c r="E49" s="62"/>
      <c r="F49" s="47"/>
      <c r="G49" s="47"/>
      <c r="H49" s="47" t="s">
        <v>4900</v>
      </c>
      <c r="I49" s="48"/>
      <c r="J49" s="47"/>
      <c r="K49" s="57">
        <v>48</v>
      </c>
      <c r="L49" s="55"/>
      <c r="M49" s="47"/>
      <c r="N49" s="47"/>
      <c r="O49" s="47"/>
      <c r="P49" s="47"/>
      <c r="Q49" s="47"/>
      <c r="R49" s="47"/>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c r="AR49" s="62"/>
      <c r="AS49" s="62"/>
      <c r="AT49" s="62"/>
      <c r="AU49" s="62"/>
      <c r="AV49" s="62"/>
      <c r="AW49" s="62"/>
      <c r="AX49" s="62"/>
      <c r="AY49" s="62"/>
      <c r="AZ49" s="62"/>
      <c r="BA49" s="62"/>
      <c r="BB49" s="62"/>
      <c r="BC49" s="62"/>
      <c r="BD49" s="62"/>
      <c r="BE49" s="62"/>
      <c r="BF49" s="62"/>
      <c r="BG49" s="62"/>
      <c r="BH49" s="62"/>
      <c r="BI49" s="62"/>
      <c r="BJ49" s="62"/>
      <c r="BK49" s="62"/>
      <c r="BL49" s="62"/>
      <c r="BM49" s="62"/>
      <c r="BN49" s="62"/>
      <c r="BO49" s="62"/>
      <c r="BP49" s="62"/>
      <c r="BQ49" s="62"/>
      <c r="BR49" s="62"/>
      <c r="BS49" s="62"/>
      <c r="BT49" s="62"/>
      <c r="BU49" s="62"/>
      <c r="BV49" s="62"/>
      <c r="BW49" s="62"/>
      <c r="BX49" s="62"/>
      <c r="BY49" s="62"/>
      <c r="BZ49" s="62"/>
      <c r="CA49" s="62"/>
      <c r="CB49" s="62"/>
      <c r="CC49" s="62"/>
      <c r="CD49" s="62"/>
      <c r="CE49" s="62"/>
      <c r="CF49" s="62"/>
      <c r="CG49" s="62"/>
      <c r="CH49" s="62"/>
      <c r="CI49" s="62"/>
      <c r="CJ49" s="62"/>
      <c r="CK49" s="62"/>
      <c r="CL49" s="62"/>
      <c r="CM49" s="62"/>
      <c r="CN49" s="62"/>
      <c r="CO49" s="62"/>
      <c r="CP49" s="62"/>
      <c r="CQ49" s="62"/>
      <c r="CR49" s="62"/>
      <c r="CS49" s="62"/>
      <c r="CT49" s="62"/>
      <c r="CU49" s="62"/>
      <c r="CV49" s="62"/>
      <c r="CW49" s="62"/>
      <c r="CX49" s="62"/>
      <c r="CY49" s="62"/>
      <c r="CZ49" s="62"/>
      <c r="DA49" s="62"/>
      <c r="DB49" s="62"/>
      <c r="DC49" s="62"/>
      <c r="DD49" s="62"/>
      <c r="DE49" s="62"/>
    </row>
    <row r="50" spans="1:109" s="3" customFormat="1">
      <c r="A50" s="62"/>
      <c r="B50" s="62"/>
      <c r="C50" s="62"/>
      <c r="D50" s="62"/>
      <c r="E50" s="62"/>
      <c r="F50" s="47"/>
      <c r="G50" s="47"/>
      <c r="H50" s="47"/>
      <c r="I50" s="48"/>
      <c r="J50" s="47"/>
      <c r="K50" s="57"/>
      <c r="L50" s="55"/>
      <c r="M50" s="47"/>
      <c r="N50" s="47"/>
      <c r="O50" s="47"/>
      <c r="P50" s="47"/>
      <c r="Q50" s="47"/>
      <c r="R50" s="47"/>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row>
    <row r="51" spans="1:109" s="3" customFormat="1">
      <c r="A51" s="120" t="s">
        <v>4843</v>
      </c>
      <c r="B51" s="120" t="s">
        <v>6214</v>
      </c>
      <c r="C51" s="62" t="s">
        <v>494</v>
      </c>
      <c r="D51" s="62"/>
      <c r="E51" s="62" t="s">
        <v>476</v>
      </c>
      <c r="F51" s="47">
        <v>2</v>
      </c>
      <c r="G51" s="47">
        <v>251</v>
      </c>
      <c r="H51" s="47" t="s">
        <v>4847</v>
      </c>
      <c r="I51" s="48" t="s">
        <v>4846</v>
      </c>
      <c r="J51" s="47">
        <v>1512</v>
      </c>
      <c r="K51" s="57">
        <v>1</v>
      </c>
      <c r="L51" s="55">
        <v>3</v>
      </c>
      <c r="M51" s="47"/>
      <c r="N51" s="47" t="s">
        <v>161</v>
      </c>
      <c r="O51" s="47" t="s">
        <v>170</v>
      </c>
      <c r="P51" s="47" t="s">
        <v>172</v>
      </c>
      <c r="Q51" s="47"/>
      <c r="R51" s="47"/>
      <c r="S51" s="62"/>
      <c r="T51" s="62"/>
      <c r="U51" s="62"/>
      <c r="V51" s="62"/>
      <c r="W51" s="62"/>
      <c r="X51" s="62"/>
      <c r="Y51" s="62"/>
      <c r="Z51" s="62"/>
      <c r="AA51" s="62"/>
      <c r="AB51" s="62"/>
      <c r="AC51" s="62"/>
      <c r="AD51" s="62"/>
      <c r="AE51" s="62"/>
      <c r="AF51" s="62"/>
      <c r="AG51" s="62"/>
      <c r="AH51" s="62"/>
      <c r="AI51" s="62"/>
      <c r="AJ51" s="62"/>
      <c r="AK51" s="62"/>
      <c r="AL51" s="62"/>
      <c r="AM51" s="62"/>
      <c r="AN51" s="62"/>
      <c r="AO51" s="62"/>
      <c r="AP51" s="62"/>
      <c r="AQ51" s="62"/>
      <c r="AR51" s="62"/>
      <c r="AS51" s="62"/>
      <c r="AT51" s="62"/>
      <c r="AU51" s="62"/>
      <c r="AV51" s="62"/>
      <c r="AW51" s="62"/>
      <c r="AX51" s="62"/>
      <c r="AY51" s="62"/>
      <c r="AZ51" s="62"/>
      <c r="BA51" s="62"/>
      <c r="BB51" s="62"/>
      <c r="BC51" s="62"/>
      <c r="BD51" s="62"/>
      <c r="BE51" s="62"/>
      <c r="BF51" s="62"/>
      <c r="BG51" s="62"/>
      <c r="BH51" s="62"/>
      <c r="BI51" s="62"/>
      <c r="BJ51" s="62"/>
      <c r="BK51" s="62"/>
      <c r="BL51" s="62"/>
      <c r="BM51" s="62"/>
      <c r="BN51" s="62"/>
      <c r="BO51" s="62"/>
      <c r="BP51" s="62"/>
      <c r="BQ51" s="62"/>
      <c r="BR51" s="62"/>
      <c r="BS51" s="62"/>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row>
    <row r="52" spans="1:109" s="3" customFormat="1">
      <c r="A52" s="120"/>
      <c r="B52" s="120" t="s">
        <v>4844</v>
      </c>
      <c r="C52" s="62" t="s">
        <v>494</v>
      </c>
      <c r="D52" s="62"/>
      <c r="E52" s="62" t="s">
        <v>476</v>
      </c>
      <c r="F52" s="47"/>
      <c r="G52" s="47"/>
      <c r="H52" s="47"/>
      <c r="I52" s="48"/>
      <c r="J52" s="47"/>
      <c r="K52" s="57">
        <v>2</v>
      </c>
      <c r="L52" s="55">
        <v>6</v>
      </c>
      <c r="M52" s="47"/>
      <c r="N52" s="47"/>
      <c r="O52" s="47"/>
      <c r="P52" s="47"/>
      <c r="Q52" s="47"/>
      <c r="R52" s="47"/>
      <c r="S52" s="62"/>
      <c r="T52" s="62"/>
      <c r="U52" s="62"/>
      <c r="V52" s="62"/>
      <c r="W52" s="62"/>
      <c r="X52" s="62"/>
      <c r="Y52" s="62"/>
      <c r="Z52" s="62"/>
      <c r="AA52" s="62"/>
      <c r="AB52" s="62"/>
      <c r="AC52" s="62"/>
      <c r="AD52" s="62"/>
      <c r="AE52" s="62"/>
      <c r="AF52" s="62"/>
      <c r="AG52" s="62"/>
      <c r="AH52" s="62"/>
      <c r="AI52" s="62"/>
      <c r="AJ52" s="62"/>
      <c r="AK52" s="62"/>
      <c r="AL52" s="62"/>
      <c r="AM52" s="62"/>
      <c r="AN52" s="62"/>
      <c r="AO52" s="62"/>
      <c r="AP52" s="62"/>
      <c r="AQ52" s="62"/>
      <c r="AR52" s="62"/>
      <c r="AS52" s="62"/>
      <c r="AT52" s="62"/>
      <c r="AU52" s="62"/>
      <c r="AV52" s="62"/>
      <c r="AW52" s="62"/>
      <c r="AX52" s="62"/>
      <c r="AY52" s="62"/>
      <c r="AZ52" s="62"/>
      <c r="BA52" s="62"/>
      <c r="BB52" s="62"/>
      <c r="BC52" s="62"/>
      <c r="BD52" s="62"/>
      <c r="BE52" s="62"/>
      <c r="BF52" s="62"/>
      <c r="BG52" s="62"/>
      <c r="BH52" s="62"/>
      <c r="BI52" s="62"/>
      <c r="BJ52" s="62"/>
      <c r="BK52" s="62"/>
      <c r="BL52" s="62"/>
      <c r="BM52" s="62"/>
      <c r="BN52" s="62"/>
      <c r="BO52" s="62"/>
      <c r="BP52" s="62"/>
      <c r="BQ52" s="62"/>
      <c r="BR52" s="62"/>
      <c r="BS52" s="62"/>
      <c r="BT52" s="62"/>
      <c r="BU52" s="62"/>
      <c r="BV52" s="62"/>
      <c r="BW52" s="62"/>
      <c r="BX52" s="62"/>
      <c r="BY52" s="62"/>
      <c r="BZ52" s="62"/>
      <c r="CA52" s="62"/>
      <c r="CB52" s="62"/>
      <c r="CC52" s="62"/>
      <c r="CD52" s="62"/>
      <c r="CE52" s="62"/>
      <c r="CF52" s="62"/>
      <c r="CG52" s="62"/>
      <c r="CH52" s="62"/>
      <c r="CI52" s="62"/>
      <c r="CJ52" s="62"/>
      <c r="CK52" s="62"/>
      <c r="CL52" s="62"/>
      <c r="CM52" s="62"/>
      <c r="CN52" s="62"/>
      <c r="CO52" s="62"/>
      <c r="CP52" s="62"/>
      <c r="CQ52" s="62"/>
      <c r="CR52" s="62"/>
      <c r="CS52" s="62"/>
      <c r="CT52" s="62"/>
      <c r="CU52" s="62"/>
      <c r="CV52" s="62"/>
      <c r="CW52" s="62"/>
      <c r="CX52" s="62"/>
      <c r="CY52" s="62"/>
      <c r="CZ52" s="62"/>
      <c r="DA52" s="62"/>
      <c r="DB52" s="62"/>
      <c r="DC52" s="62"/>
      <c r="DD52" s="62"/>
      <c r="DE52" s="62"/>
    </row>
    <row r="53" spans="1:109" s="3" customFormat="1">
      <c r="A53" s="120"/>
      <c r="B53" s="120" t="s">
        <v>6239</v>
      </c>
      <c r="C53" s="62" t="s">
        <v>494</v>
      </c>
      <c r="D53" s="62"/>
      <c r="E53" s="62" t="s">
        <v>476</v>
      </c>
      <c r="F53" s="47"/>
      <c r="G53" s="47"/>
      <c r="H53" s="47" t="s">
        <v>6426</v>
      </c>
      <c r="I53" s="48"/>
      <c r="J53" s="47"/>
      <c r="K53" s="57">
        <v>3</v>
      </c>
      <c r="L53" s="55"/>
      <c r="M53" s="47">
        <v>2</v>
      </c>
      <c r="N53" s="47"/>
      <c r="O53" s="47"/>
      <c r="P53" s="47"/>
      <c r="Q53" s="47"/>
      <c r="R53" s="47"/>
      <c r="S53" s="62"/>
      <c r="T53" s="62"/>
      <c r="U53" s="62"/>
      <c r="V53" s="62"/>
      <c r="W53" s="62"/>
      <c r="X53" s="62"/>
      <c r="Y53" s="62"/>
      <c r="Z53" s="62"/>
      <c r="AA53" s="62"/>
      <c r="AB53" s="62"/>
      <c r="AC53" s="62"/>
      <c r="AD53" s="62"/>
      <c r="AE53" s="62"/>
      <c r="AF53" s="62"/>
      <c r="AG53" s="62"/>
      <c r="AH53" s="62"/>
      <c r="AI53" s="62"/>
      <c r="AJ53" s="62"/>
      <c r="AK53" s="62"/>
      <c r="AL53" s="62"/>
      <c r="AM53" s="62"/>
      <c r="AN53" s="62"/>
      <c r="AO53" s="62"/>
      <c r="AP53" s="62"/>
      <c r="AQ53" s="62"/>
      <c r="AR53" s="62"/>
      <c r="AS53" s="62"/>
      <c r="AT53" s="62"/>
      <c r="AU53" s="62"/>
      <c r="AV53" s="62"/>
      <c r="AW53" s="62"/>
      <c r="AX53" s="62"/>
      <c r="AY53" s="62"/>
      <c r="AZ53" s="62"/>
      <c r="BA53" s="62"/>
      <c r="BB53" s="62"/>
      <c r="BC53" s="62"/>
      <c r="BD53" s="62"/>
      <c r="BE53" s="62"/>
      <c r="BF53" s="62"/>
      <c r="BG53" s="62"/>
      <c r="BH53" s="62"/>
      <c r="BI53" s="62"/>
      <c r="BJ53" s="62"/>
      <c r="BK53" s="62"/>
      <c r="BL53" s="62"/>
      <c r="BM53" s="62"/>
      <c r="BN53" s="62"/>
      <c r="BO53" s="62"/>
      <c r="BP53" s="62"/>
      <c r="BQ53" s="62"/>
      <c r="BR53" s="62"/>
      <c r="BS53" s="62"/>
      <c r="BT53" s="62"/>
      <c r="BU53" s="62"/>
      <c r="BV53" s="62"/>
      <c r="BW53" s="62"/>
      <c r="BX53" s="62"/>
      <c r="BY53" s="62"/>
      <c r="BZ53" s="62"/>
      <c r="CA53" s="62"/>
      <c r="CB53" s="62"/>
      <c r="CC53" s="62"/>
      <c r="CD53" s="62"/>
      <c r="CE53" s="62"/>
      <c r="CF53" s="62"/>
      <c r="CG53" s="62"/>
      <c r="CH53" s="62"/>
      <c r="CI53" s="62"/>
      <c r="CJ53" s="62"/>
      <c r="CK53" s="62"/>
      <c r="CL53" s="62"/>
      <c r="CM53" s="62"/>
      <c r="CN53" s="62"/>
      <c r="CO53" s="62"/>
      <c r="CP53" s="62"/>
      <c r="CQ53" s="62"/>
      <c r="CR53" s="62"/>
      <c r="CS53" s="62"/>
      <c r="CT53" s="62"/>
      <c r="CU53" s="62"/>
      <c r="CV53" s="62"/>
      <c r="CW53" s="62"/>
      <c r="CX53" s="62"/>
      <c r="CY53" s="62"/>
      <c r="CZ53" s="62"/>
      <c r="DA53" s="62"/>
      <c r="DB53" s="62"/>
      <c r="DC53" s="62"/>
      <c r="DD53" s="62"/>
      <c r="DE53" s="62"/>
    </row>
    <row r="54" spans="1:109" s="3" customFormat="1">
      <c r="A54" s="120"/>
      <c r="B54" s="120" t="s">
        <v>6423</v>
      </c>
      <c r="C54" s="62" t="s">
        <v>494</v>
      </c>
      <c r="D54" s="62"/>
      <c r="E54" s="62" t="s">
        <v>476</v>
      </c>
      <c r="F54" s="47"/>
      <c r="G54" s="47"/>
      <c r="H54" s="47" t="s">
        <v>6427</v>
      </c>
      <c r="I54" s="48"/>
      <c r="J54" s="47"/>
      <c r="K54" s="57">
        <v>3</v>
      </c>
      <c r="L54" s="55"/>
      <c r="M54" s="47">
        <v>2</v>
      </c>
      <c r="N54" s="47"/>
      <c r="O54" s="47"/>
      <c r="P54" s="47"/>
      <c r="Q54" s="47"/>
      <c r="R54" s="47"/>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row>
    <row r="55" spans="1:109" s="3" customFormat="1">
      <c r="A55" s="120"/>
      <c r="B55" s="120" t="s">
        <v>4845</v>
      </c>
      <c r="C55" s="62" t="s">
        <v>494</v>
      </c>
      <c r="D55" s="62"/>
      <c r="E55" s="62"/>
      <c r="F55" s="47"/>
      <c r="G55" s="47"/>
      <c r="H55" s="47"/>
      <c r="I55" s="48"/>
      <c r="J55" s="47"/>
      <c r="K55" s="57">
        <v>4</v>
      </c>
      <c r="L55" s="55">
        <v>6</v>
      </c>
      <c r="M55" s="47"/>
      <c r="N55" s="47"/>
      <c r="O55" s="47"/>
      <c r="P55" s="47"/>
      <c r="Q55" s="47"/>
      <c r="R55" s="47"/>
      <c r="S55" s="62"/>
      <c r="T55" s="62"/>
      <c r="U55" s="62"/>
      <c r="V55" s="62"/>
      <c r="W55" s="62"/>
      <c r="X55" s="62"/>
      <c r="Y55" s="62"/>
      <c r="Z55" s="62"/>
      <c r="AA55" s="62"/>
      <c r="AB55" s="62"/>
      <c r="AC55" s="62"/>
      <c r="AD55" s="62"/>
      <c r="AE55" s="62"/>
      <c r="AF55" s="62"/>
      <c r="AG55" s="62"/>
      <c r="AH55" s="62"/>
      <c r="AI55" s="62"/>
      <c r="AJ55" s="62"/>
      <c r="AK55" s="62"/>
      <c r="AL55" s="62"/>
      <c r="AM55" s="62"/>
      <c r="AN55" s="62"/>
      <c r="AO55" s="62"/>
      <c r="AP55" s="62"/>
      <c r="AQ55" s="62"/>
      <c r="AR55" s="62"/>
      <c r="AS55" s="62"/>
      <c r="AT55" s="62"/>
      <c r="AU55" s="62"/>
      <c r="AV55" s="62"/>
      <c r="AW55" s="62"/>
      <c r="AX55" s="62"/>
      <c r="AY55" s="62"/>
      <c r="AZ55" s="62"/>
      <c r="BA55" s="62"/>
      <c r="BB55" s="62"/>
      <c r="BC55" s="62"/>
      <c r="BD55" s="62"/>
      <c r="BE55" s="62"/>
      <c r="BF55" s="62"/>
      <c r="BG55" s="62"/>
      <c r="BH55" s="62"/>
      <c r="BI55" s="62"/>
      <c r="BJ55" s="62"/>
      <c r="BK55" s="62"/>
      <c r="BL55" s="62"/>
      <c r="BM55" s="62"/>
      <c r="BN55" s="62"/>
      <c r="BO55" s="62"/>
      <c r="BP55" s="62"/>
      <c r="BQ55" s="62"/>
      <c r="BR55" s="62"/>
      <c r="BS55" s="62"/>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row>
    <row r="56" spans="1:109" s="3" customFormat="1">
      <c r="A56" s="120"/>
      <c r="B56" s="120" t="s">
        <v>4858</v>
      </c>
      <c r="C56" s="62" t="s">
        <v>493</v>
      </c>
      <c r="D56" s="62">
        <v>1</v>
      </c>
      <c r="E56" s="62"/>
      <c r="F56" s="47"/>
      <c r="G56" s="47"/>
      <c r="H56" s="47"/>
      <c r="I56" s="48"/>
      <c r="J56" s="47"/>
      <c r="K56" s="57">
        <v>5</v>
      </c>
      <c r="L56" s="55">
        <v>3</v>
      </c>
      <c r="M56" s="47"/>
      <c r="N56" s="47"/>
      <c r="O56" s="47"/>
      <c r="P56" s="47"/>
      <c r="Q56" s="47"/>
      <c r="R56" s="47"/>
      <c r="S56" s="62"/>
      <c r="T56" s="62"/>
      <c r="U56" s="62"/>
      <c r="V56" s="62"/>
      <c r="W56" s="62"/>
      <c r="X56" s="62"/>
      <c r="Y56" s="62"/>
      <c r="Z56" s="62"/>
      <c r="AA56" s="62"/>
      <c r="AB56" s="62"/>
      <c r="AC56" s="62"/>
      <c r="AD56" s="62"/>
      <c r="AE56" s="62"/>
      <c r="AF56" s="62"/>
      <c r="AG56" s="62"/>
      <c r="AH56" s="62"/>
      <c r="AI56" s="62"/>
      <c r="AJ56" s="62"/>
      <c r="AK56" s="62"/>
      <c r="AL56" s="62"/>
      <c r="AM56" s="62"/>
      <c r="AN56" s="62"/>
      <c r="AO56" s="62"/>
      <c r="AP56" s="62"/>
      <c r="AQ56" s="62"/>
      <c r="AR56" s="62"/>
      <c r="AS56" s="62"/>
      <c r="AT56" s="62"/>
      <c r="AU56" s="62"/>
      <c r="AV56" s="62"/>
      <c r="AW56" s="62"/>
      <c r="AX56" s="62"/>
      <c r="AY56" s="62"/>
      <c r="AZ56" s="62"/>
      <c r="BA56" s="62"/>
      <c r="BB56" s="62"/>
      <c r="BC56" s="62"/>
      <c r="BD56" s="62"/>
      <c r="BE56" s="62"/>
      <c r="BF56" s="62"/>
      <c r="BG56" s="62"/>
      <c r="BH56" s="62"/>
      <c r="BI56" s="62"/>
      <c r="BJ56" s="62"/>
      <c r="BK56" s="62"/>
      <c r="BL56" s="62"/>
      <c r="BM56" s="62"/>
      <c r="BN56" s="62"/>
      <c r="BO56" s="62"/>
      <c r="BP56" s="62"/>
      <c r="BQ56" s="62"/>
      <c r="BR56" s="62"/>
      <c r="BS56" s="62"/>
      <c r="BT56" s="62"/>
      <c r="BU56" s="62"/>
      <c r="BV56" s="62"/>
      <c r="BW56" s="62"/>
      <c r="BX56" s="62"/>
      <c r="BY56" s="62"/>
      <c r="BZ56" s="62"/>
      <c r="CA56" s="62"/>
      <c r="CB56" s="62"/>
      <c r="CC56" s="62"/>
      <c r="CD56" s="62"/>
      <c r="CE56" s="62"/>
      <c r="CF56" s="62"/>
      <c r="CG56" s="62"/>
      <c r="CH56" s="62"/>
      <c r="CI56" s="62"/>
      <c r="CJ56" s="62"/>
      <c r="CK56" s="62"/>
      <c r="CL56" s="62"/>
      <c r="CM56" s="62"/>
      <c r="CN56" s="62"/>
      <c r="CO56" s="62"/>
      <c r="CP56" s="62"/>
      <c r="CQ56" s="62"/>
      <c r="CR56" s="62"/>
      <c r="CS56" s="62"/>
      <c r="CT56" s="62"/>
      <c r="CU56" s="62"/>
      <c r="CV56" s="62"/>
      <c r="CW56" s="62"/>
      <c r="CX56" s="62"/>
      <c r="CY56" s="62"/>
      <c r="CZ56" s="62"/>
      <c r="DA56" s="62"/>
      <c r="DB56" s="62"/>
      <c r="DC56" s="62"/>
      <c r="DD56" s="62"/>
      <c r="DE56" s="62"/>
    </row>
    <row r="57" spans="1:109" s="3" customFormat="1">
      <c r="A57" s="120"/>
      <c r="B57" s="120" t="s">
        <v>4849</v>
      </c>
      <c r="C57" s="62" t="s">
        <v>494</v>
      </c>
      <c r="D57" s="62"/>
      <c r="E57" s="62"/>
      <c r="F57" s="47"/>
      <c r="G57" s="47"/>
      <c r="H57" s="47"/>
      <c r="I57" s="48"/>
      <c r="J57" s="47"/>
      <c r="K57" s="57">
        <v>6</v>
      </c>
      <c r="L57" s="55">
        <v>7</v>
      </c>
      <c r="M57" s="47"/>
      <c r="N57" s="47"/>
      <c r="O57" s="47"/>
      <c r="P57" s="47"/>
      <c r="Q57" s="47"/>
      <c r="R57" s="47"/>
      <c r="S57" s="62"/>
      <c r="T57" s="62"/>
      <c r="U57" s="62"/>
      <c r="V57" s="62"/>
      <c r="W57" s="62"/>
      <c r="X57" s="62"/>
      <c r="Y57" s="62"/>
      <c r="Z57" s="62"/>
      <c r="AA57" s="62"/>
      <c r="AB57" s="62"/>
      <c r="AC57" s="62"/>
      <c r="AD57" s="62"/>
      <c r="AE57" s="62"/>
      <c r="AF57" s="62"/>
      <c r="AG57" s="62"/>
      <c r="AH57" s="62"/>
      <c r="AI57" s="62"/>
      <c r="AJ57" s="62"/>
      <c r="AK57" s="62"/>
      <c r="AL57" s="62"/>
      <c r="AM57" s="62"/>
      <c r="AN57" s="62"/>
      <c r="AO57" s="62"/>
      <c r="AP57" s="62"/>
      <c r="AQ57" s="62"/>
      <c r="AR57" s="62"/>
      <c r="AS57" s="62"/>
      <c r="AT57" s="62"/>
      <c r="AU57" s="62"/>
      <c r="AV57" s="62"/>
      <c r="AW57" s="62"/>
      <c r="AX57" s="62"/>
      <c r="AY57" s="62"/>
      <c r="AZ57" s="62"/>
      <c r="BA57" s="62"/>
      <c r="BB57" s="62"/>
      <c r="BC57" s="62"/>
      <c r="BD57" s="62"/>
      <c r="BE57" s="62"/>
      <c r="BF57" s="62"/>
      <c r="BG57" s="62"/>
      <c r="BH57" s="62"/>
      <c r="BI57" s="62"/>
      <c r="BJ57" s="62"/>
      <c r="BK57" s="62"/>
      <c r="BL57" s="62"/>
      <c r="BM57" s="62"/>
      <c r="BN57" s="62"/>
      <c r="BO57" s="62"/>
      <c r="BP57" s="62"/>
      <c r="BQ57" s="62"/>
      <c r="BR57" s="62"/>
      <c r="BS57" s="62"/>
      <c r="BT57" s="62"/>
      <c r="BU57" s="62"/>
      <c r="BV57" s="62"/>
      <c r="BW57" s="62"/>
      <c r="BX57" s="62"/>
      <c r="BY57" s="62"/>
      <c r="BZ57" s="62"/>
      <c r="CA57" s="62"/>
      <c r="CB57" s="62"/>
      <c r="CC57" s="62"/>
      <c r="CD57" s="62"/>
      <c r="CE57" s="62"/>
      <c r="CF57" s="62"/>
      <c r="CG57" s="62"/>
      <c r="CH57" s="62"/>
      <c r="CI57" s="62"/>
      <c r="CJ57" s="62"/>
      <c r="CK57" s="62"/>
      <c r="CL57" s="62"/>
      <c r="CM57" s="62"/>
      <c r="CN57" s="62"/>
      <c r="CO57" s="62"/>
      <c r="CP57" s="62"/>
      <c r="CQ57" s="62"/>
      <c r="CR57" s="62"/>
      <c r="CS57" s="62"/>
      <c r="CT57" s="62"/>
      <c r="CU57" s="62"/>
      <c r="CV57" s="62"/>
      <c r="CW57" s="62"/>
      <c r="CX57" s="62"/>
      <c r="CY57" s="62"/>
      <c r="CZ57" s="62"/>
      <c r="DA57" s="62"/>
      <c r="DB57" s="62"/>
      <c r="DC57" s="62"/>
      <c r="DD57" s="62"/>
      <c r="DE57" s="62"/>
    </row>
    <row r="58" spans="1:109" s="3" customFormat="1">
      <c r="A58" s="120"/>
      <c r="B58" s="120" t="s">
        <v>4850</v>
      </c>
      <c r="C58" s="62" t="s">
        <v>494</v>
      </c>
      <c r="D58" s="62"/>
      <c r="E58" s="62"/>
      <c r="F58" s="47"/>
      <c r="G58" s="47"/>
      <c r="H58" s="47"/>
      <c r="I58" s="48"/>
      <c r="J58" s="47"/>
      <c r="K58" s="57">
        <v>7</v>
      </c>
      <c r="L58" s="55"/>
      <c r="M58" s="47">
        <v>71</v>
      </c>
      <c r="N58" s="47"/>
      <c r="O58" s="47"/>
      <c r="P58" s="47"/>
      <c r="Q58" s="47"/>
      <c r="R58" s="47"/>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row>
    <row r="59" spans="1:109" s="3" customFormat="1">
      <c r="A59" s="120"/>
      <c r="B59" s="120" t="s">
        <v>4851</v>
      </c>
      <c r="C59" s="62" t="s">
        <v>494</v>
      </c>
      <c r="D59" s="62"/>
      <c r="E59" s="62"/>
      <c r="F59" s="47"/>
      <c r="G59" s="47"/>
      <c r="H59" s="47"/>
      <c r="I59" s="48"/>
      <c r="J59" s="47"/>
      <c r="K59" s="57">
        <v>8</v>
      </c>
      <c r="L59" s="55"/>
      <c r="M59" s="47">
        <v>72</v>
      </c>
      <c r="N59" s="47"/>
      <c r="O59" s="47"/>
      <c r="P59" s="47"/>
      <c r="Q59" s="47"/>
      <c r="R59" s="47"/>
      <c r="S59" s="62"/>
      <c r="T59" s="62"/>
      <c r="U59" s="62"/>
      <c r="V59" s="62"/>
      <c r="W59" s="62"/>
      <c r="X59" s="62"/>
      <c r="Y59" s="62"/>
      <c r="Z59" s="62"/>
      <c r="AA59" s="62"/>
      <c r="AB59" s="62"/>
      <c r="AC59" s="62"/>
      <c r="AD59" s="62"/>
      <c r="AE59" s="62"/>
      <c r="AF59" s="62"/>
      <c r="AG59" s="62"/>
      <c r="AH59" s="62"/>
      <c r="AI59" s="62"/>
      <c r="AJ59" s="62"/>
      <c r="AK59" s="62"/>
      <c r="AL59" s="62"/>
      <c r="AM59" s="62"/>
      <c r="AN59" s="62"/>
      <c r="AO59" s="62"/>
      <c r="AP59" s="62"/>
      <c r="AQ59" s="62"/>
      <c r="AR59" s="62"/>
      <c r="AS59" s="62"/>
      <c r="AT59" s="62"/>
      <c r="AU59" s="62"/>
      <c r="AV59" s="62"/>
      <c r="AW59" s="62"/>
      <c r="AX59" s="62"/>
      <c r="AY59" s="62"/>
      <c r="AZ59" s="62"/>
      <c r="BA59" s="62"/>
      <c r="BB59" s="62"/>
      <c r="BC59" s="62"/>
      <c r="BD59" s="62"/>
      <c r="BE59" s="62"/>
      <c r="BF59" s="62"/>
      <c r="BG59" s="62"/>
      <c r="BH59" s="62"/>
      <c r="BI59" s="62"/>
      <c r="BJ59" s="62"/>
      <c r="BK59" s="62"/>
      <c r="BL59" s="62"/>
      <c r="BM59" s="62"/>
      <c r="BN59" s="62"/>
      <c r="BO59" s="62"/>
      <c r="BP59" s="62"/>
      <c r="BQ59" s="62"/>
      <c r="BR59" s="62"/>
      <c r="BS59" s="62"/>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row>
    <row r="60" spans="1:109" s="3" customFormat="1">
      <c r="A60" s="120"/>
      <c r="B60" s="120" t="s">
        <v>4852</v>
      </c>
      <c r="C60" s="62" t="s">
        <v>494</v>
      </c>
      <c r="D60" s="62"/>
      <c r="E60" s="62"/>
      <c r="F60" s="47"/>
      <c r="G60" s="47"/>
      <c r="H60" s="47"/>
      <c r="I60" s="48"/>
      <c r="J60" s="47"/>
      <c r="K60" s="57">
        <v>9</v>
      </c>
      <c r="L60" s="55"/>
      <c r="M60" s="47">
        <v>71</v>
      </c>
      <c r="N60" s="47"/>
      <c r="O60" s="47"/>
      <c r="P60" s="47"/>
      <c r="Q60" s="47"/>
      <c r="R60" s="47"/>
      <c r="S60" s="62"/>
      <c r="T60" s="62"/>
      <c r="U60" s="62"/>
      <c r="V60" s="62"/>
      <c r="W60" s="62"/>
      <c r="X60" s="62"/>
      <c r="Y60" s="62"/>
      <c r="Z60" s="62"/>
      <c r="AA60" s="62"/>
      <c r="AB60" s="62"/>
      <c r="AC60" s="62"/>
      <c r="AD60" s="62"/>
      <c r="AE60" s="62"/>
      <c r="AF60" s="62"/>
      <c r="AG60" s="62"/>
      <c r="AH60" s="62"/>
      <c r="AI60" s="62"/>
      <c r="AJ60" s="62"/>
      <c r="AK60" s="62"/>
      <c r="AL60" s="62"/>
      <c r="AM60" s="62"/>
      <c r="AN60" s="62"/>
      <c r="AO60" s="62"/>
      <c r="AP60" s="62"/>
      <c r="AQ60" s="62"/>
      <c r="AR60" s="62"/>
      <c r="AS60" s="62"/>
      <c r="AT60" s="62"/>
      <c r="AU60" s="62"/>
      <c r="AV60" s="62"/>
      <c r="AW60" s="62"/>
      <c r="AX60" s="62"/>
      <c r="AY60" s="62"/>
      <c r="AZ60" s="62"/>
      <c r="BA60" s="62"/>
      <c r="BB60" s="62"/>
      <c r="BC60" s="62"/>
      <c r="BD60" s="62"/>
      <c r="BE60" s="62"/>
      <c r="BF60" s="62"/>
      <c r="BG60" s="62"/>
      <c r="BH60" s="62"/>
      <c r="BI60" s="62"/>
      <c r="BJ60" s="62"/>
      <c r="BK60" s="62"/>
      <c r="BL60" s="62"/>
      <c r="BM60" s="62"/>
      <c r="BN60" s="62"/>
      <c r="BO60" s="62"/>
      <c r="BP60" s="62"/>
      <c r="BQ60" s="62"/>
      <c r="BR60" s="62"/>
      <c r="BS60" s="62"/>
      <c r="BT60" s="62"/>
      <c r="BU60" s="62"/>
      <c r="BV60" s="62"/>
      <c r="BW60" s="62"/>
      <c r="BX60" s="62"/>
      <c r="BY60" s="62"/>
      <c r="BZ60" s="62"/>
      <c r="CA60" s="62"/>
      <c r="CB60" s="62"/>
      <c r="CC60" s="62"/>
      <c r="CD60" s="62"/>
      <c r="CE60" s="62"/>
      <c r="CF60" s="62"/>
      <c r="CG60" s="62"/>
      <c r="CH60" s="62"/>
      <c r="CI60" s="62"/>
      <c r="CJ60" s="62"/>
      <c r="CK60" s="62"/>
      <c r="CL60" s="62"/>
      <c r="CM60" s="62"/>
      <c r="CN60" s="62"/>
      <c r="CO60" s="62"/>
      <c r="CP60" s="62"/>
      <c r="CQ60" s="62"/>
      <c r="CR60" s="62"/>
      <c r="CS60" s="62"/>
      <c r="CT60" s="62"/>
      <c r="CU60" s="62"/>
      <c r="CV60" s="62"/>
      <c r="CW60" s="62"/>
      <c r="CX60" s="62"/>
      <c r="CY60" s="62"/>
      <c r="CZ60" s="62"/>
      <c r="DA60" s="62"/>
      <c r="DB60" s="62"/>
      <c r="DC60" s="62"/>
      <c r="DD60" s="62"/>
      <c r="DE60" s="62"/>
    </row>
    <row r="61" spans="1:109" s="3" customFormat="1">
      <c r="A61" s="120"/>
      <c r="B61" s="120" t="s">
        <v>4853</v>
      </c>
      <c r="C61" s="62" t="s">
        <v>494</v>
      </c>
      <c r="D61" s="62"/>
      <c r="E61" s="62"/>
      <c r="F61" s="47"/>
      <c r="G61" s="47"/>
      <c r="H61" s="47"/>
      <c r="I61" s="48"/>
      <c r="J61" s="47"/>
      <c r="K61" s="57">
        <v>10</v>
      </c>
      <c r="L61" s="55"/>
      <c r="M61" s="47">
        <v>72</v>
      </c>
      <c r="N61" s="47"/>
      <c r="O61" s="47"/>
      <c r="P61" s="47"/>
      <c r="Q61" s="47"/>
      <c r="R61" s="47"/>
      <c r="S61" s="62"/>
      <c r="T61" s="62"/>
      <c r="U61" s="62"/>
      <c r="V61" s="62"/>
      <c r="W61" s="62"/>
      <c r="X61" s="62"/>
      <c r="Y61" s="62"/>
      <c r="Z61" s="62"/>
      <c r="AA61" s="62"/>
      <c r="AB61" s="62"/>
      <c r="AC61" s="62"/>
      <c r="AD61" s="62"/>
      <c r="AE61" s="62"/>
      <c r="AF61" s="62"/>
      <c r="AG61" s="62"/>
      <c r="AH61" s="62"/>
      <c r="AI61" s="62"/>
      <c r="AJ61" s="62"/>
      <c r="AK61" s="62"/>
      <c r="AL61" s="62"/>
      <c r="AM61" s="62"/>
      <c r="AN61" s="62"/>
      <c r="AO61" s="62"/>
      <c r="AP61" s="62"/>
      <c r="AQ61" s="62"/>
      <c r="AR61" s="62"/>
      <c r="AS61" s="62"/>
      <c r="AT61" s="62"/>
      <c r="AU61" s="62"/>
      <c r="AV61" s="62"/>
      <c r="AW61" s="62"/>
      <c r="AX61" s="62"/>
      <c r="AY61" s="62"/>
      <c r="AZ61" s="62"/>
      <c r="BA61" s="62"/>
      <c r="BB61" s="62"/>
      <c r="BC61" s="62"/>
      <c r="BD61" s="62"/>
      <c r="BE61" s="62"/>
      <c r="BF61" s="62"/>
      <c r="BG61" s="62"/>
      <c r="BH61" s="62"/>
      <c r="BI61" s="62"/>
      <c r="BJ61" s="62"/>
      <c r="BK61" s="62"/>
      <c r="BL61" s="62"/>
      <c r="BM61" s="62"/>
      <c r="BN61" s="62"/>
      <c r="BO61" s="62"/>
      <c r="BP61" s="62"/>
      <c r="BQ61" s="62"/>
      <c r="BR61" s="62"/>
      <c r="BS61" s="62"/>
      <c r="BT61" s="62"/>
      <c r="BU61" s="62"/>
      <c r="BV61" s="62"/>
      <c r="BW61" s="62"/>
      <c r="BX61" s="62"/>
      <c r="BY61" s="62"/>
      <c r="BZ61" s="62"/>
      <c r="CA61" s="62"/>
      <c r="CB61" s="62"/>
      <c r="CC61" s="62"/>
      <c r="CD61" s="62"/>
      <c r="CE61" s="62"/>
      <c r="CF61" s="62"/>
      <c r="CG61" s="62"/>
      <c r="CH61" s="62"/>
      <c r="CI61" s="62"/>
      <c r="CJ61" s="62"/>
      <c r="CK61" s="62"/>
      <c r="CL61" s="62"/>
      <c r="CM61" s="62"/>
      <c r="CN61" s="62"/>
      <c r="CO61" s="62"/>
      <c r="CP61" s="62"/>
      <c r="CQ61" s="62"/>
      <c r="CR61" s="62"/>
      <c r="CS61" s="62"/>
      <c r="CT61" s="62"/>
      <c r="CU61" s="62"/>
      <c r="CV61" s="62"/>
      <c r="CW61" s="62"/>
      <c r="CX61" s="62"/>
      <c r="CY61" s="62"/>
      <c r="CZ61" s="62"/>
      <c r="DA61" s="62"/>
      <c r="DB61" s="62"/>
      <c r="DC61" s="62"/>
      <c r="DD61" s="62"/>
      <c r="DE61" s="62"/>
    </row>
    <row r="62" spans="1:109" s="3" customFormat="1">
      <c r="A62" s="120"/>
      <c r="B62" s="120" t="s">
        <v>4848</v>
      </c>
      <c r="C62" s="62" t="s">
        <v>494</v>
      </c>
      <c r="D62" s="62"/>
      <c r="E62" s="62"/>
      <c r="F62" s="47"/>
      <c r="G62" s="47"/>
      <c r="H62" s="47"/>
      <c r="I62" s="48"/>
      <c r="J62" s="47"/>
      <c r="K62" s="57">
        <v>11</v>
      </c>
      <c r="L62" s="55">
        <v>3</v>
      </c>
      <c r="M62" s="47">
        <v>1</v>
      </c>
      <c r="N62" s="47" t="s">
        <v>536</v>
      </c>
      <c r="O62" s="47" t="s">
        <v>537</v>
      </c>
      <c r="P62" s="47" t="s">
        <v>538</v>
      </c>
      <c r="Q62" s="47"/>
      <c r="R62" s="47"/>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row>
    <row r="63" spans="1:109" s="3" customFormat="1">
      <c r="A63" s="120"/>
      <c r="B63" s="120" t="s">
        <v>6402</v>
      </c>
      <c r="C63" s="62" t="s">
        <v>493</v>
      </c>
      <c r="D63" s="62">
        <v>250</v>
      </c>
      <c r="E63" s="62"/>
      <c r="F63" s="47"/>
      <c r="G63" s="47"/>
      <c r="H63" s="47"/>
      <c r="I63" s="48"/>
      <c r="J63" s="47"/>
      <c r="K63" s="57">
        <v>12</v>
      </c>
      <c r="L63" s="55"/>
      <c r="M63" s="47"/>
      <c r="N63" s="47"/>
      <c r="O63" s="47"/>
      <c r="P63" s="47"/>
      <c r="Q63" s="47"/>
      <c r="R63" s="47"/>
      <c r="S63" s="62"/>
      <c r="T63" s="62"/>
      <c r="U63" s="62"/>
      <c r="V63" s="62"/>
      <c r="W63" s="62"/>
      <c r="X63" s="62"/>
      <c r="Y63" s="62"/>
      <c r="Z63" s="62"/>
      <c r="AA63" s="62"/>
      <c r="AB63" s="62"/>
      <c r="AC63" s="62"/>
      <c r="AD63" s="62"/>
      <c r="AE63" s="62"/>
      <c r="AF63" s="62"/>
      <c r="AG63" s="62"/>
      <c r="AH63" s="62"/>
      <c r="AI63" s="62"/>
      <c r="AJ63" s="62"/>
      <c r="AK63" s="62"/>
      <c r="AL63" s="62"/>
      <c r="AM63" s="62"/>
      <c r="AN63" s="62"/>
      <c r="AO63" s="62"/>
      <c r="AP63" s="62"/>
      <c r="AQ63" s="62"/>
      <c r="AR63" s="62"/>
      <c r="AS63" s="62"/>
      <c r="AT63" s="62"/>
      <c r="AU63" s="62"/>
      <c r="AV63" s="62"/>
      <c r="AW63" s="62"/>
      <c r="AX63" s="62"/>
      <c r="AY63" s="62"/>
      <c r="AZ63" s="62"/>
      <c r="BA63" s="62"/>
      <c r="BB63" s="62"/>
      <c r="BC63" s="62"/>
      <c r="BD63" s="62"/>
      <c r="BE63" s="62"/>
      <c r="BF63" s="62"/>
      <c r="BG63" s="62"/>
      <c r="BH63" s="62"/>
      <c r="BI63" s="62"/>
      <c r="BJ63" s="62"/>
      <c r="BK63" s="62"/>
      <c r="BL63" s="62"/>
      <c r="BM63" s="62"/>
      <c r="BN63" s="62"/>
      <c r="BO63" s="62"/>
      <c r="BP63" s="62"/>
      <c r="BQ63" s="62"/>
      <c r="BR63" s="62"/>
      <c r="BS63" s="62"/>
      <c r="BT63" s="62"/>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row>
    <row r="64" spans="1:109" s="3" customFormat="1">
      <c r="A64" s="120"/>
      <c r="B64" s="120" t="s">
        <v>4854</v>
      </c>
      <c r="C64" s="62" t="s">
        <v>493</v>
      </c>
      <c r="D64" s="62">
        <v>250</v>
      </c>
      <c r="E64" s="62"/>
      <c r="F64" s="47"/>
      <c r="G64" s="47"/>
      <c r="H64" s="47"/>
      <c r="I64" s="48"/>
      <c r="J64" s="47"/>
      <c r="K64" s="57">
        <v>13</v>
      </c>
      <c r="L64" s="55"/>
      <c r="M64" s="47"/>
      <c r="N64" s="47"/>
      <c r="O64" s="47"/>
      <c r="P64" s="47"/>
      <c r="Q64" s="47"/>
      <c r="R64" s="47"/>
      <c r="S64" s="62"/>
      <c r="T64" s="62"/>
      <c r="U64" s="62"/>
      <c r="V64" s="62"/>
      <c r="W64" s="62"/>
      <c r="X64" s="62"/>
      <c r="Y64" s="62"/>
      <c r="Z64" s="62"/>
      <c r="AA64" s="62"/>
      <c r="AB64" s="62"/>
      <c r="AC64" s="62"/>
      <c r="AD64" s="62"/>
      <c r="AE64" s="62"/>
      <c r="AF64" s="62"/>
      <c r="AG64" s="62"/>
      <c r="AH64" s="62"/>
      <c r="AI64" s="62"/>
      <c r="AJ64" s="62"/>
      <c r="AK64" s="62"/>
      <c r="AL64" s="62"/>
      <c r="AM64" s="62"/>
      <c r="AN64" s="62"/>
      <c r="AO64" s="62"/>
      <c r="AP64" s="62"/>
      <c r="AQ64" s="62"/>
      <c r="AR64" s="62"/>
      <c r="AS64" s="62"/>
      <c r="AT64" s="62"/>
      <c r="AU64" s="62"/>
      <c r="AV64" s="62"/>
      <c r="AW64" s="62"/>
      <c r="AX64" s="62"/>
      <c r="AY64" s="62"/>
      <c r="AZ64" s="62"/>
      <c r="BA64" s="62"/>
      <c r="BB64" s="62"/>
      <c r="BC64" s="62"/>
      <c r="BD64" s="62"/>
      <c r="BE64" s="62"/>
      <c r="BF64" s="62"/>
      <c r="BG64" s="62"/>
      <c r="BH64" s="62"/>
      <c r="BI64" s="62"/>
      <c r="BJ64" s="62"/>
      <c r="BK64" s="62"/>
      <c r="BL64" s="62"/>
      <c r="BM64" s="62"/>
      <c r="BN64" s="62"/>
      <c r="BO64" s="62"/>
      <c r="BP64" s="62"/>
      <c r="BQ64" s="62"/>
      <c r="BR64" s="62"/>
      <c r="BS64" s="62"/>
      <c r="BT64" s="62"/>
      <c r="BU64" s="62"/>
      <c r="BV64" s="62"/>
      <c r="BW64" s="62"/>
      <c r="BX64" s="62"/>
      <c r="BY64" s="62"/>
      <c r="BZ64" s="62"/>
      <c r="CA64" s="62"/>
      <c r="CB64" s="62"/>
      <c r="CC64" s="62"/>
      <c r="CD64" s="62"/>
      <c r="CE64" s="62"/>
      <c r="CF64" s="62"/>
      <c r="CG64" s="62"/>
      <c r="CH64" s="62"/>
      <c r="CI64" s="62"/>
      <c r="CJ64" s="62"/>
      <c r="CK64" s="62"/>
      <c r="CL64" s="62"/>
      <c r="CM64" s="62"/>
      <c r="CN64" s="62"/>
      <c r="CO64" s="62"/>
      <c r="CP64" s="62"/>
      <c r="CQ64" s="62"/>
      <c r="CR64" s="62"/>
      <c r="CS64" s="62"/>
      <c r="CT64" s="62"/>
      <c r="CU64" s="62"/>
      <c r="CV64" s="62"/>
      <c r="CW64" s="62"/>
      <c r="CX64" s="62"/>
      <c r="CY64" s="62"/>
      <c r="CZ64" s="62"/>
      <c r="DA64" s="62"/>
      <c r="DB64" s="62"/>
      <c r="DC64" s="62"/>
      <c r="DD64" s="62"/>
      <c r="DE64" s="62"/>
    </row>
    <row r="65" spans="1:109" s="3" customFormat="1">
      <c r="A65" s="120"/>
      <c r="B65" s="120" t="s">
        <v>6403</v>
      </c>
      <c r="C65" s="62" t="s">
        <v>520</v>
      </c>
      <c r="D65" s="62"/>
      <c r="E65" s="62"/>
      <c r="F65" s="47"/>
      <c r="G65" s="47"/>
      <c r="H65" s="47"/>
      <c r="I65" s="48"/>
      <c r="J65" s="47"/>
      <c r="K65" s="57">
        <v>14</v>
      </c>
      <c r="L65" s="55"/>
      <c r="M65" s="47"/>
      <c r="N65" s="47"/>
      <c r="O65" s="47"/>
      <c r="P65" s="47"/>
      <c r="Q65" s="47"/>
      <c r="R65" s="47"/>
      <c r="S65" s="62"/>
      <c r="T65" s="62"/>
      <c r="U65" s="62"/>
      <c r="V65" s="62"/>
      <c r="W65" s="62"/>
      <c r="X65" s="62"/>
      <c r="Y65" s="62"/>
      <c r="Z65" s="62"/>
      <c r="AA65" s="62"/>
      <c r="AB65" s="62"/>
      <c r="AC65" s="62"/>
      <c r="AD65" s="62"/>
      <c r="AE65" s="62"/>
      <c r="AF65" s="62"/>
      <c r="AG65" s="62"/>
      <c r="AH65" s="62"/>
      <c r="AI65" s="62"/>
      <c r="AJ65" s="62"/>
      <c r="AK65" s="62"/>
      <c r="AL65" s="62"/>
      <c r="AM65" s="62"/>
      <c r="AN65" s="62"/>
      <c r="AO65" s="62"/>
      <c r="AP65" s="62"/>
      <c r="AQ65" s="62"/>
      <c r="AR65" s="62"/>
      <c r="AS65" s="62"/>
      <c r="AT65" s="62"/>
      <c r="AU65" s="62"/>
      <c r="AV65" s="62"/>
      <c r="AW65" s="62"/>
      <c r="AX65" s="62"/>
      <c r="AY65" s="62"/>
      <c r="AZ65" s="62"/>
      <c r="BA65" s="62"/>
      <c r="BB65" s="62"/>
      <c r="BC65" s="62"/>
      <c r="BD65" s="62"/>
      <c r="BE65" s="62"/>
      <c r="BF65" s="62"/>
      <c r="BG65" s="62"/>
      <c r="BH65" s="62"/>
      <c r="BI65" s="62"/>
      <c r="BJ65" s="62"/>
      <c r="BK65" s="62"/>
      <c r="BL65" s="62"/>
      <c r="BM65" s="62"/>
      <c r="BN65" s="62"/>
      <c r="BO65" s="62"/>
      <c r="BP65" s="62"/>
      <c r="BQ65" s="62"/>
      <c r="BR65" s="62"/>
      <c r="BS65" s="62"/>
      <c r="BT65" s="62"/>
      <c r="BU65" s="62"/>
      <c r="BV65" s="62"/>
      <c r="BW65" s="62"/>
      <c r="BX65" s="62"/>
      <c r="BY65" s="62"/>
      <c r="BZ65" s="62"/>
      <c r="CA65" s="62"/>
      <c r="CB65" s="62"/>
      <c r="CC65" s="62"/>
      <c r="CD65" s="62"/>
      <c r="CE65" s="62"/>
      <c r="CF65" s="62"/>
      <c r="CG65" s="62"/>
      <c r="CH65" s="62"/>
      <c r="CI65" s="62"/>
      <c r="CJ65" s="62"/>
      <c r="CK65" s="62"/>
      <c r="CL65" s="62"/>
      <c r="CM65" s="62"/>
      <c r="CN65" s="62"/>
      <c r="CO65" s="62"/>
      <c r="CP65" s="62"/>
      <c r="CQ65" s="62"/>
      <c r="CR65" s="62"/>
      <c r="CS65" s="62"/>
      <c r="CT65" s="62"/>
      <c r="CU65" s="62"/>
      <c r="CV65" s="62"/>
      <c r="CW65" s="62"/>
      <c r="CX65" s="62"/>
      <c r="CY65" s="62"/>
      <c r="CZ65" s="62"/>
      <c r="DA65" s="62"/>
      <c r="DB65" s="62"/>
      <c r="DC65" s="62"/>
      <c r="DD65" s="62"/>
      <c r="DE65" s="62"/>
    </row>
    <row r="66" spans="1:109" s="3" customFormat="1">
      <c r="A66" s="120"/>
      <c r="B66" s="120" t="s">
        <v>4856</v>
      </c>
      <c r="C66" s="62" t="s">
        <v>520</v>
      </c>
      <c r="D66" s="62"/>
      <c r="E66" s="62"/>
      <c r="F66" s="47"/>
      <c r="G66" s="47"/>
      <c r="H66" s="47"/>
      <c r="I66" s="48"/>
      <c r="J66" s="47"/>
      <c r="K66" s="57">
        <v>15</v>
      </c>
      <c r="L66" s="55"/>
      <c r="M66" s="47"/>
      <c r="N66" s="47"/>
      <c r="O66" s="47"/>
      <c r="P66" s="47"/>
      <c r="Q66" s="47"/>
      <c r="R66" s="47"/>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row>
    <row r="67" spans="1:109" s="3" customFormat="1">
      <c r="A67" s="120"/>
      <c r="B67" s="120" t="s">
        <v>4857</v>
      </c>
      <c r="C67" s="62" t="s">
        <v>520</v>
      </c>
      <c r="D67" s="62"/>
      <c r="E67" s="62"/>
      <c r="F67" s="47"/>
      <c r="G67" s="47"/>
      <c r="H67" s="47"/>
      <c r="I67" s="48"/>
      <c r="J67" s="47"/>
      <c r="K67" s="57">
        <v>16</v>
      </c>
      <c r="L67" s="55"/>
      <c r="M67" s="47"/>
      <c r="N67" s="47"/>
      <c r="O67" s="47"/>
      <c r="P67" s="47"/>
      <c r="Q67" s="47"/>
      <c r="R67" s="47"/>
      <c r="S67" s="62"/>
      <c r="T67" s="62"/>
      <c r="U67" s="62"/>
      <c r="V67" s="62"/>
      <c r="W67" s="62"/>
      <c r="X67" s="62"/>
      <c r="Y67" s="62"/>
      <c r="Z67" s="62"/>
      <c r="AA67" s="62"/>
      <c r="AB67" s="62"/>
      <c r="AC67" s="62"/>
      <c r="AD67" s="62"/>
      <c r="AE67" s="62"/>
      <c r="AF67" s="62"/>
      <c r="AG67" s="62"/>
      <c r="AH67" s="62"/>
      <c r="AI67" s="62"/>
      <c r="AJ67" s="62"/>
      <c r="AK67" s="62"/>
      <c r="AL67" s="62"/>
      <c r="AM67" s="62"/>
      <c r="AN67" s="62"/>
      <c r="AO67" s="62"/>
      <c r="AP67" s="62"/>
      <c r="AQ67" s="62"/>
      <c r="AR67" s="62"/>
      <c r="AS67" s="62"/>
      <c r="AT67" s="62"/>
      <c r="AU67" s="62"/>
      <c r="AV67" s="62"/>
      <c r="AW67" s="62"/>
      <c r="AX67" s="62"/>
      <c r="AY67" s="62"/>
      <c r="AZ67" s="62"/>
      <c r="BA67" s="62"/>
      <c r="BB67" s="62"/>
      <c r="BC67" s="62"/>
      <c r="BD67" s="62"/>
      <c r="BE67" s="62"/>
      <c r="BF67" s="62"/>
      <c r="BG67" s="62"/>
      <c r="BH67" s="62"/>
      <c r="BI67" s="62"/>
      <c r="BJ67" s="62"/>
      <c r="BK67" s="62"/>
      <c r="BL67" s="62"/>
      <c r="BM67" s="62"/>
      <c r="BN67" s="62"/>
      <c r="BO67" s="62"/>
      <c r="BP67" s="62"/>
      <c r="BQ67" s="62"/>
      <c r="BR67" s="62"/>
      <c r="BS67" s="62"/>
      <c r="BT67" s="62"/>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row>
    <row r="68" spans="1:109" s="3" customFormat="1">
      <c r="A68" s="120"/>
      <c r="B68" s="120" t="s">
        <v>6406</v>
      </c>
      <c r="C68" s="62" t="s">
        <v>494</v>
      </c>
      <c r="D68" s="62"/>
      <c r="E68" s="62"/>
      <c r="F68" s="47"/>
      <c r="G68" s="47"/>
      <c r="H68" s="47"/>
      <c r="I68" s="48"/>
      <c r="J68" s="47"/>
      <c r="K68" s="57">
        <v>17</v>
      </c>
      <c r="L68" s="55">
        <v>8</v>
      </c>
      <c r="M68" s="47"/>
      <c r="N68" s="47"/>
      <c r="O68" s="47"/>
      <c r="P68" s="47"/>
      <c r="Q68" s="47"/>
      <c r="R68" s="47"/>
      <c r="S68" s="62"/>
      <c r="T68" s="62"/>
      <c r="U68" s="62"/>
      <c r="V68" s="62"/>
      <c r="W68" s="62"/>
      <c r="X68" s="62"/>
      <c r="Y68" s="62"/>
      <c r="Z68" s="62"/>
      <c r="AA68" s="62"/>
      <c r="AB68" s="62"/>
      <c r="AC68" s="62"/>
      <c r="AD68" s="62"/>
      <c r="AE68" s="62"/>
      <c r="AF68" s="62"/>
      <c r="AG68" s="62"/>
      <c r="AH68" s="62"/>
      <c r="AI68" s="62"/>
      <c r="AJ68" s="62"/>
      <c r="AK68" s="62"/>
      <c r="AL68" s="62"/>
      <c r="AM68" s="62"/>
      <c r="AN68" s="62"/>
      <c r="AO68" s="62"/>
      <c r="AP68" s="62"/>
      <c r="AQ68" s="62"/>
      <c r="AR68" s="62"/>
      <c r="AS68" s="62"/>
      <c r="AT68" s="62"/>
      <c r="AU68" s="62"/>
      <c r="AV68" s="62"/>
      <c r="AW68" s="62"/>
      <c r="AX68" s="62"/>
      <c r="AY68" s="62"/>
      <c r="AZ68" s="62"/>
      <c r="BA68" s="62"/>
      <c r="BB68" s="62"/>
      <c r="BC68" s="62"/>
      <c r="BD68" s="62"/>
      <c r="BE68" s="62"/>
      <c r="BF68" s="62"/>
      <c r="BG68" s="62"/>
      <c r="BH68" s="62"/>
      <c r="BI68" s="62"/>
      <c r="BJ68" s="62"/>
      <c r="BK68" s="62"/>
      <c r="BL68" s="62"/>
      <c r="BM68" s="62"/>
      <c r="BN68" s="62"/>
      <c r="BO68" s="62"/>
      <c r="BP68" s="62"/>
      <c r="BQ68" s="62"/>
      <c r="BR68" s="62"/>
      <c r="BS68" s="62"/>
      <c r="BT68" s="62"/>
      <c r="BU68" s="62"/>
      <c r="BV68" s="62"/>
      <c r="BW68" s="62"/>
      <c r="BX68" s="62"/>
      <c r="BY68" s="62"/>
      <c r="BZ68" s="62"/>
      <c r="CA68" s="62"/>
      <c r="CB68" s="62"/>
      <c r="CC68" s="62"/>
      <c r="CD68" s="62"/>
      <c r="CE68" s="62"/>
      <c r="CF68" s="62"/>
      <c r="CG68" s="62"/>
      <c r="CH68" s="62"/>
      <c r="CI68" s="62"/>
      <c r="CJ68" s="62"/>
      <c r="CK68" s="62"/>
      <c r="CL68" s="62"/>
      <c r="CM68" s="62"/>
      <c r="CN68" s="62"/>
      <c r="CO68" s="62"/>
      <c r="CP68" s="62"/>
      <c r="CQ68" s="62"/>
      <c r="CR68" s="62"/>
      <c r="CS68" s="62"/>
      <c r="CT68" s="62"/>
      <c r="CU68" s="62"/>
      <c r="CV68" s="62"/>
      <c r="CW68" s="62"/>
      <c r="CX68" s="62"/>
      <c r="CY68" s="62"/>
      <c r="CZ68" s="62"/>
      <c r="DA68" s="62"/>
      <c r="DB68" s="62"/>
      <c r="DC68" s="62"/>
      <c r="DD68" s="62"/>
      <c r="DE68" s="62"/>
    </row>
    <row r="69" spans="1:109" s="3" customFormat="1">
      <c r="A69" s="120"/>
      <c r="B69" s="120" t="s">
        <v>6360</v>
      </c>
      <c r="C69" s="62" t="s">
        <v>494</v>
      </c>
      <c r="D69" s="62"/>
      <c r="E69" s="62"/>
      <c r="F69" s="47"/>
      <c r="G69" s="47"/>
      <c r="H69" s="47"/>
      <c r="I69" s="48"/>
      <c r="J69" s="47"/>
      <c r="K69" s="57">
        <v>18</v>
      </c>
      <c r="L69" s="55">
        <v>3</v>
      </c>
      <c r="M69" s="47">
        <v>3</v>
      </c>
      <c r="N69" s="62" t="s">
        <v>6407</v>
      </c>
      <c r="O69" s="62" t="s">
        <v>6408</v>
      </c>
      <c r="P69" s="62" t="s">
        <v>6409</v>
      </c>
      <c r="Q69" s="47"/>
      <c r="R69" s="47"/>
      <c r="S69" s="62"/>
      <c r="T69" s="62"/>
      <c r="U69" s="62"/>
      <c r="V69" s="62"/>
      <c r="W69" s="62"/>
      <c r="X69" s="62"/>
      <c r="Y69" s="62"/>
      <c r="Z69" s="62"/>
      <c r="AA69" s="62"/>
      <c r="AB69" s="62"/>
      <c r="AC69" s="62"/>
      <c r="AD69" s="62"/>
      <c r="AE69" s="62"/>
      <c r="AF69" s="62"/>
      <c r="AG69" s="62"/>
      <c r="AH69" s="62"/>
      <c r="AI69" s="62"/>
      <c r="AJ69" s="62"/>
      <c r="AK69" s="62"/>
      <c r="AL69" s="62"/>
      <c r="AM69" s="62"/>
      <c r="AN69" s="62"/>
      <c r="AO69" s="62"/>
      <c r="AP69" s="62"/>
      <c r="AQ69" s="62"/>
      <c r="AR69" s="62"/>
      <c r="AS69" s="62"/>
      <c r="AT69" s="62"/>
      <c r="AU69" s="62"/>
      <c r="AV69" s="62"/>
      <c r="AW69" s="62"/>
      <c r="AX69" s="62"/>
      <c r="AY69" s="62"/>
      <c r="AZ69" s="62"/>
      <c r="BA69" s="62"/>
      <c r="BB69" s="62"/>
      <c r="BC69" s="62"/>
      <c r="BD69" s="62"/>
      <c r="BE69" s="62"/>
      <c r="BF69" s="62"/>
      <c r="BG69" s="62"/>
      <c r="BH69" s="62"/>
      <c r="BI69" s="62"/>
      <c r="BJ69" s="62"/>
      <c r="BK69" s="62"/>
      <c r="BL69" s="62"/>
      <c r="BM69" s="62"/>
      <c r="BN69" s="62"/>
      <c r="BO69" s="62"/>
      <c r="BP69" s="62"/>
      <c r="BQ69" s="62"/>
      <c r="BR69" s="62"/>
      <c r="BS69" s="62"/>
      <c r="BT69" s="62"/>
      <c r="BU69" s="62"/>
      <c r="BV69" s="62"/>
      <c r="BW69" s="62"/>
      <c r="BX69" s="62"/>
      <c r="BY69" s="62"/>
      <c r="BZ69" s="62"/>
      <c r="CA69" s="62"/>
      <c r="CB69" s="62"/>
      <c r="CC69" s="62"/>
      <c r="CD69" s="62"/>
      <c r="CE69" s="62"/>
      <c r="CF69" s="62"/>
      <c r="CG69" s="62"/>
      <c r="CH69" s="62"/>
      <c r="CI69" s="62"/>
      <c r="CJ69" s="62"/>
      <c r="CK69" s="62"/>
      <c r="CL69" s="62"/>
      <c r="CM69" s="62"/>
      <c r="CN69" s="62"/>
      <c r="CO69" s="62"/>
      <c r="CP69" s="62"/>
      <c r="CQ69" s="62"/>
      <c r="CR69" s="62"/>
      <c r="CS69" s="62"/>
      <c r="CT69" s="62"/>
      <c r="CU69" s="62"/>
      <c r="CV69" s="62"/>
      <c r="CW69" s="62"/>
      <c r="CX69" s="62"/>
      <c r="CY69" s="62"/>
      <c r="CZ69" s="62"/>
      <c r="DA69" s="62"/>
      <c r="DB69" s="62"/>
      <c r="DC69" s="62"/>
      <c r="DD69" s="62"/>
      <c r="DE69" s="62"/>
    </row>
    <row r="70" spans="1:109" s="3" customFormat="1">
      <c r="A70" s="64"/>
      <c r="B70" s="64"/>
      <c r="C70" s="62"/>
      <c r="D70" s="62"/>
      <c r="E70" s="62"/>
      <c r="F70" s="47"/>
      <c r="G70" s="47"/>
      <c r="H70" s="47"/>
      <c r="I70" s="48"/>
      <c r="J70" s="47"/>
      <c r="K70" s="57"/>
      <c r="L70" s="55"/>
      <c r="M70" s="47"/>
      <c r="N70" s="62"/>
      <c r="O70" s="62"/>
      <c r="P70" s="62"/>
      <c r="Q70" s="47"/>
      <c r="R70" s="47"/>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row>
    <row r="71" spans="1:109" s="3" customFormat="1">
      <c r="A71" s="70" t="s">
        <v>4843</v>
      </c>
      <c r="B71" s="70" t="s">
        <v>6239</v>
      </c>
      <c r="C71" s="62" t="s">
        <v>494</v>
      </c>
      <c r="D71" s="62"/>
      <c r="E71" s="62" t="s">
        <v>476</v>
      </c>
      <c r="F71" s="47">
        <v>2</v>
      </c>
      <c r="G71" s="47">
        <v>248</v>
      </c>
      <c r="H71" s="47" t="s">
        <v>6424</v>
      </c>
      <c r="I71" s="48"/>
      <c r="J71" s="47">
        <v>1512</v>
      </c>
      <c r="K71" s="57">
        <v>1</v>
      </c>
      <c r="L71" s="55">
        <v>52</v>
      </c>
      <c r="M71" s="47"/>
      <c r="N71" s="47">
        <v>251</v>
      </c>
      <c r="O71" s="64" t="s">
        <v>4845</v>
      </c>
      <c r="P71" s="47"/>
      <c r="Q71" s="47"/>
      <c r="R71" s="47"/>
      <c r="S71" s="62"/>
      <c r="T71" s="62"/>
      <c r="U71" s="62"/>
      <c r="V71" s="62"/>
      <c r="W71" s="62"/>
      <c r="X71" s="62"/>
      <c r="Y71" s="62"/>
      <c r="Z71" s="62"/>
      <c r="AA71" s="62"/>
      <c r="AB71" s="62"/>
      <c r="AC71" s="62"/>
      <c r="AD71" s="62"/>
      <c r="AE71" s="62"/>
      <c r="AF71" s="62"/>
      <c r="AG71" s="62"/>
      <c r="AH71" s="62"/>
      <c r="AI71" s="62"/>
      <c r="AJ71" s="62"/>
      <c r="AK71" s="62"/>
      <c r="AL71" s="62"/>
      <c r="AM71" s="62"/>
      <c r="AN71" s="62"/>
      <c r="AO71" s="62"/>
      <c r="AP71" s="62"/>
      <c r="AQ71" s="62"/>
      <c r="AR71" s="62"/>
      <c r="AS71" s="62"/>
      <c r="AT71" s="62"/>
      <c r="AU71" s="62"/>
      <c r="AV71" s="62"/>
      <c r="AW71" s="62"/>
      <c r="AX71" s="62"/>
      <c r="AY71" s="62"/>
      <c r="AZ71" s="62"/>
      <c r="BA71" s="62"/>
      <c r="BB71" s="62"/>
      <c r="BC71" s="62"/>
      <c r="BD71" s="62"/>
      <c r="BE71" s="62"/>
      <c r="BF71" s="62"/>
      <c r="BG71" s="62"/>
      <c r="BH71" s="62"/>
      <c r="BI71" s="62"/>
      <c r="BJ71" s="62"/>
      <c r="BK71" s="62"/>
      <c r="BL71" s="62"/>
      <c r="BM71" s="62"/>
      <c r="BN71" s="62"/>
      <c r="BO71" s="62"/>
      <c r="BP71" s="62"/>
      <c r="BQ71" s="62"/>
      <c r="BR71" s="62"/>
      <c r="BS71" s="62"/>
      <c r="BT71" s="62"/>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row>
    <row r="72" spans="1:109" s="3" customFormat="1">
      <c r="A72" s="70"/>
      <c r="B72" s="70" t="s">
        <v>6423</v>
      </c>
      <c r="C72" s="62" t="s">
        <v>494</v>
      </c>
      <c r="D72" s="62"/>
      <c r="E72" s="62" t="s">
        <v>476</v>
      </c>
      <c r="F72" s="47"/>
      <c r="G72" s="47"/>
      <c r="H72" s="47"/>
      <c r="I72" s="48"/>
      <c r="J72" s="47"/>
      <c r="K72" s="57">
        <v>2</v>
      </c>
      <c r="L72" s="55">
        <v>6</v>
      </c>
      <c r="M72" s="47"/>
      <c r="N72" s="47"/>
      <c r="O72" s="47"/>
      <c r="P72" s="47"/>
      <c r="Q72" s="47"/>
      <c r="R72" s="47"/>
      <c r="S72" s="62"/>
      <c r="T72" s="62"/>
      <c r="U72" s="62"/>
      <c r="V72" s="62"/>
      <c r="W72" s="62"/>
      <c r="X72" s="62"/>
      <c r="Y72" s="62"/>
      <c r="Z72" s="62"/>
      <c r="AA72" s="62"/>
      <c r="AB72" s="62"/>
      <c r="AC72" s="62"/>
      <c r="AD72" s="62"/>
      <c r="AE72" s="62"/>
      <c r="AF72" s="62"/>
      <c r="AG72" s="62"/>
      <c r="AH72" s="62"/>
      <c r="AI72" s="62"/>
      <c r="AJ72" s="62"/>
      <c r="AK72" s="62"/>
      <c r="AL72" s="62"/>
      <c r="AM72" s="62"/>
      <c r="AN72" s="62"/>
      <c r="AO72" s="62"/>
      <c r="AP72" s="62"/>
      <c r="AQ72" s="62"/>
      <c r="AR72" s="62"/>
      <c r="AS72" s="62"/>
      <c r="AT72" s="62"/>
      <c r="AU72" s="62"/>
      <c r="AV72" s="62"/>
      <c r="AW72" s="62"/>
      <c r="AX72" s="62"/>
      <c r="AY72" s="62"/>
      <c r="AZ72" s="62"/>
      <c r="BA72" s="62"/>
      <c r="BB72" s="62"/>
      <c r="BC72" s="62"/>
      <c r="BD72" s="62"/>
      <c r="BE72" s="62"/>
      <c r="BF72" s="62"/>
      <c r="BG72" s="62"/>
      <c r="BH72" s="62"/>
      <c r="BI72" s="62"/>
      <c r="BJ72" s="62"/>
      <c r="BK72" s="62"/>
      <c r="BL72" s="62"/>
      <c r="BM72" s="62"/>
      <c r="BN72" s="62"/>
      <c r="BO72" s="62"/>
      <c r="BP72" s="62"/>
      <c r="BQ72" s="62"/>
      <c r="BR72" s="62"/>
      <c r="BS72" s="62"/>
      <c r="BT72" s="62"/>
      <c r="BU72" s="62"/>
      <c r="BV72" s="62"/>
      <c r="BW72" s="62"/>
      <c r="BX72" s="62"/>
      <c r="BY72" s="62"/>
      <c r="BZ72" s="62"/>
      <c r="CA72" s="62"/>
      <c r="CB72" s="62"/>
      <c r="CC72" s="62"/>
      <c r="CD72" s="62"/>
      <c r="CE72" s="62"/>
      <c r="CF72" s="62"/>
      <c r="CG72" s="62"/>
      <c r="CH72" s="62"/>
      <c r="CI72" s="62"/>
      <c r="CJ72" s="62"/>
      <c r="CK72" s="62"/>
      <c r="CL72" s="62"/>
      <c r="CM72" s="62"/>
      <c r="CN72" s="62"/>
      <c r="CO72" s="62"/>
      <c r="CP72" s="62"/>
      <c r="CQ72" s="62"/>
      <c r="CR72" s="62"/>
      <c r="CS72" s="62"/>
      <c r="CT72" s="62"/>
      <c r="CU72" s="62"/>
      <c r="CV72" s="62"/>
      <c r="CW72" s="62"/>
      <c r="CX72" s="62"/>
      <c r="CY72" s="62"/>
      <c r="CZ72" s="62"/>
      <c r="DA72" s="62"/>
      <c r="DB72" s="62"/>
      <c r="DC72" s="62"/>
      <c r="DD72" s="62"/>
      <c r="DE72" s="62"/>
    </row>
    <row r="73" spans="1:109" s="3" customFormat="1">
      <c r="A73" s="70"/>
      <c r="B73" s="70" t="s">
        <v>6214</v>
      </c>
      <c r="C73" s="62" t="s">
        <v>494</v>
      </c>
      <c r="D73" s="62"/>
      <c r="E73" s="62" t="s">
        <v>476</v>
      </c>
      <c r="F73" s="47"/>
      <c r="G73" s="47"/>
      <c r="H73" s="47"/>
      <c r="I73" s="48"/>
      <c r="J73" s="47"/>
      <c r="K73" s="57">
        <v>3</v>
      </c>
      <c r="L73" s="55"/>
      <c r="M73" s="47">
        <v>2</v>
      </c>
      <c r="N73" s="47"/>
      <c r="O73" s="47"/>
      <c r="P73" s="47"/>
      <c r="Q73" s="47"/>
      <c r="R73" s="47"/>
      <c r="S73" s="62"/>
      <c r="T73" s="62"/>
      <c r="U73" s="62"/>
      <c r="V73" s="62"/>
      <c r="W73" s="62"/>
      <c r="X73" s="62"/>
      <c r="Y73" s="62"/>
      <c r="Z73" s="62"/>
      <c r="AA73" s="62"/>
      <c r="AB73" s="62"/>
      <c r="AC73" s="62"/>
      <c r="AD73" s="62"/>
      <c r="AE73" s="62"/>
      <c r="AF73" s="62"/>
      <c r="AG73" s="62"/>
      <c r="AH73" s="62"/>
      <c r="AI73" s="62"/>
      <c r="AJ73" s="62"/>
      <c r="AK73" s="62"/>
      <c r="AL73" s="62"/>
      <c r="AM73" s="62"/>
      <c r="AN73" s="62"/>
      <c r="AO73" s="62"/>
      <c r="AP73" s="62"/>
      <c r="AQ73" s="62"/>
      <c r="AR73" s="62"/>
      <c r="AS73" s="62"/>
      <c r="AT73" s="62"/>
      <c r="AU73" s="62"/>
      <c r="AV73" s="62"/>
      <c r="AW73" s="62"/>
      <c r="AX73" s="62"/>
      <c r="AY73" s="62"/>
      <c r="AZ73" s="62"/>
      <c r="BA73" s="62"/>
      <c r="BB73" s="62"/>
      <c r="BC73" s="62"/>
      <c r="BD73" s="62"/>
      <c r="BE73" s="62"/>
      <c r="BF73" s="62"/>
      <c r="BG73" s="62"/>
      <c r="BH73" s="62"/>
      <c r="BI73" s="62"/>
      <c r="BJ73" s="62"/>
      <c r="BK73" s="62"/>
      <c r="BL73" s="62"/>
      <c r="BM73" s="62"/>
      <c r="BN73" s="62"/>
      <c r="BO73" s="62"/>
      <c r="BP73" s="62"/>
      <c r="BQ73" s="62"/>
      <c r="BR73" s="62"/>
      <c r="BS73" s="62"/>
      <c r="BT73" s="62"/>
      <c r="BU73" s="62"/>
      <c r="BV73" s="62"/>
      <c r="BW73" s="62"/>
      <c r="BX73" s="62"/>
      <c r="BY73" s="62"/>
      <c r="BZ73" s="62"/>
      <c r="CA73" s="62"/>
      <c r="CB73" s="62"/>
      <c r="CC73" s="62"/>
      <c r="CD73" s="62"/>
      <c r="CE73" s="62"/>
      <c r="CF73" s="62"/>
      <c r="CG73" s="62"/>
      <c r="CH73" s="62"/>
      <c r="CI73" s="62"/>
      <c r="CJ73" s="62"/>
      <c r="CK73" s="62"/>
      <c r="CL73" s="62"/>
      <c r="CM73" s="62"/>
      <c r="CN73" s="62"/>
      <c r="CO73" s="62"/>
      <c r="CP73" s="62"/>
      <c r="CQ73" s="62"/>
      <c r="CR73" s="62"/>
      <c r="CS73" s="62"/>
      <c r="CT73" s="62"/>
      <c r="CU73" s="62"/>
      <c r="CV73" s="62"/>
      <c r="CW73" s="62"/>
      <c r="CX73" s="62"/>
      <c r="CY73" s="62"/>
      <c r="CZ73" s="62"/>
      <c r="DA73" s="62"/>
      <c r="DB73" s="62"/>
      <c r="DC73" s="62"/>
      <c r="DD73" s="62"/>
      <c r="DE73" s="62"/>
    </row>
    <row r="74" spans="1:109" s="3" customFormat="1">
      <c r="A74" s="70"/>
      <c r="B74" s="70" t="s">
        <v>4844</v>
      </c>
      <c r="C74" s="62" t="s">
        <v>494</v>
      </c>
      <c r="D74" s="62"/>
      <c r="E74" s="62" t="s">
        <v>476</v>
      </c>
      <c r="F74" s="47"/>
      <c r="G74" s="47"/>
      <c r="H74" s="47"/>
      <c r="I74" s="48"/>
      <c r="J74" s="47"/>
      <c r="K74" s="57">
        <v>4</v>
      </c>
      <c r="L74" s="55"/>
      <c r="M74" s="47">
        <v>2</v>
      </c>
      <c r="N74" s="47"/>
      <c r="O74" s="47"/>
      <c r="P74" s="47"/>
      <c r="Q74" s="47"/>
      <c r="R74" s="47"/>
      <c r="S74" s="62"/>
      <c r="T74" s="62"/>
      <c r="U74" s="62"/>
      <c r="V74" s="62"/>
      <c r="W74" s="62"/>
      <c r="X74" s="62"/>
      <c r="Y74" s="62"/>
      <c r="Z74" s="62"/>
      <c r="AA74" s="62"/>
      <c r="AB74" s="62"/>
      <c r="AC74" s="62"/>
      <c r="AD74" s="62"/>
      <c r="AE74" s="62"/>
      <c r="AF74" s="62"/>
      <c r="AG74" s="62"/>
      <c r="AH74" s="62"/>
      <c r="AI74" s="62"/>
      <c r="AJ74" s="62"/>
      <c r="AK74" s="62"/>
      <c r="AL74" s="62"/>
      <c r="AM74" s="62"/>
      <c r="AN74" s="62"/>
      <c r="AO74" s="62"/>
      <c r="AP74" s="62"/>
      <c r="AQ74" s="62"/>
      <c r="AR74" s="62"/>
      <c r="AS74" s="62"/>
      <c r="AT74" s="62"/>
      <c r="AU74" s="62"/>
      <c r="AV74" s="62"/>
      <c r="AW74" s="62"/>
      <c r="AX74" s="62"/>
      <c r="AY74" s="62"/>
      <c r="AZ74" s="62"/>
      <c r="BA74" s="62"/>
      <c r="BB74" s="62"/>
      <c r="BC74" s="62"/>
      <c r="BD74" s="62"/>
      <c r="BE74" s="62"/>
      <c r="BF74" s="62"/>
      <c r="BG74" s="62"/>
      <c r="BH74" s="62"/>
      <c r="BI74" s="62"/>
      <c r="BJ74" s="62"/>
      <c r="BK74" s="62"/>
      <c r="BL74" s="62"/>
      <c r="BM74" s="62"/>
      <c r="BN74" s="62"/>
      <c r="BO74" s="62"/>
      <c r="BP74" s="62"/>
      <c r="BQ74" s="62"/>
      <c r="BR74" s="62"/>
      <c r="BS74" s="62"/>
      <c r="BT74" s="62"/>
      <c r="BU74" s="62"/>
      <c r="BV74" s="62"/>
      <c r="BW74" s="62"/>
      <c r="BX74" s="62"/>
      <c r="BY74" s="62"/>
      <c r="BZ74" s="62"/>
      <c r="CA74" s="62"/>
      <c r="CB74" s="62"/>
      <c r="CC74" s="62"/>
      <c r="CD74" s="62"/>
      <c r="CE74" s="62"/>
      <c r="CF74" s="62"/>
      <c r="CG74" s="62"/>
      <c r="CH74" s="62"/>
      <c r="CI74" s="62"/>
      <c r="CJ74" s="62"/>
      <c r="CK74" s="62"/>
      <c r="CL74" s="62"/>
      <c r="CM74" s="62"/>
      <c r="CN74" s="62"/>
      <c r="CO74" s="62"/>
      <c r="CP74" s="62"/>
      <c r="CQ74" s="62"/>
      <c r="CR74" s="62"/>
      <c r="CS74" s="62"/>
      <c r="CT74" s="62"/>
      <c r="CU74" s="62"/>
      <c r="CV74" s="62"/>
      <c r="CW74" s="62"/>
      <c r="CX74" s="62"/>
      <c r="CY74" s="62"/>
      <c r="CZ74" s="62"/>
      <c r="DA74" s="62"/>
      <c r="DB74" s="62"/>
      <c r="DC74" s="62"/>
      <c r="DD74" s="62"/>
      <c r="DE74" s="62"/>
    </row>
    <row r="75" spans="1:109" s="3" customFormat="1">
      <c r="A75" s="70"/>
      <c r="B75" s="70" t="s">
        <v>4845</v>
      </c>
      <c r="C75" s="62" t="s">
        <v>494</v>
      </c>
      <c r="D75" s="62"/>
      <c r="E75" s="62"/>
      <c r="F75" s="47"/>
      <c r="G75" s="47"/>
      <c r="H75" s="47"/>
      <c r="I75" s="48"/>
      <c r="J75" s="47"/>
      <c r="K75" s="57">
        <v>5</v>
      </c>
      <c r="L75" s="55">
        <v>6</v>
      </c>
      <c r="M75" s="47"/>
      <c r="N75" s="47"/>
      <c r="O75" s="47"/>
      <c r="P75" s="47"/>
      <c r="Q75" s="47"/>
      <c r="R75" s="47"/>
      <c r="S75" s="62"/>
      <c r="T75" s="62"/>
      <c r="U75" s="62"/>
      <c r="V75" s="62"/>
      <c r="W75" s="62"/>
      <c r="X75" s="62"/>
      <c r="Y75" s="62"/>
      <c r="Z75" s="62"/>
      <c r="AA75" s="62"/>
      <c r="AB75" s="62"/>
      <c r="AC75" s="62"/>
      <c r="AD75" s="62"/>
      <c r="AE75" s="62"/>
      <c r="AF75" s="62"/>
      <c r="AG75" s="62"/>
      <c r="AH75" s="62"/>
      <c r="AI75" s="62"/>
      <c r="AJ75" s="62"/>
      <c r="AK75" s="62"/>
      <c r="AL75" s="62"/>
      <c r="AM75" s="62"/>
      <c r="AN75" s="62"/>
      <c r="AO75" s="62"/>
      <c r="AP75" s="62"/>
      <c r="AQ75" s="62"/>
      <c r="AR75" s="62"/>
      <c r="AS75" s="62"/>
      <c r="AT75" s="62"/>
      <c r="AU75" s="62"/>
      <c r="AV75" s="62"/>
      <c r="AW75" s="62"/>
      <c r="AX75" s="62"/>
      <c r="AY75" s="62"/>
      <c r="AZ75" s="62"/>
      <c r="BA75" s="62"/>
      <c r="BB75" s="62"/>
      <c r="BC75" s="62"/>
      <c r="BD75" s="62"/>
      <c r="BE75" s="62"/>
      <c r="BF75" s="62"/>
      <c r="BG75" s="62"/>
      <c r="BH75" s="62"/>
      <c r="BI75" s="62"/>
      <c r="BJ75" s="62"/>
      <c r="BK75" s="62"/>
      <c r="BL75" s="62"/>
      <c r="BM75" s="62"/>
      <c r="BN75" s="62"/>
      <c r="BO75" s="62"/>
      <c r="BP75" s="62"/>
      <c r="BQ75" s="62"/>
      <c r="BR75" s="62"/>
      <c r="BS75" s="62"/>
      <c r="BT75" s="62"/>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row>
    <row r="76" spans="1:109" s="3" customFormat="1">
      <c r="A76" s="120"/>
      <c r="B76" s="120" t="s">
        <v>6406</v>
      </c>
      <c r="C76" s="62" t="s">
        <v>494</v>
      </c>
      <c r="D76" s="62"/>
      <c r="E76" s="62"/>
      <c r="F76" s="47"/>
      <c r="G76" s="47"/>
      <c r="H76" s="47"/>
      <c r="I76" s="48"/>
      <c r="J76" s="47"/>
      <c r="K76" s="57">
        <v>6</v>
      </c>
      <c r="L76" s="55">
        <v>8</v>
      </c>
      <c r="M76" s="47"/>
      <c r="N76" s="47"/>
      <c r="O76" s="47"/>
      <c r="P76" s="47"/>
      <c r="Q76" s="47"/>
      <c r="R76" s="47"/>
      <c r="S76" s="62"/>
      <c r="T76" s="62"/>
      <c r="U76" s="62"/>
      <c r="V76" s="62"/>
      <c r="W76" s="62"/>
      <c r="X76" s="62"/>
      <c r="Y76" s="62"/>
      <c r="Z76" s="62"/>
      <c r="AA76" s="62"/>
      <c r="AB76" s="62"/>
      <c r="AC76" s="62"/>
      <c r="AD76" s="62"/>
      <c r="AE76" s="62"/>
      <c r="AF76" s="62"/>
      <c r="AG76" s="62"/>
      <c r="AH76" s="62"/>
      <c r="AI76" s="62"/>
      <c r="AJ76" s="62"/>
      <c r="AK76" s="62"/>
      <c r="AL76" s="62"/>
      <c r="AM76" s="62"/>
      <c r="AN76" s="62"/>
      <c r="AO76" s="62"/>
      <c r="AP76" s="62"/>
      <c r="AQ76" s="62"/>
      <c r="AR76" s="62"/>
      <c r="AS76" s="62"/>
      <c r="AT76" s="62"/>
      <c r="AU76" s="62"/>
      <c r="AV76" s="62"/>
      <c r="AW76" s="62"/>
      <c r="AX76" s="62"/>
      <c r="AY76" s="62"/>
      <c r="AZ76" s="62"/>
      <c r="BA76" s="62"/>
      <c r="BB76" s="62"/>
      <c r="BC76" s="62"/>
      <c r="BD76" s="62"/>
      <c r="BE76" s="62"/>
      <c r="BF76" s="62"/>
      <c r="BG76" s="62"/>
      <c r="BH76" s="62"/>
      <c r="BI76" s="62"/>
      <c r="BJ76" s="62"/>
      <c r="BK76" s="62"/>
      <c r="BL76" s="62"/>
      <c r="BM76" s="62"/>
      <c r="BN76" s="62"/>
      <c r="BO76" s="62"/>
      <c r="BP76" s="62"/>
      <c r="BQ76" s="62"/>
      <c r="BR76" s="62"/>
      <c r="BS76" s="62"/>
      <c r="BT76" s="62"/>
      <c r="BU76" s="62"/>
      <c r="BV76" s="62"/>
      <c r="BW76" s="62"/>
      <c r="BX76" s="62"/>
      <c r="BY76" s="62"/>
      <c r="BZ76" s="62"/>
      <c r="CA76" s="62"/>
      <c r="CB76" s="62"/>
      <c r="CC76" s="62"/>
      <c r="CD76" s="62"/>
      <c r="CE76" s="62"/>
      <c r="CF76" s="62"/>
      <c r="CG76" s="62"/>
      <c r="CH76" s="62"/>
      <c r="CI76" s="62"/>
      <c r="CJ76" s="62"/>
      <c r="CK76" s="62"/>
      <c r="CL76" s="62"/>
      <c r="CM76" s="62"/>
      <c r="CN76" s="62"/>
      <c r="CO76" s="62"/>
      <c r="CP76" s="62"/>
      <c r="CQ76" s="62"/>
      <c r="CR76" s="62"/>
      <c r="CS76" s="62"/>
      <c r="CT76" s="62"/>
      <c r="CU76" s="62"/>
      <c r="CV76" s="62"/>
      <c r="CW76" s="62"/>
      <c r="CX76" s="62"/>
      <c r="CY76" s="62"/>
      <c r="CZ76" s="62"/>
      <c r="DA76" s="62"/>
      <c r="DB76" s="62"/>
      <c r="DC76" s="62"/>
      <c r="DD76" s="62"/>
      <c r="DE76" s="62"/>
    </row>
    <row r="77" spans="1:109" s="3" customFormat="1">
      <c r="A77" s="62"/>
      <c r="B77" s="62" t="s">
        <v>6361</v>
      </c>
      <c r="C77" s="62" t="s">
        <v>494</v>
      </c>
      <c r="D77" s="62"/>
      <c r="E77" s="62"/>
      <c r="F77" s="47"/>
      <c r="G77" s="47"/>
      <c r="H77" s="47"/>
      <c r="I77" s="48"/>
      <c r="J77" s="47"/>
      <c r="K77" s="57">
        <v>7</v>
      </c>
      <c r="L77" s="55">
        <v>3</v>
      </c>
      <c r="M77" s="47"/>
      <c r="N77" s="62" t="s">
        <v>6404</v>
      </c>
      <c r="O77" s="62" t="s">
        <v>6222</v>
      </c>
      <c r="P77" s="62" t="s">
        <v>6405</v>
      </c>
      <c r="Q77" s="47"/>
      <c r="R77" s="47"/>
      <c r="S77" s="62"/>
      <c r="T77" s="62"/>
      <c r="U77" s="62"/>
      <c r="V77" s="62"/>
      <c r="W77" s="62"/>
      <c r="X77" s="62"/>
      <c r="Y77" s="62"/>
      <c r="Z77" s="62"/>
      <c r="AA77" s="62"/>
      <c r="AB77" s="62"/>
      <c r="AC77" s="62"/>
      <c r="AD77" s="62"/>
      <c r="AE77" s="62"/>
      <c r="AF77" s="62"/>
      <c r="AG77" s="62"/>
      <c r="AH77" s="62"/>
      <c r="AI77" s="62"/>
      <c r="AJ77" s="62"/>
      <c r="AK77" s="62"/>
      <c r="AL77" s="62"/>
      <c r="AM77" s="62"/>
      <c r="AN77" s="62"/>
      <c r="AO77" s="62"/>
      <c r="AP77" s="62"/>
      <c r="AQ77" s="62"/>
      <c r="AR77" s="62"/>
      <c r="AS77" s="62"/>
      <c r="AT77" s="62"/>
      <c r="AU77" s="62"/>
      <c r="AV77" s="62"/>
      <c r="AW77" s="62"/>
      <c r="AX77" s="62"/>
      <c r="AY77" s="62"/>
      <c r="AZ77" s="62"/>
      <c r="BA77" s="62"/>
      <c r="BB77" s="62"/>
      <c r="BC77" s="62"/>
      <c r="BD77" s="62"/>
      <c r="BE77" s="62"/>
      <c r="BF77" s="62"/>
      <c r="BG77" s="62"/>
      <c r="BH77" s="62"/>
      <c r="BI77" s="62"/>
      <c r="BJ77" s="62"/>
      <c r="BK77" s="62"/>
      <c r="BL77" s="62"/>
      <c r="BM77" s="62"/>
      <c r="BN77" s="62"/>
      <c r="BO77" s="62"/>
      <c r="BP77" s="62"/>
      <c r="BQ77" s="62"/>
      <c r="BR77" s="62"/>
      <c r="BS77" s="62"/>
      <c r="BT77" s="62"/>
      <c r="BU77" s="62"/>
      <c r="BV77" s="62"/>
      <c r="BW77" s="62"/>
      <c r="BX77" s="62"/>
      <c r="BY77" s="62"/>
      <c r="BZ77" s="62"/>
      <c r="CA77" s="62"/>
      <c r="CB77" s="62"/>
      <c r="CC77" s="62"/>
      <c r="CD77" s="62"/>
      <c r="CE77" s="62"/>
      <c r="CF77" s="62"/>
      <c r="CG77" s="62"/>
      <c r="CH77" s="62"/>
      <c r="CI77" s="62"/>
      <c r="CJ77" s="62"/>
      <c r="CK77" s="62"/>
      <c r="CL77" s="62"/>
      <c r="CM77" s="62"/>
      <c r="CN77" s="62"/>
      <c r="CO77" s="62"/>
      <c r="CP77" s="62"/>
      <c r="CQ77" s="62"/>
      <c r="CR77" s="62"/>
      <c r="CS77" s="62"/>
      <c r="CT77" s="62"/>
      <c r="CU77" s="62"/>
      <c r="CV77" s="62"/>
      <c r="CW77" s="62"/>
      <c r="CX77" s="62"/>
      <c r="CY77" s="62"/>
      <c r="CZ77" s="62"/>
      <c r="DA77" s="62"/>
      <c r="DB77" s="62"/>
      <c r="DC77" s="62"/>
      <c r="DD77" s="62"/>
      <c r="DE77" s="62"/>
    </row>
    <row r="78" spans="1:109" s="3" customFormat="1">
      <c r="A78" s="62"/>
      <c r="B78" s="62" t="s">
        <v>6411</v>
      </c>
      <c r="C78" s="62" t="s">
        <v>520</v>
      </c>
      <c r="D78" s="62"/>
      <c r="E78" s="62"/>
      <c r="F78" s="47"/>
      <c r="G78" s="47"/>
      <c r="H78" s="47"/>
      <c r="I78" s="48"/>
      <c r="J78" s="47"/>
      <c r="K78" s="57">
        <v>8</v>
      </c>
      <c r="L78" s="55"/>
      <c r="M78" s="47"/>
      <c r="N78" s="62"/>
      <c r="P78" s="47"/>
      <c r="Q78" s="47"/>
      <c r="R78" s="47"/>
      <c r="S78" s="62"/>
      <c r="T78" s="62"/>
      <c r="U78" s="62"/>
      <c r="V78" s="62"/>
      <c r="W78" s="62"/>
      <c r="X78" s="62"/>
      <c r="Y78" s="62"/>
      <c r="Z78" s="62"/>
      <c r="AA78" s="62"/>
      <c r="AB78" s="62"/>
      <c r="AC78" s="62"/>
      <c r="AD78" s="62"/>
      <c r="AE78" s="62"/>
      <c r="AF78" s="62"/>
      <c r="AG78" s="62"/>
      <c r="AH78" s="62"/>
      <c r="AI78" s="62"/>
      <c r="AJ78" s="62"/>
      <c r="AK78" s="62"/>
      <c r="AL78" s="62"/>
      <c r="AM78" s="62"/>
      <c r="AN78" s="62"/>
      <c r="AO78" s="62"/>
      <c r="AP78" s="62"/>
      <c r="AQ78" s="62"/>
      <c r="AR78" s="62"/>
      <c r="AS78" s="62"/>
      <c r="AT78" s="62"/>
      <c r="AU78" s="62"/>
      <c r="AV78" s="62"/>
      <c r="AW78" s="62"/>
      <c r="AX78" s="62"/>
      <c r="AY78" s="62"/>
      <c r="AZ78" s="62"/>
      <c r="BA78" s="62"/>
      <c r="BB78" s="62"/>
      <c r="BC78" s="62"/>
      <c r="BD78" s="62"/>
      <c r="BE78" s="62"/>
      <c r="BF78" s="62"/>
      <c r="BG78" s="62"/>
      <c r="BH78" s="62"/>
      <c r="BI78" s="62"/>
      <c r="BJ78" s="62"/>
      <c r="BK78" s="62"/>
      <c r="BL78" s="62"/>
      <c r="BM78" s="62"/>
      <c r="BN78" s="62"/>
      <c r="BO78" s="62"/>
      <c r="BP78" s="62"/>
      <c r="BQ78" s="62"/>
      <c r="BR78" s="62"/>
      <c r="BS78" s="62"/>
      <c r="BT78" s="62"/>
      <c r="BU78" s="62"/>
      <c r="BV78" s="62"/>
      <c r="BW78" s="62"/>
      <c r="BX78" s="62"/>
      <c r="BY78" s="62"/>
      <c r="BZ78" s="62"/>
      <c r="CA78" s="62"/>
      <c r="CB78" s="62"/>
      <c r="CC78" s="62"/>
      <c r="CD78" s="62"/>
      <c r="CE78" s="62"/>
      <c r="CF78" s="62"/>
      <c r="CG78" s="62"/>
      <c r="CH78" s="62"/>
      <c r="CI78" s="62"/>
      <c r="CJ78" s="62"/>
      <c r="CK78" s="62"/>
      <c r="CL78" s="62"/>
      <c r="CM78" s="62"/>
      <c r="CN78" s="62"/>
      <c r="CO78" s="62"/>
      <c r="CP78" s="62"/>
      <c r="CQ78" s="62"/>
      <c r="CR78" s="62"/>
      <c r="CS78" s="62"/>
      <c r="CT78" s="62"/>
      <c r="CU78" s="62"/>
      <c r="CV78" s="62"/>
      <c r="CW78" s="62"/>
      <c r="CX78" s="62"/>
      <c r="CY78" s="62"/>
      <c r="CZ78" s="62"/>
      <c r="DA78" s="62"/>
      <c r="DB78" s="62"/>
      <c r="DC78" s="62"/>
      <c r="DD78" s="62"/>
      <c r="DE78" s="62"/>
    </row>
    <row r="79" spans="1:109" s="3" customFormat="1">
      <c r="A79" s="62"/>
      <c r="B79" s="62" t="s">
        <v>6363</v>
      </c>
      <c r="C79" s="62" t="s">
        <v>494</v>
      </c>
      <c r="D79" s="62"/>
      <c r="E79" s="62"/>
      <c r="F79" s="47"/>
      <c r="G79" s="47"/>
      <c r="H79" s="47" t="s">
        <v>4874</v>
      </c>
      <c r="I79" s="48"/>
      <c r="J79" s="47"/>
      <c r="K79" s="57">
        <v>9</v>
      </c>
      <c r="L79" s="55">
        <v>3</v>
      </c>
      <c r="M79" s="47"/>
      <c r="N79" s="47"/>
      <c r="O79" s="47"/>
      <c r="P79" s="47"/>
      <c r="Q79" s="47"/>
      <c r="R79" s="47"/>
      <c r="S79" s="62"/>
      <c r="T79" s="62"/>
      <c r="U79" s="62"/>
      <c r="V79" s="62"/>
      <c r="W79" s="62"/>
      <c r="X79" s="62"/>
      <c r="Y79" s="62"/>
      <c r="Z79" s="62"/>
      <c r="AA79" s="62"/>
      <c r="AB79" s="62"/>
      <c r="AC79" s="62"/>
      <c r="AD79" s="62"/>
      <c r="AE79" s="62"/>
      <c r="AF79" s="62"/>
      <c r="AG79" s="62"/>
      <c r="AH79" s="62"/>
      <c r="AI79" s="62"/>
      <c r="AJ79" s="62"/>
      <c r="AK79" s="62"/>
      <c r="AL79" s="62"/>
      <c r="AM79" s="62"/>
      <c r="AN79" s="62"/>
      <c r="AO79" s="62"/>
      <c r="AP79" s="62"/>
      <c r="AQ79" s="62"/>
      <c r="AR79" s="62"/>
      <c r="AS79" s="62"/>
      <c r="AT79" s="62"/>
      <c r="AU79" s="62"/>
      <c r="AV79" s="62"/>
      <c r="AW79" s="62"/>
      <c r="AX79" s="62"/>
      <c r="AY79" s="62"/>
      <c r="AZ79" s="62"/>
      <c r="BA79" s="62"/>
      <c r="BB79" s="62"/>
      <c r="BC79" s="62"/>
      <c r="BD79" s="62"/>
      <c r="BE79" s="62"/>
      <c r="BF79" s="62"/>
      <c r="BG79" s="62"/>
      <c r="BH79" s="62"/>
      <c r="BI79" s="62"/>
      <c r="BJ79" s="62"/>
      <c r="BK79" s="62"/>
      <c r="BL79" s="62"/>
      <c r="BM79" s="62"/>
      <c r="BN79" s="62"/>
      <c r="BO79" s="62"/>
      <c r="BP79" s="62"/>
      <c r="BQ79" s="62"/>
      <c r="BR79" s="62"/>
      <c r="BS79" s="62"/>
      <c r="BT79" s="62"/>
      <c r="BU79" s="62"/>
      <c r="BV79" s="62"/>
      <c r="BW79" s="62"/>
      <c r="BX79" s="62"/>
      <c r="BY79" s="62"/>
      <c r="BZ79" s="62"/>
      <c r="CA79" s="62"/>
      <c r="CB79" s="62"/>
      <c r="CC79" s="62"/>
      <c r="CD79" s="62"/>
      <c r="CE79" s="62"/>
      <c r="CF79" s="62"/>
      <c r="CG79" s="62"/>
      <c r="CH79" s="62"/>
      <c r="CI79" s="62"/>
      <c r="CJ79" s="62"/>
      <c r="CK79" s="62"/>
      <c r="CL79" s="62"/>
      <c r="CM79" s="62"/>
      <c r="CN79" s="62"/>
      <c r="CO79" s="62"/>
      <c r="CP79" s="62"/>
      <c r="CQ79" s="62"/>
      <c r="CR79" s="62"/>
      <c r="CS79" s="62"/>
      <c r="CT79" s="62"/>
      <c r="CU79" s="62"/>
      <c r="CV79" s="62"/>
      <c r="CW79" s="62"/>
      <c r="CX79" s="62"/>
      <c r="CY79" s="62"/>
      <c r="CZ79" s="62"/>
      <c r="DA79" s="62"/>
      <c r="DB79" s="62"/>
      <c r="DC79" s="62"/>
      <c r="DD79" s="62"/>
      <c r="DE79" s="62"/>
    </row>
    <row r="80" spans="1:109" s="3" customFormat="1">
      <c r="A80" s="62"/>
      <c r="B80" s="62" t="s">
        <v>6364</v>
      </c>
      <c r="C80" s="62" t="s">
        <v>494</v>
      </c>
      <c r="D80" s="62"/>
      <c r="E80" s="62"/>
      <c r="F80" s="47"/>
      <c r="G80" s="47"/>
      <c r="H80" s="47" t="s">
        <v>4876</v>
      </c>
      <c r="I80" s="48"/>
      <c r="J80" s="47"/>
      <c r="K80" s="57">
        <v>10</v>
      </c>
      <c r="L80" s="55"/>
      <c r="M80" s="47"/>
      <c r="N80" s="47"/>
      <c r="O80" s="47"/>
      <c r="P80" s="47"/>
      <c r="Q80" s="47"/>
      <c r="R80" s="47"/>
      <c r="S80" s="62"/>
      <c r="T80" s="62"/>
      <c r="U80" s="62"/>
      <c r="V80" s="62"/>
      <c r="W80" s="62"/>
      <c r="X80" s="62"/>
      <c r="Y80" s="62"/>
      <c r="Z80" s="62"/>
      <c r="AA80" s="62"/>
      <c r="AB80" s="62"/>
      <c r="AC80" s="62"/>
      <c r="AD80" s="62"/>
      <c r="AE80" s="62"/>
      <c r="AF80" s="62"/>
      <c r="AG80" s="62"/>
      <c r="AH80" s="62"/>
      <c r="AI80" s="62"/>
      <c r="AJ80" s="62"/>
      <c r="AK80" s="62"/>
      <c r="AL80" s="62"/>
      <c r="AM80" s="62"/>
      <c r="AN80" s="62"/>
      <c r="AO80" s="62"/>
      <c r="AP80" s="62"/>
      <c r="AQ80" s="62"/>
      <c r="AR80" s="62"/>
      <c r="AS80" s="62"/>
      <c r="AT80" s="62"/>
      <c r="AU80" s="62"/>
      <c r="AV80" s="62"/>
      <c r="AW80" s="62"/>
      <c r="AX80" s="62"/>
      <c r="AY80" s="62"/>
      <c r="AZ80" s="62"/>
      <c r="BA80" s="62"/>
      <c r="BB80" s="62"/>
      <c r="BC80" s="62"/>
      <c r="BD80" s="62"/>
      <c r="BE80" s="62"/>
      <c r="BF80" s="62"/>
      <c r="BG80" s="62"/>
      <c r="BH80" s="62"/>
      <c r="BI80" s="62"/>
      <c r="BJ80" s="62"/>
      <c r="BK80" s="62"/>
      <c r="BL80" s="62"/>
      <c r="BM80" s="62"/>
      <c r="BN80" s="62"/>
      <c r="BO80" s="62"/>
      <c r="BP80" s="62"/>
      <c r="BQ80" s="62"/>
      <c r="BR80" s="62"/>
      <c r="BS80" s="62"/>
      <c r="BT80" s="62"/>
      <c r="BU80" s="62"/>
      <c r="BV80" s="62"/>
      <c r="BW80" s="62"/>
      <c r="BX80" s="62"/>
      <c r="BY80" s="62"/>
      <c r="BZ80" s="62"/>
      <c r="CA80" s="62"/>
      <c r="CB80" s="62"/>
      <c r="CC80" s="62"/>
      <c r="CD80" s="62"/>
      <c r="CE80" s="62"/>
      <c r="CF80" s="62"/>
      <c r="CG80" s="62"/>
      <c r="CH80" s="62"/>
      <c r="CI80" s="62"/>
      <c r="CJ80" s="62"/>
      <c r="CK80" s="62"/>
      <c r="CL80" s="62"/>
      <c r="CM80" s="62"/>
      <c r="CN80" s="62"/>
      <c r="CO80" s="62"/>
      <c r="CP80" s="62"/>
      <c r="CQ80" s="62"/>
      <c r="CR80" s="62"/>
      <c r="CS80" s="62"/>
      <c r="CT80" s="62"/>
      <c r="CU80" s="62"/>
      <c r="CV80" s="62"/>
      <c r="CW80" s="62"/>
      <c r="CX80" s="62"/>
      <c r="CY80" s="62"/>
      <c r="CZ80" s="62"/>
      <c r="DA80" s="62"/>
      <c r="DB80" s="62"/>
      <c r="DC80" s="62"/>
      <c r="DD80" s="62"/>
      <c r="DE80" s="62"/>
    </row>
    <row r="81" spans="1:109" s="3" customFormat="1">
      <c r="A81" s="62"/>
      <c r="B81" s="62" t="s">
        <v>6365</v>
      </c>
      <c r="C81" s="62" t="s">
        <v>494</v>
      </c>
      <c r="D81" s="62"/>
      <c r="E81" s="62"/>
      <c r="F81" s="47"/>
      <c r="G81" s="47"/>
      <c r="H81" s="47"/>
      <c r="I81" s="48"/>
      <c r="J81" s="47"/>
      <c r="K81" s="57">
        <v>11</v>
      </c>
      <c r="L81" s="55"/>
      <c r="M81" s="47"/>
      <c r="N81" s="47"/>
      <c r="O81" s="47"/>
      <c r="P81" s="47"/>
      <c r="Q81" s="47"/>
      <c r="R81" s="47"/>
      <c r="S81" s="62"/>
      <c r="T81" s="62"/>
      <c r="U81" s="62"/>
      <c r="V81" s="62"/>
      <c r="W81" s="62"/>
      <c r="X81" s="62"/>
      <c r="Y81" s="62"/>
      <c r="Z81" s="62"/>
      <c r="AA81" s="62"/>
      <c r="AB81" s="62"/>
      <c r="AC81" s="62"/>
      <c r="AD81" s="62"/>
      <c r="AE81" s="62"/>
      <c r="AF81" s="62"/>
      <c r="AG81" s="62"/>
      <c r="AH81" s="62"/>
      <c r="AI81" s="62"/>
      <c r="AJ81" s="62"/>
      <c r="AK81" s="62"/>
      <c r="AL81" s="62"/>
      <c r="AM81" s="62"/>
      <c r="AN81" s="62"/>
      <c r="AO81" s="62"/>
      <c r="AP81" s="62"/>
      <c r="AQ81" s="62"/>
      <c r="AR81" s="62"/>
      <c r="AS81" s="62"/>
      <c r="AT81" s="62"/>
      <c r="AU81" s="62"/>
      <c r="AV81" s="62"/>
      <c r="AW81" s="62"/>
      <c r="AX81" s="62"/>
      <c r="AY81" s="62"/>
      <c r="AZ81" s="62"/>
      <c r="BA81" s="62"/>
      <c r="BB81" s="62"/>
      <c r="BC81" s="62"/>
      <c r="BD81" s="62"/>
      <c r="BE81" s="62"/>
      <c r="BF81" s="62"/>
      <c r="BG81" s="62"/>
      <c r="BH81" s="62"/>
      <c r="BI81" s="62"/>
      <c r="BJ81" s="62"/>
      <c r="BK81" s="62"/>
      <c r="BL81" s="62"/>
      <c r="BM81" s="62"/>
      <c r="BN81" s="62"/>
      <c r="BO81" s="62"/>
      <c r="BP81" s="62"/>
      <c r="BQ81" s="62"/>
      <c r="BR81" s="62"/>
      <c r="BS81" s="62"/>
      <c r="BT81" s="62"/>
      <c r="BU81" s="62"/>
      <c r="BV81" s="62"/>
      <c r="BW81" s="62"/>
      <c r="BX81" s="62"/>
      <c r="BY81" s="62"/>
      <c r="BZ81" s="62"/>
      <c r="CA81" s="62"/>
      <c r="CB81" s="62"/>
      <c r="CC81" s="62"/>
      <c r="CD81" s="62"/>
      <c r="CE81" s="62"/>
      <c r="CF81" s="62"/>
      <c r="CG81" s="62"/>
      <c r="CH81" s="62"/>
      <c r="CI81" s="62"/>
      <c r="CJ81" s="62"/>
      <c r="CK81" s="62"/>
      <c r="CL81" s="62"/>
      <c r="CM81" s="62"/>
      <c r="CN81" s="62"/>
      <c r="CO81" s="62"/>
      <c r="CP81" s="62"/>
      <c r="CQ81" s="62"/>
      <c r="CR81" s="62"/>
      <c r="CS81" s="62"/>
      <c r="CT81" s="62"/>
      <c r="CU81" s="62"/>
      <c r="CV81" s="62"/>
      <c r="CW81" s="62"/>
      <c r="CX81" s="62"/>
      <c r="CY81" s="62"/>
      <c r="CZ81" s="62"/>
      <c r="DA81" s="62"/>
      <c r="DB81" s="62"/>
      <c r="DC81" s="62"/>
      <c r="DD81" s="62"/>
      <c r="DE81" s="62"/>
    </row>
    <row r="82" spans="1:109" s="3" customFormat="1">
      <c r="A82" s="62"/>
      <c r="B82" s="62" t="s">
        <v>6366</v>
      </c>
      <c r="C82" s="62" t="s">
        <v>494</v>
      </c>
      <c r="D82" s="62"/>
      <c r="E82" s="62"/>
      <c r="F82" s="47"/>
      <c r="G82" s="47"/>
      <c r="H82" s="47"/>
      <c r="I82" s="48"/>
      <c r="J82" s="47"/>
      <c r="K82" s="57">
        <v>12</v>
      </c>
      <c r="L82" s="55"/>
      <c r="M82" s="47"/>
      <c r="N82" s="47"/>
      <c r="O82" s="47"/>
      <c r="P82" s="47"/>
      <c r="Q82" s="47"/>
      <c r="R82" s="47"/>
      <c r="S82" s="62"/>
      <c r="T82" s="62"/>
      <c r="U82" s="62"/>
      <c r="V82" s="62"/>
      <c r="W82" s="62"/>
      <c r="X82" s="62"/>
      <c r="Y82" s="62"/>
      <c r="Z82" s="62"/>
      <c r="AA82" s="62"/>
      <c r="AB82" s="62"/>
      <c r="AC82" s="62"/>
      <c r="AD82" s="62"/>
      <c r="AE82" s="62"/>
      <c r="AF82" s="62"/>
      <c r="AG82" s="62"/>
      <c r="AH82" s="62"/>
      <c r="AI82" s="62"/>
      <c r="AJ82" s="62"/>
      <c r="AK82" s="62"/>
      <c r="AL82" s="62"/>
      <c r="AM82" s="62"/>
      <c r="AN82" s="62"/>
      <c r="AO82" s="62"/>
      <c r="AP82" s="62"/>
      <c r="AQ82" s="62"/>
      <c r="AR82" s="62"/>
      <c r="AS82" s="62"/>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c r="BR82" s="62"/>
      <c r="BS82" s="62"/>
      <c r="BT82" s="62"/>
      <c r="BU82" s="62"/>
      <c r="BV82" s="62"/>
      <c r="BW82" s="62"/>
      <c r="BX82" s="62"/>
      <c r="BY82" s="62"/>
      <c r="BZ82" s="62"/>
      <c r="CA82" s="62"/>
      <c r="CB82" s="62"/>
      <c r="CC82" s="62"/>
      <c r="CD82" s="62"/>
      <c r="CE82" s="62"/>
      <c r="CF82" s="62"/>
      <c r="CG82" s="62"/>
      <c r="CH82" s="62"/>
      <c r="CI82" s="62"/>
      <c r="CJ82" s="62"/>
      <c r="CK82" s="62"/>
      <c r="CL82" s="62"/>
      <c r="CM82" s="62"/>
      <c r="CN82" s="62"/>
      <c r="CO82" s="62"/>
      <c r="CP82" s="62"/>
      <c r="CQ82" s="62"/>
      <c r="CR82" s="62"/>
      <c r="CS82" s="62"/>
      <c r="CT82" s="62"/>
      <c r="CU82" s="62"/>
      <c r="CV82" s="62"/>
      <c r="CW82" s="62"/>
      <c r="CX82" s="62"/>
      <c r="CY82" s="62"/>
      <c r="CZ82" s="62"/>
      <c r="DA82" s="62"/>
      <c r="DB82" s="62"/>
      <c r="DC82" s="62"/>
      <c r="DD82" s="62"/>
      <c r="DE82" s="62"/>
    </row>
    <row r="83" spans="1:109" s="3" customFormat="1">
      <c r="A83" s="62"/>
      <c r="B83" s="62" t="s">
        <v>6415</v>
      </c>
      <c r="C83" s="62" t="s">
        <v>520</v>
      </c>
      <c r="D83" s="62"/>
      <c r="E83" s="62"/>
      <c r="F83" s="47"/>
      <c r="G83" s="47"/>
      <c r="H83" s="47"/>
      <c r="I83" s="48"/>
      <c r="J83" s="47"/>
      <c r="K83" s="57">
        <v>13</v>
      </c>
      <c r="L83" s="55"/>
      <c r="M83" s="47"/>
      <c r="N83" s="47"/>
      <c r="O83" s="47"/>
      <c r="P83" s="47"/>
      <c r="Q83" s="47"/>
      <c r="R83" s="47"/>
      <c r="S83" s="62"/>
      <c r="T83" s="62"/>
      <c r="U83" s="62"/>
      <c r="V83" s="62"/>
      <c r="W83" s="62"/>
      <c r="X83" s="62"/>
      <c r="Y83" s="62"/>
      <c r="Z83" s="62"/>
      <c r="AA83" s="62"/>
      <c r="AB83" s="62"/>
      <c r="AC83" s="62"/>
      <c r="AD83" s="62"/>
      <c r="AE83" s="62"/>
      <c r="AF83" s="62"/>
      <c r="AG83" s="62"/>
      <c r="AH83" s="62"/>
      <c r="AI83" s="62"/>
      <c r="AJ83" s="62"/>
      <c r="AK83" s="62"/>
      <c r="AL83" s="62"/>
      <c r="AM83" s="62"/>
      <c r="AN83" s="62"/>
      <c r="AO83" s="62"/>
      <c r="AP83" s="62"/>
      <c r="AQ83" s="62"/>
      <c r="AR83" s="62"/>
      <c r="AS83" s="62"/>
      <c r="AT83" s="62"/>
      <c r="AU83" s="62"/>
      <c r="AV83" s="62"/>
      <c r="AW83" s="62"/>
      <c r="AX83" s="62"/>
      <c r="AY83" s="62"/>
      <c r="AZ83" s="62"/>
      <c r="BA83" s="62"/>
      <c r="BB83" s="62"/>
      <c r="BC83" s="62"/>
      <c r="BD83" s="62"/>
      <c r="BE83" s="62"/>
      <c r="BF83" s="62"/>
      <c r="BG83" s="62"/>
      <c r="BH83" s="62"/>
      <c r="BI83" s="62"/>
      <c r="BJ83" s="62"/>
      <c r="BK83" s="62"/>
      <c r="BL83" s="62"/>
      <c r="BM83" s="62"/>
      <c r="BN83" s="62"/>
      <c r="BO83" s="62"/>
      <c r="BP83" s="62"/>
      <c r="BQ83" s="62"/>
      <c r="BR83" s="62"/>
      <c r="BS83" s="62"/>
      <c r="BT83" s="62"/>
      <c r="BU83" s="62"/>
      <c r="BV83" s="62"/>
      <c r="BW83" s="62"/>
      <c r="BX83" s="62"/>
      <c r="BY83" s="62"/>
      <c r="BZ83" s="62"/>
      <c r="CA83" s="62"/>
      <c r="CB83" s="62"/>
      <c r="CC83" s="62"/>
      <c r="CD83" s="62"/>
      <c r="CE83" s="62"/>
      <c r="CF83" s="62"/>
      <c r="CG83" s="62"/>
      <c r="CH83" s="62"/>
      <c r="CI83" s="62"/>
      <c r="CJ83" s="62"/>
      <c r="CK83" s="62"/>
      <c r="CL83" s="62"/>
      <c r="CM83" s="62"/>
      <c r="CN83" s="62"/>
      <c r="CO83" s="62"/>
      <c r="CP83" s="62"/>
      <c r="CQ83" s="62"/>
      <c r="CR83" s="62"/>
      <c r="CS83" s="62"/>
      <c r="CT83" s="62"/>
      <c r="CU83" s="62"/>
      <c r="CV83" s="62"/>
      <c r="CW83" s="62"/>
      <c r="CX83" s="62"/>
      <c r="CY83" s="62"/>
      <c r="CZ83" s="62"/>
      <c r="DA83" s="62"/>
      <c r="DB83" s="62"/>
      <c r="DC83" s="62"/>
      <c r="DD83" s="62"/>
      <c r="DE83" s="62"/>
    </row>
    <row r="84" spans="1:109" s="3" customFormat="1">
      <c r="A84" s="62"/>
      <c r="B84" s="62" t="s">
        <v>6367</v>
      </c>
      <c r="C84" s="62" t="s">
        <v>520</v>
      </c>
      <c r="D84" s="62"/>
      <c r="E84" s="62"/>
      <c r="F84" s="47"/>
      <c r="G84" s="47"/>
      <c r="H84" s="47"/>
      <c r="I84" s="48"/>
      <c r="J84" s="47"/>
      <c r="K84" s="57">
        <v>14</v>
      </c>
      <c r="L84" s="55"/>
      <c r="M84" s="47"/>
      <c r="P84" s="47"/>
      <c r="Q84" s="47"/>
      <c r="R84" s="47"/>
      <c r="S84" s="62"/>
      <c r="T84" s="62"/>
      <c r="U84" s="62"/>
      <c r="V84" s="62"/>
      <c r="W84" s="62"/>
      <c r="X84" s="62"/>
      <c r="Y84" s="62"/>
      <c r="Z84" s="62"/>
      <c r="AA84" s="62"/>
      <c r="AB84" s="62"/>
      <c r="AC84" s="62"/>
      <c r="AD84" s="62"/>
      <c r="AE84" s="62"/>
      <c r="AF84" s="62"/>
      <c r="AG84" s="62"/>
      <c r="AH84" s="62"/>
      <c r="AI84" s="62"/>
      <c r="AJ84" s="62"/>
      <c r="AK84" s="62"/>
      <c r="AL84" s="62"/>
      <c r="AM84" s="62"/>
      <c r="AN84" s="62"/>
      <c r="AO84" s="62"/>
      <c r="AP84" s="62"/>
      <c r="AQ84" s="62"/>
      <c r="AR84" s="62"/>
      <c r="AS84" s="62"/>
      <c r="AT84" s="62"/>
      <c r="AU84" s="62"/>
      <c r="AV84" s="62"/>
      <c r="AW84" s="62"/>
      <c r="AX84" s="62"/>
      <c r="AY84" s="62"/>
      <c r="AZ84" s="62"/>
      <c r="BA84" s="62"/>
      <c r="BB84" s="62"/>
      <c r="BC84" s="62"/>
      <c r="BD84" s="62"/>
      <c r="BE84" s="62"/>
      <c r="BF84" s="62"/>
      <c r="BG84" s="62"/>
      <c r="BH84" s="62"/>
      <c r="BI84" s="62"/>
      <c r="BJ84" s="62"/>
      <c r="BK84" s="62"/>
      <c r="BL84" s="62"/>
      <c r="BM84" s="62"/>
      <c r="BN84" s="62"/>
      <c r="BO84" s="62"/>
      <c r="BP84" s="62"/>
      <c r="BQ84" s="62"/>
      <c r="BR84" s="62"/>
      <c r="BS84" s="62"/>
      <c r="BT84" s="62"/>
      <c r="BU84" s="62"/>
      <c r="BV84" s="62"/>
      <c r="BW84" s="62"/>
      <c r="BX84" s="62"/>
      <c r="BY84" s="62"/>
      <c r="BZ84" s="62"/>
      <c r="CA84" s="62"/>
      <c r="CB84" s="62"/>
      <c r="CC84" s="62"/>
      <c r="CD84" s="62"/>
      <c r="CE84" s="62"/>
      <c r="CF84" s="62"/>
      <c r="CG84" s="62"/>
      <c r="CH84" s="62"/>
      <c r="CI84" s="62"/>
      <c r="CJ84" s="62"/>
      <c r="CK84" s="62"/>
      <c r="CL84" s="62"/>
      <c r="CM84" s="62"/>
      <c r="CN84" s="62"/>
      <c r="CO84" s="62"/>
      <c r="CP84" s="62"/>
      <c r="CQ84" s="62"/>
      <c r="CR84" s="62"/>
      <c r="CS84" s="62"/>
      <c r="CT84" s="62"/>
      <c r="CU84" s="62"/>
      <c r="CV84" s="62"/>
      <c r="CW84" s="62"/>
      <c r="CX84" s="62"/>
      <c r="CY84" s="62"/>
      <c r="CZ84" s="62"/>
      <c r="DA84" s="62"/>
      <c r="DB84" s="62"/>
      <c r="DC84" s="62"/>
      <c r="DD84" s="62"/>
      <c r="DE84" s="62"/>
    </row>
    <row r="85" spans="1:109" s="3" customFormat="1">
      <c r="A85" s="64"/>
      <c r="B85" s="64"/>
      <c r="C85" s="62"/>
      <c r="D85" s="62"/>
      <c r="E85" s="62"/>
      <c r="F85" s="47"/>
      <c r="G85" s="47"/>
      <c r="H85" s="47"/>
      <c r="I85" s="48"/>
      <c r="J85" s="47"/>
      <c r="K85" s="57"/>
      <c r="L85" s="55"/>
      <c r="M85" s="47"/>
      <c r="N85" s="62"/>
      <c r="O85" s="62"/>
      <c r="P85" s="62"/>
      <c r="Q85" s="47"/>
      <c r="R85" s="47"/>
      <c r="S85" s="62"/>
      <c r="T85" s="62"/>
      <c r="U85" s="62"/>
      <c r="V85" s="62"/>
      <c r="W85" s="62"/>
      <c r="X85" s="62"/>
      <c r="Y85" s="62"/>
      <c r="Z85" s="62"/>
      <c r="AA85" s="62"/>
      <c r="AB85" s="62"/>
      <c r="AC85" s="62"/>
      <c r="AD85" s="62"/>
      <c r="AE85" s="62"/>
      <c r="AF85" s="62"/>
      <c r="AG85" s="62"/>
      <c r="AH85" s="62"/>
      <c r="AI85" s="62"/>
      <c r="AJ85" s="62"/>
      <c r="AK85" s="62"/>
      <c r="AL85" s="62"/>
      <c r="AM85" s="62"/>
      <c r="AN85" s="62"/>
      <c r="AO85" s="62"/>
      <c r="AP85" s="62"/>
      <c r="AQ85" s="62"/>
      <c r="AR85" s="62"/>
      <c r="AS85" s="62"/>
      <c r="AT85" s="62"/>
      <c r="AU85" s="62"/>
      <c r="AV85" s="62"/>
      <c r="AW85" s="62"/>
      <c r="AX85" s="62"/>
      <c r="AY85" s="62"/>
      <c r="AZ85" s="62"/>
      <c r="BA85" s="62"/>
      <c r="BB85" s="62"/>
      <c r="BC85" s="62"/>
      <c r="BD85" s="62"/>
      <c r="BE85" s="62"/>
      <c r="BF85" s="62"/>
      <c r="BG85" s="62"/>
      <c r="BH85" s="62"/>
      <c r="BI85" s="62"/>
      <c r="BJ85" s="62"/>
      <c r="BK85" s="62"/>
      <c r="BL85" s="62"/>
      <c r="BM85" s="62"/>
      <c r="BN85" s="62"/>
      <c r="BO85" s="62"/>
      <c r="BP85" s="62"/>
      <c r="BQ85" s="62"/>
      <c r="BR85" s="62"/>
      <c r="BS85" s="62"/>
      <c r="BT85" s="62"/>
      <c r="BU85" s="62"/>
      <c r="BV85" s="62"/>
      <c r="BW85" s="62"/>
      <c r="BX85" s="62"/>
      <c r="BY85" s="62"/>
      <c r="BZ85" s="62"/>
      <c r="CA85" s="62"/>
      <c r="CB85" s="62"/>
      <c r="CC85" s="62"/>
      <c r="CD85" s="62"/>
      <c r="CE85" s="62"/>
      <c r="CF85" s="62"/>
      <c r="CG85" s="62"/>
      <c r="CH85" s="62"/>
      <c r="CI85" s="62"/>
      <c r="CJ85" s="62"/>
      <c r="CK85" s="62"/>
      <c r="CL85" s="62"/>
      <c r="CM85" s="62"/>
      <c r="CN85" s="62"/>
      <c r="CO85" s="62"/>
      <c r="CP85" s="62"/>
      <c r="CQ85" s="62"/>
      <c r="CR85" s="62"/>
      <c r="CS85" s="62"/>
      <c r="CT85" s="62"/>
      <c r="CU85" s="62"/>
      <c r="CV85" s="62"/>
      <c r="CW85" s="62"/>
      <c r="CX85" s="62"/>
      <c r="CY85" s="62"/>
      <c r="CZ85" s="62"/>
      <c r="DA85" s="62"/>
      <c r="DB85" s="62"/>
      <c r="DC85" s="62"/>
      <c r="DD85" s="62"/>
      <c r="DE85" s="62"/>
    </row>
    <row r="86" spans="1:109" s="3" customFormat="1">
      <c r="A86" s="70" t="s">
        <v>4843</v>
      </c>
      <c r="B86" s="70" t="s">
        <v>6239</v>
      </c>
      <c r="C86" s="62" t="s">
        <v>494</v>
      </c>
      <c r="D86" s="62"/>
      <c r="E86" s="62" t="s">
        <v>476</v>
      </c>
      <c r="F86" s="47">
        <v>2</v>
      </c>
      <c r="G86" s="47">
        <v>254</v>
      </c>
      <c r="H86" s="47" t="s">
        <v>6425</v>
      </c>
      <c r="I86" s="48"/>
      <c r="J86" s="47">
        <v>1512</v>
      </c>
      <c r="K86" s="57">
        <v>1</v>
      </c>
      <c r="L86" s="55">
        <v>52</v>
      </c>
      <c r="M86" s="47"/>
      <c r="N86" s="47">
        <v>251</v>
      </c>
      <c r="O86" s="64" t="s">
        <v>4845</v>
      </c>
      <c r="P86" s="47"/>
      <c r="Q86" s="47"/>
      <c r="R86" s="47"/>
      <c r="S86" s="62"/>
      <c r="T86" s="62"/>
      <c r="U86" s="62"/>
      <c r="V86" s="62"/>
      <c r="W86" s="62"/>
      <c r="X86" s="62"/>
      <c r="Y86" s="62"/>
      <c r="Z86" s="62"/>
      <c r="AA86" s="62"/>
      <c r="AB86" s="62"/>
      <c r="AC86" s="62"/>
      <c r="AD86" s="62"/>
      <c r="AE86" s="62"/>
      <c r="AF86" s="62"/>
      <c r="AG86" s="62"/>
      <c r="AH86" s="62"/>
      <c r="AI86" s="62"/>
      <c r="AJ86" s="62"/>
      <c r="AK86" s="62"/>
      <c r="AL86" s="62"/>
      <c r="AM86" s="62"/>
      <c r="AN86" s="62"/>
      <c r="AO86" s="62"/>
      <c r="AP86" s="62"/>
      <c r="AQ86" s="62"/>
      <c r="AR86" s="62"/>
      <c r="AS86" s="62"/>
      <c r="AT86" s="62"/>
      <c r="AU86" s="62"/>
      <c r="AV86" s="62"/>
      <c r="AW86" s="62"/>
      <c r="AX86" s="62"/>
      <c r="AY86" s="62"/>
      <c r="AZ86" s="62"/>
      <c r="BA86" s="62"/>
      <c r="BB86" s="62"/>
      <c r="BC86" s="62"/>
      <c r="BD86" s="62"/>
      <c r="BE86" s="62"/>
      <c r="BF86" s="62"/>
      <c r="BG86" s="62"/>
      <c r="BH86" s="62"/>
      <c r="BI86" s="62"/>
      <c r="BJ86" s="62"/>
      <c r="BK86" s="62"/>
      <c r="BL86" s="62"/>
      <c r="BM86" s="62"/>
      <c r="BN86" s="62"/>
      <c r="BO86" s="62"/>
      <c r="BP86" s="62"/>
      <c r="BQ86" s="62"/>
      <c r="BR86" s="62"/>
      <c r="BS86" s="62"/>
      <c r="BT86" s="62"/>
      <c r="BU86" s="62"/>
      <c r="BV86" s="62"/>
      <c r="BW86" s="62"/>
      <c r="BX86" s="62"/>
      <c r="BY86" s="62"/>
      <c r="BZ86" s="62"/>
      <c r="CA86" s="62"/>
      <c r="CB86" s="62"/>
      <c r="CC86" s="62"/>
      <c r="CD86" s="62"/>
      <c r="CE86" s="62"/>
      <c r="CF86" s="62"/>
      <c r="CG86" s="62"/>
      <c r="CH86" s="62"/>
      <c r="CI86" s="62"/>
      <c r="CJ86" s="62"/>
      <c r="CK86" s="62"/>
      <c r="CL86" s="62"/>
      <c r="CM86" s="62"/>
      <c r="CN86" s="62"/>
      <c r="CO86" s="62"/>
      <c r="CP86" s="62"/>
      <c r="CQ86" s="62"/>
      <c r="CR86" s="62"/>
      <c r="CS86" s="62"/>
      <c r="CT86" s="62"/>
      <c r="CU86" s="62"/>
      <c r="CV86" s="62"/>
      <c r="CW86" s="62"/>
      <c r="CX86" s="62"/>
      <c r="CY86" s="62"/>
      <c r="CZ86" s="62"/>
      <c r="DA86" s="62"/>
      <c r="DB86" s="62"/>
      <c r="DC86" s="62"/>
      <c r="DD86" s="62"/>
      <c r="DE86" s="62"/>
    </row>
    <row r="87" spans="1:109" s="3" customFormat="1">
      <c r="A87" s="70"/>
      <c r="B87" s="70" t="s">
        <v>6423</v>
      </c>
      <c r="C87" s="62" t="s">
        <v>494</v>
      </c>
      <c r="D87" s="62"/>
      <c r="E87" s="62" t="s">
        <v>476</v>
      </c>
      <c r="F87" s="47"/>
      <c r="G87" s="47"/>
      <c r="H87" s="47"/>
      <c r="I87" s="48"/>
      <c r="J87" s="47"/>
      <c r="K87" s="57">
        <v>2</v>
      </c>
      <c r="L87" s="55">
        <v>6</v>
      </c>
      <c r="M87" s="47"/>
      <c r="N87" s="47"/>
      <c r="O87" s="47"/>
      <c r="P87" s="47"/>
      <c r="Q87" s="47"/>
      <c r="R87" s="47"/>
      <c r="S87" s="62"/>
      <c r="T87" s="62"/>
      <c r="U87" s="62"/>
      <c r="V87" s="62"/>
      <c r="W87" s="62"/>
      <c r="X87" s="62"/>
      <c r="Y87" s="62"/>
      <c r="Z87" s="62"/>
      <c r="AA87" s="62"/>
      <c r="AB87" s="62"/>
      <c r="AC87" s="62"/>
      <c r="AD87" s="62"/>
      <c r="AE87" s="62"/>
      <c r="AF87" s="62"/>
      <c r="AG87" s="62"/>
      <c r="AH87" s="62"/>
      <c r="AI87" s="62"/>
      <c r="AJ87" s="62"/>
      <c r="AK87" s="62"/>
      <c r="AL87" s="62"/>
      <c r="AM87" s="62"/>
      <c r="AN87" s="62"/>
      <c r="AO87" s="62"/>
      <c r="AP87" s="62"/>
      <c r="AQ87" s="62"/>
      <c r="AR87" s="62"/>
      <c r="AS87" s="62"/>
      <c r="AT87" s="62"/>
      <c r="AU87" s="62"/>
      <c r="AV87" s="62"/>
      <c r="AW87" s="62"/>
      <c r="AX87" s="62"/>
      <c r="AY87" s="62"/>
      <c r="AZ87" s="62"/>
      <c r="BA87" s="62"/>
      <c r="BB87" s="62"/>
      <c r="BC87" s="62"/>
      <c r="BD87" s="62"/>
      <c r="BE87" s="62"/>
      <c r="BF87" s="62"/>
      <c r="BG87" s="62"/>
      <c r="BH87" s="62"/>
      <c r="BI87" s="62"/>
      <c r="BJ87" s="62"/>
      <c r="BK87" s="62"/>
      <c r="BL87" s="62"/>
      <c r="BM87" s="62"/>
      <c r="BN87" s="62"/>
      <c r="BO87" s="62"/>
      <c r="BP87" s="62"/>
      <c r="BQ87" s="62"/>
      <c r="BR87" s="62"/>
      <c r="BS87" s="62"/>
      <c r="BT87" s="62"/>
      <c r="BU87" s="62"/>
      <c r="BV87" s="62"/>
      <c r="BW87" s="62"/>
      <c r="BX87" s="62"/>
      <c r="BY87" s="62"/>
      <c r="BZ87" s="62"/>
      <c r="CA87" s="62"/>
      <c r="CB87" s="62"/>
      <c r="CC87" s="62"/>
      <c r="CD87" s="62"/>
      <c r="CE87" s="62"/>
      <c r="CF87" s="62"/>
      <c r="CG87" s="62"/>
      <c r="CH87" s="62"/>
      <c r="CI87" s="62"/>
      <c r="CJ87" s="62"/>
      <c r="CK87" s="62"/>
      <c r="CL87" s="62"/>
      <c r="CM87" s="62"/>
      <c r="CN87" s="62"/>
      <c r="CO87" s="62"/>
      <c r="CP87" s="62"/>
      <c r="CQ87" s="62"/>
      <c r="CR87" s="62"/>
      <c r="CS87" s="62"/>
      <c r="CT87" s="62"/>
      <c r="CU87" s="62"/>
      <c r="CV87" s="62"/>
      <c r="CW87" s="62"/>
      <c r="CX87" s="62"/>
      <c r="CY87" s="62"/>
      <c r="CZ87" s="62"/>
      <c r="DA87" s="62"/>
      <c r="DB87" s="62"/>
      <c r="DC87" s="62"/>
      <c r="DD87" s="62"/>
      <c r="DE87" s="62"/>
    </row>
    <row r="88" spans="1:109" s="3" customFormat="1">
      <c r="A88" s="70"/>
      <c r="B88" s="70" t="s">
        <v>6214</v>
      </c>
      <c r="C88" s="62" t="s">
        <v>494</v>
      </c>
      <c r="D88" s="62"/>
      <c r="E88" s="62" t="s">
        <v>476</v>
      </c>
      <c r="F88" s="47"/>
      <c r="G88" s="47"/>
      <c r="H88" s="47"/>
      <c r="I88" s="48"/>
      <c r="J88" s="47"/>
      <c r="K88" s="57">
        <v>3</v>
      </c>
      <c r="L88" s="55"/>
      <c r="M88" s="47">
        <v>2</v>
      </c>
      <c r="N88" s="47"/>
      <c r="O88" s="47"/>
      <c r="P88" s="47"/>
      <c r="Q88" s="47"/>
      <c r="R88" s="47"/>
      <c r="S88" s="62"/>
      <c r="T88" s="62"/>
      <c r="U88" s="62"/>
      <c r="V88" s="62"/>
      <c r="W88" s="62"/>
      <c r="X88" s="62"/>
      <c r="Y88" s="62"/>
      <c r="Z88" s="62"/>
      <c r="AA88" s="62"/>
      <c r="AB88" s="62"/>
      <c r="AC88" s="62"/>
      <c r="AD88" s="62"/>
      <c r="AE88" s="62"/>
      <c r="AF88" s="62"/>
      <c r="AG88" s="62"/>
      <c r="AH88" s="62"/>
      <c r="AI88" s="62"/>
      <c r="AJ88" s="62"/>
      <c r="AK88" s="62"/>
      <c r="AL88" s="62"/>
      <c r="AM88" s="62"/>
      <c r="AN88" s="62"/>
      <c r="AO88" s="62"/>
      <c r="AP88" s="62"/>
      <c r="AQ88" s="62"/>
      <c r="AR88" s="62"/>
      <c r="AS88" s="62"/>
      <c r="AT88" s="62"/>
      <c r="AU88" s="62"/>
      <c r="AV88" s="62"/>
      <c r="AW88" s="62"/>
      <c r="AX88" s="62"/>
      <c r="AY88" s="62"/>
      <c r="AZ88" s="62"/>
      <c r="BA88" s="62"/>
      <c r="BB88" s="62"/>
      <c r="BC88" s="62"/>
      <c r="BD88" s="62"/>
      <c r="BE88" s="62"/>
      <c r="BF88" s="62"/>
      <c r="BG88" s="62"/>
      <c r="BH88" s="62"/>
      <c r="BI88" s="62"/>
      <c r="BJ88" s="62"/>
      <c r="BK88" s="62"/>
      <c r="BL88" s="62"/>
      <c r="BM88" s="62"/>
      <c r="BN88" s="62"/>
      <c r="BO88" s="62"/>
      <c r="BP88" s="62"/>
      <c r="BQ88" s="62"/>
      <c r="BR88" s="62"/>
      <c r="BS88" s="62"/>
      <c r="BT88" s="62"/>
      <c r="BU88" s="62"/>
      <c r="BV88" s="62"/>
      <c r="BW88" s="62"/>
      <c r="BX88" s="62"/>
      <c r="BY88" s="62"/>
      <c r="BZ88" s="62"/>
      <c r="CA88" s="62"/>
      <c r="CB88" s="62"/>
      <c r="CC88" s="62"/>
      <c r="CD88" s="62"/>
      <c r="CE88" s="62"/>
      <c r="CF88" s="62"/>
      <c r="CG88" s="62"/>
      <c r="CH88" s="62"/>
      <c r="CI88" s="62"/>
      <c r="CJ88" s="62"/>
      <c r="CK88" s="62"/>
      <c r="CL88" s="62"/>
      <c r="CM88" s="62"/>
      <c r="CN88" s="62"/>
      <c r="CO88" s="62"/>
      <c r="CP88" s="62"/>
      <c r="CQ88" s="62"/>
      <c r="CR88" s="62"/>
      <c r="CS88" s="62"/>
      <c r="CT88" s="62"/>
      <c r="CU88" s="62"/>
      <c r="CV88" s="62"/>
      <c r="CW88" s="62"/>
      <c r="CX88" s="62"/>
      <c r="CY88" s="62"/>
      <c r="CZ88" s="62"/>
      <c r="DA88" s="62"/>
      <c r="DB88" s="62"/>
      <c r="DC88" s="62"/>
      <c r="DD88" s="62"/>
      <c r="DE88" s="62"/>
    </row>
    <row r="89" spans="1:109" s="3" customFormat="1">
      <c r="A89" s="70"/>
      <c r="B89" s="70" t="s">
        <v>4844</v>
      </c>
      <c r="C89" s="62" t="s">
        <v>494</v>
      </c>
      <c r="D89" s="62"/>
      <c r="E89" s="62" t="s">
        <v>476</v>
      </c>
      <c r="F89" s="47"/>
      <c r="G89" s="47"/>
      <c r="H89" s="47"/>
      <c r="I89" s="48"/>
      <c r="J89" s="47"/>
      <c r="K89" s="57">
        <v>4</v>
      </c>
      <c r="L89" s="55"/>
      <c r="M89" s="47">
        <v>2</v>
      </c>
      <c r="N89" s="47"/>
      <c r="O89" s="47"/>
      <c r="P89" s="47"/>
      <c r="Q89" s="47"/>
      <c r="R89" s="47"/>
      <c r="S89" s="62"/>
      <c r="T89" s="62"/>
      <c r="U89" s="62"/>
      <c r="V89" s="62"/>
      <c r="W89" s="62"/>
      <c r="X89" s="62"/>
      <c r="Y89" s="62"/>
      <c r="Z89" s="62"/>
      <c r="AA89" s="62"/>
      <c r="AB89" s="62"/>
      <c r="AC89" s="62"/>
      <c r="AD89" s="62"/>
      <c r="AE89" s="62"/>
      <c r="AF89" s="62"/>
      <c r="AG89" s="62"/>
      <c r="AH89" s="62"/>
      <c r="AI89" s="62"/>
      <c r="AJ89" s="62"/>
      <c r="AK89" s="62"/>
      <c r="AL89" s="62"/>
      <c r="AM89" s="62"/>
      <c r="AN89" s="62"/>
      <c r="AO89" s="62"/>
      <c r="AP89" s="62"/>
      <c r="AQ89" s="62"/>
      <c r="AR89" s="62"/>
      <c r="AS89" s="62"/>
      <c r="AT89" s="62"/>
      <c r="AU89" s="62"/>
      <c r="AV89" s="62"/>
      <c r="AW89" s="62"/>
      <c r="AX89" s="62"/>
      <c r="AY89" s="62"/>
      <c r="AZ89" s="62"/>
      <c r="BA89" s="62"/>
      <c r="BB89" s="62"/>
      <c r="BC89" s="62"/>
      <c r="BD89" s="62"/>
      <c r="BE89" s="62"/>
      <c r="BF89" s="62"/>
      <c r="BG89" s="62"/>
      <c r="BH89" s="62"/>
      <c r="BI89" s="62"/>
      <c r="BJ89" s="62"/>
      <c r="BK89" s="62"/>
      <c r="BL89" s="62"/>
      <c r="BM89" s="62"/>
      <c r="BN89" s="62"/>
      <c r="BO89" s="62"/>
      <c r="BP89" s="62"/>
      <c r="BQ89" s="62"/>
      <c r="BR89" s="62"/>
      <c r="BS89" s="62"/>
      <c r="BT89" s="62"/>
      <c r="BU89" s="62"/>
      <c r="BV89" s="62"/>
      <c r="BW89" s="62"/>
      <c r="BX89" s="62"/>
      <c r="BY89" s="62"/>
      <c r="BZ89" s="62"/>
      <c r="CA89" s="62"/>
      <c r="CB89" s="62"/>
      <c r="CC89" s="62"/>
      <c r="CD89" s="62"/>
      <c r="CE89" s="62"/>
      <c r="CF89" s="62"/>
      <c r="CG89" s="62"/>
      <c r="CH89" s="62"/>
      <c r="CI89" s="62"/>
      <c r="CJ89" s="62"/>
      <c r="CK89" s="62"/>
      <c r="CL89" s="62"/>
      <c r="CM89" s="62"/>
      <c r="CN89" s="62"/>
      <c r="CO89" s="62"/>
      <c r="CP89" s="62"/>
      <c r="CQ89" s="62"/>
      <c r="CR89" s="62"/>
      <c r="CS89" s="62"/>
      <c r="CT89" s="62"/>
      <c r="CU89" s="62"/>
      <c r="CV89" s="62"/>
      <c r="CW89" s="62"/>
      <c r="CX89" s="62"/>
      <c r="CY89" s="62"/>
      <c r="CZ89" s="62"/>
      <c r="DA89" s="62"/>
      <c r="DB89" s="62"/>
      <c r="DC89" s="62"/>
      <c r="DD89" s="62"/>
      <c r="DE89" s="62"/>
    </row>
    <row r="90" spans="1:109" s="3" customFormat="1">
      <c r="A90" s="70"/>
      <c r="B90" s="70" t="s">
        <v>4845</v>
      </c>
      <c r="C90" s="62" t="s">
        <v>494</v>
      </c>
      <c r="D90" s="62"/>
      <c r="E90" s="62"/>
      <c r="F90" s="47"/>
      <c r="G90" s="47"/>
      <c r="H90" s="47"/>
      <c r="I90" s="48"/>
      <c r="J90" s="47"/>
      <c r="K90" s="57">
        <v>5</v>
      </c>
      <c r="L90" s="55">
        <v>6</v>
      </c>
      <c r="M90" s="47"/>
      <c r="N90" s="47"/>
      <c r="O90" s="47"/>
      <c r="P90" s="47"/>
      <c r="Q90" s="47"/>
      <c r="R90" s="47"/>
      <c r="S90" s="62"/>
      <c r="T90" s="62"/>
      <c r="U90" s="62"/>
      <c r="V90" s="62"/>
      <c r="W90" s="62"/>
      <c r="X90" s="62"/>
      <c r="Y90" s="62"/>
      <c r="Z90" s="62"/>
      <c r="AA90" s="62"/>
      <c r="AB90" s="62"/>
      <c r="AC90" s="62"/>
      <c r="AD90" s="62"/>
      <c r="AE90" s="62"/>
      <c r="AF90" s="62"/>
      <c r="AG90" s="62"/>
      <c r="AH90" s="62"/>
      <c r="AI90" s="62"/>
      <c r="AJ90" s="62"/>
      <c r="AK90" s="62"/>
      <c r="AL90" s="62"/>
      <c r="AM90" s="62"/>
      <c r="AN90" s="62"/>
      <c r="AO90" s="62"/>
      <c r="AP90" s="62"/>
      <c r="AQ90" s="62"/>
      <c r="AR90" s="62"/>
      <c r="AS90" s="62"/>
      <c r="AT90" s="62"/>
      <c r="AU90" s="62"/>
      <c r="AV90" s="62"/>
      <c r="AW90" s="62"/>
      <c r="AX90" s="62"/>
      <c r="AY90" s="62"/>
      <c r="AZ90" s="62"/>
      <c r="BA90" s="62"/>
      <c r="BB90" s="62"/>
      <c r="BC90" s="62"/>
      <c r="BD90" s="62"/>
      <c r="BE90" s="62"/>
      <c r="BF90" s="62"/>
      <c r="BG90" s="62"/>
      <c r="BH90" s="62"/>
      <c r="BI90" s="62"/>
      <c r="BJ90" s="62"/>
      <c r="BK90" s="62"/>
      <c r="BL90" s="62"/>
      <c r="BM90" s="62"/>
      <c r="BN90" s="62"/>
      <c r="BO90" s="62"/>
      <c r="BP90" s="62"/>
      <c r="BQ90" s="62"/>
      <c r="BR90" s="62"/>
      <c r="BS90" s="62"/>
      <c r="BT90" s="62"/>
      <c r="BU90" s="62"/>
      <c r="BV90" s="62"/>
      <c r="BW90" s="62"/>
      <c r="BX90" s="62"/>
      <c r="BY90" s="62"/>
      <c r="BZ90" s="62"/>
      <c r="CA90" s="62"/>
      <c r="CB90" s="62"/>
      <c r="CC90" s="62"/>
      <c r="CD90" s="62"/>
      <c r="CE90" s="62"/>
      <c r="CF90" s="62"/>
      <c r="CG90" s="62"/>
      <c r="CH90" s="62"/>
      <c r="CI90" s="62"/>
      <c r="CJ90" s="62"/>
      <c r="CK90" s="62"/>
      <c r="CL90" s="62"/>
      <c r="CM90" s="62"/>
      <c r="CN90" s="62"/>
      <c r="CO90" s="62"/>
      <c r="CP90" s="62"/>
      <c r="CQ90" s="62"/>
      <c r="CR90" s="62"/>
      <c r="CS90" s="62"/>
      <c r="CT90" s="62"/>
      <c r="CU90" s="62"/>
      <c r="CV90" s="62"/>
      <c r="CW90" s="62"/>
      <c r="CX90" s="62"/>
      <c r="CY90" s="62"/>
      <c r="CZ90" s="62"/>
      <c r="DA90" s="62"/>
      <c r="DB90" s="62"/>
      <c r="DC90" s="62"/>
      <c r="DD90" s="62"/>
      <c r="DE90" s="62"/>
    </row>
    <row r="91" spans="1:109" s="3" customFormat="1">
      <c r="A91" s="120"/>
      <c r="B91" s="120" t="s">
        <v>6406</v>
      </c>
      <c r="C91" s="62" t="s">
        <v>494</v>
      </c>
      <c r="D91" s="62"/>
      <c r="E91" s="62"/>
      <c r="F91" s="47"/>
      <c r="G91" s="47"/>
      <c r="H91" s="47"/>
      <c r="I91" s="48"/>
      <c r="J91" s="47"/>
      <c r="K91" s="57">
        <v>6</v>
      </c>
      <c r="L91" s="55">
        <v>8</v>
      </c>
      <c r="M91" s="47"/>
      <c r="N91" s="47"/>
      <c r="O91" s="47"/>
      <c r="P91" s="47"/>
      <c r="Q91" s="47"/>
      <c r="R91" s="47"/>
      <c r="S91" s="62"/>
      <c r="T91" s="62"/>
      <c r="U91" s="62"/>
      <c r="V91" s="62"/>
      <c r="W91" s="62"/>
      <c r="X91" s="62"/>
      <c r="Y91" s="62"/>
      <c r="Z91" s="62"/>
      <c r="AA91" s="62"/>
      <c r="AB91" s="62"/>
      <c r="AC91" s="62"/>
      <c r="AD91" s="62"/>
      <c r="AE91" s="62"/>
      <c r="AF91" s="62"/>
      <c r="AG91" s="62"/>
      <c r="AH91" s="62"/>
      <c r="AI91" s="62"/>
      <c r="AJ91" s="62"/>
      <c r="AK91" s="62"/>
      <c r="AL91" s="62"/>
      <c r="AM91" s="62"/>
      <c r="AN91" s="62"/>
      <c r="AO91" s="62"/>
      <c r="AP91" s="62"/>
      <c r="AQ91" s="62"/>
      <c r="AR91" s="62"/>
      <c r="AS91" s="62"/>
      <c r="AT91" s="62"/>
      <c r="AU91" s="62"/>
      <c r="AV91" s="62"/>
      <c r="AW91" s="62"/>
      <c r="AX91" s="62"/>
      <c r="AY91" s="62"/>
      <c r="AZ91" s="62"/>
      <c r="BA91" s="62"/>
      <c r="BB91" s="62"/>
      <c r="BC91" s="62"/>
      <c r="BD91" s="62"/>
      <c r="BE91" s="62"/>
      <c r="BF91" s="62"/>
      <c r="BG91" s="62"/>
      <c r="BH91" s="62"/>
      <c r="BI91" s="62"/>
      <c r="BJ91" s="62"/>
      <c r="BK91" s="62"/>
      <c r="BL91" s="62"/>
      <c r="BM91" s="62"/>
      <c r="BN91" s="62"/>
      <c r="BO91" s="62"/>
      <c r="BP91" s="62"/>
      <c r="BQ91" s="62"/>
      <c r="BR91" s="62"/>
      <c r="BS91" s="62"/>
      <c r="BT91" s="62"/>
      <c r="BU91" s="62"/>
      <c r="BV91" s="62"/>
      <c r="BW91" s="62"/>
      <c r="BX91" s="62"/>
      <c r="BY91" s="62"/>
      <c r="BZ91" s="62"/>
      <c r="CA91" s="62"/>
      <c r="CB91" s="62"/>
      <c r="CC91" s="62"/>
      <c r="CD91" s="62"/>
      <c r="CE91" s="62"/>
      <c r="CF91" s="62"/>
      <c r="CG91" s="62"/>
      <c r="CH91" s="62"/>
      <c r="CI91" s="62"/>
      <c r="CJ91" s="62"/>
      <c r="CK91" s="62"/>
      <c r="CL91" s="62"/>
      <c r="CM91" s="62"/>
      <c r="CN91" s="62"/>
      <c r="CO91" s="62"/>
      <c r="CP91" s="62"/>
      <c r="CQ91" s="62"/>
      <c r="CR91" s="62"/>
      <c r="CS91" s="62"/>
      <c r="CT91" s="62"/>
      <c r="CU91" s="62"/>
      <c r="CV91" s="62"/>
      <c r="CW91" s="62"/>
      <c r="CX91" s="62"/>
      <c r="CY91" s="62"/>
      <c r="CZ91" s="62"/>
      <c r="DA91" s="62"/>
      <c r="DB91" s="62"/>
      <c r="DC91" s="62"/>
      <c r="DD91" s="62"/>
      <c r="DE91" s="62"/>
    </row>
    <row r="92" spans="1:109" s="3" customFormat="1">
      <c r="A92" s="62"/>
      <c r="B92" s="62" t="s">
        <v>6417</v>
      </c>
      <c r="C92" s="62" t="s">
        <v>494</v>
      </c>
      <c r="D92" s="62"/>
      <c r="E92" s="62"/>
      <c r="F92" s="47"/>
      <c r="G92" s="47"/>
      <c r="H92" s="47" t="s">
        <v>6418</v>
      </c>
      <c r="I92" s="48"/>
      <c r="J92" s="47"/>
      <c r="K92" s="57">
        <v>7</v>
      </c>
      <c r="L92" s="55">
        <v>3</v>
      </c>
      <c r="M92" s="47"/>
      <c r="N92" s="64" t="s">
        <v>4843</v>
      </c>
      <c r="O92" s="64" t="s">
        <v>4845</v>
      </c>
      <c r="P92" s="47" t="s">
        <v>6402</v>
      </c>
      <c r="Q92" s="47"/>
      <c r="R92" s="47"/>
      <c r="S92" s="62"/>
      <c r="T92" s="62"/>
      <c r="U92" s="62"/>
      <c r="V92" s="62"/>
      <c r="W92" s="62"/>
      <c r="X92" s="62"/>
      <c r="Y92" s="62"/>
      <c r="Z92" s="62"/>
      <c r="AA92" s="62"/>
      <c r="AB92" s="62"/>
      <c r="AC92" s="62"/>
      <c r="AD92" s="62"/>
      <c r="AE92" s="62"/>
      <c r="AF92" s="62"/>
      <c r="AG92" s="62"/>
      <c r="AH92" s="62"/>
      <c r="AI92" s="62"/>
      <c r="AJ92" s="62"/>
      <c r="AK92" s="62"/>
      <c r="AL92" s="62"/>
      <c r="AM92" s="62"/>
      <c r="AN92" s="62"/>
      <c r="AO92" s="62"/>
      <c r="AP92" s="62"/>
      <c r="AQ92" s="62"/>
      <c r="AR92" s="62"/>
      <c r="AS92" s="62"/>
      <c r="AT92" s="62"/>
      <c r="AU92" s="62"/>
      <c r="AV92" s="62"/>
      <c r="AW92" s="62"/>
      <c r="AX92" s="62"/>
      <c r="AY92" s="62"/>
      <c r="AZ92" s="62"/>
      <c r="BA92" s="62"/>
      <c r="BB92" s="62"/>
      <c r="BC92" s="62"/>
      <c r="BD92" s="62"/>
      <c r="BE92" s="62"/>
      <c r="BF92" s="62"/>
      <c r="BG92" s="62"/>
      <c r="BH92" s="62"/>
      <c r="BI92" s="62"/>
      <c r="BJ92" s="62"/>
      <c r="BK92" s="62"/>
      <c r="BL92" s="62"/>
      <c r="BM92" s="62"/>
      <c r="BN92" s="62"/>
      <c r="BO92" s="62"/>
      <c r="BP92" s="62"/>
      <c r="BQ92" s="62"/>
      <c r="BR92" s="62"/>
      <c r="BS92" s="62"/>
      <c r="BT92" s="62"/>
      <c r="BU92" s="62"/>
      <c r="BV92" s="62"/>
      <c r="BW92" s="62"/>
      <c r="BX92" s="62"/>
      <c r="BY92" s="62"/>
      <c r="BZ92" s="62"/>
      <c r="CA92" s="62"/>
      <c r="CB92" s="62"/>
      <c r="CC92" s="62"/>
      <c r="CD92" s="62"/>
      <c r="CE92" s="62"/>
      <c r="CF92" s="62"/>
      <c r="CG92" s="62"/>
      <c r="CH92" s="62"/>
      <c r="CI92" s="62"/>
      <c r="CJ92" s="62"/>
      <c r="CK92" s="62"/>
      <c r="CL92" s="62"/>
      <c r="CM92" s="62"/>
      <c r="CN92" s="62"/>
      <c r="CO92" s="62"/>
      <c r="CP92" s="62"/>
      <c r="CQ92" s="62"/>
      <c r="CR92" s="62"/>
      <c r="CS92" s="62"/>
      <c r="CT92" s="62"/>
      <c r="CU92" s="62"/>
      <c r="CV92" s="62"/>
      <c r="CW92" s="62"/>
      <c r="CX92" s="62"/>
      <c r="CY92" s="62"/>
      <c r="CZ92" s="62"/>
      <c r="DA92" s="62"/>
      <c r="DB92" s="62"/>
      <c r="DC92" s="62"/>
      <c r="DD92" s="62"/>
      <c r="DE92" s="62"/>
    </row>
    <row r="93" spans="1:109" s="3" customFormat="1">
      <c r="A93" s="62"/>
      <c r="B93" s="62" t="s">
        <v>6369</v>
      </c>
      <c r="C93" s="62" t="s">
        <v>494</v>
      </c>
      <c r="D93" s="62"/>
      <c r="E93" s="62"/>
      <c r="F93" s="47"/>
      <c r="G93" s="47"/>
      <c r="H93" s="47"/>
      <c r="I93" s="48"/>
      <c r="J93" s="47"/>
      <c r="K93" s="57">
        <v>8</v>
      </c>
      <c r="L93" s="55"/>
      <c r="M93" s="47">
        <v>31</v>
      </c>
      <c r="N93" s="47" t="s">
        <v>6370</v>
      </c>
      <c r="O93" s="47" t="s">
        <v>4888</v>
      </c>
      <c r="P93" s="47" t="s">
        <v>6238</v>
      </c>
      <c r="Q93" s="47"/>
      <c r="R93" s="47"/>
      <c r="S93" s="62"/>
      <c r="T93" s="62"/>
      <c r="U93" s="62"/>
      <c r="V93" s="62"/>
      <c r="W93" s="62"/>
      <c r="X93" s="62"/>
      <c r="Y93" s="62"/>
      <c r="Z93" s="62"/>
      <c r="AA93" s="62"/>
      <c r="AB93" s="62"/>
      <c r="AC93" s="62"/>
      <c r="AD93" s="62"/>
      <c r="AE93" s="62"/>
      <c r="AF93" s="62"/>
      <c r="AG93" s="62"/>
      <c r="AH93" s="62"/>
      <c r="AI93" s="62"/>
      <c r="AJ93" s="62"/>
      <c r="AK93" s="62"/>
      <c r="AL93" s="62"/>
      <c r="AM93" s="62"/>
      <c r="AN93" s="62"/>
      <c r="AO93" s="62"/>
      <c r="AP93" s="62"/>
      <c r="AQ93" s="62"/>
      <c r="AR93" s="62"/>
      <c r="AS93" s="62"/>
      <c r="AT93" s="62"/>
      <c r="AU93" s="62"/>
      <c r="AV93" s="62"/>
      <c r="AW93" s="62"/>
      <c r="AX93" s="62"/>
      <c r="AY93" s="62"/>
      <c r="AZ93" s="62"/>
      <c r="BA93" s="62"/>
      <c r="BB93" s="62"/>
      <c r="BC93" s="62"/>
      <c r="BD93" s="62"/>
      <c r="BE93" s="62"/>
      <c r="BF93" s="62"/>
      <c r="BG93" s="62"/>
      <c r="BH93" s="62"/>
      <c r="BI93" s="62"/>
      <c r="BJ93" s="62"/>
      <c r="BK93" s="62"/>
      <c r="BL93" s="62"/>
      <c r="BM93" s="62"/>
      <c r="BN93" s="62"/>
      <c r="BO93" s="62"/>
      <c r="BP93" s="62"/>
      <c r="BQ93" s="62"/>
      <c r="BR93" s="62"/>
      <c r="BS93" s="62"/>
      <c r="BT93" s="62"/>
      <c r="BU93" s="62"/>
      <c r="BV93" s="62"/>
      <c r="BW93" s="62"/>
      <c r="BX93" s="62"/>
      <c r="BY93" s="62"/>
      <c r="BZ93" s="62"/>
      <c r="CA93" s="62"/>
      <c r="CB93" s="62"/>
      <c r="CC93" s="62"/>
      <c r="CD93" s="62"/>
      <c r="CE93" s="62"/>
      <c r="CF93" s="62"/>
      <c r="CG93" s="62"/>
      <c r="CH93" s="62"/>
      <c r="CI93" s="62"/>
      <c r="CJ93" s="62"/>
      <c r="CK93" s="62"/>
      <c r="CL93" s="62"/>
      <c r="CM93" s="62"/>
      <c r="CN93" s="62"/>
      <c r="CO93" s="62"/>
      <c r="CP93" s="62"/>
      <c r="CQ93" s="62"/>
      <c r="CR93" s="62"/>
      <c r="CS93" s="62"/>
      <c r="CT93" s="62"/>
      <c r="CU93" s="62"/>
      <c r="CV93" s="62"/>
      <c r="CW93" s="62"/>
      <c r="CX93" s="62"/>
      <c r="CY93" s="62"/>
      <c r="CZ93" s="62"/>
      <c r="DA93" s="62"/>
      <c r="DB93" s="62"/>
      <c r="DC93" s="62"/>
      <c r="DD93" s="62"/>
      <c r="DE93" s="62"/>
    </row>
    <row r="94" spans="1:109" s="3" customFormat="1">
      <c r="A94" s="62"/>
      <c r="B94" s="62" t="s">
        <v>6371</v>
      </c>
      <c r="C94" s="62" t="s">
        <v>494</v>
      </c>
      <c r="D94" s="62"/>
      <c r="E94" s="62"/>
      <c r="F94" s="47"/>
      <c r="G94" s="47"/>
      <c r="H94" s="47"/>
      <c r="I94" s="48"/>
      <c r="J94" s="47"/>
      <c r="K94" s="57">
        <v>9</v>
      </c>
      <c r="L94" s="55"/>
      <c r="M94" s="47"/>
      <c r="N94" s="47"/>
      <c r="O94" s="47"/>
      <c r="P94" s="47"/>
      <c r="Q94" s="47"/>
      <c r="R94" s="47"/>
      <c r="S94" s="62"/>
      <c r="T94" s="62"/>
      <c r="U94" s="62"/>
      <c r="V94" s="62"/>
      <c r="W94" s="62"/>
      <c r="X94" s="62"/>
      <c r="Y94" s="62"/>
      <c r="Z94" s="62"/>
      <c r="AA94" s="62"/>
      <c r="AB94" s="62"/>
      <c r="AC94" s="62"/>
      <c r="AD94" s="62"/>
      <c r="AE94" s="62"/>
      <c r="AF94" s="62"/>
      <c r="AG94" s="62"/>
      <c r="AH94" s="62"/>
      <c r="AI94" s="62"/>
      <c r="AJ94" s="62"/>
      <c r="AK94" s="62"/>
      <c r="AL94" s="62"/>
      <c r="AM94" s="62"/>
      <c r="AN94" s="62"/>
      <c r="AO94" s="62"/>
      <c r="AP94" s="62"/>
      <c r="AQ94" s="62"/>
      <c r="AR94" s="62"/>
      <c r="AS94" s="62"/>
      <c r="AT94" s="62"/>
      <c r="AU94" s="62"/>
      <c r="AV94" s="62"/>
      <c r="AW94" s="62"/>
      <c r="AX94" s="62"/>
      <c r="AY94" s="62"/>
      <c r="AZ94" s="62"/>
      <c r="BA94" s="62"/>
      <c r="BB94" s="62"/>
      <c r="BC94" s="62"/>
      <c r="BD94" s="62"/>
      <c r="BE94" s="62"/>
      <c r="BF94" s="62"/>
      <c r="BG94" s="62"/>
      <c r="BH94" s="62"/>
      <c r="BI94" s="62"/>
      <c r="BJ94" s="62"/>
      <c r="BK94" s="62"/>
      <c r="BL94" s="62"/>
      <c r="BM94" s="62"/>
      <c r="BN94" s="62"/>
      <c r="BO94" s="62"/>
      <c r="BP94" s="62"/>
      <c r="BQ94" s="62"/>
      <c r="BR94" s="62"/>
      <c r="BS94" s="62"/>
      <c r="BT94" s="62"/>
      <c r="BU94" s="62"/>
      <c r="BV94" s="62"/>
      <c r="BW94" s="62"/>
      <c r="BX94" s="62"/>
      <c r="BY94" s="62"/>
      <c r="BZ94" s="62"/>
      <c r="CA94" s="62"/>
      <c r="CB94" s="62"/>
      <c r="CC94" s="62"/>
      <c r="CD94" s="62"/>
      <c r="CE94" s="62"/>
      <c r="CF94" s="62"/>
      <c r="CG94" s="62"/>
      <c r="CH94" s="62"/>
      <c r="CI94" s="62"/>
      <c r="CJ94" s="62"/>
      <c r="CK94" s="62"/>
      <c r="CL94" s="62"/>
      <c r="CM94" s="62"/>
      <c r="CN94" s="62"/>
      <c r="CO94" s="62"/>
      <c r="CP94" s="62"/>
      <c r="CQ94" s="62"/>
      <c r="CR94" s="62"/>
      <c r="CS94" s="62"/>
      <c r="CT94" s="62"/>
      <c r="CU94" s="62"/>
      <c r="CV94" s="62"/>
      <c r="CW94" s="62"/>
      <c r="CX94" s="62"/>
      <c r="CY94" s="62"/>
      <c r="CZ94" s="62"/>
      <c r="DA94" s="62"/>
      <c r="DB94" s="62"/>
      <c r="DC94" s="62"/>
      <c r="DD94" s="62"/>
      <c r="DE94" s="62"/>
    </row>
    <row r="95" spans="1:109" s="3" customFormat="1">
      <c r="A95" s="62"/>
      <c r="B95" s="62" t="s">
        <v>6372</v>
      </c>
      <c r="C95" s="62" t="s">
        <v>494</v>
      </c>
      <c r="D95" s="62"/>
      <c r="E95" s="62"/>
      <c r="F95" s="47"/>
      <c r="G95" s="47"/>
      <c r="H95" s="47"/>
      <c r="I95" s="48"/>
      <c r="J95" s="47"/>
      <c r="K95" s="57">
        <v>10</v>
      </c>
      <c r="L95" s="55"/>
      <c r="M95" s="47"/>
      <c r="N95" s="47"/>
      <c r="O95" s="47"/>
      <c r="P95" s="47"/>
      <c r="Q95" s="47"/>
      <c r="R95" s="47"/>
      <c r="S95" s="62"/>
      <c r="T95" s="62"/>
      <c r="U95" s="62"/>
      <c r="V95" s="62"/>
      <c r="W95" s="62"/>
      <c r="X95" s="62"/>
      <c r="Y95" s="62"/>
      <c r="Z95" s="62"/>
      <c r="AA95" s="62"/>
      <c r="AB95" s="62"/>
      <c r="AC95" s="62"/>
      <c r="AD95" s="62"/>
      <c r="AE95" s="62"/>
      <c r="AF95" s="62"/>
      <c r="AG95" s="62"/>
      <c r="AH95" s="62"/>
      <c r="AI95" s="62"/>
      <c r="AJ95" s="62"/>
      <c r="AK95" s="62"/>
      <c r="AL95" s="62"/>
      <c r="AM95" s="62"/>
      <c r="AN95" s="62"/>
      <c r="AO95" s="62"/>
      <c r="AP95" s="62"/>
      <c r="AQ95" s="62"/>
      <c r="AR95" s="62"/>
      <c r="AS95" s="62"/>
      <c r="AT95" s="62"/>
      <c r="AU95" s="62"/>
      <c r="AV95" s="62"/>
      <c r="AW95" s="62"/>
      <c r="AX95" s="62"/>
      <c r="AY95" s="62"/>
      <c r="AZ95" s="62"/>
      <c r="BA95" s="62"/>
      <c r="BB95" s="62"/>
      <c r="BC95" s="62"/>
      <c r="BD95" s="62"/>
      <c r="BE95" s="62"/>
      <c r="BF95" s="62"/>
      <c r="BG95" s="62"/>
      <c r="BH95" s="62"/>
      <c r="BI95" s="62"/>
      <c r="BJ95" s="62"/>
      <c r="BK95" s="62"/>
      <c r="BL95" s="62"/>
      <c r="BM95" s="62"/>
      <c r="BN95" s="62"/>
      <c r="BO95" s="62"/>
      <c r="BP95" s="62"/>
      <c r="BQ95" s="62"/>
      <c r="BR95" s="62"/>
      <c r="BS95" s="62"/>
      <c r="BT95" s="62"/>
      <c r="BU95" s="62"/>
      <c r="BV95" s="62"/>
      <c r="BW95" s="62"/>
      <c r="BX95" s="62"/>
      <c r="BY95" s="62"/>
      <c r="BZ95" s="62"/>
      <c r="CA95" s="62"/>
      <c r="CB95" s="62"/>
      <c r="CC95" s="62"/>
      <c r="CD95" s="62"/>
      <c r="CE95" s="62"/>
      <c r="CF95" s="62"/>
      <c r="CG95" s="62"/>
      <c r="CH95" s="62"/>
      <c r="CI95" s="62"/>
      <c r="CJ95" s="62"/>
      <c r="CK95" s="62"/>
      <c r="CL95" s="62"/>
      <c r="CM95" s="62"/>
      <c r="CN95" s="62"/>
      <c r="CO95" s="62"/>
      <c r="CP95" s="62"/>
      <c r="CQ95" s="62"/>
      <c r="CR95" s="62"/>
      <c r="CS95" s="62"/>
      <c r="CT95" s="62"/>
      <c r="CU95" s="62"/>
      <c r="CV95" s="62"/>
      <c r="CW95" s="62"/>
      <c r="CX95" s="62"/>
      <c r="CY95" s="62"/>
      <c r="CZ95" s="62"/>
      <c r="DA95" s="62"/>
      <c r="DB95" s="62"/>
      <c r="DC95" s="62"/>
      <c r="DD95" s="62"/>
      <c r="DE95" s="62"/>
    </row>
    <row r="96" spans="1:109" s="3" customFormat="1">
      <c r="A96" s="62"/>
      <c r="B96" s="62" t="s">
        <v>6373</v>
      </c>
      <c r="C96" s="62" t="s">
        <v>494</v>
      </c>
      <c r="D96" s="62"/>
      <c r="E96" s="62"/>
      <c r="F96" s="47"/>
      <c r="G96" s="47"/>
      <c r="H96" s="47"/>
      <c r="I96" s="48"/>
      <c r="J96" s="47"/>
      <c r="K96" s="57">
        <v>11</v>
      </c>
      <c r="L96" s="55">
        <v>7</v>
      </c>
      <c r="M96" s="47"/>
      <c r="N96" s="47"/>
      <c r="O96" s="47"/>
      <c r="P96" s="47"/>
      <c r="Q96" s="47"/>
      <c r="R96" s="47"/>
      <c r="S96" s="62"/>
      <c r="T96" s="62"/>
      <c r="U96" s="62"/>
      <c r="V96" s="62"/>
      <c r="W96" s="62"/>
      <c r="X96" s="62"/>
      <c r="Y96" s="62"/>
      <c r="Z96" s="62"/>
      <c r="AA96" s="62"/>
      <c r="AB96" s="62"/>
      <c r="AC96" s="62"/>
      <c r="AD96" s="62"/>
      <c r="AE96" s="62"/>
      <c r="AF96" s="62"/>
      <c r="AG96" s="62"/>
      <c r="AH96" s="62"/>
      <c r="AI96" s="62"/>
      <c r="AJ96" s="62"/>
      <c r="AK96" s="62"/>
      <c r="AL96" s="62"/>
      <c r="AM96" s="62"/>
      <c r="AN96" s="62"/>
      <c r="AO96" s="62"/>
      <c r="AP96" s="62"/>
      <c r="AQ96" s="62"/>
      <c r="AR96" s="62"/>
      <c r="AS96" s="62"/>
      <c r="AT96" s="62"/>
      <c r="AU96" s="62"/>
      <c r="AV96" s="62"/>
      <c r="AW96" s="62"/>
      <c r="AX96" s="62"/>
      <c r="AY96" s="62"/>
      <c r="AZ96" s="62"/>
      <c r="BA96" s="62"/>
      <c r="BB96" s="62"/>
      <c r="BC96" s="62"/>
      <c r="BD96" s="62"/>
      <c r="BE96" s="62"/>
      <c r="BF96" s="62"/>
      <c r="BG96" s="62"/>
      <c r="BH96" s="62"/>
      <c r="BI96" s="62"/>
      <c r="BJ96" s="62"/>
      <c r="BK96" s="62"/>
      <c r="BL96" s="62"/>
      <c r="BM96" s="62"/>
      <c r="BN96" s="62"/>
      <c r="BO96" s="62"/>
      <c r="BP96" s="62"/>
      <c r="BQ96" s="62"/>
      <c r="BR96" s="62"/>
      <c r="BS96" s="62"/>
      <c r="BT96" s="62"/>
      <c r="BU96" s="62"/>
      <c r="BV96" s="62"/>
      <c r="BW96" s="62"/>
      <c r="BX96" s="62"/>
      <c r="BY96" s="62"/>
      <c r="BZ96" s="62"/>
      <c r="CA96" s="62"/>
      <c r="CB96" s="62"/>
      <c r="CC96" s="62"/>
      <c r="CD96" s="62"/>
      <c r="CE96" s="62"/>
      <c r="CF96" s="62"/>
      <c r="CG96" s="62"/>
      <c r="CH96" s="62"/>
      <c r="CI96" s="62"/>
      <c r="CJ96" s="62"/>
      <c r="CK96" s="62"/>
      <c r="CL96" s="62"/>
      <c r="CM96" s="62"/>
      <c r="CN96" s="62"/>
      <c r="CO96" s="62"/>
      <c r="CP96" s="62"/>
      <c r="CQ96" s="62"/>
      <c r="CR96" s="62"/>
      <c r="CS96" s="62"/>
      <c r="CT96" s="62"/>
      <c r="CU96" s="62"/>
      <c r="CV96" s="62"/>
      <c r="CW96" s="62"/>
      <c r="CX96" s="62"/>
      <c r="CY96" s="62"/>
      <c r="CZ96" s="62"/>
      <c r="DA96" s="62"/>
      <c r="DB96" s="62"/>
      <c r="DC96" s="62"/>
      <c r="DD96" s="62"/>
      <c r="DE96" s="62"/>
    </row>
    <row r="97" spans="1:109" s="3" customFormat="1">
      <c r="A97" s="62"/>
      <c r="B97" s="62" t="s">
        <v>6416</v>
      </c>
      <c r="C97" s="62" t="s">
        <v>494</v>
      </c>
      <c r="D97" s="62"/>
      <c r="E97" s="62"/>
      <c r="F97" s="47"/>
      <c r="G97" s="47"/>
      <c r="H97" s="47" t="s">
        <v>6368</v>
      </c>
      <c r="I97" s="48"/>
      <c r="J97" s="47"/>
      <c r="K97" s="57">
        <v>12</v>
      </c>
      <c r="L97" s="55">
        <v>3</v>
      </c>
      <c r="M97" s="47">
        <v>1</v>
      </c>
      <c r="Q97" s="47"/>
      <c r="R97" s="47"/>
      <c r="S97" s="62"/>
      <c r="T97" s="62"/>
      <c r="U97" s="62"/>
      <c r="V97" s="62"/>
      <c r="W97" s="62"/>
      <c r="X97" s="62"/>
      <c r="Y97" s="62"/>
      <c r="Z97" s="62"/>
      <c r="AA97" s="62"/>
      <c r="AB97" s="62"/>
      <c r="AC97" s="62"/>
      <c r="AD97" s="62"/>
      <c r="AE97" s="62"/>
      <c r="AF97" s="62"/>
      <c r="AG97" s="62"/>
      <c r="AH97" s="62"/>
      <c r="AI97" s="62"/>
      <c r="AJ97" s="62"/>
      <c r="AK97" s="62"/>
      <c r="AL97" s="62"/>
      <c r="AM97" s="62"/>
      <c r="AN97" s="62"/>
      <c r="AO97" s="62"/>
      <c r="AP97" s="62"/>
      <c r="AQ97" s="62"/>
      <c r="AR97" s="62"/>
      <c r="AS97" s="62"/>
      <c r="AT97" s="62"/>
      <c r="AU97" s="62"/>
      <c r="AV97" s="62"/>
      <c r="AW97" s="62"/>
      <c r="AX97" s="62"/>
      <c r="AY97" s="62"/>
      <c r="AZ97" s="62"/>
      <c r="BA97" s="62"/>
      <c r="BB97" s="62"/>
      <c r="BC97" s="62"/>
      <c r="BD97" s="62"/>
      <c r="BE97" s="62"/>
      <c r="BF97" s="62"/>
      <c r="BG97" s="62"/>
      <c r="BH97" s="62"/>
      <c r="BI97" s="62"/>
      <c r="BJ97" s="62"/>
      <c r="BK97" s="62"/>
      <c r="BL97" s="62"/>
      <c r="BM97" s="62"/>
      <c r="BN97" s="62"/>
      <c r="BO97" s="62"/>
      <c r="BP97" s="62"/>
      <c r="BQ97" s="62"/>
      <c r="BR97" s="62"/>
      <c r="BS97" s="62"/>
      <c r="BT97" s="62"/>
      <c r="BU97" s="62"/>
      <c r="BV97" s="62"/>
      <c r="BW97" s="62"/>
      <c r="BX97" s="62"/>
      <c r="BY97" s="62"/>
      <c r="BZ97" s="62"/>
      <c r="CA97" s="62"/>
      <c r="CB97" s="62"/>
      <c r="CC97" s="62"/>
      <c r="CD97" s="62"/>
      <c r="CE97" s="62"/>
      <c r="CF97" s="62"/>
      <c r="CG97" s="62"/>
      <c r="CH97" s="62"/>
      <c r="CI97" s="62"/>
      <c r="CJ97" s="62"/>
      <c r="CK97" s="62"/>
      <c r="CL97" s="62"/>
      <c r="CM97" s="62"/>
      <c r="CN97" s="62"/>
      <c r="CO97" s="62"/>
      <c r="CP97" s="62"/>
      <c r="CQ97" s="62"/>
      <c r="CR97" s="62"/>
      <c r="CS97" s="62"/>
      <c r="CT97" s="62"/>
      <c r="CU97" s="62"/>
      <c r="CV97" s="62"/>
      <c r="CW97" s="62"/>
      <c r="CX97" s="62"/>
      <c r="CY97" s="62"/>
      <c r="CZ97" s="62"/>
      <c r="DA97" s="62"/>
      <c r="DB97" s="62"/>
      <c r="DC97" s="62"/>
      <c r="DD97" s="62"/>
      <c r="DE97" s="62"/>
    </row>
    <row r="98" spans="1:109" s="3" customFormat="1">
      <c r="A98" s="62"/>
      <c r="B98" s="62" t="s">
        <v>6374</v>
      </c>
      <c r="C98" s="62" t="s">
        <v>494</v>
      </c>
      <c r="D98" s="62"/>
      <c r="E98" s="62"/>
      <c r="F98" s="47"/>
      <c r="G98" s="47"/>
      <c r="H98" s="47"/>
      <c r="I98" s="48"/>
      <c r="J98" s="47"/>
      <c r="K98" s="57">
        <v>13</v>
      </c>
      <c r="L98" s="55">
        <v>7</v>
      </c>
      <c r="M98" s="47"/>
      <c r="N98" s="47"/>
      <c r="O98" s="47"/>
      <c r="P98" s="47"/>
      <c r="Q98" s="47"/>
      <c r="R98" s="47"/>
      <c r="S98" s="62"/>
      <c r="T98" s="62"/>
      <c r="U98" s="62"/>
      <c r="V98" s="62"/>
      <c r="W98" s="62"/>
      <c r="X98" s="62"/>
      <c r="Y98" s="62"/>
      <c r="Z98" s="62"/>
      <c r="AA98" s="62"/>
      <c r="AB98" s="62"/>
      <c r="AC98" s="62"/>
      <c r="AD98" s="62"/>
      <c r="AE98" s="62"/>
      <c r="AF98" s="62"/>
      <c r="AG98" s="62"/>
      <c r="AH98" s="62"/>
      <c r="AI98" s="62"/>
      <c r="AJ98" s="62"/>
      <c r="AK98" s="62"/>
      <c r="AL98" s="62"/>
      <c r="AM98" s="62"/>
      <c r="AN98" s="62"/>
      <c r="AO98" s="62"/>
      <c r="AP98" s="62"/>
      <c r="AQ98" s="62"/>
      <c r="AR98" s="62"/>
      <c r="AS98" s="62"/>
      <c r="AT98" s="62"/>
      <c r="AU98" s="62"/>
      <c r="AV98" s="62"/>
      <c r="AW98" s="62"/>
      <c r="AX98" s="62"/>
      <c r="AY98" s="62"/>
      <c r="AZ98" s="62"/>
      <c r="BA98" s="62"/>
      <c r="BB98" s="62"/>
      <c r="BC98" s="62"/>
      <c r="BD98" s="62"/>
      <c r="BE98" s="62"/>
      <c r="BF98" s="62"/>
      <c r="BG98" s="62"/>
      <c r="BH98" s="62"/>
      <c r="BI98" s="62"/>
      <c r="BJ98" s="62"/>
      <c r="BK98" s="62"/>
      <c r="BL98" s="62"/>
      <c r="BM98" s="62"/>
      <c r="BN98" s="62"/>
      <c r="BO98" s="62"/>
      <c r="BP98" s="62"/>
      <c r="BQ98" s="62"/>
      <c r="BR98" s="62"/>
      <c r="BS98" s="62"/>
      <c r="BT98" s="62"/>
      <c r="BU98" s="62"/>
      <c r="BV98" s="62"/>
      <c r="BW98" s="62"/>
      <c r="BX98" s="62"/>
      <c r="BY98" s="62"/>
      <c r="BZ98" s="62"/>
      <c r="CA98" s="62"/>
      <c r="CB98" s="62"/>
      <c r="CC98" s="62"/>
      <c r="CD98" s="62"/>
      <c r="CE98" s="62"/>
      <c r="CF98" s="62"/>
      <c r="CG98" s="62"/>
      <c r="CH98" s="62"/>
      <c r="CI98" s="62"/>
      <c r="CJ98" s="62"/>
      <c r="CK98" s="62"/>
      <c r="CL98" s="62"/>
      <c r="CM98" s="62"/>
      <c r="CN98" s="62"/>
      <c r="CO98" s="62"/>
      <c r="CP98" s="62"/>
      <c r="CQ98" s="62"/>
      <c r="CR98" s="62"/>
      <c r="CS98" s="62"/>
      <c r="CT98" s="62"/>
      <c r="CU98" s="62"/>
      <c r="CV98" s="62"/>
      <c r="CW98" s="62"/>
      <c r="CX98" s="62"/>
      <c r="CY98" s="62"/>
      <c r="CZ98" s="62"/>
      <c r="DA98" s="62"/>
      <c r="DB98" s="62"/>
      <c r="DC98" s="62"/>
      <c r="DD98" s="62"/>
      <c r="DE98" s="62"/>
    </row>
    <row r="99" spans="1:109" s="3" customFormat="1">
      <c r="A99" s="62"/>
      <c r="B99" s="62" t="s">
        <v>6375</v>
      </c>
      <c r="C99" s="62" t="s">
        <v>520</v>
      </c>
      <c r="D99" s="62"/>
      <c r="E99" s="62"/>
      <c r="F99" s="47"/>
      <c r="G99" s="47"/>
      <c r="H99" s="47"/>
      <c r="I99" s="48"/>
      <c r="J99" s="47"/>
      <c r="K99" s="57">
        <v>14</v>
      </c>
      <c r="L99" s="55"/>
      <c r="M99" s="47"/>
      <c r="N99" s="47"/>
      <c r="O99" s="47"/>
      <c r="P99" s="47"/>
      <c r="Q99" s="47"/>
      <c r="R99" s="47"/>
      <c r="S99" s="62"/>
      <c r="T99" s="62"/>
      <c r="U99" s="62"/>
      <c r="V99" s="62"/>
      <c r="W99" s="62"/>
      <c r="X99" s="62"/>
      <c r="Y99" s="62"/>
      <c r="Z99" s="62"/>
      <c r="AA99" s="62"/>
      <c r="AB99" s="62"/>
      <c r="AC99" s="62"/>
      <c r="AD99" s="62"/>
      <c r="AE99" s="62"/>
      <c r="AF99" s="62"/>
      <c r="AG99" s="62"/>
      <c r="AH99" s="62"/>
      <c r="AI99" s="62"/>
      <c r="AJ99" s="62"/>
      <c r="AK99" s="62"/>
      <c r="AL99" s="62"/>
      <c r="AM99" s="62"/>
      <c r="AN99" s="62"/>
      <c r="AO99" s="62"/>
      <c r="AP99" s="62"/>
      <c r="AQ99" s="62"/>
      <c r="AR99" s="62"/>
      <c r="AS99" s="62"/>
      <c r="AT99" s="62"/>
      <c r="AU99" s="62"/>
      <c r="AV99" s="62"/>
      <c r="AW99" s="62"/>
      <c r="AX99" s="62"/>
      <c r="AY99" s="62"/>
      <c r="AZ99" s="62"/>
      <c r="BA99" s="62"/>
      <c r="BB99" s="62"/>
      <c r="BC99" s="62"/>
      <c r="BD99" s="62"/>
      <c r="BE99" s="62"/>
      <c r="BF99" s="62"/>
      <c r="BG99" s="62"/>
      <c r="BH99" s="62"/>
      <c r="BI99" s="62"/>
      <c r="BJ99" s="62"/>
      <c r="BK99" s="62"/>
      <c r="BL99" s="62"/>
      <c r="BM99" s="62"/>
      <c r="BN99" s="62"/>
      <c r="BO99" s="62"/>
      <c r="BP99" s="62"/>
      <c r="BQ99" s="62"/>
      <c r="BR99" s="62"/>
      <c r="BS99" s="62"/>
      <c r="BT99" s="62"/>
      <c r="BU99" s="62"/>
      <c r="BV99" s="62"/>
      <c r="BW99" s="62"/>
      <c r="BX99" s="62"/>
      <c r="BY99" s="62"/>
      <c r="BZ99" s="62"/>
      <c r="CA99" s="62"/>
      <c r="CB99" s="62"/>
      <c r="CC99" s="62"/>
      <c r="CD99" s="62"/>
      <c r="CE99" s="62"/>
      <c r="CF99" s="62"/>
      <c r="CG99" s="62"/>
      <c r="CH99" s="62"/>
      <c r="CI99" s="62"/>
      <c r="CJ99" s="62"/>
      <c r="CK99" s="62"/>
      <c r="CL99" s="62"/>
      <c r="CM99" s="62"/>
      <c r="CN99" s="62"/>
      <c r="CO99" s="62"/>
      <c r="CP99" s="62"/>
      <c r="CQ99" s="62"/>
      <c r="CR99" s="62"/>
      <c r="CS99" s="62"/>
      <c r="CT99" s="62"/>
      <c r="CU99" s="62"/>
      <c r="CV99" s="62"/>
      <c r="CW99" s="62"/>
      <c r="CX99" s="62"/>
      <c r="CY99" s="62"/>
      <c r="CZ99" s="62"/>
      <c r="DA99" s="62"/>
      <c r="DB99" s="62"/>
      <c r="DC99" s="62"/>
      <c r="DD99" s="62"/>
      <c r="DE99" s="62"/>
    </row>
    <row r="100" spans="1:109" s="3" customFormat="1">
      <c r="A100" s="64"/>
      <c r="B100" s="64"/>
      <c r="C100" s="62"/>
      <c r="D100" s="62"/>
      <c r="E100" s="62"/>
      <c r="F100" s="47"/>
      <c r="G100" s="47"/>
      <c r="H100" s="47"/>
      <c r="I100" s="48"/>
      <c r="J100" s="47"/>
      <c r="K100" s="57"/>
      <c r="L100" s="55"/>
      <c r="M100" s="47"/>
      <c r="N100" s="62"/>
      <c r="O100" s="62"/>
      <c r="P100" s="62"/>
      <c r="Q100" s="47"/>
      <c r="R100" s="47"/>
      <c r="S100" s="62"/>
      <c r="T100" s="62"/>
      <c r="U100" s="62"/>
      <c r="V100" s="62"/>
      <c r="W100" s="62"/>
      <c r="X100" s="62"/>
      <c r="Y100" s="62"/>
      <c r="Z100" s="62"/>
      <c r="AA100" s="62"/>
      <c r="AB100" s="62"/>
      <c r="AC100" s="62"/>
      <c r="AD100" s="62"/>
      <c r="AE100" s="62"/>
      <c r="AF100" s="62"/>
      <c r="AG100" s="62"/>
      <c r="AH100" s="62"/>
      <c r="AI100" s="62"/>
      <c r="AJ100" s="62"/>
      <c r="AK100" s="62"/>
      <c r="AL100" s="62"/>
      <c r="AM100" s="62"/>
      <c r="AN100" s="62"/>
      <c r="AO100" s="62"/>
      <c r="AP100" s="62"/>
      <c r="AQ100" s="62"/>
      <c r="AR100" s="62"/>
      <c r="AS100" s="62"/>
      <c r="AT100" s="62"/>
      <c r="AU100" s="62"/>
      <c r="AV100" s="62"/>
      <c r="AW100" s="62"/>
      <c r="AX100" s="62"/>
      <c r="AY100" s="62"/>
      <c r="AZ100" s="62"/>
      <c r="BA100" s="62"/>
      <c r="BB100" s="62"/>
      <c r="BC100" s="62"/>
      <c r="BD100" s="62"/>
      <c r="BE100" s="62"/>
      <c r="BF100" s="62"/>
      <c r="BG100" s="62"/>
      <c r="BH100" s="62"/>
      <c r="BI100" s="62"/>
      <c r="BJ100" s="62"/>
      <c r="BK100" s="62"/>
      <c r="BL100" s="62"/>
      <c r="BM100" s="62"/>
      <c r="BN100" s="62"/>
      <c r="BO100" s="62"/>
      <c r="BP100" s="62"/>
      <c r="BQ100" s="62"/>
      <c r="BR100" s="62"/>
      <c r="BS100" s="62"/>
      <c r="BT100" s="62"/>
      <c r="BU100" s="62"/>
      <c r="BV100" s="62"/>
      <c r="BW100" s="62"/>
      <c r="BX100" s="62"/>
      <c r="BY100" s="62"/>
      <c r="BZ100" s="62"/>
      <c r="CA100" s="62"/>
      <c r="CB100" s="62"/>
      <c r="CC100" s="62"/>
      <c r="CD100" s="62"/>
      <c r="CE100" s="62"/>
      <c r="CF100" s="62"/>
      <c r="CG100" s="62"/>
      <c r="CH100" s="62"/>
      <c r="CI100" s="62"/>
      <c r="CJ100" s="62"/>
      <c r="CK100" s="62"/>
      <c r="CL100" s="62"/>
      <c r="CM100" s="62"/>
      <c r="CN100" s="62"/>
      <c r="CO100" s="62"/>
      <c r="CP100" s="62"/>
      <c r="CQ100" s="62"/>
      <c r="CR100" s="62"/>
      <c r="CS100" s="62"/>
      <c r="CT100" s="62"/>
      <c r="CU100" s="62"/>
      <c r="CV100" s="62"/>
      <c r="CW100" s="62"/>
      <c r="CX100" s="62"/>
      <c r="CY100" s="62"/>
      <c r="CZ100" s="62"/>
      <c r="DA100" s="62"/>
      <c r="DB100" s="62"/>
      <c r="DC100" s="62"/>
      <c r="DD100" s="62"/>
      <c r="DE100" s="62"/>
    </row>
    <row r="101" spans="1:109" s="3" customFormat="1">
      <c r="A101" s="70" t="s">
        <v>4843</v>
      </c>
      <c r="B101" s="70" t="s">
        <v>6239</v>
      </c>
      <c r="C101" s="62" t="s">
        <v>494</v>
      </c>
      <c r="D101" s="62"/>
      <c r="E101" s="62" t="s">
        <v>476</v>
      </c>
      <c r="F101" s="47">
        <v>2</v>
      </c>
      <c r="G101" s="47">
        <v>258</v>
      </c>
      <c r="H101" s="47" t="s">
        <v>6429</v>
      </c>
      <c r="I101" s="48"/>
      <c r="J101" s="47">
        <v>1512</v>
      </c>
      <c r="K101" s="57">
        <v>1</v>
      </c>
      <c r="L101" s="55">
        <v>52</v>
      </c>
      <c r="M101" s="47"/>
      <c r="N101" s="47">
        <v>251</v>
      </c>
      <c r="O101" s="64" t="s">
        <v>4845</v>
      </c>
      <c r="P101" s="47"/>
      <c r="Q101" s="47"/>
      <c r="R101" s="47"/>
      <c r="S101" s="62"/>
      <c r="T101" s="62"/>
      <c r="U101" s="62"/>
      <c r="V101" s="62"/>
      <c r="W101" s="62"/>
      <c r="X101" s="62"/>
      <c r="Y101" s="62"/>
      <c r="Z101" s="62"/>
      <c r="AA101" s="62"/>
      <c r="AB101" s="62"/>
      <c r="AC101" s="62"/>
      <c r="AD101" s="62"/>
      <c r="AE101" s="62"/>
      <c r="AF101" s="62"/>
      <c r="AG101" s="62"/>
      <c r="AH101" s="62"/>
      <c r="AI101" s="62"/>
      <c r="AJ101" s="62"/>
      <c r="AK101" s="62"/>
      <c r="AL101" s="62"/>
      <c r="AM101" s="62"/>
      <c r="AN101" s="62"/>
      <c r="AO101" s="62"/>
      <c r="AP101" s="62"/>
      <c r="AQ101" s="62"/>
      <c r="AR101" s="62"/>
      <c r="AS101" s="62"/>
      <c r="AT101" s="62"/>
      <c r="AU101" s="62"/>
      <c r="AV101" s="62"/>
      <c r="AW101" s="62"/>
      <c r="AX101" s="62"/>
      <c r="AY101" s="62"/>
      <c r="AZ101" s="62"/>
      <c r="BA101" s="62"/>
      <c r="BB101" s="62"/>
      <c r="BC101" s="62"/>
      <c r="BD101" s="62"/>
      <c r="BE101" s="62"/>
      <c r="BF101" s="62"/>
      <c r="BG101" s="62"/>
      <c r="BH101" s="62"/>
      <c r="BI101" s="62"/>
      <c r="BJ101" s="62"/>
      <c r="BK101" s="62"/>
      <c r="BL101" s="62"/>
      <c r="BM101" s="62"/>
      <c r="BN101" s="62"/>
      <c r="BO101" s="62"/>
      <c r="BP101" s="62"/>
      <c r="BQ101" s="62"/>
      <c r="BR101" s="62"/>
      <c r="BS101" s="62"/>
      <c r="BT101" s="62"/>
      <c r="BU101" s="62"/>
      <c r="BV101" s="62"/>
      <c r="BW101" s="62"/>
      <c r="BX101" s="62"/>
      <c r="BY101" s="62"/>
      <c r="BZ101" s="62"/>
      <c r="CA101" s="62"/>
      <c r="CB101" s="62"/>
      <c r="CC101" s="62"/>
      <c r="CD101" s="62"/>
      <c r="CE101" s="62"/>
      <c r="CF101" s="62"/>
      <c r="CG101" s="62"/>
      <c r="CH101" s="62"/>
      <c r="CI101" s="62"/>
      <c r="CJ101" s="62"/>
      <c r="CK101" s="62"/>
      <c r="CL101" s="62"/>
      <c r="CM101" s="62"/>
      <c r="CN101" s="62"/>
      <c r="CO101" s="62"/>
      <c r="CP101" s="62"/>
      <c r="CQ101" s="62"/>
      <c r="CR101" s="62"/>
      <c r="CS101" s="62"/>
      <c r="CT101" s="62"/>
      <c r="CU101" s="62"/>
      <c r="CV101" s="62"/>
      <c r="CW101" s="62"/>
      <c r="CX101" s="62"/>
      <c r="CY101" s="62"/>
      <c r="CZ101" s="62"/>
      <c r="DA101" s="62"/>
      <c r="DB101" s="62"/>
      <c r="DC101" s="62"/>
      <c r="DD101" s="62"/>
      <c r="DE101" s="62"/>
    </row>
    <row r="102" spans="1:109" s="3" customFormat="1">
      <c r="A102" s="70"/>
      <c r="B102" s="70" t="s">
        <v>6423</v>
      </c>
      <c r="C102" s="62" t="s">
        <v>494</v>
      </c>
      <c r="D102" s="62"/>
      <c r="E102" s="62" t="s">
        <v>476</v>
      </c>
      <c r="F102" s="47"/>
      <c r="G102" s="47"/>
      <c r="H102" s="47"/>
      <c r="I102" s="48"/>
      <c r="J102" s="47"/>
      <c r="K102" s="57">
        <v>2</v>
      </c>
      <c r="L102" s="55">
        <v>6</v>
      </c>
      <c r="M102" s="47"/>
      <c r="N102" s="47"/>
      <c r="O102" s="47"/>
      <c r="P102" s="47"/>
      <c r="Q102" s="47"/>
      <c r="R102" s="47"/>
      <c r="S102" s="62"/>
      <c r="T102" s="62"/>
      <c r="U102" s="62"/>
      <c r="V102" s="62"/>
      <c r="W102" s="62"/>
      <c r="X102" s="62"/>
      <c r="Y102" s="62"/>
      <c r="Z102" s="62"/>
      <c r="AA102" s="62"/>
      <c r="AB102" s="62"/>
      <c r="AC102" s="62"/>
      <c r="AD102" s="62"/>
      <c r="AE102" s="62"/>
      <c r="AF102" s="62"/>
      <c r="AG102" s="62"/>
      <c r="AH102" s="62"/>
      <c r="AI102" s="62"/>
      <c r="AJ102" s="62"/>
      <c r="AK102" s="62"/>
      <c r="AL102" s="62"/>
      <c r="AM102" s="62"/>
      <c r="AN102" s="62"/>
      <c r="AO102" s="62"/>
      <c r="AP102" s="62"/>
      <c r="AQ102" s="62"/>
      <c r="AR102" s="62"/>
      <c r="AS102" s="62"/>
      <c r="AT102" s="62"/>
      <c r="AU102" s="62"/>
      <c r="AV102" s="62"/>
      <c r="AW102" s="62"/>
      <c r="AX102" s="62"/>
      <c r="AY102" s="62"/>
      <c r="AZ102" s="62"/>
      <c r="BA102" s="62"/>
      <c r="BB102" s="62"/>
      <c r="BC102" s="62"/>
      <c r="BD102" s="62"/>
      <c r="BE102" s="62"/>
      <c r="BF102" s="62"/>
      <c r="BG102" s="62"/>
      <c r="BH102" s="62"/>
      <c r="BI102" s="62"/>
      <c r="BJ102" s="62"/>
      <c r="BK102" s="62"/>
      <c r="BL102" s="62"/>
      <c r="BM102" s="62"/>
      <c r="BN102" s="62"/>
      <c r="BO102" s="62"/>
      <c r="BP102" s="62"/>
      <c r="BQ102" s="62"/>
      <c r="BR102" s="62"/>
      <c r="BS102" s="62"/>
      <c r="BT102" s="62"/>
      <c r="BU102" s="62"/>
      <c r="BV102" s="62"/>
      <c r="BW102" s="62"/>
      <c r="BX102" s="62"/>
      <c r="BY102" s="62"/>
      <c r="BZ102" s="62"/>
      <c r="CA102" s="62"/>
      <c r="CB102" s="62"/>
      <c r="CC102" s="62"/>
      <c r="CD102" s="62"/>
      <c r="CE102" s="62"/>
      <c r="CF102" s="62"/>
      <c r="CG102" s="62"/>
      <c r="CH102" s="62"/>
      <c r="CI102" s="62"/>
      <c r="CJ102" s="62"/>
      <c r="CK102" s="62"/>
      <c r="CL102" s="62"/>
      <c r="CM102" s="62"/>
      <c r="CN102" s="62"/>
      <c r="CO102" s="62"/>
      <c r="CP102" s="62"/>
      <c r="CQ102" s="62"/>
      <c r="CR102" s="62"/>
      <c r="CS102" s="62"/>
      <c r="CT102" s="62"/>
      <c r="CU102" s="62"/>
      <c r="CV102" s="62"/>
      <c r="CW102" s="62"/>
      <c r="CX102" s="62"/>
      <c r="CY102" s="62"/>
      <c r="CZ102" s="62"/>
      <c r="DA102" s="62"/>
      <c r="DB102" s="62"/>
      <c r="DC102" s="62"/>
      <c r="DD102" s="62"/>
      <c r="DE102" s="62"/>
    </row>
    <row r="103" spans="1:109" s="3" customFormat="1">
      <c r="A103" s="70"/>
      <c r="B103" s="70" t="s">
        <v>6214</v>
      </c>
      <c r="C103" s="62" t="s">
        <v>494</v>
      </c>
      <c r="D103" s="62"/>
      <c r="E103" s="62" t="s">
        <v>476</v>
      </c>
      <c r="F103" s="47"/>
      <c r="G103" s="47"/>
      <c r="H103" s="47"/>
      <c r="I103" s="48"/>
      <c r="J103" s="47"/>
      <c r="K103" s="57">
        <v>3</v>
      </c>
      <c r="L103" s="55"/>
      <c r="M103" s="47">
        <v>2</v>
      </c>
      <c r="N103" s="47"/>
      <c r="O103" s="47"/>
      <c r="P103" s="47"/>
      <c r="Q103" s="47"/>
      <c r="R103" s="47"/>
      <c r="S103" s="62"/>
      <c r="T103" s="62"/>
      <c r="U103" s="62"/>
      <c r="V103" s="62"/>
      <c r="W103" s="62"/>
      <c r="X103" s="62"/>
      <c r="Y103" s="62"/>
      <c r="Z103" s="62"/>
      <c r="AA103" s="62"/>
      <c r="AB103" s="62"/>
      <c r="AC103" s="62"/>
      <c r="AD103" s="62"/>
      <c r="AE103" s="62"/>
      <c r="AF103" s="62"/>
      <c r="AG103" s="62"/>
      <c r="AH103" s="62"/>
      <c r="AI103" s="62"/>
      <c r="AJ103" s="62"/>
      <c r="AK103" s="62"/>
      <c r="AL103" s="62"/>
      <c r="AM103" s="62"/>
      <c r="AN103" s="62"/>
      <c r="AO103" s="62"/>
      <c r="AP103" s="62"/>
      <c r="AQ103" s="62"/>
      <c r="AR103" s="62"/>
      <c r="AS103" s="62"/>
      <c r="AT103" s="62"/>
      <c r="AU103" s="62"/>
      <c r="AV103" s="62"/>
      <c r="AW103" s="62"/>
      <c r="AX103" s="62"/>
      <c r="AY103" s="62"/>
      <c r="AZ103" s="62"/>
      <c r="BA103" s="62"/>
      <c r="BB103" s="62"/>
      <c r="BC103" s="62"/>
      <c r="BD103" s="62"/>
      <c r="BE103" s="62"/>
      <c r="BF103" s="62"/>
      <c r="BG103" s="62"/>
      <c r="BH103" s="62"/>
      <c r="BI103" s="62"/>
      <c r="BJ103" s="62"/>
      <c r="BK103" s="62"/>
      <c r="BL103" s="62"/>
      <c r="BM103" s="62"/>
      <c r="BN103" s="62"/>
      <c r="BO103" s="62"/>
      <c r="BP103" s="62"/>
      <c r="BQ103" s="62"/>
      <c r="BR103" s="62"/>
      <c r="BS103" s="62"/>
      <c r="BT103" s="62"/>
      <c r="BU103" s="62"/>
      <c r="BV103" s="62"/>
      <c r="BW103" s="62"/>
      <c r="BX103" s="62"/>
      <c r="BY103" s="62"/>
      <c r="BZ103" s="62"/>
      <c r="CA103" s="62"/>
      <c r="CB103" s="62"/>
      <c r="CC103" s="62"/>
      <c r="CD103" s="62"/>
      <c r="CE103" s="62"/>
      <c r="CF103" s="62"/>
      <c r="CG103" s="62"/>
      <c r="CH103" s="62"/>
      <c r="CI103" s="62"/>
      <c r="CJ103" s="62"/>
      <c r="CK103" s="62"/>
      <c r="CL103" s="62"/>
      <c r="CM103" s="62"/>
      <c r="CN103" s="62"/>
      <c r="CO103" s="62"/>
      <c r="CP103" s="62"/>
      <c r="CQ103" s="62"/>
      <c r="CR103" s="62"/>
      <c r="CS103" s="62"/>
      <c r="CT103" s="62"/>
      <c r="CU103" s="62"/>
      <c r="CV103" s="62"/>
      <c r="CW103" s="62"/>
      <c r="CX103" s="62"/>
      <c r="CY103" s="62"/>
      <c r="CZ103" s="62"/>
      <c r="DA103" s="62"/>
      <c r="DB103" s="62"/>
      <c r="DC103" s="62"/>
      <c r="DD103" s="62"/>
      <c r="DE103" s="62"/>
    </row>
    <row r="104" spans="1:109" s="3" customFormat="1">
      <c r="A104" s="70"/>
      <c r="B104" s="70" t="s">
        <v>4844</v>
      </c>
      <c r="C104" s="62" t="s">
        <v>494</v>
      </c>
      <c r="D104" s="62"/>
      <c r="E104" s="62" t="s">
        <v>476</v>
      </c>
      <c r="F104" s="47"/>
      <c r="G104" s="47"/>
      <c r="H104" s="47"/>
      <c r="I104" s="48"/>
      <c r="J104" s="47"/>
      <c r="K104" s="57">
        <v>4</v>
      </c>
      <c r="L104" s="55"/>
      <c r="M104" s="47">
        <v>2</v>
      </c>
      <c r="N104" s="47"/>
      <c r="O104" s="47"/>
      <c r="P104" s="47"/>
      <c r="Q104" s="47"/>
      <c r="R104" s="47"/>
      <c r="S104" s="62"/>
      <c r="T104" s="62"/>
      <c r="U104" s="62"/>
      <c r="V104" s="62"/>
      <c r="W104" s="62"/>
      <c r="X104" s="62"/>
      <c r="Y104" s="62"/>
      <c r="Z104" s="62"/>
      <c r="AA104" s="62"/>
      <c r="AB104" s="62"/>
      <c r="AC104" s="62"/>
      <c r="AD104" s="62"/>
      <c r="AE104" s="62"/>
      <c r="AF104" s="62"/>
      <c r="AG104" s="62"/>
      <c r="AH104" s="62"/>
      <c r="AI104" s="62"/>
      <c r="AJ104" s="62"/>
      <c r="AK104" s="62"/>
      <c r="AL104" s="62"/>
      <c r="AM104" s="62"/>
      <c r="AN104" s="62"/>
      <c r="AO104" s="62"/>
      <c r="AP104" s="62"/>
      <c r="AQ104" s="62"/>
      <c r="AR104" s="62"/>
      <c r="AS104" s="62"/>
      <c r="AT104" s="62"/>
      <c r="AU104" s="62"/>
      <c r="AV104" s="62"/>
      <c r="AW104" s="62"/>
      <c r="AX104" s="62"/>
      <c r="AY104" s="62"/>
      <c r="AZ104" s="62"/>
      <c r="BA104" s="62"/>
      <c r="BB104" s="62"/>
      <c r="BC104" s="62"/>
      <c r="BD104" s="62"/>
      <c r="BE104" s="62"/>
      <c r="BF104" s="62"/>
      <c r="BG104" s="62"/>
      <c r="BH104" s="62"/>
      <c r="BI104" s="62"/>
      <c r="BJ104" s="62"/>
      <c r="BK104" s="62"/>
      <c r="BL104" s="62"/>
      <c r="BM104" s="62"/>
      <c r="BN104" s="62"/>
      <c r="BO104" s="62"/>
      <c r="BP104" s="62"/>
      <c r="BQ104" s="62"/>
      <c r="BR104" s="62"/>
      <c r="BS104" s="62"/>
      <c r="BT104" s="62"/>
      <c r="BU104" s="62"/>
      <c r="BV104" s="62"/>
      <c r="BW104" s="62"/>
      <c r="BX104" s="62"/>
      <c r="BY104" s="62"/>
      <c r="BZ104" s="62"/>
      <c r="CA104" s="62"/>
      <c r="CB104" s="62"/>
      <c r="CC104" s="62"/>
      <c r="CD104" s="62"/>
      <c r="CE104" s="62"/>
      <c r="CF104" s="62"/>
      <c r="CG104" s="62"/>
      <c r="CH104" s="62"/>
      <c r="CI104" s="62"/>
      <c r="CJ104" s="62"/>
      <c r="CK104" s="62"/>
      <c r="CL104" s="62"/>
      <c r="CM104" s="62"/>
      <c r="CN104" s="62"/>
      <c r="CO104" s="62"/>
      <c r="CP104" s="62"/>
      <c r="CQ104" s="62"/>
      <c r="CR104" s="62"/>
      <c r="CS104" s="62"/>
      <c r="CT104" s="62"/>
      <c r="CU104" s="62"/>
      <c r="CV104" s="62"/>
      <c r="CW104" s="62"/>
      <c r="CX104" s="62"/>
      <c r="CY104" s="62"/>
      <c r="CZ104" s="62"/>
      <c r="DA104" s="62"/>
      <c r="DB104" s="62"/>
      <c r="DC104" s="62"/>
      <c r="DD104" s="62"/>
      <c r="DE104" s="62"/>
    </row>
    <row r="105" spans="1:109" s="3" customFormat="1">
      <c r="A105" s="70"/>
      <c r="B105" s="70" t="s">
        <v>4845</v>
      </c>
      <c r="C105" s="62" t="s">
        <v>494</v>
      </c>
      <c r="D105" s="62"/>
      <c r="E105" s="62"/>
      <c r="F105" s="47"/>
      <c r="G105" s="47"/>
      <c r="H105" s="47"/>
      <c r="I105" s="48"/>
      <c r="J105" s="47"/>
      <c r="K105" s="57">
        <v>5</v>
      </c>
      <c r="L105" s="55">
        <v>6</v>
      </c>
      <c r="M105" s="47"/>
      <c r="N105" s="47"/>
      <c r="O105" s="47"/>
      <c r="P105" s="47"/>
      <c r="Q105" s="47"/>
      <c r="R105" s="47"/>
      <c r="S105" s="62"/>
      <c r="T105" s="62"/>
      <c r="U105" s="62"/>
      <c r="V105" s="62"/>
      <c r="W105" s="62"/>
      <c r="X105" s="62"/>
      <c r="Y105" s="62"/>
      <c r="Z105" s="62"/>
      <c r="AA105" s="62"/>
      <c r="AB105" s="62"/>
      <c r="AC105" s="62"/>
      <c r="AD105" s="62"/>
      <c r="AE105" s="62"/>
      <c r="AF105" s="62"/>
      <c r="AG105" s="62"/>
      <c r="AH105" s="62"/>
      <c r="AI105" s="62"/>
      <c r="AJ105" s="62"/>
      <c r="AK105" s="62"/>
      <c r="AL105" s="62"/>
      <c r="AM105" s="62"/>
      <c r="AN105" s="62"/>
      <c r="AO105" s="62"/>
      <c r="AP105" s="62"/>
      <c r="AQ105" s="62"/>
      <c r="AR105" s="62"/>
      <c r="AS105" s="62"/>
      <c r="AT105" s="62"/>
      <c r="AU105" s="62"/>
      <c r="AV105" s="62"/>
      <c r="AW105" s="62"/>
      <c r="AX105" s="62"/>
      <c r="AY105" s="62"/>
      <c r="AZ105" s="62"/>
      <c r="BA105" s="62"/>
      <c r="BB105" s="62"/>
      <c r="BC105" s="62"/>
      <c r="BD105" s="62"/>
      <c r="BE105" s="62"/>
      <c r="BF105" s="62"/>
      <c r="BG105" s="62"/>
      <c r="BH105" s="62"/>
      <c r="BI105" s="62"/>
      <c r="BJ105" s="62"/>
      <c r="BK105" s="62"/>
      <c r="BL105" s="62"/>
      <c r="BM105" s="62"/>
      <c r="BN105" s="62"/>
      <c r="BO105" s="62"/>
      <c r="BP105" s="62"/>
      <c r="BQ105" s="62"/>
      <c r="BR105" s="62"/>
      <c r="BS105" s="62"/>
      <c r="BT105" s="62"/>
      <c r="BU105" s="62"/>
      <c r="BV105" s="62"/>
      <c r="BW105" s="62"/>
      <c r="BX105" s="62"/>
      <c r="BY105" s="62"/>
      <c r="BZ105" s="62"/>
      <c r="CA105" s="62"/>
      <c r="CB105" s="62"/>
      <c r="CC105" s="62"/>
      <c r="CD105" s="62"/>
      <c r="CE105" s="62"/>
      <c r="CF105" s="62"/>
      <c r="CG105" s="62"/>
      <c r="CH105" s="62"/>
      <c r="CI105" s="62"/>
      <c r="CJ105" s="62"/>
      <c r="CK105" s="62"/>
      <c r="CL105" s="62"/>
      <c r="CM105" s="62"/>
      <c r="CN105" s="62"/>
      <c r="CO105" s="62"/>
      <c r="CP105" s="62"/>
      <c r="CQ105" s="62"/>
      <c r="CR105" s="62"/>
      <c r="CS105" s="62"/>
      <c r="CT105" s="62"/>
      <c r="CU105" s="62"/>
      <c r="CV105" s="62"/>
      <c r="CW105" s="62"/>
      <c r="CX105" s="62"/>
      <c r="CY105" s="62"/>
      <c r="CZ105" s="62"/>
      <c r="DA105" s="62"/>
      <c r="DB105" s="62"/>
      <c r="DC105" s="62"/>
      <c r="DD105" s="62"/>
      <c r="DE105" s="62"/>
    </row>
    <row r="106" spans="1:109" s="3" customFormat="1">
      <c r="A106" s="120"/>
      <c r="B106" s="120" t="s">
        <v>6406</v>
      </c>
      <c r="C106" s="62" t="s">
        <v>494</v>
      </c>
      <c r="D106" s="62"/>
      <c r="E106" s="62"/>
      <c r="F106" s="47"/>
      <c r="G106" s="47"/>
      <c r="H106" s="47"/>
      <c r="I106" s="48"/>
      <c r="J106" s="47"/>
      <c r="K106" s="57">
        <v>6</v>
      </c>
      <c r="L106" s="55">
        <v>8</v>
      </c>
      <c r="M106" s="47"/>
      <c r="N106" s="47"/>
      <c r="O106" s="47"/>
      <c r="P106" s="47"/>
      <c r="Q106" s="47"/>
      <c r="R106" s="47"/>
      <c r="S106" s="62"/>
      <c r="T106" s="62"/>
      <c r="U106" s="62"/>
      <c r="V106" s="62"/>
      <c r="W106" s="62"/>
      <c r="X106" s="62"/>
      <c r="Y106" s="62"/>
      <c r="Z106" s="62"/>
      <c r="AA106" s="62"/>
      <c r="AB106" s="62"/>
      <c r="AC106" s="62"/>
      <c r="AD106" s="62"/>
      <c r="AE106" s="62"/>
      <c r="AF106" s="62"/>
      <c r="AG106" s="62"/>
      <c r="AH106" s="62"/>
      <c r="AI106" s="62"/>
      <c r="AJ106" s="62"/>
      <c r="AK106" s="62"/>
      <c r="AL106" s="62"/>
      <c r="AM106" s="62"/>
      <c r="AN106" s="62"/>
      <c r="AO106" s="62"/>
      <c r="AP106" s="62"/>
      <c r="AQ106" s="62"/>
      <c r="AR106" s="62"/>
      <c r="AS106" s="62"/>
      <c r="AT106" s="62"/>
      <c r="AU106" s="62"/>
      <c r="AV106" s="62"/>
      <c r="AW106" s="62"/>
      <c r="AX106" s="62"/>
      <c r="AY106" s="62"/>
      <c r="AZ106" s="62"/>
      <c r="BA106" s="62"/>
      <c r="BB106" s="62"/>
      <c r="BC106" s="62"/>
      <c r="BD106" s="62"/>
      <c r="BE106" s="62"/>
      <c r="BF106" s="62"/>
      <c r="BG106" s="62"/>
      <c r="BH106" s="62"/>
      <c r="BI106" s="62"/>
      <c r="BJ106" s="62"/>
      <c r="BK106" s="62"/>
      <c r="BL106" s="62"/>
      <c r="BM106" s="62"/>
      <c r="BN106" s="62"/>
      <c r="BO106" s="62"/>
      <c r="BP106" s="62"/>
      <c r="BQ106" s="62"/>
      <c r="BR106" s="62"/>
      <c r="BS106" s="62"/>
      <c r="BT106" s="62"/>
      <c r="BU106" s="62"/>
      <c r="BV106" s="62"/>
      <c r="BW106" s="62"/>
      <c r="BX106" s="62"/>
      <c r="BY106" s="62"/>
      <c r="BZ106" s="62"/>
      <c r="CA106" s="62"/>
      <c r="CB106" s="62"/>
      <c r="CC106" s="62"/>
      <c r="CD106" s="62"/>
      <c r="CE106" s="62"/>
      <c r="CF106" s="62"/>
      <c r="CG106" s="62"/>
      <c r="CH106" s="62"/>
      <c r="CI106" s="62"/>
      <c r="CJ106" s="62"/>
      <c r="CK106" s="62"/>
      <c r="CL106" s="62"/>
      <c r="CM106" s="62"/>
      <c r="CN106" s="62"/>
      <c r="CO106" s="62"/>
      <c r="CP106" s="62"/>
      <c r="CQ106" s="62"/>
      <c r="CR106" s="62"/>
      <c r="CS106" s="62"/>
      <c r="CT106" s="62"/>
      <c r="CU106" s="62"/>
      <c r="CV106" s="62"/>
      <c r="CW106" s="62"/>
      <c r="CX106" s="62"/>
      <c r="CY106" s="62"/>
      <c r="CZ106" s="62"/>
      <c r="DA106" s="62"/>
      <c r="DB106" s="62"/>
      <c r="DC106" s="62"/>
      <c r="DD106" s="62"/>
      <c r="DE106" s="62"/>
    </row>
    <row r="107" spans="1:109" s="3" customFormat="1">
      <c r="A107" s="62"/>
      <c r="B107" s="62" t="s">
        <v>6376</v>
      </c>
      <c r="C107" s="62" t="s">
        <v>520</v>
      </c>
      <c r="D107" s="62"/>
      <c r="E107" s="62"/>
      <c r="F107" s="47"/>
      <c r="G107" s="47"/>
      <c r="H107" s="47"/>
      <c r="I107" s="48"/>
      <c r="J107" s="47"/>
      <c r="K107" s="57">
        <v>7</v>
      </c>
      <c r="L107" s="55"/>
      <c r="M107" s="47"/>
      <c r="N107" s="47"/>
      <c r="O107" s="47"/>
      <c r="P107" s="47"/>
      <c r="Q107" s="47"/>
      <c r="R107" s="47"/>
      <c r="S107" s="62"/>
      <c r="T107" s="62"/>
      <c r="U107" s="62"/>
      <c r="V107" s="62"/>
      <c r="W107" s="62"/>
      <c r="X107" s="62"/>
      <c r="Y107" s="62"/>
      <c r="Z107" s="62"/>
      <c r="AA107" s="62"/>
      <c r="AB107" s="62"/>
      <c r="AC107" s="62"/>
      <c r="AD107" s="62"/>
      <c r="AE107" s="62"/>
      <c r="AF107" s="62"/>
      <c r="AG107" s="62"/>
      <c r="AH107" s="62"/>
      <c r="AI107" s="62"/>
      <c r="AJ107" s="62"/>
      <c r="AK107" s="62"/>
      <c r="AL107" s="62"/>
      <c r="AM107" s="62"/>
      <c r="AN107" s="62"/>
      <c r="AO107" s="62"/>
      <c r="AP107" s="62"/>
      <c r="AQ107" s="62"/>
      <c r="AR107" s="62"/>
      <c r="AS107" s="62"/>
      <c r="AT107" s="62"/>
      <c r="AU107" s="62"/>
      <c r="AV107" s="62"/>
      <c r="AW107" s="62"/>
      <c r="AX107" s="62"/>
      <c r="AY107" s="62"/>
      <c r="AZ107" s="62"/>
      <c r="BA107" s="62"/>
      <c r="BB107" s="62"/>
      <c r="BC107" s="62"/>
      <c r="BD107" s="62"/>
      <c r="BE107" s="62"/>
      <c r="BF107" s="62"/>
      <c r="BG107" s="62"/>
      <c r="BH107" s="62"/>
      <c r="BI107" s="62"/>
      <c r="BJ107" s="62"/>
      <c r="BK107" s="62"/>
      <c r="BL107" s="62"/>
      <c r="BM107" s="62"/>
      <c r="BN107" s="62"/>
      <c r="BO107" s="62"/>
      <c r="BP107" s="62"/>
      <c r="BQ107" s="62"/>
      <c r="BR107" s="62"/>
      <c r="BS107" s="62"/>
      <c r="BT107" s="62"/>
      <c r="BU107" s="62"/>
      <c r="BV107" s="62"/>
      <c r="BW107" s="62"/>
      <c r="BX107" s="62"/>
      <c r="BY107" s="62"/>
      <c r="BZ107" s="62"/>
      <c r="CA107" s="62"/>
      <c r="CB107" s="62"/>
      <c r="CC107" s="62"/>
      <c r="CD107" s="62"/>
      <c r="CE107" s="62"/>
      <c r="CF107" s="62"/>
      <c r="CG107" s="62"/>
      <c r="CH107" s="62"/>
      <c r="CI107" s="62"/>
      <c r="CJ107" s="62"/>
      <c r="CK107" s="62"/>
      <c r="CL107" s="62"/>
      <c r="CM107" s="62"/>
      <c r="CN107" s="62"/>
      <c r="CO107" s="62"/>
      <c r="CP107" s="62"/>
      <c r="CQ107" s="62"/>
      <c r="CR107" s="62"/>
      <c r="CS107" s="62"/>
      <c r="CT107" s="62"/>
      <c r="CU107" s="62"/>
      <c r="CV107" s="62"/>
      <c r="CW107" s="62"/>
      <c r="CX107" s="62"/>
      <c r="CY107" s="62"/>
      <c r="CZ107" s="62"/>
      <c r="DA107" s="62"/>
      <c r="DB107" s="62"/>
      <c r="DC107" s="62"/>
      <c r="DD107" s="62"/>
      <c r="DE107" s="62"/>
    </row>
    <row r="108" spans="1:109" s="3" customFormat="1">
      <c r="A108" s="62"/>
      <c r="B108" s="62" t="s">
        <v>6377</v>
      </c>
      <c r="C108" s="62" t="s">
        <v>520</v>
      </c>
      <c r="D108" s="62"/>
      <c r="E108" s="62"/>
      <c r="F108" s="47"/>
      <c r="G108" s="47"/>
      <c r="H108" s="47"/>
      <c r="I108" s="48"/>
      <c r="J108" s="47"/>
      <c r="K108" s="57">
        <v>8</v>
      </c>
      <c r="L108" s="55"/>
      <c r="M108" s="47"/>
      <c r="N108" s="47"/>
      <c r="O108" s="47"/>
      <c r="P108" s="47"/>
      <c r="Q108" s="47"/>
      <c r="R108" s="47"/>
      <c r="S108" s="62"/>
      <c r="T108" s="62"/>
      <c r="U108" s="62"/>
      <c r="V108" s="62"/>
      <c r="W108" s="62"/>
      <c r="X108" s="62"/>
      <c r="Y108" s="62"/>
      <c r="Z108" s="62"/>
      <c r="AA108" s="62"/>
      <c r="AB108" s="62"/>
      <c r="AC108" s="62"/>
      <c r="AD108" s="62"/>
      <c r="AE108" s="62"/>
      <c r="AF108" s="62"/>
      <c r="AG108" s="62"/>
      <c r="AH108" s="62"/>
      <c r="AI108" s="62"/>
      <c r="AJ108" s="62"/>
      <c r="AK108" s="62"/>
      <c r="AL108" s="62"/>
      <c r="AM108" s="62"/>
      <c r="AN108" s="62"/>
      <c r="AO108" s="62"/>
      <c r="AP108" s="62"/>
      <c r="AQ108" s="62"/>
      <c r="AR108" s="62"/>
      <c r="AS108" s="62"/>
      <c r="AT108" s="62"/>
      <c r="AU108" s="62"/>
      <c r="AV108" s="62"/>
      <c r="AW108" s="62"/>
      <c r="AX108" s="62"/>
      <c r="AY108" s="62"/>
      <c r="AZ108" s="62"/>
      <c r="BA108" s="62"/>
      <c r="BB108" s="62"/>
      <c r="BC108" s="62"/>
      <c r="BD108" s="62"/>
      <c r="BE108" s="62"/>
      <c r="BF108" s="62"/>
      <c r="BG108" s="62"/>
      <c r="BH108" s="62"/>
      <c r="BI108" s="62"/>
      <c r="BJ108" s="62"/>
      <c r="BK108" s="62"/>
      <c r="BL108" s="62"/>
      <c r="BM108" s="62"/>
      <c r="BN108" s="62"/>
      <c r="BO108" s="62"/>
      <c r="BP108" s="62"/>
      <c r="BQ108" s="62"/>
      <c r="BR108" s="62"/>
      <c r="BS108" s="62"/>
      <c r="BT108" s="62"/>
      <c r="BU108" s="62"/>
      <c r="BV108" s="62"/>
      <c r="BW108" s="62"/>
      <c r="BX108" s="62"/>
      <c r="BY108" s="62"/>
      <c r="BZ108" s="62"/>
      <c r="CA108" s="62"/>
      <c r="CB108" s="62"/>
      <c r="CC108" s="62"/>
      <c r="CD108" s="62"/>
      <c r="CE108" s="62"/>
      <c r="CF108" s="62"/>
      <c r="CG108" s="62"/>
      <c r="CH108" s="62"/>
      <c r="CI108" s="62"/>
      <c r="CJ108" s="62"/>
      <c r="CK108" s="62"/>
      <c r="CL108" s="62"/>
      <c r="CM108" s="62"/>
      <c r="CN108" s="62"/>
      <c r="CO108" s="62"/>
      <c r="CP108" s="62"/>
      <c r="CQ108" s="62"/>
      <c r="CR108" s="62"/>
      <c r="CS108" s="62"/>
      <c r="CT108" s="62"/>
      <c r="CU108" s="62"/>
      <c r="CV108" s="62"/>
      <c r="CW108" s="62"/>
      <c r="CX108" s="62"/>
      <c r="CY108" s="62"/>
      <c r="CZ108" s="62"/>
      <c r="DA108" s="62"/>
      <c r="DB108" s="62"/>
      <c r="DC108" s="62"/>
      <c r="DD108" s="62"/>
      <c r="DE108" s="62"/>
    </row>
    <row r="109" spans="1:109" s="3" customFormat="1">
      <c r="A109" s="62"/>
      <c r="B109" s="62" t="s">
        <v>6419</v>
      </c>
      <c r="C109" s="62" t="s">
        <v>493</v>
      </c>
      <c r="D109" s="62">
        <v>1</v>
      </c>
      <c r="E109" s="62"/>
      <c r="F109" s="47"/>
      <c r="G109" s="47"/>
      <c r="H109" s="47"/>
      <c r="I109" s="48"/>
      <c r="J109" s="47"/>
      <c r="K109" s="57">
        <v>9</v>
      </c>
      <c r="L109" s="55">
        <v>3</v>
      </c>
      <c r="M109" s="47"/>
      <c r="N109" s="47"/>
      <c r="O109" s="47"/>
      <c r="P109" s="47"/>
      <c r="Q109" s="47"/>
      <c r="R109" s="47"/>
      <c r="S109" s="62"/>
      <c r="T109" s="62"/>
      <c r="U109" s="62"/>
      <c r="V109" s="62"/>
      <c r="W109" s="62"/>
      <c r="X109" s="62"/>
      <c r="Y109" s="62"/>
      <c r="Z109" s="62"/>
      <c r="AA109" s="62"/>
      <c r="AB109" s="62"/>
      <c r="AC109" s="62"/>
      <c r="AD109" s="62"/>
      <c r="AE109" s="62"/>
      <c r="AF109" s="62"/>
      <c r="AG109" s="62"/>
      <c r="AH109" s="62"/>
      <c r="AI109" s="62"/>
      <c r="AJ109" s="62"/>
      <c r="AK109" s="62"/>
      <c r="AL109" s="62"/>
      <c r="AM109" s="62"/>
      <c r="AN109" s="62"/>
      <c r="AO109" s="62"/>
      <c r="AP109" s="62"/>
      <c r="AQ109" s="62"/>
      <c r="AR109" s="62"/>
      <c r="AS109" s="62"/>
      <c r="AT109" s="62"/>
      <c r="AU109" s="62"/>
      <c r="AV109" s="62"/>
      <c r="AW109" s="62"/>
      <c r="AX109" s="62"/>
      <c r="AY109" s="62"/>
      <c r="AZ109" s="62"/>
      <c r="BA109" s="62"/>
      <c r="BB109" s="62"/>
      <c r="BC109" s="62"/>
      <c r="BD109" s="62"/>
      <c r="BE109" s="62"/>
      <c r="BF109" s="62"/>
      <c r="BG109" s="62"/>
      <c r="BH109" s="62"/>
      <c r="BI109" s="62"/>
      <c r="BJ109" s="62"/>
      <c r="BK109" s="62"/>
      <c r="BL109" s="62"/>
      <c r="BM109" s="62"/>
      <c r="BN109" s="62"/>
      <c r="BO109" s="62"/>
      <c r="BP109" s="62"/>
      <c r="BQ109" s="62"/>
      <c r="BR109" s="62"/>
      <c r="BS109" s="62"/>
      <c r="BT109" s="62"/>
      <c r="BU109" s="62"/>
      <c r="BV109" s="62"/>
      <c r="BW109" s="62"/>
      <c r="BX109" s="62"/>
      <c r="BY109" s="62"/>
      <c r="BZ109" s="62"/>
      <c r="CA109" s="62"/>
      <c r="CB109" s="62"/>
      <c r="CC109" s="62"/>
      <c r="CD109" s="62"/>
      <c r="CE109" s="62"/>
      <c r="CF109" s="62"/>
      <c r="CG109" s="62"/>
      <c r="CH109" s="62"/>
      <c r="CI109" s="62"/>
      <c r="CJ109" s="62"/>
      <c r="CK109" s="62"/>
      <c r="CL109" s="62"/>
      <c r="CM109" s="62"/>
      <c r="CN109" s="62"/>
      <c r="CO109" s="62"/>
      <c r="CP109" s="62"/>
      <c r="CQ109" s="62"/>
      <c r="CR109" s="62"/>
      <c r="CS109" s="62"/>
      <c r="CT109" s="62"/>
      <c r="CU109" s="62"/>
      <c r="CV109" s="62"/>
      <c r="CW109" s="62"/>
      <c r="CX109" s="62"/>
      <c r="CY109" s="62"/>
      <c r="CZ109" s="62"/>
      <c r="DA109" s="62"/>
      <c r="DB109" s="62"/>
      <c r="DC109" s="62"/>
      <c r="DD109" s="62"/>
      <c r="DE109" s="62"/>
    </row>
    <row r="110" spans="1:109" s="3" customFormat="1">
      <c r="A110" s="62"/>
      <c r="B110" s="62" t="s">
        <v>6420</v>
      </c>
      <c r="C110" s="62" t="s">
        <v>493</v>
      </c>
      <c r="D110" s="62">
        <v>1</v>
      </c>
      <c r="E110" s="62"/>
      <c r="F110" s="47"/>
      <c r="G110" s="47"/>
      <c r="H110" s="47"/>
      <c r="I110" s="48"/>
      <c r="J110" s="47"/>
      <c r="K110" s="57">
        <v>10</v>
      </c>
      <c r="L110" s="55">
        <v>3</v>
      </c>
      <c r="M110" s="47"/>
      <c r="N110" s="47"/>
      <c r="O110" s="47"/>
      <c r="P110" s="47"/>
      <c r="Q110" s="47"/>
      <c r="R110" s="47"/>
      <c r="S110" s="62"/>
      <c r="T110" s="62"/>
      <c r="U110" s="62"/>
      <c r="V110" s="62"/>
      <c r="W110" s="62"/>
      <c r="X110" s="62"/>
      <c r="Y110" s="62"/>
      <c r="Z110" s="62"/>
      <c r="AA110" s="62"/>
      <c r="AB110" s="62"/>
      <c r="AC110" s="62"/>
      <c r="AD110" s="62"/>
      <c r="AE110" s="62"/>
      <c r="AF110" s="62"/>
      <c r="AG110" s="62"/>
      <c r="AH110" s="62"/>
      <c r="AI110" s="62"/>
      <c r="AJ110" s="62"/>
      <c r="AK110" s="62"/>
      <c r="AL110" s="62"/>
      <c r="AM110" s="62"/>
      <c r="AN110" s="62"/>
      <c r="AO110" s="62"/>
      <c r="AP110" s="62"/>
      <c r="AQ110" s="62"/>
      <c r="AR110" s="62"/>
      <c r="AS110" s="62"/>
      <c r="AT110" s="62"/>
      <c r="AU110" s="62"/>
      <c r="AV110" s="62"/>
      <c r="AW110" s="62"/>
      <c r="AX110" s="62"/>
      <c r="AY110" s="62"/>
      <c r="AZ110" s="62"/>
      <c r="BA110" s="62"/>
      <c r="BB110" s="62"/>
      <c r="BC110" s="62"/>
      <c r="BD110" s="62"/>
      <c r="BE110" s="62"/>
      <c r="BF110" s="62"/>
      <c r="BG110" s="62"/>
      <c r="BH110" s="62"/>
      <c r="BI110" s="62"/>
      <c r="BJ110" s="62"/>
      <c r="BK110" s="62"/>
      <c r="BL110" s="62"/>
      <c r="BM110" s="62"/>
      <c r="BN110" s="62"/>
      <c r="BO110" s="62"/>
      <c r="BP110" s="62"/>
      <c r="BQ110" s="62"/>
      <c r="BR110" s="62"/>
      <c r="BS110" s="62"/>
      <c r="BT110" s="62"/>
      <c r="BU110" s="62"/>
      <c r="BV110" s="62"/>
      <c r="BW110" s="62"/>
      <c r="BX110" s="62"/>
      <c r="BY110" s="62"/>
      <c r="BZ110" s="62"/>
      <c r="CA110" s="62"/>
      <c r="CB110" s="62"/>
      <c r="CC110" s="62"/>
      <c r="CD110" s="62"/>
      <c r="CE110" s="62"/>
      <c r="CF110" s="62"/>
      <c r="CG110" s="62"/>
      <c r="CH110" s="62"/>
      <c r="CI110" s="62"/>
      <c r="CJ110" s="62"/>
      <c r="CK110" s="62"/>
      <c r="CL110" s="62"/>
      <c r="CM110" s="62"/>
      <c r="CN110" s="62"/>
      <c r="CO110" s="62"/>
      <c r="CP110" s="62"/>
      <c r="CQ110" s="62"/>
      <c r="CR110" s="62"/>
      <c r="CS110" s="62"/>
      <c r="CT110" s="62"/>
      <c r="CU110" s="62"/>
      <c r="CV110" s="62"/>
      <c r="CW110" s="62"/>
      <c r="CX110" s="62"/>
      <c r="CY110" s="62"/>
      <c r="CZ110" s="62"/>
      <c r="DA110" s="62"/>
      <c r="DB110" s="62"/>
      <c r="DC110" s="62"/>
      <c r="DD110" s="62"/>
      <c r="DE110" s="62"/>
    </row>
    <row r="111" spans="1:109" s="3" customFormat="1">
      <c r="A111" s="62"/>
      <c r="B111" s="62" t="s">
        <v>6421</v>
      </c>
      <c r="C111" s="62" t="s">
        <v>493</v>
      </c>
      <c r="D111" s="62">
        <v>1</v>
      </c>
      <c r="E111" s="62"/>
      <c r="F111" s="47"/>
      <c r="G111" s="47"/>
      <c r="H111" s="47"/>
      <c r="I111" s="48"/>
      <c r="J111" s="47"/>
      <c r="K111" s="57">
        <v>11</v>
      </c>
      <c r="L111" s="55">
        <v>3</v>
      </c>
      <c r="M111" s="47"/>
      <c r="N111" s="47"/>
      <c r="O111" s="47"/>
      <c r="P111" s="47"/>
      <c r="Q111" s="47"/>
      <c r="R111" s="47"/>
      <c r="S111" s="62"/>
      <c r="T111" s="62"/>
      <c r="U111" s="62"/>
      <c r="V111" s="62"/>
      <c r="W111" s="62"/>
      <c r="X111" s="62"/>
      <c r="Y111" s="62"/>
      <c r="Z111" s="62"/>
      <c r="AA111" s="62"/>
      <c r="AB111" s="62"/>
      <c r="AC111" s="62"/>
      <c r="AD111" s="62"/>
      <c r="AE111" s="62"/>
      <c r="AF111" s="62"/>
      <c r="AG111" s="62"/>
      <c r="AH111" s="62"/>
      <c r="AI111" s="62"/>
      <c r="AJ111" s="62"/>
      <c r="AK111" s="62"/>
      <c r="AL111" s="62"/>
      <c r="AM111" s="62"/>
      <c r="AN111" s="62"/>
      <c r="AO111" s="62"/>
      <c r="AP111" s="62"/>
      <c r="AQ111" s="62"/>
      <c r="AR111" s="62"/>
      <c r="AS111" s="62"/>
      <c r="AT111" s="62"/>
      <c r="AU111" s="62"/>
      <c r="AV111" s="62"/>
      <c r="AW111" s="62"/>
      <c r="AX111" s="62"/>
      <c r="AY111" s="62"/>
      <c r="AZ111" s="62"/>
      <c r="BA111" s="62"/>
      <c r="BB111" s="62"/>
      <c r="BC111" s="62"/>
      <c r="BD111" s="62"/>
      <c r="BE111" s="62"/>
      <c r="BF111" s="62"/>
      <c r="BG111" s="62"/>
      <c r="BH111" s="62"/>
      <c r="BI111" s="62"/>
      <c r="BJ111" s="62"/>
      <c r="BK111" s="62"/>
      <c r="BL111" s="62"/>
      <c r="BM111" s="62"/>
      <c r="BN111" s="62"/>
      <c r="BO111" s="62"/>
      <c r="BP111" s="62"/>
      <c r="BQ111" s="62"/>
      <c r="BR111" s="62"/>
      <c r="BS111" s="62"/>
      <c r="BT111" s="62"/>
      <c r="BU111" s="62"/>
      <c r="BV111" s="62"/>
      <c r="BW111" s="62"/>
      <c r="BX111" s="62"/>
      <c r="BY111" s="62"/>
      <c r="BZ111" s="62"/>
      <c r="CA111" s="62"/>
      <c r="CB111" s="62"/>
      <c r="CC111" s="62"/>
      <c r="CD111" s="62"/>
      <c r="CE111" s="62"/>
      <c r="CF111" s="62"/>
      <c r="CG111" s="62"/>
      <c r="CH111" s="62"/>
      <c r="CI111" s="62"/>
      <c r="CJ111" s="62"/>
      <c r="CK111" s="62"/>
      <c r="CL111" s="62"/>
      <c r="CM111" s="62"/>
      <c r="CN111" s="62"/>
      <c r="CO111" s="62"/>
      <c r="CP111" s="62"/>
      <c r="CQ111" s="62"/>
      <c r="CR111" s="62"/>
      <c r="CS111" s="62"/>
      <c r="CT111" s="62"/>
      <c r="CU111" s="62"/>
      <c r="CV111" s="62"/>
      <c r="CW111" s="62"/>
      <c r="CX111" s="62"/>
      <c r="CY111" s="62"/>
      <c r="CZ111" s="62"/>
      <c r="DA111" s="62"/>
      <c r="DB111" s="62"/>
      <c r="DC111" s="62"/>
      <c r="DD111" s="62"/>
      <c r="DE111" s="62"/>
    </row>
    <row r="112" spans="1:109" s="3" customFormat="1">
      <c r="A112" s="62"/>
      <c r="B112" s="62" t="s">
        <v>6378</v>
      </c>
      <c r="C112" s="62" t="s">
        <v>493</v>
      </c>
      <c r="D112" s="62">
        <v>1</v>
      </c>
      <c r="E112" s="62"/>
      <c r="F112" s="47"/>
      <c r="G112" s="47"/>
      <c r="H112" s="47" t="s">
        <v>6379</v>
      </c>
      <c r="I112" s="48"/>
      <c r="J112" s="47"/>
      <c r="K112" s="57">
        <v>12</v>
      </c>
      <c r="L112" s="55">
        <v>3</v>
      </c>
      <c r="M112" s="47"/>
      <c r="N112" s="47"/>
      <c r="O112" s="47"/>
      <c r="P112" s="47"/>
      <c r="Q112" s="47"/>
      <c r="R112" s="47"/>
      <c r="S112" s="62"/>
      <c r="T112" s="62"/>
      <c r="U112" s="62"/>
      <c r="V112" s="62"/>
      <c r="W112" s="62"/>
      <c r="X112" s="62"/>
      <c r="Y112" s="62"/>
      <c r="Z112" s="62"/>
      <c r="AA112" s="62"/>
      <c r="AB112" s="62"/>
      <c r="AC112" s="62"/>
      <c r="AD112" s="62"/>
      <c r="AE112" s="62"/>
      <c r="AF112" s="62"/>
      <c r="AG112" s="62"/>
      <c r="AH112" s="62"/>
      <c r="AI112" s="62"/>
      <c r="AJ112" s="62"/>
      <c r="AK112" s="62"/>
      <c r="AL112" s="62"/>
      <c r="AM112" s="62"/>
      <c r="AN112" s="62"/>
      <c r="AO112" s="62"/>
      <c r="AP112" s="62"/>
      <c r="AQ112" s="62"/>
      <c r="AR112" s="62"/>
      <c r="AS112" s="62"/>
      <c r="AT112" s="62"/>
      <c r="AU112" s="62"/>
      <c r="AV112" s="62"/>
      <c r="AW112" s="62"/>
      <c r="AX112" s="62"/>
      <c r="AY112" s="62"/>
      <c r="AZ112" s="62"/>
      <c r="BA112" s="62"/>
      <c r="BB112" s="62"/>
      <c r="BC112" s="62"/>
      <c r="BD112" s="62"/>
      <c r="BE112" s="62"/>
      <c r="BF112" s="62"/>
      <c r="BG112" s="62"/>
      <c r="BH112" s="62"/>
      <c r="BI112" s="62"/>
      <c r="BJ112" s="62"/>
      <c r="BK112" s="62"/>
      <c r="BL112" s="62"/>
      <c r="BM112" s="62"/>
      <c r="BN112" s="62"/>
      <c r="BO112" s="62"/>
      <c r="BP112" s="62"/>
      <c r="BQ112" s="62"/>
      <c r="BR112" s="62"/>
      <c r="BS112" s="62"/>
      <c r="BT112" s="62"/>
      <c r="BU112" s="62"/>
      <c r="BV112" s="62"/>
      <c r="BW112" s="62"/>
      <c r="BX112" s="62"/>
      <c r="BY112" s="62"/>
      <c r="BZ112" s="62"/>
      <c r="CA112" s="62"/>
      <c r="CB112" s="62"/>
      <c r="CC112" s="62"/>
      <c r="CD112" s="62"/>
      <c r="CE112" s="62"/>
      <c r="CF112" s="62"/>
      <c r="CG112" s="62"/>
      <c r="CH112" s="62"/>
      <c r="CI112" s="62"/>
      <c r="CJ112" s="62"/>
      <c r="CK112" s="62"/>
      <c r="CL112" s="62"/>
      <c r="CM112" s="62"/>
      <c r="CN112" s="62"/>
      <c r="CO112" s="62"/>
      <c r="CP112" s="62"/>
      <c r="CQ112" s="62"/>
      <c r="CR112" s="62"/>
      <c r="CS112" s="62"/>
      <c r="CT112" s="62"/>
      <c r="CU112" s="62"/>
      <c r="CV112" s="62"/>
      <c r="CW112" s="62"/>
      <c r="CX112" s="62"/>
      <c r="CY112" s="62"/>
      <c r="CZ112" s="62"/>
      <c r="DA112" s="62"/>
      <c r="DB112" s="62"/>
      <c r="DC112" s="62"/>
      <c r="DD112" s="62"/>
      <c r="DE112" s="62"/>
    </row>
    <row r="113" spans="1:109" s="3" customFormat="1">
      <c r="A113" s="62"/>
      <c r="B113" s="62" t="s">
        <v>6430</v>
      </c>
      <c r="C113" s="62" t="s">
        <v>520</v>
      </c>
      <c r="D113" s="62"/>
      <c r="E113" s="62"/>
      <c r="F113" s="47"/>
      <c r="G113" s="47"/>
      <c r="H113" s="47"/>
      <c r="I113" s="48"/>
      <c r="J113" s="47"/>
      <c r="K113" s="57">
        <v>13</v>
      </c>
      <c r="L113" s="55"/>
      <c r="M113" s="47"/>
      <c r="N113" s="47"/>
      <c r="O113" s="47"/>
      <c r="P113" s="47"/>
      <c r="Q113" s="47"/>
      <c r="R113" s="47"/>
      <c r="S113" s="62"/>
      <c r="T113" s="62"/>
      <c r="U113" s="62"/>
      <c r="V113" s="62"/>
      <c r="W113" s="62"/>
      <c r="X113" s="62"/>
      <c r="Y113" s="62"/>
      <c r="Z113" s="62"/>
      <c r="AA113" s="62"/>
      <c r="AB113" s="62"/>
      <c r="AC113" s="62"/>
      <c r="AD113" s="62"/>
      <c r="AE113" s="62"/>
      <c r="AF113" s="62"/>
      <c r="AG113" s="62"/>
      <c r="AH113" s="62"/>
      <c r="AI113" s="62"/>
      <c r="AJ113" s="62"/>
      <c r="AK113" s="62"/>
      <c r="AL113" s="62"/>
      <c r="AM113" s="62"/>
      <c r="AN113" s="62"/>
      <c r="AO113" s="62"/>
      <c r="AP113" s="62"/>
      <c r="AQ113" s="62"/>
      <c r="AR113" s="62"/>
      <c r="AS113" s="62"/>
      <c r="AT113" s="62"/>
      <c r="AU113" s="62"/>
      <c r="AV113" s="62"/>
      <c r="AW113" s="62"/>
      <c r="AX113" s="62"/>
      <c r="AY113" s="62"/>
      <c r="AZ113" s="62"/>
      <c r="BA113" s="62"/>
      <c r="BB113" s="62"/>
      <c r="BC113" s="62"/>
      <c r="BD113" s="62"/>
      <c r="BE113" s="62"/>
      <c r="BF113" s="62"/>
      <c r="BG113" s="62"/>
      <c r="BH113" s="62"/>
      <c r="BI113" s="62"/>
      <c r="BJ113" s="62"/>
      <c r="BK113" s="62"/>
      <c r="BL113" s="62"/>
      <c r="BM113" s="62"/>
      <c r="BN113" s="62"/>
      <c r="BO113" s="62"/>
      <c r="BP113" s="62"/>
      <c r="BQ113" s="62"/>
      <c r="BR113" s="62"/>
      <c r="BS113" s="62"/>
      <c r="BT113" s="62"/>
      <c r="BU113" s="62"/>
      <c r="BV113" s="62"/>
      <c r="BW113" s="62"/>
      <c r="BX113" s="62"/>
      <c r="BY113" s="62"/>
      <c r="BZ113" s="62"/>
      <c r="CA113" s="62"/>
      <c r="CB113" s="62"/>
      <c r="CC113" s="62"/>
      <c r="CD113" s="62"/>
      <c r="CE113" s="62"/>
      <c r="CF113" s="62"/>
      <c r="CG113" s="62"/>
      <c r="CH113" s="62"/>
      <c r="CI113" s="62"/>
      <c r="CJ113" s="62"/>
      <c r="CK113" s="62"/>
      <c r="CL113" s="62"/>
      <c r="CM113" s="62"/>
      <c r="CN113" s="62"/>
      <c r="CO113" s="62"/>
      <c r="CP113" s="62"/>
      <c r="CQ113" s="62"/>
      <c r="CR113" s="62"/>
      <c r="CS113" s="62"/>
      <c r="CT113" s="62"/>
      <c r="CU113" s="62"/>
      <c r="CV113" s="62"/>
      <c r="CW113" s="62"/>
      <c r="CX113" s="62"/>
      <c r="CY113" s="62"/>
      <c r="CZ113" s="62"/>
      <c r="DA113" s="62"/>
      <c r="DB113" s="62"/>
      <c r="DC113" s="62"/>
      <c r="DD113" s="62"/>
      <c r="DE113" s="62"/>
    </row>
    <row r="114" spans="1:109" s="3" customFormat="1">
      <c r="A114" s="62"/>
      <c r="B114" s="62" t="s">
        <v>6380</v>
      </c>
      <c r="C114" s="62" t="s">
        <v>494</v>
      </c>
      <c r="D114" s="62"/>
      <c r="E114" s="62"/>
      <c r="F114" s="47"/>
      <c r="G114" s="47"/>
      <c r="H114" s="47"/>
      <c r="I114" s="48"/>
      <c r="J114" s="47"/>
      <c r="K114" s="57">
        <v>14</v>
      </c>
      <c r="L114" s="55">
        <v>8</v>
      </c>
      <c r="M114" s="47"/>
      <c r="N114" s="47"/>
      <c r="O114" s="47"/>
      <c r="P114" s="47"/>
      <c r="Q114" s="47"/>
      <c r="R114" s="47"/>
      <c r="S114" s="62"/>
      <c r="T114" s="62"/>
      <c r="U114" s="62"/>
      <c r="V114" s="62"/>
      <c r="W114" s="62"/>
      <c r="X114" s="62"/>
      <c r="Y114" s="62"/>
      <c r="Z114" s="62"/>
      <c r="AA114" s="62"/>
      <c r="AB114" s="62"/>
      <c r="AC114" s="62"/>
      <c r="AD114" s="62"/>
      <c r="AE114" s="62"/>
      <c r="AF114" s="62"/>
      <c r="AG114" s="62"/>
      <c r="AH114" s="62"/>
      <c r="AI114" s="62"/>
      <c r="AJ114" s="62"/>
      <c r="AK114" s="62"/>
      <c r="AL114" s="62"/>
      <c r="AM114" s="62"/>
      <c r="AN114" s="62"/>
      <c r="AO114" s="62"/>
      <c r="AP114" s="62"/>
      <c r="AQ114" s="62"/>
      <c r="AR114" s="62"/>
      <c r="AS114" s="62"/>
      <c r="AT114" s="62"/>
      <c r="AU114" s="62"/>
      <c r="AV114" s="62"/>
      <c r="AW114" s="62"/>
      <c r="AX114" s="62"/>
      <c r="AY114" s="62"/>
      <c r="AZ114" s="62"/>
      <c r="BA114" s="62"/>
      <c r="BB114" s="62"/>
      <c r="BC114" s="62"/>
      <c r="BD114" s="62"/>
      <c r="BE114" s="62"/>
      <c r="BF114" s="62"/>
      <c r="BG114" s="62"/>
      <c r="BH114" s="62"/>
      <c r="BI114" s="62"/>
      <c r="BJ114" s="62"/>
      <c r="BK114" s="62"/>
      <c r="BL114" s="62"/>
      <c r="BM114" s="62"/>
      <c r="BN114" s="62"/>
      <c r="BO114" s="62"/>
      <c r="BP114" s="62"/>
      <c r="BQ114" s="62"/>
      <c r="BR114" s="62"/>
      <c r="BS114" s="62"/>
      <c r="BT114" s="62"/>
      <c r="BU114" s="62"/>
      <c r="BV114" s="62"/>
      <c r="BW114" s="62"/>
      <c r="BX114" s="62"/>
      <c r="BY114" s="62"/>
      <c r="BZ114" s="62"/>
      <c r="CA114" s="62"/>
      <c r="CB114" s="62"/>
      <c r="CC114" s="62"/>
      <c r="CD114" s="62"/>
      <c r="CE114" s="62"/>
      <c r="CF114" s="62"/>
      <c r="CG114" s="62"/>
      <c r="CH114" s="62"/>
      <c r="CI114" s="62"/>
      <c r="CJ114" s="62"/>
      <c r="CK114" s="62"/>
      <c r="CL114" s="62"/>
      <c r="CM114" s="62"/>
      <c r="CN114" s="62"/>
      <c r="CO114" s="62"/>
      <c r="CP114" s="62"/>
      <c r="CQ114" s="62"/>
      <c r="CR114" s="62"/>
      <c r="CS114" s="62"/>
      <c r="CT114" s="62"/>
      <c r="CU114" s="62"/>
      <c r="CV114" s="62"/>
      <c r="CW114" s="62"/>
      <c r="CX114" s="62"/>
      <c r="CY114" s="62"/>
      <c r="CZ114" s="62"/>
      <c r="DA114" s="62"/>
      <c r="DB114" s="62"/>
      <c r="DC114" s="62"/>
      <c r="DD114" s="62"/>
      <c r="DE114" s="62"/>
    </row>
    <row r="115" spans="1:109" s="3" customFormat="1">
      <c r="A115" s="64"/>
      <c r="B115" s="64"/>
      <c r="C115" s="62"/>
      <c r="D115" s="62"/>
      <c r="E115" s="62"/>
      <c r="F115" s="47"/>
      <c r="G115" s="47"/>
      <c r="H115" s="47"/>
      <c r="I115" s="48"/>
      <c r="J115" s="47"/>
      <c r="K115" s="57"/>
      <c r="L115" s="55"/>
      <c r="M115" s="47"/>
      <c r="N115" s="62"/>
      <c r="O115" s="62"/>
      <c r="P115" s="62"/>
      <c r="Q115" s="47"/>
      <c r="R115" s="47"/>
      <c r="S115" s="62"/>
      <c r="T115" s="62"/>
      <c r="U115" s="62"/>
      <c r="V115" s="62"/>
      <c r="W115" s="62"/>
      <c r="X115" s="62"/>
      <c r="Y115" s="62"/>
      <c r="Z115" s="62"/>
      <c r="AA115" s="62"/>
      <c r="AB115" s="62"/>
      <c r="AC115" s="62"/>
      <c r="AD115" s="62"/>
      <c r="AE115" s="62"/>
      <c r="AF115" s="62"/>
      <c r="AG115" s="62"/>
      <c r="AH115" s="62"/>
      <c r="AI115" s="62"/>
      <c r="AJ115" s="62"/>
      <c r="AK115" s="62"/>
      <c r="AL115" s="62"/>
      <c r="AM115" s="62"/>
      <c r="AN115" s="62"/>
      <c r="AO115" s="62"/>
      <c r="AP115" s="62"/>
      <c r="AQ115" s="62"/>
      <c r="AR115" s="62"/>
      <c r="AS115" s="62"/>
      <c r="AT115" s="62"/>
      <c r="AU115" s="62"/>
      <c r="AV115" s="62"/>
      <c r="AW115" s="62"/>
      <c r="AX115" s="62"/>
      <c r="AY115" s="62"/>
      <c r="AZ115" s="62"/>
      <c r="BA115" s="62"/>
      <c r="BB115" s="62"/>
      <c r="BC115" s="62"/>
      <c r="BD115" s="62"/>
      <c r="BE115" s="62"/>
      <c r="BF115" s="62"/>
      <c r="BG115" s="62"/>
      <c r="BH115" s="62"/>
      <c r="BI115" s="62"/>
      <c r="BJ115" s="62"/>
      <c r="BK115" s="62"/>
      <c r="BL115" s="62"/>
      <c r="BM115" s="62"/>
      <c r="BN115" s="62"/>
      <c r="BO115" s="62"/>
      <c r="BP115" s="62"/>
      <c r="BQ115" s="62"/>
      <c r="BR115" s="62"/>
      <c r="BS115" s="62"/>
      <c r="BT115" s="62"/>
      <c r="BU115" s="62"/>
      <c r="BV115" s="62"/>
      <c r="BW115" s="62"/>
      <c r="BX115" s="62"/>
      <c r="BY115" s="62"/>
      <c r="BZ115" s="62"/>
      <c r="CA115" s="62"/>
      <c r="CB115" s="62"/>
      <c r="CC115" s="62"/>
      <c r="CD115" s="62"/>
      <c r="CE115" s="62"/>
      <c r="CF115" s="62"/>
      <c r="CG115" s="62"/>
      <c r="CH115" s="62"/>
      <c r="CI115" s="62"/>
      <c r="CJ115" s="62"/>
      <c r="CK115" s="62"/>
      <c r="CL115" s="62"/>
      <c r="CM115" s="62"/>
      <c r="CN115" s="62"/>
      <c r="CO115" s="62"/>
      <c r="CP115" s="62"/>
      <c r="CQ115" s="62"/>
      <c r="CR115" s="62"/>
      <c r="CS115" s="62"/>
      <c r="CT115" s="62"/>
      <c r="CU115" s="62"/>
      <c r="CV115" s="62"/>
      <c r="CW115" s="62"/>
      <c r="CX115" s="62"/>
      <c r="CY115" s="62"/>
      <c r="CZ115" s="62"/>
      <c r="DA115" s="62"/>
      <c r="DB115" s="62"/>
      <c r="DC115" s="62"/>
      <c r="DD115" s="62"/>
      <c r="DE115" s="62"/>
    </row>
    <row r="116" spans="1:109" s="3" customFormat="1">
      <c r="A116" s="70" t="s">
        <v>4843</v>
      </c>
      <c r="B116" s="70" t="s">
        <v>6239</v>
      </c>
      <c r="C116" s="62" t="s">
        <v>494</v>
      </c>
      <c r="D116" s="62"/>
      <c r="E116" s="62" t="s">
        <v>476</v>
      </c>
      <c r="F116" s="47">
        <v>2</v>
      </c>
      <c r="G116" s="47">
        <v>259</v>
      </c>
      <c r="H116" s="47" t="s">
        <v>4901</v>
      </c>
      <c r="I116" s="48"/>
      <c r="J116" s="47">
        <v>1512</v>
      </c>
      <c r="K116" s="57">
        <v>1</v>
      </c>
      <c r="L116" s="55">
        <v>52</v>
      </c>
      <c r="M116" s="47"/>
      <c r="N116" s="47">
        <v>251</v>
      </c>
      <c r="O116" s="64" t="s">
        <v>4845</v>
      </c>
      <c r="P116" s="47"/>
      <c r="Q116" s="47"/>
      <c r="R116" s="47"/>
      <c r="S116" s="62"/>
      <c r="T116" s="62"/>
      <c r="U116" s="62"/>
      <c r="V116" s="62"/>
      <c r="W116" s="62"/>
      <c r="X116" s="62"/>
      <c r="Y116" s="62"/>
      <c r="Z116" s="62"/>
      <c r="AA116" s="62"/>
      <c r="AB116" s="62"/>
      <c r="AC116" s="62"/>
      <c r="AD116" s="62"/>
      <c r="AE116" s="62"/>
      <c r="AF116" s="62"/>
      <c r="AG116" s="62"/>
      <c r="AH116" s="62"/>
      <c r="AI116" s="62"/>
      <c r="AJ116" s="62"/>
      <c r="AK116" s="62"/>
      <c r="AL116" s="62"/>
      <c r="AM116" s="62"/>
      <c r="AN116" s="62"/>
      <c r="AO116" s="62"/>
      <c r="AP116" s="62"/>
      <c r="AQ116" s="62"/>
      <c r="AR116" s="62"/>
      <c r="AS116" s="62"/>
      <c r="AT116" s="62"/>
      <c r="AU116" s="62"/>
      <c r="AV116" s="62"/>
      <c r="AW116" s="62"/>
      <c r="AX116" s="62"/>
      <c r="AY116" s="62"/>
      <c r="AZ116" s="62"/>
      <c r="BA116" s="62"/>
      <c r="BB116" s="62"/>
      <c r="BC116" s="62"/>
      <c r="BD116" s="62"/>
      <c r="BE116" s="62"/>
      <c r="BF116" s="62"/>
      <c r="BG116" s="62"/>
      <c r="BH116" s="62"/>
      <c r="BI116" s="62"/>
      <c r="BJ116" s="62"/>
      <c r="BK116" s="62"/>
      <c r="BL116" s="62"/>
      <c r="BM116" s="62"/>
      <c r="BN116" s="62"/>
      <c r="BO116" s="62"/>
      <c r="BP116" s="62"/>
      <c r="BQ116" s="62"/>
      <c r="BR116" s="62"/>
      <c r="BS116" s="62"/>
      <c r="BT116" s="62"/>
      <c r="BU116" s="62"/>
      <c r="BV116" s="62"/>
      <c r="BW116" s="62"/>
      <c r="BX116" s="62"/>
      <c r="BY116" s="62"/>
      <c r="BZ116" s="62"/>
      <c r="CA116" s="62"/>
      <c r="CB116" s="62"/>
      <c r="CC116" s="62"/>
      <c r="CD116" s="62"/>
      <c r="CE116" s="62"/>
      <c r="CF116" s="62"/>
      <c r="CG116" s="62"/>
      <c r="CH116" s="62"/>
      <c r="CI116" s="62"/>
      <c r="CJ116" s="62"/>
      <c r="CK116" s="62"/>
      <c r="CL116" s="62"/>
      <c r="CM116" s="62"/>
      <c r="CN116" s="62"/>
      <c r="CO116" s="62"/>
      <c r="CP116" s="62"/>
      <c r="CQ116" s="62"/>
      <c r="CR116" s="62"/>
      <c r="CS116" s="62"/>
      <c r="CT116" s="62"/>
      <c r="CU116" s="62"/>
      <c r="CV116" s="62"/>
      <c r="CW116" s="62"/>
      <c r="CX116" s="62"/>
      <c r="CY116" s="62"/>
      <c r="CZ116" s="62"/>
      <c r="DA116" s="62"/>
      <c r="DB116" s="62"/>
      <c r="DC116" s="62"/>
      <c r="DD116" s="62"/>
      <c r="DE116" s="62"/>
    </row>
    <row r="117" spans="1:109" s="3" customFormat="1">
      <c r="A117" s="70"/>
      <c r="B117" s="70" t="s">
        <v>6423</v>
      </c>
      <c r="C117" s="62" t="s">
        <v>494</v>
      </c>
      <c r="D117" s="62"/>
      <c r="E117" s="62" t="s">
        <v>476</v>
      </c>
      <c r="F117" s="47"/>
      <c r="G117" s="47"/>
      <c r="H117" s="47"/>
      <c r="I117" s="48"/>
      <c r="J117" s="47"/>
      <c r="K117" s="57">
        <v>2</v>
      </c>
      <c r="L117" s="55">
        <v>6</v>
      </c>
      <c r="M117" s="47"/>
      <c r="N117" s="47"/>
      <c r="O117" s="47"/>
      <c r="P117" s="47"/>
      <c r="Q117" s="47"/>
      <c r="R117" s="47"/>
      <c r="S117" s="62"/>
      <c r="T117" s="62"/>
      <c r="U117" s="62"/>
      <c r="V117" s="62"/>
      <c r="W117" s="62"/>
      <c r="X117" s="62"/>
      <c r="Y117" s="62"/>
      <c r="Z117" s="62"/>
      <c r="AA117" s="62"/>
      <c r="AB117" s="62"/>
      <c r="AC117" s="62"/>
      <c r="AD117" s="62"/>
      <c r="AE117" s="62"/>
      <c r="AF117" s="62"/>
      <c r="AG117" s="62"/>
      <c r="AH117" s="62"/>
      <c r="AI117" s="62"/>
      <c r="AJ117" s="62"/>
      <c r="AK117" s="62"/>
      <c r="AL117" s="62"/>
      <c r="AM117" s="62"/>
      <c r="AN117" s="62"/>
      <c r="AO117" s="62"/>
      <c r="AP117" s="62"/>
      <c r="AQ117" s="62"/>
      <c r="AR117" s="62"/>
      <c r="AS117" s="62"/>
      <c r="AT117" s="62"/>
      <c r="AU117" s="62"/>
      <c r="AV117" s="62"/>
      <c r="AW117" s="62"/>
      <c r="AX117" s="62"/>
      <c r="AY117" s="62"/>
      <c r="AZ117" s="62"/>
      <c r="BA117" s="62"/>
      <c r="BB117" s="62"/>
      <c r="BC117" s="62"/>
      <c r="BD117" s="62"/>
      <c r="BE117" s="62"/>
      <c r="BF117" s="62"/>
      <c r="BG117" s="62"/>
      <c r="BH117" s="62"/>
      <c r="BI117" s="62"/>
      <c r="BJ117" s="62"/>
      <c r="BK117" s="62"/>
      <c r="BL117" s="62"/>
      <c r="BM117" s="62"/>
      <c r="BN117" s="62"/>
      <c r="BO117" s="62"/>
      <c r="BP117" s="62"/>
      <c r="BQ117" s="62"/>
      <c r="BR117" s="62"/>
      <c r="BS117" s="62"/>
      <c r="BT117" s="62"/>
      <c r="BU117" s="62"/>
      <c r="BV117" s="62"/>
      <c r="BW117" s="62"/>
      <c r="BX117" s="62"/>
      <c r="BY117" s="62"/>
      <c r="BZ117" s="62"/>
      <c r="CA117" s="62"/>
      <c r="CB117" s="62"/>
      <c r="CC117" s="62"/>
      <c r="CD117" s="62"/>
      <c r="CE117" s="62"/>
      <c r="CF117" s="62"/>
      <c r="CG117" s="62"/>
      <c r="CH117" s="62"/>
      <c r="CI117" s="62"/>
      <c r="CJ117" s="62"/>
      <c r="CK117" s="62"/>
      <c r="CL117" s="62"/>
      <c r="CM117" s="62"/>
      <c r="CN117" s="62"/>
      <c r="CO117" s="62"/>
      <c r="CP117" s="62"/>
      <c r="CQ117" s="62"/>
      <c r="CR117" s="62"/>
      <c r="CS117" s="62"/>
      <c r="CT117" s="62"/>
      <c r="CU117" s="62"/>
      <c r="CV117" s="62"/>
      <c r="CW117" s="62"/>
      <c r="CX117" s="62"/>
      <c r="CY117" s="62"/>
      <c r="CZ117" s="62"/>
      <c r="DA117" s="62"/>
      <c r="DB117" s="62"/>
      <c r="DC117" s="62"/>
      <c r="DD117" s="62"/>
      <c r="DE117" s="62"/>
    </row>
    <row r="118" spans="1:109" s="3" customFormat="1">
      <c r="A118" s="70"/>
      <c r="B118" s="70" t="s">
        <v>6214</v>
      </c>
      <c r="C118" s="62" t="s">
        <v>494</v>
      </c>
      <c r="D118" s="62"/>
      <c r="E118" s="62" t="s">
        <v>476</v>
      </c>
      <c r="F118" s="47"/>
      <c r="G118" s="47"/>
      <c r="H118" s="47"/>
      <c r="I118" s="48"/>
      <c r="J118" s="47"/>
      <c r="K118" s="57">
        <v>3</v>
      </c>
      <c r="L118" s="55"/>
      <c r="M118" s="47">
        <v>2</v>
      </c>
      <c r="N118" s="47"/>
      <c r="O118" s="47"/>
      <c r="P118" s="47"/>
      <c r="Q118" s="47"/>
      <c r="R118" s="47"/>
      <c r="S118" s="62"/>
      <c r="T118" s="62"/>
      <c r="U118" s="62"/>
      <c r="V118" s="62"/>
      <c r="W118" s="62"/>
      <c r="X118" s="62"/>
      <c r="Y118" s="62"/>
      <c r="Z118" s="62"/>
      <c r="AA118" s="62"/>
      <c r="AB118" s="62"/>
      <c r="AC118" s="62"/>
      <c r="AD118" s="62"/>
      <c r="AE118" s="62"/>
      <c r="AF118" s="62"/>
      <c r="AG118" s="62"/>
      <c r="AH118" s="62"/>
      <c r="AI118" s="62"/>
      <c r="AJ118" s="62"/>
      <c r="AK118" s="62"/>
      <c r="AL118" s="62"/>
      <c r="AM118" s="62"/>
      <c r="AN118" s="62"/>
      <c r="AO118" s="62"/>
      <c r="AP118" s="62"/>
      <c r="AQ118" s="62"/>
      <c r="AR118" s="62"/>
      <c r="AS118" s="62"/>
      <c r="AT118" s="62"/>
      <c r="AU118" s="62"/>
      <c r="AV118" s="62"/>
      <c r="AW118" s="62"/>
      <c r="AX118" s="62"/>
      <c r="AY118" s="62"/>
      <c r="AZ118" s="62"/>
      <c r="BA118" s="62"/>
      <c r="BB118" s="62"/>
      <c r="BC118" s="62"/>
      <c r="BD118" s="62"/>
      <c r="BE118" s="62"/>
      <c r="BF118" s="62"/>
      <c r="BG118" s="62"/>
      <c r="BH118" s="62"/>
      <c r="BI118" s="62"/>
      <c r="BJ118" s="62"/>
      <c r="BK118" s="62"/>
      <c r="BL118" s="62"/>
      <c r="BM118" s="62"/>
      <c r="BN118" s="62"/>
      <c r="BO118" s="62"/>
      <c r="BP118" s="62"/>
      <c r="BQ118" s="62"/>
      <c r="BR118" s="62"/>
      <c r="BS118" s="62"/>
      <c r="BT118" s="62"/>
      <c r="BU118" s="62"/>
      <c r="BV118" s="62"/>
      <c r="BW118" s="62"/>
      <c r="BX118" s="62"/>
      <c r="BY118" s="62"/>
      <c r="BZ118" s="62"/>
      <c r="CA118" s="62"/>
      <c r="CB118" s="62"/>
      <c r="CC118" s="62"/>
      <c r="CD118" s="62"/>
      <c r="CE118" s="62"/>
      <c r="CF118" s="62"/>
      <c r="CG118" s="62"/>
      <c r="CH118" s="62"/>
      <c r="CI118" s="62"/>
      <c r="CJ118" s="62"/>
      <c r="CK118" s="62"/>
      <c r="CL118" s="62"/>
      <c r="CM118" s="62"/>
      <c r="CN118" s="62"/>
      <c r="CO118" s="62"/>
      <c r="CP118" s="62"/>
      <c r="CQ118" s="62"/>
      <c r="CR118" s="62"/>
      <c r="CS118" s="62"/>
      <c r="CT118" s="62"/>
      <c r="CU118" s="62"/>
      <c r="CV118" s="62"/>
      <c r="CW118" s="62"/>
      <c r="CX118" s="62"/>
      <c r="CY118" s="62"/>
      <c r="CZ118" s="62"/>
      <c r="DA118" s="62"/>
      <c r="DB118" s="62"/>
      <c r="DC118" s="62"/>
      <c r="DD118" s="62"/>
      <c r="DE118" s="62"/>
    </row>
    <row r="119" spans="1:109" s="3" customFormat="1">
      <c r="A119" s="70"/>
      <c r="B119" s="70" t="s">
        <v>4844</v>
      </c>
      <c r="C119" s="62" t="s">
        <v>494</v>
      </c>
      <c r="D119" s="62"/>
      <c r="E119" s="62" t="s">
        <v>476</v>
      </c>
      <c r="F119" s="47"/>
      <c r="G119" s="47"/>
      <c r="H119" s="47"/>
      <c r="I119" s="48"/>
      <c r="J119" s="47"/>
      <c r="K119" s="57">
        <v>4</v>
      </c>
      <c r="L119" s="55"/>
      <c r="M119" s="47">
        <v>2</v>
      </c>
      <c r="N119" s="47"/>
      <c r="O119" s="47"/>
      <c r="P119" s="47"/>
      <c r="Q119" s="47"/>
      <c r="R119" s="47"/>
      <c r="S119" s="62"/>
      <c r="T119" s="62"/>
      <c r="U119" s="62"/>
      <c r="V119" s="62"/>
      <c r="W119" s="62"/>
      <c r="X119" s="62"/>
      <c r="Y119" s="62"/>
      <c r="Z119" s="62"/>
      <c r="AA119" s="62"/>
      <c r="AB119" s="62"/>
      <c r="AC119" s="62"/>
      <c r="AD119" s="62"/>
      <c r="AE119" s="62"/>
      <c r="AF119" s="62"/>
      <c r="AG119" s="62"/>
      <c r="AH119" s="62"/>
      <c r="AI119" s="62"/>
      <c r="AJ119" s="62"/>
      <c r="AK119" s="62"/>
      <c r="AL119" s="62"/>
      <c r="AM119" s="62"/>
      <c r="AN119" s="62"/>
      <c r="AO119" s="62"/>
      <c r="AP119" s="62"/>
      <c r="AQ119" s="62"/>
      <c r="AR119" s="62"/>
      <c r="AS119" s="62"/>
      <c r="AT119" s="62"/>
      <c r="AU119" s="62"/>
      <c r="AV119" s="62"/>
      <c r="AW119" s="62"/>
      <c r="AX119" s="62"/>
      <c r="AY119" s="62"/>
      <c r="AZ119" s="62"/>
      <c r="BA119" s="62"/>
      <c r="BB119" s="62"/>
      <c r="BC119" s="62"/>
      <c r="BD119" s="62"/>
      <c r="BE119" s="62"/>
      <c r="BF119" s="62"/>
      <c r="BG119" s="62"/>
      <c r="BH119" s="62"/>
      <c r="BI119" s="62"/>
      <c r="BJ119" s="62"/>
      <c r="BK119" s="62"/>
      <c r="BL119" s="62"/>
      <c r="BM119" s="62"/>
      <c r="BN119" s="62"/>
      <c r="BO119" s="62"/>
      <c r="BP119" s="62"/>
      <c r="BQ119" s="62"/>
      <c r="BR119" s="62"/>
      <c r="BS119" s="62"/>
      <c r="BT119" s="62"/>
      <c r="BU119" s="62"/>
      <c r="BV119" s="62"/>
      <c r="BW119" s="62"/>
      <c r="BX119" s="62"/>
      <c r="BY119" s="62"/>
      <c r="BZ119" s="62"/>
      <c r="CA119" s="62"/>
      <c r="CB119" s="62"/>
      <c r="CC119" s="62"/>
      <c r="CD119" s="62"/>
      <c r="CE119" s="62"/>
      <c r="CF119" s="62"/>
      <c r="CG119" s="62"/>
      <c r="CH119" s="62"/>
      <c r="CI119" s="62"/>
      <c r="CJ119" s="62"/>
      <c r="CK119" s="62"/>
      <c r="CL119" s="62"/>
      <c r="CM119" s="62"/>
      <c r="CN119" s="62"/>
      <c r="CO119" s="62"/>
      <c r="CP119" s="62"/>
      <c r="CQ119" s="62"/>
      <c r="CR119" s="62"/>
      <c r="CS119" s="62"/>
      <c r="CT119" s="62"/>
      <c r="CU119" s="62"/>
      <c r="CV119" s="62"/>
      <c r="CW119" s="62"/>
      <c r="CX119" s="62"/>
      <c r="CY119" s="62"/>
      <c r="CZ119" s="62"/>
      <c r="DA119" s="62"/>
      <c r="DB119" s="62"/>
      <c r="DC119" s="62"/>
      <c r="DD119" s="62"/>
      <c r="DE119" s="62"/>
    </row>
    <row r="120" spans="1:109" s="3" customFormat="1">
      <c r="A120" s="70"/>
      <c r="B120" s="70" t="s">
        <v>4845</v>
      </c>
      <c r="C120" s="62" t="s">
        <v>494</v>
      </c>
      <c r="D120" s="62"/>
      <c r="E120" s="62"/>
      <c r="F120" s="47"/>
      <c r="G120" s="47"/>
      <c r="H120" s="47"/>
      <c r="I120" s="48"/>
      <c r="J120" s="47"/>
      <c r="K120" s="57">
        <v>5</v>
      </c>
      <c r="L120" s="55">
        <v>6</v>
      </c>
      <c r="M120" s="47"/>
      <c r="N120" s="47"/>
      <c r="O120" s="47"/>
      <c r="P120" s="47"/>
      <c r="Q120" s="47"/>
      <c r="R120" s="47"/>
      <c r="S120" s="62"/>
      <c r="T120" s="62"/>
      <c r="U120" s="62"/>
      <c r="V120" s="62"/>
      <c r="W120" s="62"/>
      <c r="X120" s="62"/>
      <c r="Y120" s="62"/>
      <c r="Z120" s="62"/>
      <c r="AA120" s="62"/>
      <c r="AB120" s="62"/>
      <c r="AC120" s="62"/>
      <c r="AD120" s="62"/>
      <c r="AE120" s="62"/>
      <c r="AF120" s="62"/>
      <c r="AG120" s="62"/>
      <c r="AH120" s="62"/>
      <c r="AI120" s="62"/>
      <c r="AJ120" s="62"/>
      <c r="AK120" s="62"/>
      <c r="AL120" s="62"/>
      <c r="AM120" s="62"/>
      <c r="AN120" s="62"/>
      <c r="AO120" s="62"/>
      <c r="AP120" s="62"/>
      <c r="AQ120" s="62"/>
      <c r="AR120" s="62"/>
      <c r="AS120" s="62"/>
      <c r="AT120" s="62"/>
      <c r="AU120" s="62"/>
      <c r="AV120" s="62"/>
      <c r="AW120" s="62"/>
      <c r="AX120" s="62"/>
      <c r="AY120" s="62"/>
      <c r="AZ120" s="62"/>
      <c r="BA120" s="62"/>
      <c r="BB120" s="62"/>
      <c r="BC120" s="62"/>
      <c r="BD120" s="62"/>
      <c r="BE120" s="62"/>
      <c r="BF120" s="62"/>
      <c r="BG120" s="62"/>
      <c r="BH120" s="62"/>
      <c r="BI120" s="62"/>
      <c r="BJ120" s="62"/>
      <c r="BK120" s="62"/>
      <c r="BL120" s="62"/>
      <c r="BM120" s="62"/>
      <c r="BN120" s="62"/>
      <c r="BO120" s="62"/>
      <c r="BP120" s="62"/>
      <c r="BQ120" s="62"/>
      <c r="BR120" s="62"/>
      <c r="BS120" s="62"/>
      <c r="BT120" s="62"/>
      <c r="BU120" s="62"/>
      <c r="BV120" s="62"/>
      <c r="BW120" s="62"/>
      <c r="BX120" s="62"/>
      <c r="BY120" s="62"/>
      <c r="BZ120" s="62"/>
      <c r="CA120" s="62"/>
      <c r="CB120" s="62"/>
      <c r="CC120" s="62"/>
      <c r="CD120" s="62"/>
      <c r="CE120" s="62"/>
      <c r="CF120" s="62"/>
      <c r="CG120" s="62"/>
      <c r="CH120" s="62"/>
      <c r="CI120" s="62"/>
      <c r="CJ120" s="62"/>
      <c r="CK120" s="62"/>
      <c r="CL120" s="62"/>
      <c r="CM120" s="62"/>
      <c r="CN120" s="62"/>
      <c r="CO120" s="62"/>
      <c r="CP120" s="62"/>
      <c r="CQ120" s="62"/>
      <c r="CR120" s="62"/>
      <c r="CS120" s="62"/>
      <c r="CT120" s="62"/>
      <c r="CU120" s="62"/>
      <c r="CV120" s="62"/>
      <c r="CW120" s="62"/>
      <c r="CX120" s="62"/>
      <c r="CY120" s="62"/>
      <c r="CZ120" s="62"/>
      <c r="DA120" s="62"/>
      <c r="DB120" s="62"/>
      <c r="DC120" s="62"/>
      <c r="DD120" s="62"/>
      <c r="DE120" s="62"/>
    </row>
    <row r="121" spans="1:109" s="3" customFormat="1">
      <c r="A121" s="62"/>
      <c r="B121" s="62" t="s">
        <v>6417</v>
      </c>
      <c r="C121" s="62" t="s">
        <v>494</v>
      </c>
      <c r="D121" s="62"/>
      <c r="E121" s="62"/>
      <c r="F121" s="47"/>
      <c r="G121" s="47"/>
      <c r="H121" s="47" t="s">
        <v>6418</v>
      </c>
      <c r="I121" s="48"/>
      <c r="J121" s="47"/>
      <c r="K121" s="57">
        <v>6</v>
      </c>
      <c r="L121" s="55">
        <v>3</v>
      </c>
      <c r="M121" s="47"/>
      <c r="N121" s="64" t="s">
        <v>4843</v>
      </c>
      <c r="O121" s="64" t="s">
        <v>4845</v>
      </c>
      <c r="P121" s="47" t="s">
        <v>6402</v>
      </c>
      <c r="Q121" s="47"/>
      <c r="R121" s="47"/>
      <c r="S121" s="62"/>
      <c r="T121" s="62"/>
      <c r="U121" s="62"/>
      <c r="V121" s="62"/>
      <c r="W121" s="62"/>
      <c r="X121" s="62"/>
      <c r="Y121" s="62"/>
      <c r="Z121" s="62"/>
      <c r="AA121" s="62"/>
      <c r="AB121" s="62"/>
      <c r="AC121" s="62"/>
      <c r="AD121" s="62"/>
      <c r="AE121" s="62"/>
      <c r="AF121" s="62"/>
      <c r="AG121" s="62"/>
      <c r="AH121" s="62"/>
      <c r="AI121" s="62"/>
      <c r="AJ121" s="62"/>
      <c r="AK121" s="62"/>
      <c r="AL121" s="62"/>
      <c r="AM121" s="62"/>
      <c r="AN121" s="62"/>
      <c r="AO121" s="62"/>
      <c r="AP121" s="62"/>
      <c r="AQ121" s="62"/>
      <c r="AR121" s="62"/>
      <c r="AS121" s="62"/>
      <c r="AT121" s="62"/>
      <c r="AU121" s="62"/>
      <c r="AV121" s="62"/>
      <c r="AW121" s="62"/>
      <c r="AX121" s="62"/>
      <c r="AY121" s="62"/>
      <c r="AZ121" s="62"/>
      <c r="BA121" s="62"/>
      <c r="BB121" s="62"/>
      <c r="BC121" s="62"/>
      <c r="BD121" s="62"/>
      <c r="BE121" s="62"/>
      <c r="BF121" s="62"/>
      <c r="BG121" s="62"/>
      <c r="BH121" s="62"/>
      <c r="BI121" s="62"/>
      <c r="BJ121" s="62"/>
      <c r="BK121" s="62"/>
      <c r="BL121" s="62"/>
      <c r="BM121" s="62"/>
      <c r="BN121" s="62"/>
      <c r="BO121" s="62"/>
      <c r="BP121" s="62"/>
      <c r="BQ121" s="62"/>
      <c r="BR121" s="62"/>
      <c r="BS121" s="62"/>
      <c r="BT121" s="62"/>
      <c r="BU121" s="62"/>
      <c r="BV121" s="62"/>
      <c r="BW121" s="62"/>
      <c r="BX121" s="62"/>
      <c r="BY121" s="62"/>
      <c r="BZ121" s="62"/>
      <c r="CA121" s="62"/>
      <c r="CB121" s="62"/>
      <c r="CC121" s="62"/>
      <c r="CD121" s="62"/>
      <c r="CE121" s="62"/>
      <c r="CF121" s="62"/>
      <c r="CG121" s="62"/>
      <c r="CH121" s="62"/>
      <c r="CI121" s="62"/>
      <c r="CJ121" s="62"/>
      <c r="CK121" s="62"/>
      <c r="CL121" s="62"/>
      <c r="CM121" s="62"/>
      <c r="CN121" s="62"/>
      <c r="CO121" s="62"/>
      <c r="CP121" s="62"/>
      <c r="CQ121" s="62"/>
      <c r="CR121" s="62"/>
      <c r="CS121" s="62"/>
      <c r="CT121" s="62"/>
      <c r="CU121" s="62"/>
      <c r="CV121" s="62"/>
      <c r="CW121" s="62"/>
      <c r="CX121" s="62"/>
      <c r="CY121" s="62"/>
      <c r="CZ121" s="62"/>
      <c r="DA121" s="62"/>
      <c r="DB121" s="62"/>
      <c r="DC121" s="62"/>
      <c r="DD121" s="62"/>
      <c r="DE121" s="62"/>
    </row>
    <row r="122" spans="1:109" s="3" customFormat="1">
      <c r="A122" s="62"/>
      <c r="B122" s="62" t="s">
        <v>6428</v>
      </c>
      <c r="C122" s="62" t="s">
        <v>494</v>
      </c>
      <c r="D122" s="62"/>
      <c r="E122" s="62"/>
      <c r="F122" s="47"/>
      <c r="G122" s="47"/>
      <c r="H122" s="47" t="s">
        <v>6418</v>
      </c>
      <c r="I122" s="48"/>
      <c r="J122" s="47"/>
      <c r="K122" s="57">
        <v>7</v>
      </c>
      <c r="L122" s="55">
        <v>3</v>
      </c>
      <c r="M122" s="47">
        <v>31</v>
      </c>
      <c r="N122" s="64" t="s">
        <v>4843</v>
      </c>
      <c r="O122" s="64" t="s">
        <v>4845</v>
      </c>
      <c r="P122" s="47" t="s">
        <v>6402</v>
      </c>
      <c r="Q122" s="47"/>
      <c r="R122" s="47">
        <v>6</v>
      </c>
      <c r="S122" s="62"/>
      <c r="T122" s="62"/>
      <c r="U122" s="62"/>
      <c r="V122" s="62"/>
      <c r="W122" s="62"/>
      <c r="X122" s="62"/>
      <c r="Y122" s="62"/>
      <c r="Z122" s="62"/>
      <c r="AA122" s="62"/>
      <c r="AB122" s="62"/>
      <c r="AC122" s="62"/>
      <c r="AD122" s="62"/>
      <c r="AE122" s="62"/>
      <c r="AF122" s="62"/>
      <c r="AG122" s="62"/>
      <c r="AH122" s="62"/>
      <c r="AI122" s="62"/>
      <c r="AJ122" s="62"/>
      <c r="AK122" s="62"/>
      <c r="AL122" s="62"/>
      <c r="AM122" s="62"/>
      <c r="AN122" s="62"/>
      <c r="AO122" s="62"/>
      <c r="AP122" s="62"/>
      <c r="AQ122" s="62"/>
      <c r="AR122" s="62"/>
      <c r="AS122" s="62"/>
      <c r="AT122" s="62"/>
      <c r="AU122" s="62"/>
      <c r="AV122" s="62"/>
      <c r="AW122" s="62"/>
      <c r="AX122" s="62"/>
      <c r="AY122" s="62"/>
      <c r="AZ122" s="62"/>
      <c r="BA122" s="62"/>
      <c r="BB122" s="62"/>
      <c r="BC122" s="62"/>
      <c r="BD122" s="62"/>
      <c r="BE122" s="62"/>
      <c r="BF122" s="62"/>
      <c r="BG122" s="62"/>
      <c r="BH122" s="62"/>
      <c r="BI122" s="62"/>
      <c r="BJ122" s="62"/>
      <c r="BK122" s="62"/>
      <c r="BL122" s="62"/>
      <c r="BM122" s="62"/>
      <c r="BN122" s="62"/>
      <c r="BO122" s="62"/>
      <c r="BP122" s="62"/>
      <c r="BQ122" s="62"/>
      <c r="BR122" s="62"/>
      <c r="BS122" s="62"/>
      <c r="BT122" s="62"/>
      <c r="BU122" s="62"/>
      <c r="BV122" s="62"/>
      <c r="BW122" s="62"/>
      <c r="BX122" s="62"/>
      <c r="BY122" s="62"/>
      <c r="BZ122" s="62"/>
      <c r="CA122" s="62"/>
      <c r="CB122" s="62"/>
      <c r="CC122" s="62"/>
      <c r="CD122" s="62"/>
      <c r="CE122" s="62"/>
      <c r="CF122" s="62"/>
      <c r="CG122" s="62"/>
      <c r="CH122" s="62"/>
      <c r="CI122" s="62"/>
      <c r="CJ122" s="62"/>
      <c r="CK122" s="62"/>
      <c r="CL122" s="62"/>
      <c r="CM122" s="62"/>
      <c r="CN122" s="62"/>
      <c r="CO122" s="62"/>
      <c r="CP122" s="62"/>
      <c r="CQ122" s="62"/>
      <c r="CR122" s="62"/>
      <c r="CS122" s="62"/>
      <c r="CT122" s="62"/>
      <c r="CU122" s="62"/>
      <c r="CV122" s="62"/>
      <c r="CW122" s="62"/>
      <c r="CX122" s="62"/>
      <c r="CY122" s="62"/>
      <c r="CZ122" s="62"/>
      <c r="DA122" s="62"/>
      <c r="DB122" s="62"/>
      <c r="DC122" s="62"/>
      <c r="DD122" s="62"/>
      <c r="DE122" s="62"/>
    </row>
    <row r="123" spans="1:109" s="3" customFormat="1">
      <c r="A123" s="62"/>
      <c r="B123" s="62" t="s">
        <v>6422</v>
      </c>
      <c r="C123" s="62" t="s">
        <v>493</v>
      </c>
      <c r="D123" s="62">
        <v>1</v>
      </c>
      <c r="E123" s="62"/>
      <c r="F123" s="47"/>
      <c r="G123" s="47"/>
      <c r="H123" s="47" t="s">
        <v>4903</v>
      </c>
      <c r="I123" s="48"/>
      <c r="J123" s="47"/>
      <c r="K123" s="57">
        <v>8</v>
      </c>
      <c r="L123" s="55">
        <v>3</v>
      </c>
      <c r="M123" s="47"/>
      <c r="N123" s="47"/>
      <c r="O123" s="47"/>
      <c r="P123" s="47"/>
      <c r="Q123" s="47"/>
      <c r="R123" s="47"/>
      <c r="S123" s="62"/>
      <c r="T123" s="62"/>
      <c r="U123" s="62"/>
      <c r="V123" s="62"/>
      <c r="W123" s="62"/>
      <c r="X123" s="62"/>
      <c r="Y123" s="62"/>
      <c r="Z123" s="62"/>
      <c r="AA123" s="62"/>
      <c r="AB123" s="62"/>
      <c r="AC123" s="62"/>
      <c r="AD123" s="62"/>
      <c r="AE123" s="62"/>
      <c r="AF123" s="62"/>
      <c r="AG123" s="62"/>
      <c r="AH123" s="62"/>
      <c r="AI123" s="62"/>
      <c r="AJ123" s="62"/>
      <c r="AK123" s="62"/>
      <c r="AL123" s="62"/>
      <c r="AM123" s="62"/>
      <c r="AN123" s="62"/>
      <c r="AO123" s="62"/>
      <c r="AP123" s="62"/>
      <c r="AQ123" s="62"/>
      <c r="AR123" s="62"/>
      <c r="AS123" s="62"/>
      <c r="AT123" s="62"/>
      <c r="AU123" s="62"/>
      <c r="AV123" s="62"/>
      <c r="AW123" s="62"/>
      <c r="AX123" s="62"/>
      <c r="AY123" s="62"/>
      <c r="AZ123" s="62"/>
      <c r="BA123" s="62"/>
      <c r="BB123" s="62"/>
      <c r="BC123" s="62"/>
      <c r="BD123" s="62"/>
      <c r="BE123" s="62"/>
      <c r="BF123" s="62"/>
      <c r="BG123" s="62"/>
      <c r="BH123" s="62"/>
      <c r="BI123" s="62"/>
      <c r="BJ123" s="62"/>
      <c r="BK123" s="62"/>
      <c r="BL123" s="62"/>
      <c r="BM123" s="62"/>
      <c r="BN123" s="62"/>
      <c r="BO123" s="62"/>
      <c r="BP123" s="62"/>
      <c r="BQ123" s="62"/>
      <c r="BR123" s="62"/>
      <c r="BS123" s="62"/>
      <c r="BT123" s="62"/>
      <c r="BU123" s="62"/>
      <c r="BV123" s="62"/>
      <c r="BW123" s="62"/>
      <c r="BX123" s="62"/>
      <c r="BY123" s="62"/>
      <c r="BZ123" s="62"/>
      <c r="CA123" s="62"/>
      <c r="CB123" s="62"/>
      <c r="CC123" s="62"/>
      <c r="CD123" s="62"/>
      <c r="CE123" s="62"/>
      <c r="CF123" s="62"/>
      <c r="CG123" s="62"/>
      <c r="CH123" s="62"/>
      <c r="CI123" s="62"/>
      <c r="CJ123" s="62"/>
      <c r="CK123" s="62"/>
      <c r="CL123" s="62"/>
      <c r="CM123" s="62"/>
      <c r="CN123" s="62"/>
      <c r="CO123" s="62"/>
      <c r="CP123" s="62"/>
      <c r="CQ123" s="62"/>
      <c r="CR123" s="62"/>
      <c r="CS123" s="62"/>
      <c r="CT123" s="62"/>
      <c r="CU123" s="62"/>
      <c r="CV123" s="62"/>
      <c r="CW123" s="62"/>
      <c r="CX123" s="62"/>
      <c r="CY123" s="62"/>
      <c r="CZ123" s="62"/>
      <c r="DA123" s="62"/>
      <c r="DB123" s="62"/>
      <c r="DC123" s="62"/>
      <c r="DD123" s="62"/>
      <c r="DE123" s="62"/>
    </row>
    <row r="124" spans="1:109" s="3" customFormat="1">
      <c r="A124" s="62"/>
      <c r="B124" s="62" t="s">
        <v>6381</v>
      </c>
      <c r="C124" s="62" t="s">
        <v>493</v>
      </c>
      <c r="D124" s="62">
        <v>200</v>
      </c>
      <c r="E124" s="62"/>
      <c r="F124" s="47"/>
      <c r="G124" s="47"/>
      <c r="H124" s="47"/>
      <c r="I124" s="48"/>
      <c r="J124" s="47"/>
      <c r="K124" s="57">
        <v>9</v>
      </c>
      <c r="L124" s="55"/>
      <c r="M124" s="47"/>
      <c r="N124" s="47"/>
      <c r="O124" s="47"/>
      <c r="P124" s="47"/>
      <c r="Q124" s="47"/>
      <c r="R124" s="47"/>
      <c r="S124" s="62"/>
      <c r="T124" s="62"/>
      <c r="U124" s="62"/>
      <c r="V124" s="62"/>
      <c r="W124" s="62"/>
      <c r="X124" s="62"/>
      <c r="Y124" s="62"/>
      <c r="Z124" s="62"/>
      <c r="AA124" s="62"/>
      <c r="AB124" s="62"/>
      <c r="AC124" s="62"/>
      <c r="AD124" s="62"/>
      <c r="AE124" s="62"/>
      <c r="AF124" s="62"/>
      <c r="AG124" s="62"/>
      <c r="AH124" s="62"/>
      <c r="AI124" s="62"/>
      <c r="AJ124" s="62"/>
      <c r="AK124" s="62"/>
      <c r="AL124" s="62"/>
      <c r="AM124" s="62"/>
      <c r="AN124" s="62"/>
      <c r="AO124" s="62"/>
      <c r="AP124" s="62"/>
      <c r="AQ124" s="62"/>
      <c r="AR124" s="62"/>
      <c r="AS124" s="62"/>
      <c r="AT124" s="62"/>
      <c r="AU124" s="62"/>
      <c r="AV124" s="62"/>
      <c r="AW124" s="62"/>
      <c r="AX124" s="62"/>
      <c r="AY124" s="62"/>
      <c r="AZ124" s="62"/>
      <c r="BA124" s="62"/>
      <c r="BB124" s="62"/>
      <c r="BC124" s="62"/>
      <c r="BD124" s="62"/>
      <c r="BE124" s="62"/>
      <c r="BF124" s="62"/>
      <c r="BG124" s="62"/>
      <c r="BH124" s="62"/>
      <c r="BI124" s="62"/>
      <c r="BJ124" s="62"/>
      <c r="BK124" s="62"/>
      <c r="BL124" s="62"/>
      <c r="BM124" s="62"/>
      <c r="BN124" s="62"/>
      <c r="BO124" s="62"/>
      <c r="BP124" s="62"/>
      <c r="BQ124" s="62"/>
      <c r="BR124" s="62"/>
      <c r="BS124" s="62"/>
      <c r="BT124" s="62"/>
      <c r="BU124" s="62"/>
      <c r="BV124" s="62"/>
      <c r="BW124" s="62"/>
      <c r="BX124" s="62"/>
      <c r="BY124" s="62"/>
      <c r="BZ124" s="62"/>
      <c r="CA124" s="62"/>
      <c r="CB124" s="62"/>
      <c r="CC124" s="62"/>
      <c r="CD124" s="62"/>
      <c r="CE124" s="62"/>
      <c r="CF124" s="62"/>
      <c r="CG124" s="62"/>
      <c r="CH124" s="62"/>
      <c r="CI124" s="62"/>
      <c r="CJ124" s="62"/>
      <c r="CK124" s="62"/>
      <c r="CL124" s="62"/>
      <c r="CM124" s="62"/>
      <c r="CN124" s="62"/>
      <c r="CO124" s="62"/>
      <c r="CP124" s="62"/>
      <c r="CQ124" s="62"/>
      <c r="CR124" s="62"/>
      <c r="CS124" s="62"/>
      <c r="CT124" s="62"/>
      <c r="CU124" s="62"/>
      <c r="CV124" s="62"/>
      <c r="CW124" s="62"/>
      <c r="CX124" s="62"/>
      <c r="CY124" s="62"/>
      <c r="CZ124" s="62"/>
      <c r="DA124" s="62"/>
      <c r="DB124" s="62"/>
      <c r="DC124" s="62"/>
      <c r="DD124" s="62"/>
      <c r="DE124" s="62"/>
    </row>
    <row r="125" spans="1:109" s="3" customFormat="1">
      <c r="A125" s="62"/>
      <c r="B125" s="62" t="s">
        <v>6382</v>
      </c>
      <c r="C125" s="62" t="s">
        <v>520</v>
      </c>
      <c r="D125" s="62"/>
      <c r="E125" s="62"/>
      <c r="F125" s="47"/>
      <c r="G125" s="47"/>
      <c r="H125" s="47"/>
      <c r="I125" s="48"/>
      <c r="J125" s="47"/>
      <c r="K125" s="57">
        <v>10</v>
      </c>
      <c r="L125" s="55"/>
      <c r="M125" s="47"/>
      <c r="N125" s="47"/>
      <c r="O125" s="47"/>
      <c r="P125" s="47"/>
      <c r="Q125" s="47"/>
      <c r="R125" s="47"/>
      <c r="S125" s="62"/>
      <c r="T125" s="62"/>
      <c r="U125" s="62"/>
      <c r="V125" s="62"/>
      <c r="W125" s="62"/>
      <c r="X125" s="62"/>
      <c r="Y125" s="62"/>
      <c r="Z125" s="62"/>
      <c r="AA125" s="62"/>
      <c r="AB125" s="62"/>
      <c r="AC125" s="62"/>
      <c r="AD125" s="62"/>
      <c r="AE125" s="62"/>
      <c r="AF125" s="62"/>
      <c r="AG125" s="62"/>
      <c r="AH125" s="62"/>
      <c r="AI125" s="62"/>
      <c r="AJ125" s="62"/>
      <c r="AK125" s="62"/>
      <c r="AL125" s="62"/>
      <c r="AM125" s="62"/>
      <c r="AN125" s="62"/>
      <c r="AO125" s="62"/>
      <c r="AP125" s="62"/>
      <c r="AQ125" s="62"/>
      <c r="AR125" s="62"/>
      <c r="AS125" s="62"/>
      <c r="AT125" s="62"/>
      <c r="AU125" s="62"/>
      <c r="AV125" s="62"/>
      <c r="AW125" s="62"/>
      <c r="AX125" s="62"/>
      <c r="AY125" s="62"/>
      <c r="AZ125" s="62"/>
      <c r="BA125" s="62"/>
      <c r="BB125" s="62"/>
      <c r="BC125" s="62"/>
      <c r="BD125" s="62"/>
      <c r="BE125" s="62"/>
      <c r="BF125" s="62"/>
      <c r="BG125" s="62"/>
      <c r="BH125" s="62"/>
      <c r="BI125" s="62"/>
      <c r="BJ125" s="62"/>
      <c r="BK125" s="62"/>
      <c r="BL125" s="62"/>
      <c r="BM125" s="62"/>
      <c r="BN125" s="62"/>
      <c r="BO125" s="62"/>
      <c r="BP125" s="62"/>
      <c r="BQ125" s="62"/>
      <c r="BR125" s="62"/>
      <c r="BS125" s="62"/>
      <c r="BT125" s="62"/>
      <c r="BU125" s="62"/>
      <c r="BV125" s="62"/>
      <c r="BW125" s="62"/>
      <c r="BX125" s="62"/>
      <c r="BY125" s="62"/>
      <c r="BZ125" s="62"/>
      <c r="CA125" s="62"/>
      <c r="CB125" s="62"/>
      <c r="CC125" s="62"/>
      <c r="CD125" s="62"/>
      <c r="CE125" s="62"/>
      <c r="CF125" s="62"/>
      <c r="CG125" s="62"/>
      <c r="CH125" s="62"/>
      <c r="CI125" s="62"/>
      <c r="CJ125" s="62"/>
      <c r="CK125" s="62"/>
      <c r="CL125" s="62"/>
      <c r="CM125" s="62"/>
      <c r="CN125" s="62"/>
      <c r="CO125" s="62"/>
      <c r="CP125" s="62"/>
      <c r="CQ125" s="62"/>
      <c r="CR125" s="62"/>
      <c r="CS125" s="62"/>
      <c r="CT125" s="62"/>
      <c r="CU125" s="62"/>
      <c r="CV125" s="62"/>
      <c r="CW125" s="62"/>
      <c r="CX125" s="62"/>
      <c r="CY125" s="62"/>
      <c r="CZ125" s="62"/>
      <c r="DA125" s="62"/>
      <c r="DB125" s="62"/>
      <c r="DC125" s="62"/>
      <c r="DD125" s="62"/>
      <c r="DE125" s="62"/>
    </row>
    <row r="126" spans="1:109" s="3" customFormat="1">
      <c r="A126" s="62"/>
      <c r="B126" s="62" t="s">
        <v>6383</v>
      </c>
      <c r="C126" s="62" t="s">
        <v>520</v>
      </c>
      <c r="D126" s="62"/>
      <c r="E126" s="62"/>
      <c r="F126" s="47"/>
      <c r="G126" s="47"/>
      <c r="H126" s="47" t="s">
        <v>4900</v>
      </c>
      <c r="I126" s="48"/>
      <c r="J126" s="47"/>
      <c r="K126" s="57">
        <v>11</v>
      </c>
      <c r="L126" s="55"/>
      <c r="M126" s="47"/>
      <c r="N126" s="47"/>
      <c r="O126" s="47"/>
      <c r="P126" s="47"/>
      <c r="Q126" s="47"/>
      <c r="R126" s="47"/>
      <c r="S126" s="62"/>
      <c r="T126" s="62"/>
      <c r="U126" s="62"/>
      <c r="V126" s="62"/>
      <c r="W126" s="62"/>
      <c r="X126" s="62"/>
      <c r="Y126" s="62"/>
      <c r="Z126" s="62"/>
      <c r="AA126" s="62"/>
      <c r="AB126" s="62"/>
      <c r="AC126" s="62"/>
      <c r="AD126" s="62"/>
      <c r="AE126" s="62"/>
      <c r="AF126" s="62"/>
      <c r="AG126" s="62"/>
      <c r="AH126" s="62"/>
      <c r="AI126" s="62"/>
      <c r="AJ126" s="62"/>
      <c r="AK126" s="62"/>
      <c r="AL126" s="62"/>
      <c r="AM126" s="62"/>
      <c r="AN126" s="62"/>
      <c r="AO126" s="62"/>
      <c r="AP126" s="62"/>
      <c r="AQ126" s="62"/>
      <c r="AR126" s="62"/>
      <c r="AS126" s="62"/>
      <c r="AT126" s="62"/>
      <c r="AU126" s="62"/>
      <c r="AV126" s="62"/>
      <c r="AW126" s="62"/>
      <c r="AX126" s="62"/>
      <c r="AY126" s="62"/>
      <c r="AZ126" s="62"/>
      <c r="BA126" s="62"/>
      <c r="BB126" s="62"/>
      <c r="BC126" s="62"/>
      <c r="BD126" s="62"/>
      <c r="BE126" s="62"/>
      <c r="BF126" s="62"/>
      <c r="BG126" s="62"/>
      <c r="BH126" s="62"/>
      <c r="BI126" s="62"/>
      <c r="BJ126" s="62"/>
      <c r="BK126" s="62"/>
      <c r="BL126" s="62"/>
      <c r="BM126" s="62"/>
      <c r="BN126" s="62"/>
      <c r="BO126" s="62"/>
      <c r="BP126" s="62"/>
      <c r="BQ126" s="62"/>
      <c r="BR126" s="62"/>
      <c r="BS126" s="62"/>
      <c r="BT126" s="62"/>
      <c r="BU126" s="62"/>
      <c r="BV126" s="62"/>
      <c r="BW126" s="62"/>
      <c r="BX126" s="62"/>
      <c r="BY126" s="62"/>
      <c r="BZ126" s="62"/>
      <c r="CA126" s="62"/>
      <c r="CB126" s="62"/>
      <c r="CC126" s="62"/>
      <c r="CD126" s="62"/>
      <c r="CE126" s="62"/>
      <c r="CF126" s="62"/>
      <c r="CG126" s="62"/>
      <c r="CH126" s="62"/>
      <c r="CI126" s="62"/>
      <c r="CJ126" s="62"/>
      <c r="CK126" s="62"/>
      <c r="CL126" s="62"/>
      <c r="CM126" s="62"/>
      <c r="CN126" s="62"/>
      <c r="CO126" s="62"/>
      <c r="CP126" s="62"/>
      <c r="CQ126" s="62"/>
      <c r="CR126" s="62"/>
      <c r="CS126" s="62"/>
      <c r="CT126" s="62"/>
      <c r="CU126" s="62"/>
      <c r="CV126" s="62"/>
      <c r="CW126" s="62"/>
      <c r="CX126" s="62"/>
      <c r="CY126" s="62"/>
      <c r="CZ126" s="62"/>
      <c r="DA126" s="62"/>
      <c r="DB126" s="62"/>
      <c r="DC126" s="62"/>
      <c r="DD126" s="62"/>
      <c r="DE126" s="62"/>
    </row>
    <row r="127" spans="1:109" s="3" customFormat="1">
      <c r="A127" s="64"/>
      <c r="B127" s="64"/>
      <c r="C127" s="62"/>
      <c r="D127" s="62"/>
      <c r="E127" s="62"/>
      <c r="F127" s="47"/>
      <c r="G127" s="47"/>
      <c r="H127" s="47"/>
      <c r="I127" s="48"/>
      <c r="J127" s="47"/>
      <c r="K127" s="57"/>
      <c r="L127" s="55"/>
      <c r="M127" s="47"/>
      <c r="N127" s="62"/>
      <c r="O127" s="62"/>
      <c r="P127" s="62"/>
      <c r="Q127" s="47"/>
      <c r="R127" s="47"/>
      <c r="S127" s="62"/>
      <c r="T127" s="62"/>
      <c r="U127" s="62"/>
      <c r="V127" s="62"/>
      <c r="W127" s="62"/>
      <c r="X127" s="62"/>
      <c r="Y127" s="62"/>
      <c r="Z127" s="62"/>
      <c r="AA127" s="62"/>
      <c r="AB127" s="62"/>
      <c r="AC127" s="62"/>
      <c r="AD127" s="62"/>
      <c r="AE127" s="62"/>
      <c r="AF127" s="62"/>
      <c r="AG127" s="62"/>
      <c r="AH127" s="62"/>
      <c r="AI127" s="62"/>
      <c r="AJ127" s="62"/>
      <c r="AK127" s="62"/>
      <c r="AL127" s="62"/>
      <c r="AM127" s="62"/>
      <c r="AN127" s="62"/>
      <c r="AO127" s="62"/>
      <c r="AP127" s="62"/>
      <c r="AQ127" s="62"/>
      <c r="AR127" s="62"/>
      <c r="AS127" s="62"/>
      <c r="AT127" s="62"/>
      <c r="AU127" s="62"/>
      <c r="AV127" s="62"/>
      <c r="AW127" s="62"/>
      <c r="AX127" s="62"/>
      <c r="AY127" s="62"/>
      <c r="AZ127" s="62"/>
      <c r="BA127" s="62"/>
      <c r="BB127" s="62"/>
      <c r="BC127" s="62"/>
      <c r="BD127" s="62"/>
      <c r="BE127" s="62"/>
      <c r="BF127" s="62"/>
      <c r="BG127" s="62"/>
      <c r="BH127" s="62"/>
      <c r="BI127" s="62"/>
      <c r="BJ127" s="62"/>
      <c r="BK127" s="62"/>
      <c r="BL127" s="62"/>
      <c r="BM127" s="62"/>
      <c r="BN127" s="62"/>
      <c r="BO127" s="62"/>
      <c r="BP127" s="62"/>
      <c r="BQ127" s="62"/>
      <c r="BR127" s="62"/>
      <c r="BS127" s="62"/>
      <c r="BT127" s="62"/>
      <c r="BU127" s="62"/>
      <c r="BV127" s="62"/>
      <c r="BW127" s="62"/>
      <c r="BX127" s="62"/>
      <c r="BY127" s="62"/>
      <c r="BZ127" s="62"/>
      <c r="CA127" s="62"/>
      <c r="CB127" s="62"/>
      <c r="CC127" s="62"/>
      <c r="CD127" s="62"/>
      <c r="CE127" s="62"/>
      <c r="CF127" s="62"/>
      <c r="CG127" s="62"/>
      <c r="CH127" s="62"/>
      <c r="CI127" s="62"/>
      <c r="CJ127" s="62"/>
      <c r="CK127" s="62"/>
      <c r="CL127" s="62"/>
      <c r="CM127" s="62"/>
      <c r="CN127" s="62"/>
      <c r="CO127" s="62"/>
      <c r="CP127" s="62"/>
      <c r="CQ127" s="62"/>
      <c r="CR127" s="62"/>
      <c r="CS127" s="62"/>
      <c r="CT127" s="62"/>
      <c r="CU127" s="62"/>
      <c r="CV127" s="62"/>
      <c r="CW127" s="62"/>
      <c r="CX127" s="62"/>
      <c r="CY127" s="62"/>
      <c r="CZ127" s="62"/>
      <c r="DA127" s="62"/>
      <c r="DB127" s="62"/>
      <c r="DC127" s="62"/>
      <c r="DD127" s="62"/>
      <c r="DE127" s="62"/>
    </row>
    <row r="128" spans="1:109" s="3" customFormat="1">
      <c r="A128" s="64"/>
      <c r="B128" s="64"/>
      <c r="C128" s="62"/>
      <c r="D128" s="62"/>
      <c r="E128" s="62"/>
      <c r="F128" s="47"/>
      <c r="G128" s="47"/>
      <c r="H128" s="47"/>
      <c r="I128" s="48"/>
      <c r="J128" s="47"/>
      <c r="K128" s="57"/>
      <c r="L128" s="55"/>
      <c r="M128" s="47"/>
      <c r="N128" s="62"/>
      <c r="O128" s="62"/>
      <c r="P128" s="62"/>
      <c r="Q128" s="47"/>
      <c r="R128" s="47"/>
      <c r="S128" s="62"/>
      <c r="T128" s="62"/>
      <c r="U128" s="62"/>
      <c r="V128" s="62"/>
      <c r="W128" s="62"/>
      <c r="X128" s="62"/>
      <c r="Y128" s="62"/>
      <c r="Z128" s="62"/>
      <c r="AA128" s="62"/>
      <c r="AB128" s="62"/>
      <c r="AC128" s="62"/>
      <c r="AD128" s="62"/>
      <c r="AE128" s="62"/>
      <c r="AF128" s="62"/>
      <c r="AG128" s="62"/>
      <c r="AH128" s="62"/>
      <c r="AI128" s="62"/>
      <c r="AJ128" s="62"/>
      <c r="AK128" s="62"/>
      <c r="AL128" s="62"/>
      <c r="AM128" s="62"/>
      <c r="AN128" s="62"/>
      <c r="AO128" s="62"/>
      <c r="AP128" s="62"/>
      <c r="AQ128" s="62"/>
      <c r="AR128" s="62"/>
      <c r="AS128" s="62"/>
      <c r="AT128" s="62"/>
      <c r="AU128" s="62"/>
      <c r="AV128" s="62"/>
      <c r="AW128" s="62"/>
      <c r="AX128" s="62"/>
      <c r="AY128" s="62"/>
      <c r="AZ128" s="62"/>
      <c r="BA128" s="62"/>
      <c r="BB128" s="62"/>
      <c r="BC128" s="62"/>
      <c r="BD128" s="62"/>
      <c r="BE128" s="62"/>
      <c r="BF128" s="62"/>
      <c r="BG128" s="62"/>
      <c r="BH128" s="62"/>
      <c r="BI128" s="62"/>
      <c r="BJ128" s="62"/>
      <c r="BK128" s="62"/>
      <c r="BL128" s="62"/>
      <c r="BM128" s="62"/>
      <c r="BN128" s="62"/>
      <c r="BO128" s="62"/>
      <c r="BP128" s="62"/>
      <c r="BQ128" s="62"/>
      <c r="BR128" s="62"/>
      <c r="BS128" s="62"/>
      <c r="BT128" s="62"/>
      <c r="BU128" s="62"/>
      <c r="BV128" s="62"/>
      <c r="BW128" s="62"/>
      <c r="BX128" s="62"/>
      <c r="BY128" s="62"/>
      <c r="BZ128" s="62"/>
      <c r="CA128" s="62"/>
      <c r="CB128" s="62"/>
      <c r="CC128" s="62"/>
      <c r="CD128" s="62"/>
      <c r="CE128" s="62"/>
      <c r="CF128" s="62"/>
      <c r="CG128" s="62"/>
      <c r="CH128" s="62"/>
      <c r="CI128" s="62"/>
      <c r="CJ128" s="62"/>
      <c r="CK128" s="62"/>
      <c r="CL128" s="62"/>
      <c r="CM128" s="62"/>
      <c r="CN128" s="62"/>
      <c r="CO128" s="62"/>
      <c r="CP128" s="62"/>
      <c r="CQ128" s="62"/>
      <c r="CR128" s="62"/>
      <c r="CS128" s="62"/>
      <c r="CT128" s="62"/>
      <c r="CU128" s="62"/>
      <c r="CV128" s="62"/>
      <c r="CW128" s="62"/>
      <c r="CX128" s="62"/>
      <c r="CY128" s="62"/>
      <c r="CZ128" s="62"/>
      <c r="DA128" s="62"/>
      <c r="DB128" s="62"/>
      <c r="DC128" s="62"/>
      <c r="DD128" s="62"/>
      <c r="DE128" s="62"/>
    </row>
    <row r="129" spans="1:109" s="3" customFormat="1">
      <c r="A129" s="64"/>
      <c r="B129" s="64"/>
      <c r="C129" s="62"/>
      <c r="D129" s="62"/>
      <c r="E129" s="62"/>
      <c r="F129" s="47"/>
      <c r="G129" s="47"/>
      <c r="H129" s="47"/>
      <c r="I129" s="48"/>
      <c r="J129" s="47"/>
      <c r="K129" s="57"/>
      <c r="L129" s="55"/>
      <c r="M129" s="47"/>
      <c r="N129" s="62"/>
      <c r="O129" s="62"/>
      <c r="P129" s="62"/>
      <c r="Q129" s="47"/>
      <c r="R129" s="47"/>
      <c r="S129" s="62"/>
      <c r="T129" s="62"/>
      <c r="U129" s="62"/>
      <c r="V129" s="62"/>
      <c r="W129" s="62"/>
      <c r="X129" s="62"/>
      <c r="Y129" s="62"/>
      <c r="Z129" s="62"/>
      <c r="AA129" s="62"/>
      <c r="AB129" s="62"/>
      <c r="AC129" s="62"/>
      <c r="AD129" s="62"/>
      <c r="AE129" s="62"/>
      <c r="AF129" s="62"/>
      <c r="AG129" s="62"/>
      <c r="AH129" s="62"/>
      <c r="AI129" s="62"/>
      <c r="AJ129" s="62"/>
      <c r="AK129" s="62"/>
      <c r="AL129" s="62"/>
      <c r="AM129" s="62"/>
      <c r="AN129" s="62"/>
      <c r="AO129" s="62"/>
      <c r="AP129" s="62"/>
      <c r="AQ129" s="62"/>
      <c r="AR129" s="62"/>
      <c r="AS129" s="62"/>
      <c r="AT129" s="62"/>
      <c r="AU129" s="62"/>
      <c r="AV129" s="62"/>
      <c r="AW129" s="62"/>
      <c r="AX129" s="62"/>
      <c r="AY129" s="62"/>
      <c r="AZ129" s="62"/>
      <c r="BA129" s="62"/>
      <c r="BB129" s="62"/>
      <c r="BC129" s="62"/>
      <c r="BD129" s="62"/>
      <c r="BE129" s="62"/>
      <c r="BF129" s="62"/>
      <c r="BG129" s="62"/>
      <c r="BH129" s="62"/>
      <c r="BI129" s="62"/>
      <c r="BJ129" s="62"/>
      <c r="BK129" s="62"/>
      <c r="BL129" s="62"/>
      <c r="BM129" s="62"/>
      <c r="BN129" s="62"/>
      <c r="BO129" s="62"/>
      <c r="BP129" s="62"/>
      <c r="BQ129" s="62"/>
      <c r="BR129" s="62"/>
      <c r="BS129" s="62"/>
      <c r="BT129" s="62"/>
      <c r="BU129" s="62"/>
      <c r="BV129" s="62"/>
      <c r="BW129" s="62"/>
      <c r="BX129" s="62"/>
      <c r="BY129" s="62"/>
      <c r="BZ129" s="62"/>
      <c r="CA129" s="62"/>
      <c r="CB129" s="62"/>
      <c r="CC129" s="62"/>
      <c r="CD129" s="62"/>
      <c r="CE129" s="62"/>
      <c r="CF129" s="62"/>
      <c r="CG129" s="62"/>
      <c r="CH129" s="62"/>
      <c r="CI129" s="62"/>
      <c r="CJ129" s="62"/>
      <c r="CK129" s="62"/>
      <c r="CL129" s="62"/>
      <c r="CM129" s="62"/>
      <c r="CN129" s="62"/>
      <c r="CO129" s="62"/>
      <c r="CP129" s="62"/>
      <c r="CQ129" s="62"/>
      <c r="CR129" s="62"/>
      <c r="CS129" s="62"/>
      <c r="CT129" s="62"/>
      <c r="CU129" s="62"/>
      <c r="CV129" s="62"/>
      <c r="CW129" s="62"/>
      <c r="CX129" s="62"/>
      <c r="CY129" s="62"/>
      <c r="CZ129" s="62"/>
      <c r="DA129" s="62"/>
      <c r="DB129" s="62"/>
      <c r="DC129" s="62"/>
      <c r="DD129" s="62"/>
      <c r="DE129" s="62"/>
    </row>
    <row r="130" spans="1:109" s="3" customFormat="1">
      <c r="A130" s="64"/>
      <c r="B130" s="64"/>
      <c r="C130" s="62"/>
      <c r="D130" s="62"/>
      <c r="E130" s="62"/>
      <c r="F130" s="47"/>
      <c r="G130" s="47"/>
      <c r="H130" s="47"/>
      <c r="I130" s="48"/>
      <c r="J130" s="47"/>
      <c r="K130" s="57"/>
      <c r="L130" s="55"/>
      <c r="M130" s="47"/>
      <c r="N130" s="62"/>
      <c r="O130" s="62"/>
      <c r="P130" s="62"/>
      <c r="Q130" s="47"/>
      <c r="R130" s="47"/>
      <c r="S130" s="62"/>
      <c r="T130" s="62"/>
      <c r="U130" s="62"/>
      <c r="V130" s="62"/>
      <c r="W130" s="62"/>
      <c r="X130" s="62"/>
      <c r="Y130" s="62"/>
      <c r="Z130" s="62"/>
      <c r="AA130" s="62"/>
      <c r="AB130" s="62"/>
      <c r="AC130" s="62"/>
      <c r="AD130" s="62"/>
      <c r="AE130" s="62"/>
      <c r="AF130" s="62"/>
      <c r="AG130" s="62"/>
      <c r="AH130" s="62"/>
      <c r="AI130" s="62"/>
      <c r="AJ130" s="62"/>
      <c r="AK130" s="62"/>
      <c r="AL130" s="62"/>
      <c r="AM130" s="62"/>
      <c r="AN130" s="62"/>
      <c r="AO130" s="62"/>
      <c r="AP130" s="62"/>
      <c r="AQ130" s="62"/>
      <c r="AR130" s="62"/>
      <c r="AS130" s="62"/>
      <c r="AT130" s="62"/>
      <c r="AU130" s="62"/>
      <c r="AV130" s="62"/>
      <c r="AW130" s="62"/>
      <c r="AX130" s="62"/>
      <c r="AY130" s="62"/>
      <c r="AZ130" s="62"/>
      <c r="BA130" s="62"/>
      <c r="BB130" s="62"/>
      <c r="BC130" s="62"/>
      <c r="BD130" s="62"/>
      <c r="BE130" s="62"/>
      <c r="BF130" s="62"/>
      <c r="BG130" s="62"/>
      <c r="BH130" s="62"/>
      <c r="BI130" s="62"/>
      <c r="BJ130" s="62"/>
      <c r="BK130" s="62"/>
      <c r="BL130" s="62"/>
      <c r="BM130" s="62"/>
      <c r="BN130" s="62"/>
      <c r="BO130" s="62"/>
      <c r="BP130" s="62"/>
      <c r="BQ130" s="62"/>
      <c r="BR130" s="62"/>
      <c r="BS130" s="62"/>
      <c r="BT130" s="62"/>
      <c r="BU130" s="62"/>
      <c r="BV130" s="62"/>
      <c r="BW130" s="62"/>
      <c r="BX130" s="62"/>
      <c r="BY130" s="62"/>
      <c r="BZ130" s="62"/>
      <c r="CA130" s="62"/>
      <c r="CB130" s="62"/>
      <c r="CC130" s="62"/>
      <c r="CD130" s="62"/>
      <c r="CE130" s="62"/>
      <c r="CF130" s="62"/>
      <c r="CG130" s="62"/>
      <c r="CH130" s="62"/>
      <c r="CI130" s="62"/>
      <c r="CJ130" s="62"/>
      <c r="CK130" s="62"/>
      <c r="CL130" s="62"/>
      <c r="CM130" s="62"/>
      <c r="CN130" s="62"/>
      <c r="CO130" s="62"/>
      <c r="CP130" s="62"/>
      <c r="CQ130" s="62"/>
      <c r="CR130" s="62"/>
      <c r="CS130" s="62"/>
      <c r="CT130" s="62"/>
      <c r="CU130" s="62"/>
      <c r="CV130" s="62"/>
      <c r="CW130" s="62"/>
      <c r="CX130" s="62"/>
      <c r="CY130" s="62"/>
      <c r="CZ130" s="62"/>
      <c r="DA130" s="62"/>
      <c r="DB130" s="62"/>
      <c r="DC130" s="62"/>
      <c r="DD130" s="62"/>
      <c r="DE130" s="62"/>
    </row>
    <row r="131" spans="1:109" s="3" customFormat="1">
      <c r="A131" s="64"/>
      <c r="B131" s="64"/>
      <c r="C131" s="62"/>
      <c r="D131" s="62"/>
      <c r="E131" s="62"/>
      <c r="F131" s="47"/>
      <c r="G131" s="47"/>
      <c r="H131" s="47"/>
      <c r="I131" s="48"/>
      <c r="J131" s="47"/>
      <c r="K131" s="57"/>
      <c r="L131" s="55"/>
      <c r="M131" s="47"/>
      <c r="N131" s="62"/>
      <c r="O131" s="62"/>
      <c r="P131" s="62"/>
      <c r="Q131" s="47"/>
      <c r="R131" s="47"/>
      <c r="S131" s="62"/>
      <c r="T131" s="62"/>
      <c r="U131" s="62"/>
      <c r="V131" s="62"/>
      <c r="W131" s="62"/>
      <c r="X131" s="62"/>
      <c r="Y131" s="62"/>
      <c r="Z131" s="62"/>
      <c r="AA131" s="62"/>
      <c r="AB131" s="62"/>
      <c r="AC131" s="62"/>
      <c r="AD131" s="62"/>
      <c r="AE131" s="62"/>
      <c r="AF131" s="62"/>
      <c r="AG131" s="62"/>
      <c r="AH131" s="62"/>
      <c r="AI131" s="62"/>
      <c r="AJ131" s="62"/>
      <c r="AK131" s="62"/>
      <c r="AL131" s="62"/>
      <c r="AM131" s="62"/>
      <c r="AN131" s="62"/>
      <c r="AO131" s="62"/>
      <c r="AP131" s="62"/>
      <c r="AQ131" s="62"/>
      <c r="AR131" s="62"/>
      <c r="AS131" s="62"/>
      <c r="AT131" s="62"/>
      <c r="AU131" s="62"/>
      <c r="AV131" s="62"/>
      <c r="AW131" s="62"/>
      <c r="AX131" s="62"/>
      <c r="AY131" s="62"/>
      <c r="AZ131" s="62"/>
      <c r="BA131" s="62"/>
      <c r="BB131" s="62"/>
      <c r="BC131" s="62"/>
      <c r="BD131" s="62"/>
      <c r="BE131" s="62"/>
      <c r="BF131" s="62"/>
      <c r="BG131" s="62"/>
      <c r="BH131" s="62"/>
      <c r="BI131" s="62"/>
      <c r="BJ131" s="62"/>
      <c r="BK131" s="62"/>
      <c r="BL131" s="62"/>
      <c r="BM131" s="62"/>
      <c r="BN131" s="62"/>
      <c r="BO131" s="62"/>
      <c r="BP131" s="62"/>
      <c r="BQ131" s="62"/>
      <c r="BR131" s="62"/>
      <c r="BS131" s="62"/>
      <c r="BT131" s="62"/>
      <c r="BU131" s="62"/>
      <c r="BV131" s="62"/>
      <c r="BW131" s="62"/>
      <c r="BX131" s="62"/>
      <c r="BY131" s="62"/>
      <c r="BZ131" s="62"/>
      <c r="CA131" s="62"/>
      <c r="CB131" s="62"/>
      <c r="CC131" s="62"/>
      <c r="CD131" s="62"/>
      <c r="CE131" s="62"/>
      <c r="CF131" s="62"/>
      <c r="CG131" s="62"/>
      <c r="CH131" s="62"/>
      <c r="CI131" s="62"/>
      <c r="CJ131" s="62"/>
      <c r="CK131" s="62"/>
      <c r="CL131" s="62"/>
      <c r="CM131" s="62"/>
      <c r="CN131" s="62"/>
      <c r="CO131" s="62"/>
      <c r="CP131" s="62"/>
      <c r="CQ131" s="62"/>
      <c r="CR131" s="62"/>
      <c r="CS131" s="62"/>
      <c r="CT131" s="62"/>
      <c r="CU131" s="62"/>
      <c r="CV131" s="62"/>
      <c r="CW131" s="62"/>
      <c r="CX131" s="62"/>
      <c r="CY131" s="62"/>
      <c r="CZ131" s="62"/>
      <c r="DA131" s="62"/>
      <c r="DB131" s="62"/>
      <c r="DC131" s="62"/>
      <c r="DD131" s="62"/>
      <c r="DE131" s="62"/>
    </row>
    <row r="132" spans="1:109" s="3" customFormat="1">
      <c r="A132" s="64"/>
      <c r="B132" s="64"/>
      <c r="C132" s="62"/>
      <c r="D132" s="62"/>
      <c r="E132" s="62"/>
      <c r="F132" s="47"/>
      <c r="G132" s="47"/>
      <c r="H132" s="47"/>
      <c r="I132" s="48"/>
      <c r="J132" s="47"/>
      <c r="K132" s="57"/>
      <c r="L132" s="55"/>
      <c r="M132" s="47"/>
      <c r="N132" s="62"/>
      <c r="O132" s="62"/>
      <c r="P132" s="62"/>
      <c r="Q132" s="47"/>
      <c r="R132" s="47"/>
      <c r="S132" s="62"/>
      <c r="T132" s="62"/>
      <c r="U132" s="62"/>
      <c r="V132" s="62"/>
      <c r="W132" s="62"/>
      <c r="X132" s="62"/>
      <c r="Y132" s="62"/>
      <c r="Z132" s="62"/>
      <c r="AA132" s="62"/>
      <c r="AB132" s="62"/>
      <c r="AC132" s="62"/>
      <c r="AD132" s="62"/>
      <c r="AE132" s="62"/>
      <c r="AF132" s="62"/>
      <c r="AG132" s="62"/>
      <c r="AH132" s="62"/>
      <c r="AI132" s="62"/>
      <c r="AJ132" s="62"/>
      <c r="AK132" s="62"/>
      <c r="AL132" s="62"/>
      <c r="AM132" s="62"/>
      <c r="AN132" s="62"/>
      <c r="AO132" s="62"/>
      <c r="AP132" s="62"/>
      <c r="AQ132" s="62"/>
      <c r="AR132" s="62"/>
      <c r="AS132" s="62"/>
      <c r="AT132" s="62"/>
      <c r="AU132" s="62"/>
      <c r="AV132" s="62"/>
      <c r="AW132" s="62"/>
      <c r="AX132" s="62"/>
      <c r="AY132" s="62"/>
      <c r="AZ132" s="62"/>
      <c r="BA132" s="62"/>
      <c r="BB132" s="62"/>
      <c r="BC132" s="62"/>
      <c r="BD132" s="62"/>
      <c r="BE132" s="62"/>
      <c r="BF132" s="62"/>
      <c r="BG132" s="62"/>
      <c r="BH132" s="62"/>
      <c r="BI132" s="62"/>
      <c r="BJ132" s="62"/>
      <c r="BK132" s="62"/>
      <c r="BL132" s="62"/>
      <c r="BM132" s="62"/>
      <c r="BN132" s="62"/>
      <c r="BO132" s="62"/>
      <c r="BP132" s="62"/>
      <c r="BQ132" s="62"/>
      <c r="BR132" s="62"/>
      <c r="BS132" s="62"/>
      <c r="BT132" s="62"/>
      <c r="BU132" s="62"/>
      <c r="BV132" s="62"/>
      <c r="BW132" s="62"/>
      <c r="BX132" s="62"/>
      <c r="BY132" s="62"/>
      <c r="BZ132" s="62"/>
      <c r="CA132" s="62"/>
      <c r="CB132" s="62"/>
      <c r="CC132" s="62"/>
      <c r="CD132" s="62"/>
      <c r="CE132" s="62"/>
      <c r="CF132" s="62"/>
      <c r="CG132" s="62"/>
      <c r="CH132" s="62"/>
      <c r="CI132" s="62"/>
      <c r="CJ132" s="62"/>
      <c r="CK132" s="62"/>
      <c r="CL132" s="62"/>
      <c r="CM132" s="62"/>
      <c r="CN132" s="62"/>
      <c r="CO132" s="62"/>
      <c r="CP132" s="62"/>
      <c r="CQ132" s="62"/>
      <c r="CR132" s="62"/>
      <c r="CS132" s="62"/>
      <c r="CT132" s="62"/>
      <c r="CU132" s="62"/>
      <c r="CV132" s="62"/>
      <c r="CW132" s="62"/>
      <c r="CX132" s="62"/>
      <c r="CY132" s="62"/>
      <c r="CZ132" s="62"/>
      <c r="DA132" s="62"/>
      <c r="DB132" s="62"/>
      <c r="DC132" s="62"/>
      <c r="DD132" s="62"/>
      <c r="DE132" s="62"/>
    </row>
    <row r="133" spans="1:109" s="3" customFormat="1">
      <c r="A133" s="64"/>
      <c r="B133" s="64"/>
      <c r="C133" s="62"/>
      <c r="D133" s="62"/>
      <c r="E133" s="62"/>
      <c r="F133" s="47"/>
      <c r="G133" s="47"/>
      <c r="H133" s="47"/>
      <c r="I133" s="48"/>
      <c r="J133" s="47"/>
      <c r="K133" s="57"/>
      <c r="L133" s="55"/>
      <c r="M133" s="47"/>
      <c r="N133" s="62"/>
      <c r="O133" s="62"/>
      <c r="P133" s="62"/>
      <c r="Q133" s="47"/>
      <c r="R133" s="47"/>
      <c r="S133" s="62"/>
      <c r="T133" s="62"/>
      <c r="U133" s="62"/>
      <c r="V133" s="62"/>
      <c r="W133" s="62"/>
      <c r="X133" s="62"/>
      <c r="Y133" s="62"/>
      <c r="Z133" s="62"/>
      <c r="AA133" s="62"/>
      <c r="AB133" s="62"/>
      <c r="AC133" s="62"/>
      <c r="AD133" s="62"/>
      <c r="AE133" s="62"/>
      <c r="AF133" s="62"/>
      <c r="AG133" s="62"/>
      <c r="AH133" s="62"/>
      <c r="AI133" s="62"/>
      <c r="AJ133" s="62"/>
      <c r="AK133" s="62"/>
      <c r="AL133" s="62"/>
      <c r="AM133" s="62"/>
      <c r="AN133" s="62"/>
      <c r="AO133" s="62"/>
      <c r="AP133" s="62"/>
      <c r="AQ133" s="62"/>
      <c r="AR133" s="62"/>
      <c r="AS133" s="62"/>
      <c r="AT133" s="62"/>
      <c r="AU133" s="62"/>
      <c r="AV133" s="62"/>
      <c r="AW133" s="62"/>
      <c r="AX133" s="62"/>
      <c r="AY133" s="62"/>
      <c r="AZ133" s="62"/>
      <c r="BA133" s="62"/>
      <c r="BB133" s="62"/>
      <c r="BC133" s="62"/>
      <c r="BD133" s="62"/>
      <c r="BE133" s="62"/>
      <c r="BF133" s="62"/>
      <c r="BG133" s="62"/>
      <c r="BH133" s="62"/>
      <c r="BI133" s="62"/>
      <c r="BJ133" s="62"/>
      <c r="BK133" s="62"/>
      <c r="BL133" s="62"/>
      <c r="BM133" s="62"/>
      <c r="BN133" s="62"/>
      <c r="BO133" s="62"/>
      <c r="BP133" s="62"/>
      <c r="BQ133" s="62"/>
      <c r="BR133" s="62"/>
      <c r="BS133" s="62"/>
      <c r="BT133" s="62"/>
      <c r="BU133" s="62"/>
      <c r="BV133" s="62"/>
      <c r="BW133" s="62"/>
      <c r="BX133" s="62"/>
      <c r="BY133" s="62"/>
      <c r="BZ133" s="62"/>
      <c r="CA133" s="62"/>
      <c r="CB133" s="62"/>
      <c r="CC133" s="62"/>
      <c r="CD133" s="62"/>
      <c r="CE133" s="62"/>
      <c r="CF133" s="62"/>
      <c r="CG133" s="62"/>
      <c r="CH133" s="62"/>
      <c r="CI133" s="62"/>
      <c r="CJ133" s="62"/>
      <c r="CK133" s="62"/>
      <c r="CL133" s="62"/>
      <c r="CM133" s="62"/>
      <c r="CN133" s="62"/>
      <c r="CO133" s="62"/>
      <c r="CP133" s="62"/>
      <c r="CQ133" s="62"/>
      <c r="CR133" s="62"/>
      <c r="CS133" s="62"/>
      <c r="CT133" s="62"/>
      <c r="CU133" s="62"/>
      <c r="CV133" s="62"/>
      <c r="CW133" s="62"/>
      <c r="CX133" s="62"/>
      <c r="CY133" s="62"/>
      <c r="CZ133" s="62"/>
      <c r="DA133" s="62"/>
      <c r="DB133" s="62"/>
      <c r="DC133" s="62"/>
      <c r="DD133" s="62"/>
      <c r="DE133" s="62"/>
    </row>
    <row r="134" spans="1:109" s="3" customFormat="1">
      <c r="A134" s="62"/>
      <c r="B134" s="62"/>
      <c r="C134" s="62"/>
      <c r="D134" s="62"/>
      <c r="E134" s="62"/>
      <c r="F134" s="47"/>
      <c r="G134" s="47"/>
      <c r="H134" s="47"/>
      <c r="I134" s="48"/>
      <c r="J134" s="47"/>
      <c r="K134" s="57"/>
      <c r="L134" s="55"/>
      <c r="M134" s="47"/>
      <c r="N134" s="47"/>
      <c r="O134" s="47"/>
      <c r="P134" s="47"/>
      <c r="Q134" s="47"/>
      <c r="R134" s="47"/>
      <c r="S134" s="62"/>
      <c r="T134" s="62"/>
      <c r="U134" s="62"/>
      <c r="V134" s="62"/>
      <c r="W134" s="62"/>
      <c r="X134" s="62"/>
      <c r="Y134" s="62"/>
      <c r="Z134" s="62"/>
      <c r="AA134" s="62"/>
      <c r="AB134" s="62"/>
      <c r="AC134" s="62"/>
      <c r="AD134" s="62"/>
      <c r="AE134" s="62"/>
      <c r="AF134" s="62"/>
      <c r="AG134" s="62"/>
      <c r="AH134" s="62"/>
      <c r="AI134" s="62"/>
      <c r="AJ134" s="62"/>
      <c r="AK134" s="62"/>
      <c r="AL134" s="62"/>
      <c r="AM134" s="62"/>
      <c r="AN134" s="62"/>
      <c r="AO134" s="62"/>
      <c r="AP134" s="62"/>
      <c r="AQ134" s="62"/>
      <c r="AR134" s="62"/>
      <c r="AS134" s="62"/>
      <c r="AT134" s="62"/>
      <c r="AU134" s="62"/>
      <c r="AV134" s="62"/>
      <c r="AW134" s="62"/>
      <c r="AX134" s="62"/>
      <c r="AY134" s="62"/>
      <c r="AZ134" s="62"/>
      <c r="BA134" s="62"/>
      <c r="BB134" s="62"/>
      <c r="BC134" s="62"/>
      <c r="BD134" s="62"/>
      <c r="BE134" s="62"/>
      <c r="BF134" s="62"/>
      <c r="BG134" s="62"/>
      <c r="BH134" s="62"/>
      <c r="BI134" s="62"/>
      <c r="BJ134" s="62"/>
      <c r="BK134" s="62"/>
      <c r="BL134" s="62"/>
      <c r="BM134" s="62"/>
      <c r="BN134" s="62"/>
      <c r="BO134" s="62"/>
      <c r="BP134" s="62"/>
      <c r="BQ134" s="62"/>
      <c r="BR134" s="62"/>
      <c r="BS134" s="62"/>
      <c r="BT134" s="62"/>
      <c r="BU134" s="62"/>
      <c r="BV134" s="62"/>
      <c r="BW134" s="62"/>
      <c r="BX134" s="62"/>
      <c r="BY134" s="62"/>
      <c r="BZ134" s="62"/>
      <c r="CA134" s="62"/>
      <c r="CB134" s="62"/>
      <c r="CC134" s="62"/>
      <c r="CD134" s="62"/>
      <c r="CE134" s="62"/>
      <c r="CF134" s="62"/>
      <c r="CG134" s="62"/>
      <c r="CH134" s="62"/>
      <c r="CI134" s="62"/>
      <c r="CJ134" s="62"/>
      <c r="CK134" s="62"/>
      <c r="CL134" s="62"/>
      <c r="CM134" s="62"/>
      <c r="CN134" s="62"/>
      <c r="CO134" s="62"/>
      <c r="CP134" s="62"/>
      <c r="CQ134" s="62"/>
      <c r="CR134" s="62"/>
      <c r="CS134" s="62"/>
      <c r="CT134" s="62"/>
      <c r="CU134" s="62"/>
      <c r="CV134" s="62"/>
      <c r="CW134" s="62"/>
      <c r="CX134" s="62"/>
      <c r="CY134" s="62"/>
      <c r="CZ134" s="62"/>
      <c r="DA134" s="62"/>
      <c r="DB134" s="62"/>
      <c r="DC134" s="62"/>
      <c r="DD134" s="62"/>
      <c r="DE134" s="62"/>
    </row>
    <row r="135" spans="1:109" s="3" customFormat="1">
      <c r="A135" s="62" t="s">
        <v>4859</v>
      </c>
      <c r="B135" s="62" t="s">
        <v>4860</v>
      </c>
      <c r="C135" s="62" t="s">
        <v>494</v>
      </c>
      <c r="D135" s="62"/>
      <c r="E135" s="62" t="s">
        <v>476</v>
      </c>
      <c r="F135" s="47">
        <v>2</v>
      </c>
      <c r="G135" s="47">
        <v>252</v>
      </c>
      <c r="H135" s="47" t="s">
        <v>1176</v>
      </c>
      <c r="I135" s="48"/>
      <c r="J135" s="47">
        <v>1512</v>
      </c>
      <c r="K135" s="57">
        <v>1</v>
      </c>
      <c r="L135" s="55">
        <v>52</v>
      </c>
      <c r="M135" s="47"/>
      <c r="N135" s="47">
        <v>251</v>
      </c>
      <c r="O135" s="47" t="s">
        <v>4845</v>
      </c>
      <c r="P135" s="47"/>
      <c r="Q135" s="47"/>
      <c r="R135" s="47"/>
      <c r="S135" s="62"/>
      <c r="T135" s="62"/>
      <c r="U135" s="62"/>
      <c r="V135" s="62"/>
      <c r="W135" s="62"/>
      <c r="X135" s="62"/>
      <c r="Y135" s="62"/>
      <c r="Z135" s="62"/>
      <c r="AA135" s="62"/>
      <c r="AB135" s="62"/>
      <c r="AC135" s="62"/>
      <c r="AD135" s="62"/>
      <c r="AE135" s="62"/>
      <c r="AF135" s="62"/>
      <c r="AG135" s="62"/>
      <c r="AH135" s="62"/>
      <c r="AI135" s="62"/>
      <c r="AJ135" s="62"/>
      <c r="AK135" s="62"/>
      <c r="AL135" s="62"/>
      <c r="AM135" s="62"/>
      <c r="AN135" s="62"/>
      <c r="AO135" s="62"/>
      <c r="AP135" s="62"/>
      <c r="AQ135" s="62"/>
      <c r="AR135" s="62"/>
      <c r="AS135" s="62"/>
      <c r="AT135" s="62"/>
      <c r="AU135" s="62"/>
      <c r="AV135" s="62"/>
      <c r="AW135" s="62"/>
      <c r="AX135" s="62"/>
      <c r="AY135" s="62"/>
      <c r="AZ135" s="62"/>
      <c r="BA135" s="62"/>
      <c r="BB135" s="62"/>
      <c r="BC135" s="62"/>
      <c r="BD135" s="62"/>
      <c r="BE135" s="62"/>
      <c r="BF135" s="62"/>
      <c r="BG135" s="62"/>
      <c r="BH135" s="62"/>
      <c r="BI135" s="62"/>
      <c r="BJ135" s="62"/>
      <c r="BK135" s="62"/>
      <c r="BL135" s="62"/>
      <c r="BM135" s="62"/>
      <c r="BN135" s="62"/>
      <c r="BO135" s="62"/>
      <c r="BP135" s="62"/>
      <c r="BQ135" s="62"/>
      <c r="BR135" s="62"/>
      <c r="BS135" s="62"/>
      <c r="BT135" s="62"/>
      <c r="BU135" s="62"/>
      <c r="BV135" s="62"/>
      <c r="BW135" s="62"/>
      <c r="BX135" s="62"/>
      <c r="BY135" s="62"/>
      <c r="BZ135" s="62"/>
      <c r="CA135" s="62"/>
      <c r="CB135" s="62"/>
      <c r="CC135" s="62"/>
      <c r="CD135" s="62"/>
      <c r="CE135" s="62"/>
      <c r="CF135" s="62"/>
      <c r="CG135" s="62"/>
      <c r="CH135" s="62"/>
      <c r="CI135" s="62"/>
      <c r="CJ135" s="62"/>
      <c r="CK135" s="62"/>
      <c r="CL135" s="62"/>
      <c r="CM135" s="62"/>
      <c r="CN135" s="62"/>
      <c r="CO135" s="62"/>
      <c r="CP135" s="62"/>
      <c r="CQ135" s="62"/>
      <c r="CR135" s="62"/>
      <c r="CS135" s="62"/>
      <c r="CT135" s="62"/>
      <c r="CU135" s="62"/>
      <c r="CV135" s="62"/>
      <c r="CW135" s="62"/>
      <c r="CX135" s="62"/>
      <c r="CY135" s="62"/>
      <c r="CZ135" s="62"/>
      <c r="DA135" s="62"/>
      <c r="DB135" s="62"/>
      <c r="DC135" s="62"/>
      <c r="DD135" s="62"/>
      <c r="DE135" s="62"/>
    </row>
    <row r="136" spans="1:109" s="3" customFormat="1">
      <c r="A136" s="62"/>
      <c r="B136" s="62" t="s">
        <v>4861</v>
      </c>
      <c r="C136" s="62" t="s">
        <v>494</v>
      </c>
      <c r="D136" s="62"/>
      <c r="E136" s="62" t="s">
        <v>476</v>
      </c>
      <c r="F136" s="47"/>
      <c r="G136" s="47"/>
      <c r="H136" s="47"/>
      <c r="I136" s="48"/>
      <c r="J136" s="47"/>
      <c r="K136" s="57">
        <v>2</v>
      </c>
      <c r="L136" s="55">
        <v>8</v>
      </c>
      <c r="M136" s="47"/>
      <c r="N136" s="47"/>
      <c r="O136" s="47"/>
      <c r="P136" s="47"/>
      <c r="Q136" s="47"/>
      <c r="R136" s="47"/>
      <c r="S136" s="62"/>
      <c r="T136" s="62"/>
      <c r="U136" s="62"/>
      <c r="V136" s="62"/>
      <c r="W136" s="62"/>
      <c r="X136" s="62"/>
      <c r="Y136" s="62"/>
      <c r="Z136" s="62"/>
      <c r="AA136" s="62"/>
      <c r="AB136" s="62"/>
      <c r="AC136" s="62"/>
      <c r="AD136" s="62"/>
      <c r="AE136" s="62"/>
      <c r="AF136" s="62"/>
      <c r="AG136" s="62"/>
      <c r="AH136" s="62"/>
      <c r="AI136" s="62"/>
      <c r="AJ136" s="62"/>
      <c r="AK136" s="62"/>
      <c r="AL136" s="62"/>
      <c r="AM136" s="62"/>
      <c r="AN136" s="62"/>
      <c r="AO136" s="62"/>
      <c r="AP136" s="62"/>
      <c r="AQ136" s="62"/>
      <c r="AR136" s="62"/>
      <c r="AS136" s="62"/>
      <c r="AT136" s="62"/>
      <c r="AU136" s="62"/>
      <c r="AV136" s="62"/>
      <c r="AW136" s="62"/>
      <c r="AX136" s="62"/>
      <c r="AY136" s="62"/>
      <c r="AZ136" s="62"/>
      <c r="BA136" s="62"/>
      <c r="BB136" s="62"/>
      <c r="BC136" s="62"/>
      <c r="BD136" s="62"/>
      <c r="BE136" s="62"/>
      <c r="BF136" s="62"/>
      <c r="BG136" s="62"/>
      <c r="BH136" s="62"/>
      <c r="BI136" s="62"/>
      <c r="BJ136" s="62"/>
      <c r="BK136" s="62"/>
      <c r="BL136" s="62"/>
      <c r="BM136" s="62"/>
      <c r="BN136" s="62"/>
      <c r="BO136" s="62"/>
      <c r="BP136" s="62"/>
      <c r="BQ136" s="62"/>
      <c r="BR136" s="62"/>
      <c r="BS136" s="62"/>
      <c r="BT136" s="62"/>
      <c r="BU136" s="62"/>
      <c r="BV136" s="62"/>
      <c r="BW136" s="62"/>
      <c r="BX136" s="62"/>
      <c r="BY136" s="62"/>
      <c r="BZ136" s="62"/>
      <c r="CA136" s="62"/>
      <c r="CB136" s="62"/>
      <c r="CC136" s="62"/>
      <c r="CD136" s="62"/>
      <c r="CE136" s="62"/>
      <c r="CF136" s="62"/>
      <c r="CG136" s="62"/>
      <c r="CH136" s="62"/>
      <c r="CI136" s="62"/>
      <c r="CJ136" s="62"/>
      <c r="CK136" s="62"/>
      <c r="CL136" s="62"/>
      <c r="CM136" s="62"/>
      <c r="CN136" s="62"/>
      <c r="CO136" s="62"/>
      <c r="CP136" s="62"/>
      <c r="CQ136" s="62"/>
      <c r="CR136" s="62"/>
      <c r="CS136" s="62"/>
      <c r="CT136" s="62"/>
      <c r="CU136" s="62"/>
      <c r="CV136" s="62"/>
      <c r="CW136" s="62"/>
      <c r="CX136" s="62"/>
      <c r="CY136" s="62"/>
      <c r="CZ136" s="62"/>
      <c r="DA136" s="62"/>
      <c r="DB136" s="62"/>
      <c r="DC136" s="62"/>
      <c r="DD136" s="62"/>
      <c r="DE136" s="62"/>
    </row>
    <row r="137" spans="1:109" s="3" customFormat="1">
      <c r="A137" s="62"/>
      <c r="B137" s="62" t="s">
        <v>4862</v>
      </c>
      <c r="C137" s="62" t="s">
        <v>494</v>
      </c>
      <c r="D137" s="62"/>
      <c r="E137" s="62"/>
      <c r="F137" s="47"/>
      <c r="G137" s="47"/>
      <c r="H137" s="47"/>
      <c r="I137" s="48"/>
      <c r="J137" s="47"/>
      <c r="K137" s="57">
        <v>3</v>
      </c>
      <c r="L137" s="55">
        <v>6</v>
      </c>
      <c r="M137" s="47"/>
      <c r="N137" s="47"/>
      <c r="O137" s="47"/>
      <c r="P137" s="47"/>
      <c r="Q137" s="47"/>
      <c r="R137" s="47"/>
      <c r="S137" s="62"/>
      <c r="T137" s="62"/>
      <c r="U137" s="62"/>
      <c r="V137" s="62"/>
      <c r="W137" s="62"/>
      <c r="X137" s="62"/>
      <c r="Y137" s="62"/>
      <c r="Z137" s="62"/>
      <c r="AA137" s="62"/>
      <c r="AB137" s="62"/>
      <c r="AC137" s="62"/>
      <c r="AD137" s="62"/>
      <c r="AE137" s="62"/>
      <c r="AF137" s="62"/>
      <c r="AG137" s="62"/>
      <c r="AH137" s="62"/>
      <c r="AI137" s="62"/>
      <c r="AJ137" s="62"/>
      <c r="AK137" s="62"/>
      <c r="AL137" s="62"/>
      <c r="AM137" s="62"/>
      <c r="AN137" s="62"/>
      <c r="AO137" s="62"/>
      <c r="AP137" s="62"/>
      <c r="AQ137" s="62"/>
      <c r="AR137" s="62"/>
      <c r="AS137" s="62"/>
      <c r="AT137" s="62"/>
      <c r="AU137" s="62"/>
      <c r="AV137" s="62"/>
      <c r="AW137" s="62"/>
      <c r="AX137" s="62"/>
      <c r="AY137" s="62"/>
      <c r="AZ137" s="62"/>
      <c r="BA137" s="62"/>
      <c r="BB137" s="62"/>
      <c r="BC137" s="62"/>
      <c r="BD137" s="62"/>
      <c r="BE137" s="62"/>
      <c r="BF137" s="62"/>
      <c r="BG137" s="62"/>
      <c r="BH137" s="62"/>
      <c r="BI137" s="62"/>
      <c r="BJ137" s="62"/>
      <c r="BK137" s="62"/>
      <c r="BL137" s="62"/>
      <c r="BM137" s="62"/>
      <c r="BN137" s="62"/>
      <c r="BO137" s="62"/>
      <c r="BP137" s="62"/>
      <c r="BQ137" s="62"/>
      <c r="BR137" s="62"/>
      <c r="BS137" s="62"/>
      <c r="BT137" s="62"/>
      <c r="BU137" s="62"/>
      <c r="BV137" s="62"/>
      <c r="BW137" s="62"/>
      <c r="BX137" s="62"/>
      <c r="BY137" s="62"/>
      <c r="BZ137" s="62"/>
      <c r="CA137" s="62"/>
      <c r="CB137" s="62"/>
      <c r="CC137" s="62"/>
      <c r="CD137" s="62"/>
      <c r="CE137" s="62"/>
      <c r="CF137" s="62"/>
      <c r="CG137" s="62"/>
      <c r="CH137" s="62"/>
      <c r="CI137" s="62"/>
      <c r="CJ137" s="62"/>
      <c r="CK137" s="62"/>
      <c r="CL137" s="62"/>
      <c r="CM137" s="62"/>
      <c r="CN137" s="62"/>
      <c r="CO137" s="62"/>
      <c r="CP137" s="62"/>
      <c r="CQ137" s="62"/>
      <c r="CR137" s="62"/>
      <c r="CS137" s="62"/>
      <c r="CT137" s="62"/>
      <c r="CU137" s="62"/>
      <c r="CV137" s="62"/>
      <c r="CW137" s="62"/>
      <c r="CX137" s="62"/>
      <c r="CY137" s="62"/>
      <c r="CZ137" s="62"/>
      <c r="DA137" s="62"/>
      <c r="DB137" s="62"/>
      <c r="DC137" s="62"/>
      <c r="DD137" s="62"/>
      <c r="DE137" s="62"/>
    </row>
    <row r="138" spans="1:109" s="3" customFormat="1">
      <c r="A138" s="62"/>
      <c r="B138" s="62" t="s">
        <v>4863</v>
      </c>
      <c r="C138" s="62" t="s">
        <v>493</v>
      </c>
      <c r="D138" s="62">
        <v>1</v>
      </c>
      <c r="E138" s="62"/>
      <c r="F138" s="47"/>
      <c r="G138" s="47"/>
      <c r="H138" s="47"/>
      <c r="I138" s="48"/>
      <c r="J138" s="47"/>
      <c r="K138" s="57">
        <v>4</v>
      </c>
      <c r="L138" s="55">
        <v>3</v>
      </c>
      <c r="M138" s="47"/>
      <c r="N138" s="47"/>
      <c r="O138" s="47"/>
      <c r="P138" s="47"/>
      <c r="Q138" s="47"/>
      <c r="R138" s="47"/>
      <c r="S138" s="62"/>
      <c r="T138" s="62"/>
      <c r="U138" s="62"/>
      <c r="V138" s="62"/>
      <c r="W138" s="62"/>
      <c r="X138" s="62"/>
      <c r="Y138" s="62"/>
      <c r="Z138" s="62"/>
      <c r="AA138" s="62"/>
      <c r="AB138" s="62"/>
      <c r="AC138" s="62"/>
      <c r="AD138" s="62"/>
      <c r="AE138" s="62"/>
      <c r="AF138" s="62"/>
      <c r="AG138" s="62"/>
      <c r="AH138" s="62"/>
      <c r="AI138" s="62"/>
      <c r="AJ138" s="62"/>
      <c r="AK138" s="62"/>
      <c r="AL138" s="62"/>
      <c r="AM138" s="62"/>
      <c r="AN138" s="62"/>
      <c r="AO138" s="62"/>
      <c r="AP138" s="62"/>
      <c r="AQ138" s="62"/>
      <c r="AR138" s="62"/>
      <c r="AS138" s="62"/>
      <c r="AT138" s="62"/>
      <c r="AU138" s="62"/>
      <c r="AV138" s="62"/>
      <c r="AW138" s="62"/>
      <c r="AX138" s="62"/>
      <c r="AY138" s="62"/>
      <c r="AZ138" s="62"/>
      <c r="BA138" s="62"/>
      <c r="BB138" s="62"/>
      <c r="BC138" s="62"/>
      <c r="BD138" s="62"/>
      <c r="BE138" s="62"/>
      <c r="BF138" s="62"/>
      <c r="BG138" s="62"/>
      <c r="BH138" s="62"/>
      <c r="BI138" s="62"/>
      <c r="BJ138" s="62"/>
      <c r="BK138" s="62"/>
      <c r="BL138" s="62"/>
      <c r="BM138" s="62"/>
      <c r="BN138" s="62"/>
      <c r="BO138" s="62"/>
      <c r="BP138" s="62"/>
      <c r="BQ138" s="62"/>
      <c r="BR138" s="62"/>
      <c r="BS138" s="62"/>
      <c r="BT138" s="62"/>
      <c r="BU138" s="62"/>
      <c r="BV138" s="62"/>
      <c r="BW138" s="62"/>
      <c r="BX138" s="62"/>
      <c r="BY138" s="62"/>
      <c r="BZ138" s="62"/>
      <c r="CA138" s="62"/>
      <c r="CB138" s="62"/>
      <c r="CC138" s="62"/>
      <c r="CD138" s="62"/>
      <c r="CE138" s="62"/>
      <c r="CF138" s="62"/>
      <c r="CG138" s="62"/>
      <c r="CH138" s="62"/>
      <c r="CI138" s="62"/>
      <c r="CJ138" s="62"/>
      <c r="CK138" s="62"/>
      <c r="CL138" s="62"/>
      <c r="CM138" s="62"/>
      <c r="CN138" s="62"/>
      <c r="CO138" s="62"/>
      <c r="CP138" s="62"/>
      <c r="CQ138" s="62"/>
      <c r="CR138" s="62"/>
      <c r="CS138" s="62"/>
      <c r="CT138" s="62"/>
      <c r="CU138" s="62"/>
      <c r="CV138" s="62"/>
      <c r="CW138" s="62"/>
      <c r="CX138" s="62"/>
      <c r="CY138" s="62"/>
      <c r="CZ138" s="62"/>
      <c r="DA138" s="62"/>
      <c r="DB138" s="62"/>
      <c r="DC138" s="62"/>
      <c r="DD138" s="62"/>
      <c r="DE138" s="62"/>
    </row>
    <row r="139" spans="1:109" s="3" customFormat="1">
      <c r="A139" s="62"/>
      <c r="B139" s="62"/>
      <c r="C139" s="62"/>
      <c r="D139" s="62"/>
      <c r="E139" s="62"/>
      <c r="F139" s="47"/>
      <c r="G139" s="47"/>
      <c r="H139" s="47"/>
      <c r="I139" s="48"/>
      <c r="J139" s="47"/>
      <c r="K139" s="57"/>
      <c r="L139" s="55"/>
      <c r="M139" s="47"/>
      <c r="N139" s="47"/>
      <c r="O139" s="47"/>
      <c r="P139" s="47"/>
      <c r="Q139" s="47"/>
      <c r="R139" s="47"/>
      <c r="S139" s="62"/>
      <c r="T139" s="62"/>
      <c r="U139" s="62"/>
      <c r="V139" s="62"/>
      <c r="W139" s="62"/>
      <c r="X139" s="62"/>
      <c r="Y139" s="62"/>
      <c r="Z139" s="62"/>
      <c r="AA139" s="62"/>
      <c r="AB139" s="62"/>
      <c r="AC139" s="62"/>
      <c r="AD139" s="62"/>
      <c r="AE139" s="62"/>
      <c r="AF139" s="62"/>
      <c r="AG139" s="62"/>
      <c r="AH139" s="62"/>
      <c r="AI139" s="62"/>
      <c r="AJ139" s="62"/>
      <c r="AK139" s="62"/>
      <c r="AL139" s="62"/>
      <c r="AM139" s="62"/>
      <c r="AN139" s="62"/>
      <c r="AO139" s="62"/>
      <c r="AP139" s="62"/>
      <c r="AQ139" s="62"/>
      <c r="AR139" s="62"/>
      <c r="AS139" s="62"/>
      <c r="AT139" s="62"/>
      <c r="AU139" s="62"/>
      <c r="AV139" s="62"/>
      <c r="AW139" s="62"/>
      <c r="AX139" s="62"/>
      <c r="AY139" s="62"/>
      <c r="AZ139" s="62"/>
      <c r="BA139" s="62"/>
      <c r="BB139" s="62"/>
      <c r="BC139" s="62"/>
      <c r="BD139" s="62"/>
      <c r="BE139" s="62"/>
      <c r="BF139" s="62"/>
      <c r="BG139" s="62"/>
      <c r="BH139" s="62"/>
      <c r="BI139" s="62"/>
      <c r="BJ139" s="62"/>
      <c r="BK139" s="62"/>
      <c r="BL139" s="62"/>
      <c r="BM139" s="62"/>
      <c r="BN139" s="62"/>
      <c r="BO139" s="62"/>
      <c r="BP139" s="62"/>
      <c r="BQ139" s="62"/>
      <c r="BR139" s="62"/>
      <c r="BS139" s="62"/>
      <c r="BT139" s="62"/>
      <c r="BU139" s="62"/>
      <c r="BV139" s="62"/>
      <c r="BW139" s="62"/>
      <c r="BX139" s="62"/>
      <c r="BY139" s="62"/>
      <c r="BZ139" s="62"/>
      <c r="CA139" s="62"/>
      <c r="CB139" s="62"/>
      <c r="CC139" s="62"/>
      <c r="CD139" s="62"/>
      <c r="CE139" s="62"/>
      <c r="CF139" s="62"/>
      <c r="CG139" s="62"/>
      <c r="CH139" s="62"/>
      <c r="CI139" s="62"/>
      <c r="CJ139" s="62"/>
      <c r="CK139" s="62"/>
      <c r="CL139" s="62"/>
      <c r="CM139" s="62"/>
      <c r="CN139" s="62"/>
      <c r="CO139" s="62"/>
      <c r="CP139" s="62"/>
      <c r="CQ139" s="62"/>
      <c r="CR139" s="62"/>
      <c r="CS139" s="62"/>
      <c r="CT139" s="62"/>
      <c r="CU139" s="62"/>
      <c r="CV139" s="62"/>
      <c r="CW139" s="62"/>
      <c r="CX139" s="62"/>
      <c r="CY139" s="62"/>
      <c r="CZ139" s="62"/>
      <c r="DA139" s="62"/>
      <c r="DB139" s="62"/>
      <c r="DC139" s="62"/>
      <c r="DD139" s="62"/>
      <c r="DE139" s="62"/>
    </row>
    <row r="140" spans="1:109" s="3" customFormat="1">
      <c r="A140" s="62" t="s">
        <v>6384</v>
      </c>
      <c r="B140" s="62" t="s">
        <v>6217</v>
      </c>
      <c r="C140" s="62" t="s">
        <v>494</v>
      </c>
      <c r="D140" s="62"/>
      <c r="E140" s="62" t="s">
        <v>476</v>
      </c>
      <c r="F140" s="47">
        <v>2</v>
      </c>
      <c r="G140" s="47">
        <v>253</v>
      </c>
      <c r="H140" s="47" t="s">
        <v>111</v>
      </c>
      <c r="I140" s="48"/>
      <c r="J140" s="47">
        <v>1512</v>
      </c>
      <c r="K140" s="57">
        <v>1</v>
      </c>
      <c r="L140" s="55">
        <v>52</v>
      </c>
      <c r="M140" s="47"/>
      <c r="N140" s="47">
        <v>251</v>
      </c>
      <c r="O140" s="47" t="s">
        <v>4845</v>
      </c>
      <c r="P140" s="47"/>
      <c r="Q140" s="47"/>
      <c r="R140" s="47"/>
      <c r="S140" s="62"/>
      <c r="T140" s="62"/>
      <c r="U140" s="62"/>
      <c r="V140" s="62"/>
      <c r="W140" s="62"/>
      <c r="X140" s="62"/>
      <c r="Y140" s="62"/>
      <c r="Z140" s="62"/>
      <c r="AA140" s="62"/>
      <c r="AB140" s="62"/>
      <c r="AC140" s="62"/>
      <c r="AD140" s="62"/>
      <c r="AE140" s="62"/>
      <c r="AF140" s="62"/>
      <c r="AG140" s="62"/>
      <c r="AH140" s="62"/>
      <c r="AI140" s="62"/>
      <c r="AJ140" s="62"/>
      <c r="AK140" s="62"/>
      <c r="AL140" s="62"/>
      <c r="AM140" s="62"/>
      <c r="AN140" s="62"/>
      <c r="AO140" s="62"/>
      <c r="AP140" s="62"/>
      <c r="AQ140" s="62"/>
      <c r="AR140" s="62"/>
      <c r="AS140" s="62"/>
      <c r="AT140" s="62"/>
      <c r="AU140" s="62"/>
      <c r="AV140" s="62"/>
      <c r="AW140" s="62"/>
      <c r="AX140" s="62"/>
      <c r="AY140" s="62"/>
      <c r="AZ140" s="62"/>
      <c r="BA140" s="62"/>
      <c r="BB140" s="62"/>
      <c r="BC140" s="62"/>
      <c r="BD140" s="62"/>
      <c r="BE140" s="62"/>
      <c r="BF140" s="62"/>
      <c r="BG140" s="62"/>
      <c r="BH140" s="62"/>
      <c r="BI140" s="62"/>
      <c r="BJ140" s="62"/>
      <c r="BK140" s="62"/>
      <c r="BL140" s="62"/>
      <c r="BM140" s="62"/>
      <c r="BN140" s="62"/>
      <c r="BO140" s="62"/>
      <c r="BP140" s="62"/>
      <c r="BQ140" s="62"/>
      <c r="BR140" s="62"/>
      <c r="BS140" s="62"/>
      <c r="BT140" s="62"/>
      <c r="BU140" s="62"/>
      <c r="BV140" s="62"/>
      <c r="BW140" s="62"/>
      <c r="BX140" s="62"/>
      <c r="BY140" s="62"/>
      <c r="BZ140" s="62"/>
      <c r="CA140" s="62"/>
      <c r="CB140" s="62"/>
      <c r="CC140" s="62"/>
      <c r="CD140" s="62"/>
      <c r="CE140" s="62"/>
      <c r="CF140" s="62"/>
      <c r="CG140" s="62"/>
      <c r="CH140" s="62"/>
      <c r="CI140" s="62"/>
      <c r="CJ140" s="62"/>
      <c r="CK140" s="62"/>
      <c r="CL140" s="62"/>
      <c r="CM140" s="62"/>
      <c r="CN140" s="62"/>
      <c r="CO140" s="62"/>
      <c r="CP140" s="62"/>
      <c r="CQ140" s="62"/>
      <c r="CR140" s="62"/>
      <c r="CS140" s="62"/>
      <c r="CT140" s="62"/>
      <c r="CU140" s="62"/>
      <c r="CV140" s="62"/>
      <c r="CW140" s="62"/>
      <c r="CX140" s="62"/>
      <c r="CY140" s="62"/>
      <c r="CZ140" s="62"/>
      <c r="DA140" s="62"/>
      <c r="DB140" s="62"/>
      <c r="DC140" s="62"/>
      <c r="DD140" s="62"/>
      <c r="DE140" s="62"/>
    </row>
    <row r="141" spans="1:109" s="3" customFormat="1">
      <c r="A141" s="62"/>
      <c r="B141" s="62" t="s">
        <v>6221</v>
      </c>
      <c r="C141" s="62" t="s">
        <v>494</v>
      </c>
      <c r="D141" s="62"/>
      <c r="E141" s="62" t="s">
        <v>476</v>
      </c>
      <c r="F141" s="47"/>
      <c r="G141" s="47"/>
      <c r="H141" s="47"/>
      <c r="I141" s="48"/>
      <c r="J141" s="47"/>
      <c r="K141" s="57">
        <v>2</v>
      </c>
      <c r="L141" s="55">
        <v>6</v>
      </c>
      <c r="M141" s="47"/>
      <c r="N141" s="47"/>
      <c r="O141" s="47"/>
      <c r="P141" s="47"/>
      <c r="Q141" s="47"/>
      <c r="R141" s="47"/>
      <c r="S141" s="62"/>
      <c r="T141" s="62"/>
      <c r="U141" s="62"/>
      <c r="V141" s="62"/>
      <c r="W141" s="62"/>
      <c r="X141" s="62"/>
      <c r="Y141" s="62"/>
      <c r="Z141" s="62"/>
      <c r="AA141" s="62"/>
      <c r="AB141" s="62"/>
      <c r="AC141" s="62"/>
      <c r="AD141" s="62"/>
      <c r="AE141" s="62"/>
      <c r="AF141" s="62"/>
      <c r="AG141" s="62"/>
      <c r="AH141" s="62"/>
      <c r="AI141" s="62"/>
      <c r="AJ141" s="62"/>
      <c r="AK141" s="62"/>
      <c r="AL141" s="62"/>
      <c r="AM141" s="62"/>
      <c r="AN141" s="62"/>
      <c r="AO141" s="62"/>
      <c r="AP141" s="62"/>
      <c r="AQ141" s="62"/>
      <c r="AR141" s="62"/>
      <c r="AS141" s="62"/>
      <c r="AT141" s="62"/>
      <c r="AU141" s="62"/>
      <c r="AV141" s="62"/>
      <c r="AW141" s="62"/>
      <c r="AX141" s="62"/>
      <c r="AY141" s="62"/>
      <c r="AZ141" s="62"/>
      <c r="BA141" s="62"/>
      <c r="BB141" s="62"/>
      <c r="BC141" s="62"/>
      <c r="BD141" s="62"/>
      <c r="BE141" s="62"/>
      <c r="BF141" s="62"/>
      <c r="BG141" s="62"/>
      <c r="BH141" s="62"/>
      <c r="BI141" s="62"/>
      <c r="BJ141" s="62"/>
      <c r="BK141" s="62"/>
      <c r="BL141" s="62"/>
      <c r="BM141" s="62"/>
      <c r="BN141" s="62"/>
      <c r="BO141" s="62"/>
      <c r="BP141" s="62"/>
      <c r="BQ141" s="62"/>
      <c r="BR141" s="62"/>
      <c r="BS141" s="62"/>
      <c r="BT141" s="62"/>
      <c r="BU141" s="62"/>
      <c r="BV141" s="62"/>
      <c r="BW141" s="62"/>
      <c r="BX141" s="62"/>
      <c r="BY141" s="62"/>
      <c r="BZ141" s="62"/>
      <c r="CA141" s="62"/>
      <c r="CB141" s="62"/>
      <c r="CC141" s="62"/>
      <c r="CD141" s="62"/>
      <c r="CE141" s="62"/>
      <c r="CF141" s="62"/>
      <c r="CG141" s="62"/>
      <c r="CH141" s="62"/>
      <c r="CI141" s="62"/>
      <c r="CJ141" s="62"/>
      <c r="CK141" s="62"/>
      <c r="CL141" s="62"/>
      <c r="CM141" s="62"/>
      <c r="CN141" s="62"/>
      <c r="CO141" s="62"/>
      <c r="CP141" s="62"/>
      <c r="CQ141" s="62"/>
      <c r="CR141" s="62"/>
      <c r="CS141" s="62"/>
      <c r="CT141" s="62"/>
      <c r="CU141" s="62"/>
      <c r="CV141" s="62"/>
      <c r="CW141" s="62"/>
      <c r="CX141" s="62"/>
      <c r="CY141" s="62"/>
      <c r="CZ141" s="62"/>
      <c r="DA141" s="62"/>
      <c r="DB141" s="62"/>
      <c r="DC141" s="62"/>
      <c r="DD141" s="62"/>
      <c r="DE141" s="62"/>
    </row>
    <row r="142" spans="1:109" s="3" customFormat="1">
      <c r="A142" s="62"/>
      <c r="B142" s="62" t="s">
        <v>6222</v>
      </c>
      <c r="C142" s="62" t="s">
        <v>494</v>
      </c>
      <c r="D142" s="62"/>
      <c r="E142" s="62"/>
      <c r="F142" s="47"/>
      <c r="G142" s="47"/>
      <c r="H142" s="47"/>
      <c r="I142" s="48"/>
      <c r="J142" s="47"/>
      <c r="K142" s="57">
        <v>3</v>
      </c>
      <c r="L142" s="55">
        <v>6</v>
      </c>
      <c r="M142" s="47"/>
      <c r="N142" s="47"/>
      <c r="O142" s="47"/>
      <c r="P142" s="47"/>
      <c r="Q142" s="47"/>
      <c r="R142" s="47"/>
      <c r="S142" s="62"/>
      <c r="T142" s="62"/>
      <c r="U142" s="62"/>
      <c r="V142" s="62"/>
      <c r="W142" s="62"/>
      <c r="X142" s="62"/>
      <c r="Y142" s="62"/>
      <c r="Z142" s="62"/>
      <c r="AA142" s="62"/>
      <c r="AB142" s="62"/>
      <c r="AC142" s="62"/>
      <c r="AD142" s="62"/>
      <c r="AE142" s="62"/>
      <c r="AF142" s="62"/>
      <c r="AG142" s="62"/>
      <c r="AH142" s="62"/>
      <c r="AI142" s="62"/>
      <c r="AJ142" s="62"/>
      <c r="AK142" s="62"/>
      <c r="AL142" s="62"/>
      <c r="AM142" s="62"/>
      <c r="AN142" s="62"/>
      <c r="AO142" s="62"/>
      <c r="AP142" s="62"/>
      <c r="AQ142" s="62"/>
      <c r="AR142" s="62"/>
      <c r="AS142" s="62"/>
      <c r="AT142" s="62"/>
      <c r="AU142" s="62"/>
      <c r="AV142" s="62"/>
      <c r="AW142" s="62"/>
      <c r="AX142" s="62"/>
      <c r="AY142" s="62"/>
      <c r="AZ142" s="62"/>
      <c r="BA142" s="62"/>
      <c r="BB142" s="62"/>
      <c r="BC142" s="62"/>
      <c r="BD142" s="62"/>
      <c r="BE142" s="62"/>
      <c r="BF142" s="62"/>
      <c r="BG142" s="62"/>
      <c r="BH142" s="62"/>
      <c r="BI142" s="62"/>
      <c r="BJ142" s="62"/>
      <c r="BK142" s="62"/>
      <c r="BL142" s="62"/>
      <c r="BM142" s="62"/>
      <c r="BN142" s="62"/>
      <c r="BO142" s="62"/>
      <c r="BP142" s="62"/>
      <c r="BQ142" s="62"/>
      <c r="BR142" s="62"/>
      <c r="BS142" s="62"/>
      <c r="BT142" s="62"/>
      <c r="BU142" s="62"/>
      <c r="BV142" s="62"/>
      <c r="BW142" s="62"/>
      <c r="BX142" s="62"/>
      <c r="BY142" s="62"/>
      <c r="BZ142" s="62"/>
      <c r="CA142" s="62"/>
      <c r="CB142" s="62"/>
      <c r="CC142" s="62"/>
      <c r="CD142" s="62"/>
      <c r="CE142" s="62"/>
      <c r="CF142" s="62"/>
      <c r="CG142" s="62"/>
      <c r="CH142" s="62"/>
      <c r="CI142" s="62"/>
      <c r="CJ142" s="62"/>
      <c r="CK142" s="62"/>
      <c r="CL142" s="62"/>
      <c r="CM142" s="62"/>
      <c r="CN142" s="62"/>
      <c r="CO142" s="62"/>
      <c r="CP142" s="62"/>
      <c r="CQ142" s="62"/>
      <c r="CR142" s="62"/>
      <c r="CS142" s="62"/>
      <c r="CT142" s="62"/>
      <c r="CU142" s="62"/>
      <c r="CV142" s="62"/>
      <c r="CW142" s="62"/>
      <c r="CX142" s="62"/>
      <c r="CY142" s="62"/>
      <c r="CZ142" s="62"/>
      <c r="DA142" s="62"/>
      <c r="DB142" s="62"/>
      <c r="DC142" s="62"/>
      <c r="DD142" s="62"/>
      <c r="DE142" s="62"/>
    </row>
    <row r="143" spans="1:109" s="3" customFormat="1">
      <c r="A143" s="62"/>
      <c r="B143" s="62" t="s">
        <v>6223</v>
      </c>
      <c r="C143" s="62" t="s">
        <v>493</v>
      </c>
      <c r="D143" s="62">
        <v>100</v>
      </c>
      <c r="E143" s="62"/>
      <c r="F143" s="47"/>
      <c r="G143" s="47"/>
      <c r="H143" s="47"/>
      <c r="I143" s="48"/>
      <c r="J143" s="47"/>
      <c r="K143" s="57">
        <v>4</v>
      </c>
      <c r="L143" s="55"/>
      <c r="M143" s="47"/>
      <c r="N143" s="47"/>
      <c r="O143" s="47"/>
      <c r="P143" s="47"/>
      <c r="Q143" s="47"/>
      <c r="R143" s="47"/>
      <c r="S143" s="62"/>
      <c r="T143" s="62"/>
      <c r="U143" s="62"/>
      <c r="V143" s="62"/>
      <c r="W143" s="62"/>
      <c r="X143" s="62"/>
      <c r="Y143" s="62"/>
      <c r="Z143" s="62"/>
      <c r="AA143" s="62"/>
      <c r="AB143" s="62"/>
      <c r="AC143" s="62"/>
      <c r="AD143" s="62"/>
      <c r="AE143" s="62"/>
      <c r="AF143" s="62"/>
      <c r="AG143" s="62"/>
      <c r="AH143" s="62"/>
      <c r="AI143" s="62"/>
      <c r="AJ143" s="62"/>
      <c r="AK143" s="62"/>
      <c r="AL143" s="62"/>
      <c r="AM143" s="62"/>
      <c r="AN143" s="62"/>
      <c r="AO143" s="62"/>
      <c r="AP143" s="62"/>
      <c r="AQ143" s="62"/>
      <c r="AR143" s="62"/>
      <c r="AS143" s="62"/>
      <c r="AT143" s="62"/>
      <c r="AU143" s="62"/>
      <c r="AV143" s="62"/>
      <c r="AW143" s="62"/>
      <c r="AX143" s="62"/>
      <c r="AY143" s="62"/>
      <c r="AZ143" s="62"/>
      <c r="BA143" s="62"/>
      <c r="BB143" s="62"/>
      <c r="BC143" s="62"/>
      <c r="BD143" s="62"/>
      <c r="BE143" s="62"/>
      <c r="BF143" s="62"/>
      <c r="BG143" s="62"/>
      <c r="BH143" s="62"/>
      <c r="BI143" s="62"/>
      <c r="BJ143" s="62"/>
      <c r="BK143" s="62"/>
      <c r="BL143" s="62"/>
      <c r="BM143" s="62"/>
      <c r="BN143" s="62"/>
      <c r="BO143" s="62"/>
      <c r="BP143" s="62"/>
      <c r="BQ143" s="62"/>
      <c r="BR143" s="62"/>
      <c r="BS143" s="62"/>
      <c r="BT143" s="62"/>
      <c r="BU143" s="62"/>
      <c r="BV143" s="62"/>
      <c r="BW143" s="62"/>
      <c r="BX143" s="62"/>
      <c r="BY143" s="62"/>
      <c r="BZ143" s="62"/>
      <c r="CA143" s="62"/>
      <c r="CB143" s="62"/>
      <c r="CC143" s="62"/>
      <c r="CD143" s="62"/>
      <c r="CE143" s="62"/>
      <c r="CF143" s="62"/>
      <c r="CG143" s="62"/>
      <c r="CH143" s="62"/>
      <c r="CI143" s="62"/>
      <c r="CJ143" s="62"/>
      <c r="CK143" s="62"/>
      <c r="CL143" s="62"/>
      <c r="CM143" s="62"/>
      <c r="CN143" s="62"/>
      <c r="CO143" s="62"/>
      <c r="CP143" s="62"/>
      <c r="CQ143" s="62"/>
      <c r="CR143" s="62"/>
      <c r="CS143" s="62"/>
      <c r="CT143" s="62"/>
      <c r="CU143" s="62"/>
      <c r="CV143" s="62"/>
      <c r="CW143" s="62"/>
      <c r="CX143" s="62"/>
      <c r="CY143" s="62"/>
      <c r="CZ143" s="62"/>
      <c r="DA143" s="62"/>
      <c r="DB143" s="62"/>
      <c r="DC143" s="62"/>
      <c r="DD143" s="62"/>
      <c r="DE143" s="62"/>
    </row>
    <row r="144" spans="1:109" s="3" customFormat="1">
      <c r="A144" s="62"/>
      <c r="B144" s="62" t="s">
        <v>6224</v>
      </c>
      <c r="C144" s="62" t="s">
        <v>494</v>
      </c>
      <c r="D144" s="62"/>
      <c r="E144" s="62"/>
      <c r="F144" s="47"/>
      <c r="G144" s="47"/>
      <c r="H144" s="47"/>
      <c r="I144" s="48"/>
      <c r="J144" s="47"/>
      <c r="K144" s="57">
        <v>5</v>
      </c>
      <c r="L144" s="55">
        <v>91</v>
      </c>
      <c r="M144" s="47"/>
      <c r="N144" s="47"/>
      <c r="O144" s="47"/>
      <c r="P144" s="47"/>
      <c r="Q144" s="47"/>
      <c r="R144" s="47"/>
      <c r="S144" s="62"/>
      <c r="T144" s="62"/>
      <c r="U144" s="62"/>
      <c r="V144" s="62"/>
      <c r="W144" s="62"/>
      <c r="X144" s="62"/>
      <c r="Y144" s="62"/>
      <c r="Z144" s="62"/>
      <c r="AA144" s="62"/>
      <c r="AB144" s="62"/>
      <c r="AC144" s="62"/>
      <c r="AD144" s="62"/>
      <c r="AE144" s="62"/>
      <c r="AF144" s="62"/>
      <c r="AG144" s="62"/>
      <c r="AH144" s="62"/>
      <c r="AI144" s="62"/>
      <c r="AJ144" s="62"/>
      <c r="AK144" s="62"/>
      <c r="AL144" s="62"/>
      <c r="AM144" s="62"/>
      <c r="AN144" s="62"/>
      <c r="AO144" s="62"/>
      <c r="AP144" s="62"/>
      <c r="AQ144" s="62"/>
      <c r="AR144" s="62"/>
      <c r="AS144" s="62"/>
      <c r="AT144" s="62"/>
      <c r="AU144" s="62"/>
      <c r="AV144" s="62"/>
      <c r="AW144" s="62"/>
      <c r="AX144" s="62"/>
      <c r="AY144" s="62"/>
      <c r="AZ144" s="62"/>
      <c r="BA144" s="62"/>
      <c r="BB144" s="62"/>
      <c r="BC144" s="62"/>
      <c r="BD144" s="62"/>
      <c r="BE144" s="62"/>
      <c r="BF144" s="62"/>
      <c r="BG144" s="62"/>
      <c r="BH144" s="62"/>
      <c r="BI144" s="62"/>
      <c r="BJ144" s="62"/>
      <c r="BK144" s="62"/>
      <c r="BL144" s="62"/>
      <c r="BM144" s="62"/>
      <c r="BN144" s="62"/>
      <c r="BO144" s="62"/>
      <c r="BP144" s="62"/>
      <c r="BQ144" s="62"/>
      <c r="BR144" s="62"/>
      <c r="BS144" s="62"/>
      <c r="BT144" s="62"/>
      <c r="BU144" s="62"/>
      <c r="BV144" s="62"/>
      <c r="BW144" s="62"/>
      <c r="BX144" s="62"/>
      <c r="BY144" s="62"/>
      <c r="BZ144" s="62"/>
      <c r="CA144" s="62"/>
      <c r="CB144" s="62"/>
      <c r="CC144" s="62"/>
      <c r="CD144" s="62"/>
      <c r="CE144" s="62"/>
      <c r="CF144" s="62"/>
      <c r="CG144" s="62"/>
      <c r="CH144" s="62"/>
      <c r="CI144" s="62"/>
      <c r="CJ144" s="62"/>
      <c r="CK144" s="62"/>
      <c r="CL144" s="62"/>
      <c r="CM144" s="62"/>
      <c r="CN144" s="62"/>
      <c r="CO144" s="62"/>
      <c r="CP144" s="62"/>
      <c r="CQ144" s="62"/>
      <c r="CR144" s="62"/>
      <c r="CS144" s="62"/>
      <c r="CT144" s="62"/>
      <c r="CU144" s="62"/>
      <c r="CV144" s="62"/>
      <c r="CW144" s="62"/>
      <c r="CX144" s="62"/>
      <c r="CY144" s="62"/>
      <c r="CZ144" s="62"/>
      <c r="DA144" s="62"/>
      <c r="DB144" s="62"/>
      <c r="DC144" s="62"/>
      <c r="DD144" s="62"/>
      <c r="DE144" s="62"/>
    </row>
    <row r="145" spans="1:109" s="3" customFormat="1">
      <c r="A145" s="62"/>
      <c r="B145" s="62" t="s">
        <v>6225</v>
      </c>
      <c r="C145" s="62" t="s">
        <v>494</v>
      </c>
      <c r="D145" s="62"/>
      <c r="E145" s="62"/>
      <c r="F145" s="47"/>
      <c r="G145" s="47"/>
      <c r="H145" s="47"/>
      <c r="I145" s="48"/>
      <c r="J145" s="47"/>
      <c r="K145" s="57">
        <v>6</v>
      </c>
      <c r="L145" s="55">
        <v>92</v>
      </c>
      <c r="M145" s="47"/>
      <c r="N145" s="47"/>
      <c r="O145" s="47"/>
      <c r="P145" s="47"/>
      <c r="Q145" s="47"/>
      <c r="R145" s="47"/>
      <c r="S145" s="62"/>
      <c r="T145" s="62"/>
      <c r="U145" s="62"/>
      <c r="V145" s="62"/>
      <c r="W145" s="62"/>
      <c r="X145" s="62"/>
      <c r="Y145" s="62"/>
      <c r="Z145" s="62"/>
      <c r="AA145" s="62"/>
      <c r="AB145" s="62"/>
      <c r="AC145" s="62"/>
      <c r="AD145" s="62"/>
      <c r="AE145" s="62"/>
      <c r="AF145" s="62"/>
      <c r="AG145" s="62"/>
      <c r="AH145" s="62"/>
      <c r="AI145" s="62"/>
      <c r="AJ145" s="62"/>
      <c r="AK145" s="62"/>
      <c r="AL145" s="62"/>
      <c r="AM145" s="62"/>
      <c r="AN145" s="62"/>
      <c r="AO145" s="62"/>
      <c r="AP145" s="62"/>
      <c r="AQ145" s="62"/>
      <c r="AR145" s="62"/>
      <c r="AS145" s="62"/>
      <c r="AT145" s="62"/>
      <c r="AU145" s="62"/>
      <c r="AV145" s="62"/>
      <c r="AW145" s="62"/>
      <c r="AX145" s="62"/>
      <c r="AY145" s="62"/>
      <c r="AZ145" s="62"/>
      <c r="BA145" s="62"/>
      <c r="BB145" s="62"/>
      <c r="BC145" s="62"/>
      <c r="BD145" s="62"/>
      <c r="BE145" s="62"/>
      <c r="BF145" s="62"/>
      <c r="BG145" s="62"/>
      <c r="BH145" s="62"/>
      <c r="BI145" s="62"/>
      <c r="BJ145" s="62"/>
      <c r="BK145" s="62"/>
      <c r="BL145" s="62"/>
      <c r="BM145" s="62"/>
      <c r="BN145" s="62"/>
      <c r="BO145" s="62"/>
      <c r="BP145" s="62"/>
      <c r="BQ145" s="62"/>
      <c r="BR145" s="62"/>
      <c r="BS145" s="62"/>
      <c r="BT145" s="62"/>
      <c r="BU145" s="62"/>
      <c r="BV145" s="62"/>
      <c r="BW145" s="62"/>
      <c r="BX145" s="62"/>
      <c r="BY145" s="62"/>
      <c r="BZ145" s="62"/>
      <c r="CA145" s="62"/>
      <c r="CB145" s="62"/>
      <c r="CC145" s="62"/>
      <c r="CD145" s="62"/>
      <c r="CE145" s="62"/>
      <c r="CF145" s="62"/>
      <c r="CG145" s="62"/>
      <c r="CH145" s="62"/>
      <c r="CI145" s="62"/>
      <c r="CJ145" s="62"/>
      <c r="CK145" s="62"/>
      <c r="CL145" s="62"/>
      <c r="CM145" s="62"/>
      <c r="CN145" s="62"/>
      <c r="CO145" s="62"/>
      <c r="CP145" s="62"/>
      <c r="CQ145" s="62"/>
      <c r="CR145" s="62"/>
      <c r="CS145" s="62"/>
      <c r="CT145" s="62"/>
      <c r="CU145" s="62"/>
      <c r="CV145" s="62"/>
      <c r="CW145" s="62"/>
      <c r="CX145" s="62"/>
      <c r="CY145" s="62"/>
      <c r="CZ145" s="62"/>
      <c r="DA145" s="62"/>
      <c r="DB145" s="62"/>
      <c r="DC145" s="62"/>
      <c r="DD145" s="62"/>
      <c r="DE145" s="62"/>
    </row>
    <row r="146" spans="1:109" s="3" customFormat="1">
      <c r="A146" s="62"/>
      <c r="B146" s="62" t="s">
        <v>6226</v>
      </c>
      <c r="C146" s="62" t="s">
        <v>494</v>
      </c>
      <c r="D146" s="62"/>
      <c r="E146" s="62"/>
      <c r="F146" s="47"/>
      <c r="G146" s="47"/>
      <c r="H146" s="47"/>
      <c r="I146" s="48"/>
      <c r="J146" s="47"/>
      <c r="K146" s="57">
        <v>7</v>
      </c>
      <c r="L146" s="55">
        <v>8</v>
      </c>
      <c r="M146" s="47">
        <v>1</v>
      </c>
      <c r="N146" s="47"/>
      <c r="O146" s="47"/>
      <c r="P146" s="47"/>
      <c r="Q146" s="47"/>
      <c r="R146" s="47"/>
      <c r="S146" s="62"/>
      <c r="T146" s="62"/>
      <c r="U146" s="62"/>
      <c r="V146" s="62"/>
      <c r="W146" s="62"/>
      <c r="X146" s="62"/>
      <c r="Y146" s="62"/>
      <c r="Z146" s="62"/>
      <c r="AA146" s="62"/>
      <c r="AB146" s="62"/>
      <c r="AC146" s="62"/>
      <c r="AD146" s="62"/>
      <c r="AE146" s="62"/>
      <c r="AF146" s="62"/>
      <c r="AG146" s="62"/>
      <c r="AH146" s="62"/>
      <c r="AI146" s="62"/>
      <c r="AJ146" s="62"/>
      <c r="AK146" s="62"/>
      <c r="AL146" s="62"/>
      <c r="AM146" s="62"/>
      <c r="AN146" s="62"/>
      <c r="AO146" s="62"/>
      <c r="AP146" s="62"/>
      <c r="AQ146" s="62"/>
      <c r="AR146" s="62"/>
      <c r="AS146" s="62"/>
      <c r="AT146" s="62"/>
      <c r="AU146" s="62"/>
      <c r="AV146" s="62"/>
      <c r="AW146" s="62"/>
      <c r="AX146" s="62"/>
      <c r="AY146" s="62"/>
      <c r="AZ146" s="62"/>
      <c r="BA146" s="62"/>
      <c r="BB146" s="62"/>
      <c r="BC146" s="62"/>
      <c r="BD146" s="62"/>
      <c r="BE146" s="62"/>
      <c r="BF146" s="62"/>
      <c r="BG146" s="62"/>
      <c r="BH146" s="62"/>
      <c r="BI146" s="62"/>
      <c r="BJ146" s="62"/>
      <c r="BK146" s="62"/>
      <c r="BL146" s="62"/>
      <c r="BM146" s="62"/>
      <c r="BN146" s="62"/>
      <c r="BO146" s="62"/>
      <c r="BP146" s="62"/>
      <c r="BQ146" s="62"/>
      <c r="BR146" s="62"/>
      <c r="BS146" s="62"/>
      <c r="BT146" s="62"/>
      <c r="BU146" s="62"/>
      <c r="BV146" s="62"/>
      <c r="BW146" s="62"/>
      <c r="BX146" s="62"/>
      <c r="BY146" s="62"/>
      <c r="BZ146" s="62"/>
      <c r="CA146" s="62"/>
      <c r="CB146" s="62"/>
      <c r="CC146" s="62"/>
      <c r="CD146" s="62"/>
      <c r="CE146" s="62"/>
      <c r="CF146" s="62"/>
      <c r="CG146" s="62"/>
      <c r="CH146" s="62"/>
      <c r="CI146" s="62"/>
      <c r="CJ146" s="62"/>
      <c r="CK146" s="62"/>
      <c r="CL146" s="62"/>
      <c r="CM146" s="62"/>
      <c r="CN146" s="62"/>
      <c r="CO146" s="62"/>
      <c r="CP146" s="62"/>
      <c r="CQ146" s="62"/>
      <c r="CR146" s="62"/>
      <c r="CS146" s="62"/>
      <c r="CT146" s="62"/>
      <c r="CU146" s="62"/>
      <c r="CV146" s="62"/>
      <c r="CW146" s="62"/>
      <c r="CX146" s="62"/>
      <c r="CY146" s="62"/>
      <c r="CZ146" s="62"/>
      <c r="DA146" s="62"/>
      <c r="DB146" s="62"/>
      <c r="DC146" s="62"/>
      <c r="DD146" s="62"/>
      <c r="DE146" s="62"/>
    </row>
    <row r="147" spans="1:109" s="3" customFormat="1">
      <c r="A147" s="62"/>
      <c r="B147" s="62" t="s">
        <v>6227</v>
      </c>
      <c r="C147" s="62" t="s">
        <v>494</v>
      </c>
      <c r="D147" s="62"/>
      <c r="E147" s="62"/>
      <c r="F147" s="47"/>
      <c r="G147" s="47"/>
      <c r="H147" s="47"/>
      <c r="I147" s="48"/>
      <c r="J147" s="47"/>
      <c r="K147" s="57">
        <v>8</v>
      </c>
      <c r="L147" s="55">
        <v>7</v>
      </c>
      <c r="M147" s="47">
        <v>1</v>
      </c>
      <c r="N147" s="47"/>
      <c r="O147" s="47"/>
      <c r="P147" s="47"/>
      <c r="Q147" s="47"/>
      <c r="R147" s="47"/>
      <c r="S147" s="62"/>
      <c r="T147" s="62"/>
      <c r="U147" s="62"/>
      <c r="V147" s="62"/>
      <c r="W147" s="62"/>
      <c r="X147" s="62"/>
      <c r="Y147" s="62"/>
      <c r="Z147" s="62"/>
      <c r="AA147" s="62"/>
      <c r="AB147" s="62"/>
      <c r="AC147" s="62"/>
      <c r="AD147" s="62"/>
      <c r="AE147" s="62"/>
      <c r="AF147" s="62"/>
      <c r="AG147" s="62"/>
      <c r="AH147" s="62"/>
      <c r="AI147" s="62"/>
      <c r="AJ147" s="62"/>
      <c r="AK147" s="62"/>
      <c r="AL147" s="62"/>
      <c r="AM147" s="62"/>
      <c r="AN147" s="62"/>
      <c r="AO147" s="62"/>
      <c r="AP147" s="62"/>
      <c r="AQ147" s="62"/>
      <c r="AR147" s="62"/>
      <c r="AS147" s="62"/>
      <c r="AT147" s="62"/>
      <c r="AU147" s="62"/>
      <c r="AV147" s="62"/>
      <c r="AW147" s="62"/>
      <c r="AX147" s="62"/>
      <c r="AY147" s="62"/>
      <c r="AZ147" s="62"/>
      <c r="BA147" s="62"/>
      <c r="BB147" s="62"/>
      <c r="BC147" s="62"/>
      <c r="BD147" s="62"/>
      <c r="BE147" s="62"/>
      <c r="BF147" s="62"/>
      <c r="BG147" s="62"/>
      <c r="BH147" s="62"/>
      <c r="BI147" s="62"/>
      <c r="BJ147" s="62"/>
      <c r="BK147" s="62"/>
      <c r="BL147" s="62"/>
      <c r="BM147" s="62"/>
      <c r="BN147" s="62"/>
      <c r="BO147" s="62"/>
      <c r="BP147" s="62"/>
      <c r="BQ147" s="62"/>
      <c r="BR147" s="62"/>
      <c r="BS147" s="62"/>
      <c r="BT147" s="62"/>
      <c r="BU147" s="62"/>
      <c r="BV147" s="62"/>
      <c r="BW147" s="62"/>
      <c r="BX147" s="62"/>
      <c r="BY147" s="62"/>
      <c r="BZ147" s="62"/>
      <c r="CA147" s="62"/>
      <c r="CB147" s="62"/>
      <c r="CC147" s="62"/>
      <c r="CD147" s="62"/>
      <c r="CE147" s="62"/>
      <c r="CF147" s="62"/>
      <c r="CG147" s="62"/>
      <c r="CH147" s="62"/>
      <c r="CI147" s="62"/>
      <c r="CJ147" s="62"/>
      <c r="CK147" s="62"/>
      <c r="CL147" s="62"/>
      <c r="CM147" s="62"/>
      <c r="CN147" s="62"/>
      <c r="CO147" s="62"/>
      <c r="CP147" s="62"/>
      <c r="CQ147" s="62"/>
      <c r="CR147" s="62"/>
      <c r="CS147" s="62"/>
      <c r="CT147" s="62"/>
      <c r="CU147" s="62"/>
      <c r="CV147" s="62"/>
      <c r="CW147" s="62"/>
      <c r="CX147" s="62"/>
      <c r="CY147" s="62"/>
      <c r="CZ147" s="62"/>
      <c r="DA147" s="62"/>
      <c r="DB147" s="62"/>
      <c r="DC147" s="62"/>
      <c r="DD147" s="62"/>
      <c r="DE147" s="62"/>
    </row>
    <row r="148" spans="1:109" s="3" customFormat="1">
      <c r="A148" s="62"/>
      <c r="B148" s="62"/>
      <c r="C148" s="62"/>
      <c r="D148" s="62"/>
      <c r="E148" s="62"/>
      <c r="F148" s="47"/>
      <c r="G148" s="47"/>
      <c r="H148" s="47"/>
      <c r="I148" s="48"/>
      <c r="J148" s="47"/>
      <c r="K148" s="57"/>
      <c r="L148" s="55"/>
      <c r="M148" s="47"/>
      <c r="N148" s="47"/>
      <c r="O148" s="47"/>
      <c r="P148" s="47"/>
      <c r="Q148" s="47"/>
      <c r="R148" s="47"/>
      <c r="S148" s="62"/>
      <c r="T148" s="62"/>
      <c r="U148" s="62"/>
      <c r="V148" s="62"/>
      <c r="W148" s="62"/>
      <c r="X148" s="62"/>
      <c r="Y148" s="62"/>
      <c r="Z148" s="62"/>
      <c r="AA148" s="62"/>
      <c r="AB148" s="62"/>
      <c r="AC148" s="62"/>
      <c r="AD148" s="62"/>
      <c r="AE148" s="62"/>
      <c r="AF148" s="62"/>
      <c r="AG148" s="62"/>
      <c r="AH148" s="62"/>
      <c r="AI148" s="62"/>
      <c r="AJ148" s="62"/>
      <c r="AK148" s="62"/>
      <c r="AL148" s="62"/>
      <c r="AM148" s="62"/>
      <c r="AN148" s="62"/>
      <c r="AO148" s="62"/>
      <c r="AP148" s="62"/>
      <c r="AQ148" s="62"/>
      <c r="AR148" s="62"/>
      <c r="AS148" s="62"/>
      <c r="AT148" s="62"/>
      <c r="AU148" s="62"/>
      <c r="AV148" s="62"/>
      <c r="AW148" s="62"/>
      <c r="AX148" s="62"/>
      <c r="AY148" s="62"/>
      <c r="AZ148" s="62"/>
      <c r="BA148" s="62"/>
      <c r="BB148" s="62"/>
      <c r="BC148" s="62"/>
      <c r="BD148" s="62"/>
      <c r="BE148" s="62"/>
      <c r="BF148" s="62"/>
      <c r="BG148" s="62"/>
      <c r="BH148" s="62"/>
      <c r="BI148" s="62"/>
      <c r="BJ148" s="62"/>
      <c r="BK148" s="62"/>
      <c r="BL148" s="62"/>
      <c r="BM148" s="62"/>
      <c r="BN148" s="62"/>
      <c r="BO148" s="62"/>
      <c r="BP148" s="62"/>
      <c r="BQ148" s="62"/>
      <c r="BR148" s="62"/>
      <c r="BS148" s="62"/>
      <c r="BT148" s="62"/>
      <c r="BU148" s="62"/>
      <c r="BV148" s="62"/>
      <c r="BW148" s="62"/>
      <c r="BX148" s="62"/>
      <c r="BY148" s="62"/>
      <c r="BZ148" s="62"/>
      <c r="CA148" s="62"/>
      <c r="CB148" s="62"/>
      <c r="CC148" s="62"/>
      <c r="CD148" s="62"/>
      <c r="CE148" s="62"/>
      <c r="CF148" s="62"/>
      <c r="CG148" s="62"/>
      <c r="CH148" s="62"/>
      <c r="CI148" s="62"/>
      <c r="CJ148" s="62"/>
      <c r="CK148" s="62"/>
      <c r="CL148" s="62"/>
      <c r="CM148" s="62"/>
      <c r="CN148" s="62"/>
      <c r="CO148" s="62"/>
      <c r="CP148" s="62"/>
      <c r="CQ148" s="62"/>
      <c r="CR148" s="62"/>
      <c r="CS148" s="62"/>
      <c r="CT148" s="62"/>
      <c r="CU148" s="62"/>
      <c r="CV148" s="62"/>
      <c r="CW148" s="62"/>
      <c r="CX148" s="62"/>
      <c r="CY148" s="62"/>
      <c r="CZ148" s="62"/>
      <c r="DA148" s="62"/>
      <c r="DB148" s="62"/>
      <c r="DC148" s="62"/>
      <c r="DD148" s="62"/>
      <c r="DE148" s="62"/>
    </row>
    <row r="149" spans="1:109" s="3" customFormat="1">
      <c r="A149" s="62" t="s">
        <v>6399</v>
      </c>
      <c r="B149" s="62" t="s">
        <v>6400</v>
      </c>
      <c r="C149" s="62" t="s">
        <v>494</v>
      </c>
      <c r="D149" s="62"/>
      <c r="E149" s="62" t="s">
        <v>476</v>
      </c>
      <c r="F149" s="47">
        <v>2</v>
      </c>
      <c r="G149" s="47">
        <v>257</v>
      </c>
      <c r="H149" s="47" t="s">
        <v>6392</v>
      </c>
      <c r="I149" s="48"/>
      <c r="J149" s="47">
        <v>1512</v>
      </c>
      <c r="K149" s="57">
        <v>1</v>
      </c>
      <c r="L149" s="55">
        <v>52</v>
      </c>
      <c r="M149" s="47"/>
      <c r="N149" s="47">
        <v>251</v>
      </c>
      <c r="O149" s="47" t="s">
        <v>4845</v>
      </c>
      <c r="P149" s="47"/>
      <c r="Q149" s="47"/>
      <c r="R149" s="47"/>
      <c r="S149" s="62"/>
      <c r="T149" s="62"/>
      <c r="U149" s="62"/>
      <c r="V149" s="62"/>
      <c r="W149" s="62"/>
      <c r="X149" s="62"/>
      <c r="Y149" s="62"/>
      <c r="Z149" s="62"/>
      <c r="AA149" s="62"/>
      <c r="AB149" s="62"/>
      <c r="AC149" s="62"/>
      <c r="AD149" s="62"/>
      <c r="AE149" s="62"/>
      <c r="AF149" s="62"/>
      <c r="AG149" s="62"/>
      <c r="AH149" s="62"/>
      <c r="AI149" s="62"/>
      <c r="AJ149" s="62"/>
      <c r="AK149" s="62"/>
      <c r="AL149" s="62"/>
      <c r="AM149" s="62"/>
      <c r="AN149" s="62"/>
      <c r="AO149" s="62"/>
      <c r="AP149" s="62"/>
      <c r="AQ149" s="62"/>
      <c r="AR149" s="62"/>
      <c r="AS149" s="62"/>
      <c r="AT149" s="62"/>
      <c r="AU149" s="62"/>
      <c r="AV149" s="62"/>
      <c r="AW149" s="62"/>
      <c r="AX149" s="62"/>
      <c r="AY149" s="62"/>
      <c r="AZ149" s="62"/>
      <c r="BA149" s="62"/>
      <c r="BB149" s="62"/>
      <c r="BC149" s="62"/>
      <c r="BD149" s="62"/>
      <c r="BE149" s="62"/>
      <c r="BF149" s="62"/>
      <c r="BG149" s="62"/>
      <c r="BH149" s="62"/>
      <c r="BI149" s="62"/>
      <c r="BJ149" s="62"/>
      <c r="BK149" s="62"/>
      <c r="BL149" s="62"/>
      <c r="BM149" s="62"/>
      <c r="BN149" s="62"/>
      <c r="BO149" s="62"/>
      <c r="BP149" s="62"/>
      <c r="BQ149" s="62"/>
      <c r="BR149" s="62"/>
      <c r="BS149" s="62"/>
      <c r="BT149" s="62"/>
      <c r="BU149" s="62"/>
      <c r="BV149" s="62"/>
      <c r="BW149" s="62"/>
      <c r="BX149" s="62"/>
      <c r="BY149" s="62"/>
      <c r="BZ149" s="62"/>
      <c r="CA149" s="62"/>
      <c r="CB149" s="62"/>
      <c r="CC149" s="62"/>
      <c r="CD149" s="62"/>
      <c r="CE149" s="62"/>
      <c r="CF149" s="62"/>
      <c r="CG149" s="62"/>
      <c r="CH149" s="62"/>
      <c r="CI149" s="62"/>
      <c r="CJ149" s="62"/>
      <c r="CK149" s="62"/>
      <c r="CL149" s="62"/>
      <c r="CM149" s="62"/>
      <c r="CN149" s="62"/>
      <c r="CO149" s="62"/>
      <c r="CP149" s="62"/>
      <c r="CQ149" s="62"/>
      <c r="CR149" s="62"/>
      <c r="CS149" s="62"/>
      <c r="CT149" s="62"/>
      <c r="CU149" s="62"/>
      <c r="CV149" s="62"/>
      <c r="CW149" s="62"/>
      <c r="CX149" s="62"/>
      <c r="CY149" s="62"/>
      <c r="CZ149" s="62"/>
      <c r="DA149" s="62"/>
      <c r="DB149" s="62"/>
      <c r="DC149" s="62"/>
      <c r="DD149" s="62"/>
      <c r="DE149" s="62"/>
    </row>
    <row r="150" spans="1:109" s="3" customFormat="1">
      <c r="A150" s="62"/>
      <c r="B150" s="62" t="s">
        <v>6401</v>
      </c>
      <c r="C150" s="62" t="s">
        <v>494</v>
      </c>
      <c r="D150" s="62"/>
      <c r="E150" s="62" t="s">
        <v>476</v>
      </c>
      <c r="F150" s="47"/>
      <c r="G150" s="47"/>
      <c r="H150" s="47"/>
      <c r="I150" s="48"/>
      <c r="J150" s="47"/>
      <c r="K150" s="57">
        <v>2</v>
      </c>
      <c r="L150" s="55">
        <v>6</v>
      </c>
      <c r="M150" s="47"/>
      <c r="N150" s="47" t="s">
        <v>6391</v>
      </c>
      <c r="O150" s="47" t="s">
        <v>3762</v>
      </c>
      <c r="P150" s="47" t="s">
        <v>6395</v>
      </c>
      <c r="Q150" s="47"/>
      <c r="R150" s="47"/>
      <c r="S150" s="62"/>
      <c r="T150" s="62"/>
      <c r="U150" s="62"/>
      <c r="V150" s="62"/>
      <c r="W150" s="62"/>
      <c r="X150" s="62"/>
      <c r="Y150" s="62"/>
      <c r="Z150" s="62"/>
      <c r="AA150" s="62"/>
      <c r="AB150" s="62"/>
      <c r="AC150" s="62"/>
      <c r="AD150" s="62"/>
      <c r="AE150" s="62"/>
      <c r="AF150" s="62"/>
      <c r="AG150" s="62"/>
      <c r="AH150" s="62"/>
      <c r="AI150" s="62"/>
      <c r="AJ150" s="62"/>
      <c r="AK150" s="62"/>
      <c r="AL150" s="62"/>
      <c r="AM150" s="62"/>
      <c r="AN150" s="62"/>
      <c r="AO150" s="62"/>
      <c r="AP150" s="62"/>
      <c r="AQ150" s="62"/>
      <c r="AR150" s="62"/>
      <c r="AS150" s="62"/>
      <c r="AT150" s="62"/>
      <c r="AU150" s="62"/>
      <c r="AV150" s="62"/>
      <c r="AW150" s="62"/>
      <c r="AX150" s="62"/>
      <c r="AY150" s="62"/>
      <c r="AZ150" s="62"/>
      <c r="BA150" s="62"/>
      <c r="BB150" s="62"/>
      <c r="BC150" s="62"/>
      <c r="BD150" s="62"/>
      <c r="BE150" s="62"/>
      <c r="BF150" s="62"/>
      <c r="BG150" s="62"/>
      <c r="BH150" s="62"/>
      <c r="BI150" s="62"/>
      <c r="BJ150" s="62"/>
      <c r="BK150" s="62"/>
      <c r="BL150" s="62"/>
      <c r="BM150" s="62"/>
      <c r="BN150" s="62"/>
      <c r="BO150" s="62"/>
      <c r="BP150" s="62"/>
      <c r="BQ150" s="62"/>
      <c r="BR150" s="62"/>
      <c r="BS150" s="62"/>
      <c r="BT150" s="62"/>
      <c r="BU150" s="62"/>
      <c r="BV150" s="62"/>
      <c r="BW150" s="62"/>
      <c r="BX150" s="62"/>
      <c r="BY150" s="62"/>
      <c r="BZ150" s="62"/>
      <c r="CA150" s="62"/>
      <c r="CB150" s="62"/>
      <c r="CC150" s="62"/>
      <c r="CD150" s="62"/>
      <c r="CE150" s="62"/>
      <c r="CF150" s="62"/>
      <c r="CG150" s="62"/>
      <c r="CH150" s="62"/>
      <c r="CI150" s="62"/>
      <c r="CJ150" s="62"/>
      <c r="CK150" s="62"/>
      <c r="CL150" s="62"/>
      <c r="CM150" s="62"/>
      <c r="CN150" s="62"/>
      <c r="CO150" s="62"/>
      <c r="CP150" s="62"/>
      <c r="CQ150" s="62"/>
      <c r="CR150" s="62"/>
      <c r="CS150" s="62"/>
      <c r="CT150" s="62"/>
      <c r="CU150" s="62"/>
      <c r="CV150" s="62"/>
      <c r="CW150" s="62"/>
      <c r="CX150" s="62"/>
      <c r="CY150" s="62"/>
      <c r="CZ150" s="62"/>
      <c r="DA150" s="62"/>
      <c r="DB150" s="62"/>
      <c r="DC150" s="62"/>
      <c r="DD150" s="62"/>
      <c r="DE150" s="62"/>
    </row>
    <row r="151" spans="1:109" s="3" customFormat="1">
      <c r="A151" s="62"/>
      <c r="B151" s="62" t="s">
        <v>6234</v>
      </c>
      <c r="C151" s="62" t="s">
        <v>494</v>
      </c>
      <c r="D151" s="62"/>
      <c r="E151" s="62"/>
      <c r="F151" s="47"/>
      <c r="G151" s="47"/>
      <c r="H151" s="47"/>
      <c r="I151" s="48"/>
      <c r="J151" s="47"/>
      <c r="K151" s="57">
        <v>3</v>
      </c>
      <c r="L151" s="55">
        <v>6</v>
      </c>
      <c r="M151" s="47"/>
      <c r="N151" s="47"/>
      <c r="O151" s="47"/>
      <c r="P151" s="47"/>
      <c r="Q151" s="47"/>
      <c r="R151" s="47"/>
      <c r="S151" s="62"/>
      <c r="T151" s="62"/>
      <c r="U151" s="62"/>
      <c r="V151" s="62"/>
      <c r="W151" s="62"/>
      <c r="X151" s="62"/>
      <c r="Y151" s="62"/>
      <c r="Z151" s="62"/>
      <c r="AA151" s="62"/>
      <c r="AB151" s="62"/>
      <c r="AC151" s="62"/>
      <c r="AD151" s="62"/>
      <c r="AE151" s="62"/>
      <c r="AF151" s="62"/>
      <c r="AG151" s="62"/>
      <c r="AH151" s="62"/>
      <c r="AI151" s="62"/>
      <c r="AJ151" s="62"/>
      <c r="AK151" s="62"/>
      <c r="AL151" s="62"/>
      <c r="AM151" s="62"/>
      <c r="AN151" s="62"/>
      <c r="AO151" s="62"/>
      <c r="AP151" s="62"/>
      <c r="AQ151" s="62"/>
      <c r="AR151" s="62"/>
      <c r="AS151" s="62"/>
      <c r="AT151" s="62"/>
      <c r="AU151" s="62"/>
      <c r="AV151" s="62"/>
      <c r="AW151" s="62"/>
      <c r="AX151" s="62"/>
      <c r="AY151" s="62"/>
      <c r="AZ151" s="62"/>
      <c r="BA151" s="62"/>
      <c r="BB151" s="62"/>
      <c r="BC151" s="62"/>
      <c r="BD151" s="62"/>
      <c r="BE151" s="62"/>
      <c r="BF151" s="62"/>
      <c r="BG151" s="62"/>
      <c r="BH151" s="62"/>
      <c r="BI151" s="62"/>
      <c r="BJ151" s="62"/>
      <c r="BK151" s="62"/>
      <c r="BL151" s="62"/>
      <c r="BM151" s="62"/>
      <c r="BN151" s="62"/>
      <c r="BO151" s="62"/>
      <c r="BP151" s="62"/>
      <c r="BQ151" s="62"/>
      <c r="BR151" s="62"/>
      <c r="BS151" s="62"/>
      <c r="BT151" s="62"/>
      <c r="BU151" s="62"/>
      <c r="BV151" s="62"/>
      <c r="BW151" s="62"/>
      <c r="BX151" s="62"/>
      <c r="BY151" s="62"/>
      <c r="BZ151" s="62"/>
      <c r="CA151" s="62"/>
      <c r="CB151" s="62"/>
      <c r="CC151" s="62"/>
      <c r="CD151" s="62"/>
      <c r="CE151" s="62"/>
      <c r="CF151" s="62"/>
      <c r="CG151" s="62"/>
      <c r="CH151" s="62"/>
      <c r="CI151" s="62"/>
      <c r="CJ151" s="62"/>
      <c r="CK151" s="62"/>
      <c r="CL151" s="62"/>
      <c r="CM151" s="62"/>
      <c r="CN151" s="62"/>
      <c r="CO151" s="62"/>
      <c r="CP151" s="62"/>
      <c r="CQ151" s="62"/>
      <c r="CR151" s="62"/>
      <c r="CS151" s="62"/>
      <c r="CT151" s="62"/>
      <c r="CU151" s="62"/>
      <c r="CV151" s="62"/>
      <c r="CW151" s="62"/>
      <c r="CX151" s="62"/>
      <c r="CY151" s="62"/>
      <c r="CZ151" s="62"/>
      <c r="DA151" s="62"/>
      <c r="DB151" s="62"/>
      <c r="DC151" s="62"/>
      <c r="DD151" s="62"/>
      <c r="DE151" s="62"/>
    </row>
    <row r="152" spans="1:109" s="3" customFormat="1">
      <c r="A152" s="62"/>
      <c r="B152" s="62" t="s">
        <v>6412</v>
      </c>
      <c r="C152" s="62" t="s">
        <v>494</v>
      </c>
      <c r="D152" s="62"/>
      <c r="E152" s="62"/>
      <c r="F152" s="47"/>
      <c r="G152" s="47"/>
      <c r="H152" s="47" t="s">
        <v>6413</v>
      </c>
      <c r="I152" s="48"/>
      <c r="J152" s="47"/>
      <c r="K152" s="57">
        <v>4</v>
      </c>
      <c r="L152" s="55">
        <v>3</v>
      </c>
      <c r="M152" s="47"/>
      <c r="N152" s="47"/>
      <c r="O152" s="47"/>
      <c r="P152" s="47"/>
      <c r="Q152" s="47"/>
      <c r="R152" s="47"/>
      <c r="S152" s="62"/>
      <c r="T152" s="62"/>
      <c r="U152" s="62"/>
      <c r="V152" s="62"/>
      <c r="W152" s="62"/>
      <c r="X152" s="62"/>
      <c r="Y152" s="62"/>
      <c r="Z152" s="62"/>
      <c r="AA152" s="62"/>
      <c r="AB152" s="62"/>
      <c r="AC152" s="62"/>
      <c r="AD152" s="62"/>
      <c r="AE152" s="62"/>
      <c r="AF152" s="62"/>
      <c r="AG152" s="62"/>
      <c r="AH152" s="62"/>
      <c r="AI152" s="62"/>
      <c r="AJ152" s="62"/>
      <c r="AK152" s="62"/>
      <c r="AL152" s="62"/>
      <c r="AM152" s="62"/>
      <c r="AN152" s="62"/>
      <c r="AO152" s="62"/>
      <c r="AP152" s="62"/>
      <c r="AQ152" s="62"/>
      <c r="AR152" s="62"/>
      <c r="AS152" s="62"/>
      <c r="AT152" s="62"/>
      <c r="AU152" s="62"/>
      <c r="AV152" s="62"/>
      <c r="AW152" s="62"/>
      <c r="AX152" s="62"/>
      <c r="AY152" s="62"/>
      <c r="AZ152" s="62"/>
      <c r="BA152" s="62"/>
      <c r="BB152" s="62"/>
      <c r="BC152" s="62"/>
      <c r="BD152" s="62"/>
      <c r="BE152" s="62"/>
      <c r="BF152" s="62"/>
      <c r="BG152" s="62"/>
      <c r="BH152" s="62"/>
      <c r="BI152" s="62"/>
      <c r="BJ152" s="62"/>
      <c r="BK152" s="62"/>
      <c r="BL152" s="62"/>
      <c r="BM152" s="62"/>
      <c r="BN152" s="62"/>
      <c r="BO152" s="62"/>
      <c r="BP152" s="62"/>
      <c r="BQ152" s="62"/>
      <c r="BR152" s="62"/>
      <c r="BS152" s="62"/>
      <c r="BT152" s="62"/>
      <c r="BU152" s="62"/>
      <c r="BV152" s="62"/>
      <c r="BW152" s="62"/>
      <c r="BX152" s="62"/>
      <c r="BY152" s="62"/>
      <c r="BZ152" s="62"/>
      <c r="CA152" s="62"/>
      <c r="CB152" s="62"/>
      <c r="CC152" s="62"/>
      <c r="CD152" s="62"/>
      <c r="CE152" s="62"/>
      <c r="CF152" s="62"/>
      <c r="CG152" s="62"/>
      <c r="CH152" s="62"/>
      <c r="CI152" s="62"/>
      <c r="CJ152" s="62"/>
      <c r="CK152" s="62"/>
      <c r="CL152" s="62"/>
      <c r="CM152" s="62"/>
      <c r="CN152" s="62"/>
      <c r="CO152" s="62"/>
      <c r="CP152" s="62"/>
      <c r="CQ152" s="62"/>
      <c r="CR152" s="62"/>
      <c r="CS152" s="62"/>
      <c r="CT152" s="62"/>
      <c r="CU152" s="62"/>
      <c r="CV152" s="62"/>
      <c r="CW152" s="62"/>
      <c r="CX152" s="62"/>
      <c r="CY152" s="62"/>
      <c r="CZ152" s="62"/>
      <c r="DA152" s="62"/>
      <c r="DB152" s="62"/>
      <c r="DC152" s="62"/>
      <c r="DD152" s="62"/>
      <c r="DE152" s="62"/>
    </row>
    <row r="153" spans="1:109" s="3" customFormat="1">
      <c r="A153" s="62"/>
      <c r="B153" s="62"/>
      <c r="C153" s="62"/>
      <c r="D153" s="62"/>
      <c r="E153" s="62"/>
      <c r="F153" s="47"/>
      <c r="G153" s="47"/>
      <c r="H153" s="47"/>
      <c r="I153" s="48"/>
      <c r="J153" s="47"/>
      <c r="K153" s="57"/>
      <c r="L153" s="55"/>
      <c r="M153" s="47"/>
      <c r="N153" s="47"/>
      <c r="O153" s="47"/>
      <c r="P153" s="47"/>
      <c r="Q153" s="47"/>
      <c r="R153" s="47"/>
      <c r="S153" s="62"/>
      <c r="T153" s="62"/>
      <c r="U153" s="62"/>
      <c r="V153" s="62"/>
      <c r="W153" s="62"/>
      <c r="X153" s="62"/>
      <c r="Y153" s="62"/>
      <c r="Z153" s="62"/>
      <c r="AA153" s="62"/>
      <c r="AB153" s="62"/>
      <c r="AC153" s="62"/>
      <c r="AD153" s="62"/>
      <c r="AE153" s="62"/>
      <c r="AF153" s="62"/>
      <c r="AG153" s="62"/>
      <c r="AH153" s="62"/>
      <c r="AI153" s="62"/>
      <c r="AJ153" s="62"/>
      <c r="AK153" s="62"/>
      <c r="AL153" s="62"/>
      <c r="AM153" s="62"/>
      <c r="AN153" s="62"/>
      <c r="AO153" s="62"/>
      <c r="AP153" s="62"/>
      <c r="AQ153" s="62"/>
      <c r="AR153" s="62"/>
      <c r="AS153" s="62"/>
      <c r="AT153" s="62"/>
      <c r="AU153" s="62"/>
      <c r="AV153" s="62"/>
      <c r="AW153" s="62"/>
      <c r="AX153" s="62"/>
      <c r="AY153" s="62"/>
      <c r="AZ153" s="62"/>
      <c r="BA153" s="62"/>
      <c r="BB153" s="62"/>
      <c r="BC153" s="62"/>
      <c r="BD153" s="62"/>
      <c r="BE153" s="62"/>
      <c r="BF153" s="62"/>
      <c r="BG153" s="62"/>
      <c r="BH153" s="62"/>
      <c r="BI153" s="62"/>
      <c r="BJ153" s="62"/>
      <c r="BK153" s="62"/>
      <c r="BL153" s="62"/>
      <c r="BM153" s="62"/>
      <c r="BN153" s="62"/>
      <c r="BO153" s="62"/>
      <c r="BP153" s="62"/>
      <c r="BQ153" s="62"/>
      <c r="BR153" s="62"/>
      <c r="BS153" s="62"/>
      <c r="BT153" s="62"/>
      <c r="BU153" s="62"/>
      <c r="BV153" s="62"/>
      <c r="BW153" s="62"/>
      <c r="BX153" s="62"/>
      <c r="BY153" s="62"/>
      <c r="BZ153" s="62"/>
      <c r="CA153" s="62"/>
      <c r="CB153" s="62"/>
      <c r="CC153" s="62"/>
      <c r="CD153" s="62"/>
      <c r="CE153" s="62"/>
      <c r="CF153" s="62"/>
      <c r="CG153" s="62"/>
      <c r="CH153" s="62"/>
      <c r="CI153" s="62"/>
      <c r="CJ153" s="62"/>
      <c r="CK153" s="62"/>
      <c r="CL153" s="62"/>
      <c r="CM153" s="62"/>
      <c r="CN153" s="62"/>
      <c r="CO153" s="62"/>
      <c r="CP153" s="62"/>
      <c r="CQ153" s="62"/>
      <c r="CR153" s="62"/>
      <c r="CS153" s="62"/>
      <c r="CT153" s="62"/>
      <c r="CU153" s="62"/>
      <c r="CV153" s="62"/>
      <c r="CW153" s="62"/>
      <c r="CX153" s="62"/>
      <c r="CY153" s="62"/>
      <c r="CZ153" s="62"/>
      <c r="DA153" s="62"/>
      <c r="DB153" s="62"/>
      <c r="DC153" s="62"/>
      <c r="DD153" s="62"/>
      <c r="DE153" s="62"/>
    </row>
    <row r="154" spans="1:109" s="3" customFormat="1">
      <c r="A154" s="62" t="s">
        <v>6370</v>
      </c>
      <c r="B154" s="62" t="s">
        <v>4888</v>
      </c>
      <c r="C154" s="62" t="s">
        <v>494</v>
      </c>
      <c r="D154" s="62"/>
      <c r="E154" s="62" t="s">
        <v>476</v>
      </c>
      <c r="F154" s="47"/>
      <c r="G154" s="47"/>
      <c r="H154" s="47" t="s">
        <v>6385</v>
      </c>
      <c r="I154" s="48"/>
      <c r="J154" s="47"/>
      <c r="K154" s="57">
        <v>1</v>
      </c>
      <c r="L154" s="55"/>
      <c r="M154" s="47"/>
      <c r="N154" s="47"/>
      <c r="O154" s="47"/>
      <c r="P154" s="47"/>
      <c r="Q154" s="47"/>
      <c r="R154" s="47"/>
      <c r="S154" s="62"/>
      <c r="T154" s="62"/>
      <c r="U154" s="62"/>
      <c r="V154" s="62"/>
      <c r="W154" s="62"/>
      <c r="X154" s="62"/>
      <c r="Y154" s="62"/>
      <c r="Z154" s="62"/>
      <c r="AA154" s="62"/>
      <c r="AB154" s="62"/>
      <c r="AC154" s="62"/>
      <c r="AD154" s="62"/>
      <c r="AE154" s="62"/>
      <c r="AF154" s="62"/>
      <c r="AG154" s="62"/>
      <c r="AH154" s="62"/>
      <c r="AI154" s="62"/>
      <c r="AJ154" s="62"/>
      <c r="AK154" s="62"/>
      <c r="AL154" s="62"/>
      <c r="AM154" s="62"/>
      <c r="AN154" s="62"/>
      <c r="AO154" s="62"/>
      <c r="AP154" s="62"/>
      <c r="AQ154" s="62"/>
      <c r="AR154" s="62"/>
      <c r="AS154" s="62"/>
      <c r="AT154" s="62"/>
      <c r="AU154" s="62"/>
      <c r="AV154" s="62"/>
      <c r="AW154" s="62"/>
      <c r="AX154" s="62"/>
      <c r="AY154" s="62"/>
      <c r="AZ154" s="62"/>
      <c r="BA154" s="62"/>
      <c r="BB154" s="62"/>
      <c r="BC154" s="62"/>
      <c r="BD154" s="62"/>
      <c r="BE154" s="62"/>
      <c r="BF154" s="62"/>
      <c r="BG154" s="62"/>
      <c r="BH154" s="62"/>
      <c r="BI154" s="62"/>
      <c r="BJ154" s="62"/>
      <c r="BK154" s="62"/>
      <c r="BL154" s="62"/>
      <c r="BM154" s="62"/>
      <c r="BN154" s="62"/>
      <c r="BO154" s="62"/>
      <c r="BP154" s="62"/>
      <c r="BQ154" s="62"/>
      <c r="BR154" s="62"/>
      <c r="BS154" s="62"/>
      <c r="BT154" s="62"/>
      <c r="BU154" s="62"/>
      <c r="BV154" s="62"/>
      <c r="BW154" s="62"/>
      <c r="BX154" s="62"/>
      <c r="BY154" s="62"/>
      <c r="BZ154" s="62"/>
      <c r="CA154" s="62"/>
      <c r="CB154" s="62"/>
      <c r="CC154" s="62"/>
      <c r="CD154" s="62"/>
      <c r="CE154" s="62"/>
      <c r="CF154" s="62"/>
      <c r="CG154" s="62"/>
      <c r="CH154" s="62"/>
      <c r="CI154" s="62"/>
      <c r="CJ154" s="62"/>
      <c r="CK154" s="62"/>
      <c r="CL154" s="62"/>
      <c r="CM154" s="62"/>
      <c r="CN154" s="62"/>
      <c r="CO154" s="62"/>
      <c r="CP154" s="62"/>
      <c r="CQ154" s="62"/>
      <c r="CR154" s="62"/>
      <c r="CS154" s="62"/>
      <c r="CT154" s="62"/>
      <c r="CU154" s="62"/>
      <c r="CV154" s="62"/>
      <c r="CW154" s="62"/>
      <c r="CX154" s="62"/>
      <c r="CY154" s="62"/>
      <c r="CZ154" s="62"/>
      <c r="DA154" s="62"/>
      <c r="DB154" s="62"/>
      <c r="DC154" s="62"/>
      <c r="DD154" s="62"/>
      <c r="DE154" s="62"/>
    </row>
    <row r="155" spans="1:109" s="3" customFormat="1">
      <c r="A155" s="62"/>
      <c r="B155" s="62" t="s">
        <v>6238</v>
      </c>
      <c r="C155" s="62" t="s">
        <v>493</v>
      </c>
      <c r="D155" s="62">
        <v>50</v>
      </c>
      <c r="E155" s="62"/>
      <c r="F155" s="47"/>
      <c r="G155" s="47"/>
      <c r="H155" s="47"/>
      <c r="I155" s="48"/>
      <c r="J155" s="47"/>
      <c r="K155" s="57">
        <v>2</v>
      </c>
      <c r="L155" s="55"/>
      <c r="M155" s="47"/>
      <c r="N155" s="47"/>
      <c r="O155" s="47"/>
      <c r="P155" s="47"/>
      <c r="Q155" s="47"/>
      <c r="R155" s="47"/>
      <c r="S155" s="62"/>
      <c r="T155" s="62"/>
      <c r="U155" s="62"/>
      <c r="V155" s="62"/>
      <c r="W155" s="62"/>
      <c r="X155" s="62"/>
      <c r="Y155" s="62"/>
      <c r="Z155" s="62"/>
      <c r="AA155" s="62"/>
      <c r="AB155" s="62"/>
      <c r="AC155" s="62"/>
      <c r="AD155" s="62"/>
      <c r="AE155" s="62"/>
      <c r="AF155" s="62"/>
      <c r="AG155" s="62"/>
      <c r="AH155" s="62"/>
      <c r="AI155" s="62"/>
      <c r="AJ155" s="62"/>
      <c r="AK155" s="62"/>
      <c r="AL155" s="62"/>
      <c r="AM155" s="62"/>
      <c r="AN155" s="62"/>
      <c r="AO155" s="62"/>
      <c r="AP155" s="62"/>
      <c r="AQ155" s="62"/>
      <c r="AR155" s="62"/>
      <c r="AS155" s="62"/>
      <c r="AT155" s="62"/>
      <c r="AU155" s="62"/>
      <c r="AV155" s="62"/>
      <c r="AW155" s="62"/>
      <c r="AX155" s="62"/>
      <c r="AY155" s="62"/>
      <c r="AZ155" s="62"/>
      <c r="BA155" s="62"/>
      <c r="BB155" s="62"/>
      <c r="BC155" s="62"/>
      <c r="BD155" s="62"/>
      <c r="BE155" s="62"/>
      <c r="BF155" s="62"/>
      <c r="BG155" s="62"/>
      <c r="BH155" s="62"/>
      <c r="BI155" s="62"/>
      <c r="BJ155" s="62"/>
      <c r="BK155" s="62"/>
      <c r="BL155" s="62"/>
      <c r="BM155" s="62"/>
      <c r="BN155" s="62"/>
      <c r="BO155" s="62"/>
      <c r="BP155" s="62"/>
      <c r="BQ155" s="62"/>
      <c r="BR155" s="62"/>
      <c r="BS155" s="62"/>
      <c r="BT155" s="62"/>
      <c r="BU155" s="62"/>
      <c r="BV155" s="62"/>
      <c r="BW155" s="62"/>
      <c r="BX155" s="62"/>
      <c r="BY155" s="62"/>
      <c r="BZ155" s="62"/>
      <c r="CA155" s="62"/>
      <c r="CB155" s="62"/>
      <c r="CC155" s="62"/>
      <c r="CD155" s="62"/>
      <c r="CE155" s="62"/>
      <c r="CF155" s="62"/>
      <c r="CG155" s="62"/>
      <c r="CH155" s="62"/>
      <c r="CI155" s="62"/>
      <c r="CJ155" s="62"/>
      <c r="CK155" s="62"/>
      <c r="CL155" s="62"/>
      <c r="CM155" s="62"/>
      <c r="CN155" s="62"/>
      <c r="CO155" s="62"/>
      <c r="CP155" s="62"/>
      <c r="CQ155" s="62"/>
      <c r="CR155" s="62"/>
      <c r="CS155" s="62"/>
      <c r="CT155" s="62"/>
      <c r="CU155" s="62"/>
      <c r="CV155" s="62"/>
      <c r="CW155" s="62"/>
      <c r="CX155" s="62"/>
      <c r="CY155" s="62"/>
      <c r="CZ155" s="62"/>
      <c r="DA155" s="62"/>
      <c r="DB155" s="62"/>
      <c r="DC155" s="62"/>
      <c r="DD155" s="62"/>
      <c r="DE155" s="62"/>
    </row>
    <row r="156" spans="1:109" s="3" customFormat="1">
      <c r="A156" s="62"/>
      <c r="B156" s="62"/>
      <c r="C156" s="62"/>
      <c r="D156" s="62"/>
      <c r="E156" s="62"/>
      <c r="F156" s="47"/>
      <c r="G156" s="47"/>
      <c r="H156" s="47"/>
      <c r="I156" s="48"/>
      <c r="J156" s="47"/>
      <c r="K156" s="57"/>
      <c r="L156" s="55"/>
      <c r="M156" s="47"/>
      <c r="N156" s="47"/>
      <c r="O156" s="47"/>
      <c r="P156" s="47"/>
      <c r="Q156" s="47"/>
      <c r="R156" s="47"/>
      <c r="S156" s="62"/>
      <c r="T156" s="62"/>
      <c r="U156" s="62"/>
      <c r="V156" s="62"/>
      <c r="W156" s="62"/>
      <c r="X156" s="62"/>
      <c r="Y156" s="62"/>
      <c r="Z156" s="62"/>
      <c r="AA156" s="62"/>
      <c r="AB156" s="62"/>
      <c r="AC156" s="62"/>
      <c r="AD156" s="62"/>
      <c r="AE156" s="62"/>
      <c r="AF156" s="62"/>
      <c r="AG156" s="62"/>
      <c r="AH156" s="62"/>
      <c r="AI156" s="62"/>
      <c r="AJ156" s="62"/>
      <c r="AK156" s="62"/>
      <c r="AL156" s="62"/>
      <c r="AM156" s="62"/>
      <c r="AN156" s="62"/>
      <c r="AO156" s="62"/>
      <c r="AP156" s="62"/>
      <c r="AQ156" s="62"/>
      <c r="AR156" s="62"/>
      <c r="AS156" s="62"/>
      <c r="AT156" s="62"/>
      <c r="AU156" s="62"/>
      <c r="AV156" s="62"/>
      <c r="AW156" s="62"/>
      <c r="AX156" s="62"/>
      <c r="AY156" s="62"/>
      <c r="AZ156" s="62"/>
      <c r="BA156" s="62"/>
      <c r="BB156" s="62"/>
      <c r="BC156" s="62"/>
      <c r="BD156" s="62"/>
      <c r="BE156" s="62"/>
      <c r="BF156" s="62"/>
      <c r="BG156" s="62"/>
      <c r="BH156" s="62"/>
      <c r="BI156" s="62"/>
      <c r="BJ156" s="62"/>
      <c r="BK156" s="62"/>
      <c r="BL156" s="62"/>
      <c r="BM156" s="62"/>
      <c r="BN156" s="62"/>
      <c r="BO156" s="62"/>
      <c r="BP156" s="62"/>
      <c r="BQ156" s="62"/>
      <c r="BR156" s="62"/>
      <c r="BS156" s="62"/>
      <c r="BT156" s="62"/>
      <c r="BU156" s="62"/>
      <c r="BV156" s="62"/>
      <c r="BW156" s="62"/>
      <c r="BX156" s="62"/>
      <c r="BY156" s="62"/>
      <c r="BZ156" s="62"/>
      <c r="CA156" s="62"/>
      <c r="CB156" s="62"/>
      <c r="CC156" s="62"/>
      <c r="CD156" s="62"/>
      <c r="CE156" s="62"/>
      <c r="CF156" s="62"/>
      <c r="CG156" s="62"/>
      <c r="CH156" s="62"/>
      <c r="CI156" s="62"/>
      <c r="CJ156" s="62"/>
      <c r="CK156" s="62"/>
      <c r="CL156" s="62"/>
      <c r="CM156" s="62"/>
      <c r="CN156" s="62"/>
      <c r="CO156" s="62"/>
      <c r="CP156" s="62"/>
      <c r="CQ156" s="62"/>
      <c r="CR156" s="62"/>
      <c r="CS156" s="62"/>
      <c r="CT156" s="62"/>
      <c r="CU156" s="62"/>
      <c r="CV156" s="62"/>
      <c r="CW156" s="62"/>
      <c r="CX156" s="62"/>
      <c r="CY156" s="62"/>
      <c r="CZ156" s="62"/>
      <c r="DA156" s="62"/>
      <c r="DB156" s="62"/>
      <c r="DC156" s="62"/>
      <c r="DD156" s="62"/>
      <c r="DE156" s="62"/>
    </row>
    <row r="157" spans="1:109" s="3" customFormat="1">
      <c r="A157" s="62" t="s">
        <v>6386</v>
      </c>
      <c r="B157" s="62" t="s">
        <v>4907</v>
      </c>
      <c r="C157" s="62" t="s">
        <v>494</v>
      </c>
      <c r="D157" s="62"/>
      <c r="E157" s="62" t="s">
        <v>476</v>
      </c>
      <c r="F157" s="47">
        <v>2</v>
      </c>
      <c r="G157" s="47">
        <v>255</v>
      </c>
      <c r="H157" s="47" t="s">
        <v>6387</v>
      </c>
      <c r="I157" s="48" t="s">
        <v>6388</v>
      </c>
      <c r="J157" s="47">
        <v>1512</v>
      </c>
      <c r="K157" s="57">
        <v>1</v>
      </c>
      <c r="L157" s="55">
        <v>6</v>
      </c>
      <c r="M157" s="47"/>
      <c r="N157" s="47"/>
      <c r="O157" s="47"/>
      <c r="P157" s="47"/>
      <c r="Q157" s="47"/>
      <c r="R157" s="47"/>
      <c r="S157" s="62"/>
      <c r="T157" s="62"/>
      <c r="U157" s="62"/>
      <c r="V157" s="62"/>
      <c r="W157" s="62"/>
      <c r="X157" s="62"/>
      <c r="Y157" s="62"/>
      <c r="Z157" s="62"/>
      <c r="AA157" s="62"/>
      <c r="AB157" s="62"/>
      <c r="AC157" s="62"/>
      <c r="AD157" s="62"/>
      <c r="AE157" s="62"/>
      <c r="AF157" s="62"/>
      <c r="AG157" s="62"/>
      <c r="AH157" s="62"/>
      <c r="AI157" s="62"/>
      <c r="AJ157" s="62"/>
      <c r="AK157" s="62"/>
      <c r="AL157" s="62"/>
      <c r="AM157" s="62"/>
      <c r="AN157" s="62"/>
      <c r="AO157" s="62"/>
      <c r="AP157" s="62"/>
      <c r="AQ157" s="62"/>
      <c r="AR157" s="62"/>
      <c r="AS157" s="62"/>
      <c r="AT157" s="62"/>
      <c r="AU157" s="62"/>
      <c r="AV157" s="62"/>
      <c r="AW157" s="62"/>
      <c r="AX157" s="62"/>
      <c r="AY157" s="62"/>
      <c r="AZ157" s="62"/>
      <c r="BA157" s="62"/>
      <c r="BB157" s="62"/>
      <c r="BC157" s="62"/>
      <c r="BD157" s="62"/>
      <c r="BE157" s="62"/>
      <c r="BF157" s="62"/>
      <c r="BG157" s="62"/>
      <c r="BH157" s="62"/>
      <c r="BI157" s="62"/>
      <c r="BJ157" s="62"/>
      <c r="BK157" s="62"/>
      <c r="BL157" s="62"/>
      <c r="BM157" s="62"/>
      <c r="BN157" s="62"/>
      <c r="BO157" s="62"/>
      <c r="BP157" s="62"/>
      <c r="BQ157" s="62"/>
      <c r="BR157" s="62"/>
      <c r="BS157" s="62"/>
      <c r="BT157" s="62"/>
      <c r="BU157" s="62"/>
      <c r="BV157" s="62"/>
      <c r="BW157" s="62"/>
      <c r="BX157" s="62"/>
      <c r="BY157" s="62"/>
      <c r="BZ157" s="62"/>
      <c r="CA157" s="62"/>
      <c r="CB157" s="62"/>
      <c r="CC157" s="62"/>
      <c r="CD157" s="62"/>
      <c r="CE157" s="62"/>
      <c r="CF157" s="62"/>
      <c r="CG157" s="62"/>
      <c r="CH157" s="62"/>
      <c r="CI157" s="62"/>
      <c r="CJ157" s="62"/>
      <c r="CK157" s="62"/>
      <c r="CL157" s="62"/>
      <c r="CM157" s="62"/>
      <c r="CN157" s="62"/>
      <c r="CO157" s="62"/>
      <c r="CP157" s="62"/>
      <c r="CQ157" s="62"/>
      <c r="CR157" s="62"/>
      <c r="CS157" s="62"/>
      <c r="CT157" s="62"/>
      <c r="CU157" s="62"/>
      <c r="CV157" s="62"/>
      <c r="CW157" s="62"/>
      <c r="CX157" s="62"/>
      <c r="CY157" s="62"/>
      <c r="CZ157" s="62"/>
      <c r="DA157" s="62"/>
      <c r="DB157" s="62"/>
      <c r="DC157" s="62"/>
      <c r="DD157" s="62"/>
      <c r="DE157" s="62"/>
    </row>
    <row r="158" spans="1:109" s="3" customFormat="1">
      <c r="A158" s="62"/>
      <c r="B158" s="62" t="s">
        <v>4908</v>
      </c>
      <c r="C158" s="62" t="s">
        <v>494</v>
      </c>
      <c r="D158" s="62"/>
      <c r="E158" s="62"/>
      <c r="F158" s="47"/>
      <c r="G158" s="47"/>
      <c r="H158" s="47"/>
      <c r="I158" s="48"/>
      <c r="J158" s="47"/>
      <c r="K158" s="57">
        <v>2</v>
      </c>
      <c r="L158" s="55">
        <v>6</v>
      </c>
      <c r="M158" s="47"/>
      <c r="N158" s="47"/>
      <c r="O158" s="47"/>
      <c r="P158" s="47"/>
      <c r="Q158" s="47"/>
      <c r="R158" s="47"/>
      <c r="S158" s="62"/>
      <c r="T158" s="62"/>
      <c r="U158" s="62"/>
      <c r="V158" s="62"/>
      <c r="W158" s="62"/>
      <c r="X158" s="62"/>
      <c r="Y158" s="62"/>
      <c r="Z158" s="62"/>
      <c r="AA158" s="62"/>
      <c r="AB158" s="62"/>
      <c r="AC158" s="62"/>
      <c r="AD158" s="62"/>
      <c r="AE158" s="62"/>
      <c r="AF158" s="62"/>
      <c r="AG158" s="62"/>
      <c r="AH158" s="62"/>
      <c r="AI158" s="62"/>
      <c r="AJ158" s="62"/>
      <c r="AK158" s="62"/>
      <c r="AL158" s="62"/>
      <c r="AM158" s="62"/>
      <c r="AN158" s="62"/>
      <c r="AO158" s="62"/>
      <c r="AP158" s="62"/>
      <c r="AQ158" s="62"/>
      <c r="AR158" s="62"/>
      <c r="AS158" s="62"/>
      <c r="AT158" s="62"/>
      <c r="AU158" s="62"/>
      <c r="AV158" s="62"/>
      <c r="AW158" s="62"/>
      <c r="AX158" s="62"/>
      <c r="AY158" s="62"/>
      <c r="AZ158" s="62"/>
      <c r="BA158" s="62"/>
      <c r="BB158" s="62"/>
      <c r="BC158" s="62"/>
      <c r="BD158" s="62"/>
      <c r="BE158" s="62"/>
      <c r="BF158" s="62"/>
      <c r="BG158" s="62"/>
      <c r="BH158" s="62"/>
      <c r="BI158" s="62"/>
      <c r="BJ158" s="62"/>
      <c r="BK158" s="62"/>
      <c r="BL158" s="62"/>
      <c r="BM158" s="62"/>
      <c r="BN158" s="62"/>
      <c r="BO158" s="62"/>
      <c r="BP158" s="62"/>
      <c r="BQ158" s="62"/>
      <c r="BR158" s="62"/>
      <c r="BS158" s="62"/>
      <c r="BT158" s="62"/>
      <c r="BU158" s="62"/>
      <c r="BV158" s="62"/>
      <c r="BW158" s="62"/>
      <c r="BX158" s="62"/>
      <c r="BY158" s="62"/>
      <c r="BZ158" s="62"/>
      <c r="CA158" s="62"/>
      <c r="CB158" s="62"/>
      <c r="CC158" s="62"/>
      <c r="CD158" s="62"/>
      <c r="CE158" s="62"/>
      <c r="CF158" s="62"/>
      <c r="CG158" s="62"/>
      <c r="CH158" s="62"/>
      <c r="CI158" s="62"/>
      <c r="CJ158" s="62"/>
      <c r="CK158" s="62"/>
      <c r="CL158" s="62"/>
      <c r="CM158" s="62"/>
      <c r="CN158" s="62"/>
      <c r="CO158" s="62"/>
      <c r="CP158" s="62"/>
      <c r="CQ158" s="62"/>
      <c r="CR158" s="62"/>
      <c r="CS158" s="62"/>
      <c r="CT158" s="62"/>
      <c r="CU158" s="62"/>
      <c r="CV158" s="62"/>
      <c r="CW158" s="62"/>
      <c r="CX158" s="62"/>
      <c r="CY158" s="62"/>
      <c r="CZ158" s="62"/>
      <c r="DA158" s="62"/>
      <c r="DB158" s="62"/>
      <c r="DC158" s="62"/>
      <c r="DD158" s="62"/>
      <c r="DE158" s="62"/>
    </row>
    <row r="159" spans="1:109" s="3" customFormat="1">
      <c r="A159" s="62"/>
      <c r="B159" s="62" t="s">
        <v>6389</v>
      </c>
      <c r="C159" s="62" t="s">
        <v>493</v>
      </c>
      <c r="D159" s="62">
        <v>1</v>
      </c>
      <c r="E159" s="62"/>
      <c r="F159" s="47"/>
      <c r="G159" s="47"/>
      <c r="H159" s="47"/>
      <c r="I159" s="48"/>
      <c r="J159" s="47"/>
      <c r="K159" s="57">
        <v>3</v>
      </c>
      <c r="L159" s="55">
        <v>3</v>
      </c>
      <c r="M159" s="47"/>
      <c r="N159" s="47"/>
      <c r="O159" s="47"/>
      <c r="P159" s="47"/>
      <c r="Q159" s="47"/>
      <c r="R159" s="47"/>
      <c r="S159" s="62"/>
      <c r="T159" s="62"/>
      <c r="U159" s="62"/>
      <c r="V159" s="62"/>
      <c r="W159" s="62"/>
      <c r="X159" s="62"/>
      <c r="Y159" s="62"/>
      <c r="Z159" s="62"/>
      <c r="AA159" s="62"/>
      <c r="AB159" s="62"/>
      <c r="AC159" s="62"/>
      <c r="AD159" s="62"/>
      <c r="AE159" s="62"/>
      <c r="AF159" s="62"/>
      <c r="AG159" s="62"/>
      <c r="AH159" s="62"/>
      <c r="AI159" s="62"/>
      <c r="AJ159" s="62"/>
      <c r="AK159" s="62"/>
      <c r="AL159" s="62"/>
      <c r="AM159" s="62"/>
      <c r="AN159" s="62"/>
      <c r="AO159" s="62"/>
      <c r="AP159" s="62"/>
      <c r="AQ159" s="62"/>
      <c r="AR159" s="62"/>
      <c r="AS159" s="62"/>
      <c r="AT159" s="62"/>
      <c r="AU159" s="62"/>
      <c r="AV159" s="62"/>
      <c r="AW159" s="62"/>
      <c r="AX159" s="62"/>
      <c r="AY159" s="62"/>
      <c r="AZ159" s="62"/>
      <c r="BA159" s="62"/>
      <c r="BB159" s="62"/>
      <c r="BC159" s="62"/>
      <c r="BD159" s="62"/>
      <c r="BE159" s="62"/>
      <c r="BF159" s="62"/>
      <c r="BG159" s="62"/>
      <c r="BH159" s="62"/>
      <c r="BI159" s="62"/>
      <c r="BJ159" s="62"/>
      <c r="BK159" s="62"/>
      <c r="BL159" s="62"/>
      <c r="BM159" s="62"/>
      <c r="BN159" s="62"/>
      <c r="BO159" s="62"/>
      <c r="BP159" s="62"/>
      <c r="BQ159" s="62"/>
      <c r="BR159" s="62"/>
      <c r="BS159" s="62"/>
      <c r="BT159" s="62"/>
      <c r="BU159" s="62"/>
      <c r="BV159" s="62"/>
      <c r="BW159" s="62"/>
      <c r="BX159" s="62"/>
      <c r="BY159" s="62"/>
      <c r="BZ159" s="62"/>
      <c r="CA159" s="62"/>
      <c r="CB159" s="62"/>
      <c r="CC159" s="62"/>
      <c r="CD159" s="62"/>
      <c r="CE159" s="62"/>
      <c r="CF159" s="62"/>
      <c r="CG159" s="62"/>
      <c r="CH159" s="62"/>
      <c r="CI159" s="62"/>
      <c r="CJ159" s="62"/>
      <c r="CK159" s="62"/>
      <c r="CL159" s="62"/>
      <c r="CM159" s="62"/>
      <c r="CN159" s="62"/>
      <c r="CO159" s="62"/>
      <c r="CP159" s="62"/>
      <c r="CQ159" s="62"/>
      <c r="CR159" s="62"/>
      <c r="CS159" s="62"/>
      <c r="CT159" s="62"/>
      <c r="CU159" s="62"/>
      <c r="CV159" s="62"/>
      <c r="CW159" s="62"/>
      <c r="CX159" s="62"/>
      <c r="CY159" s="62"/>
      <c r="CZ159" s="62"/>
      <c r="DA159" s="62"/>
      <c r="DB159" s="62"/>
      <c r="DC159" s="62"/>
      <c r="DD159" s="62"/>
      <c r="DE159" s="62"/>
    </row>
    <row r="160" spans="1:109" s="3" customFormat="1">
      <c r="A160" s="62"/>
      <c r="B160" s="62" t="s">
        <v>6414</v>
      </c>
      <c r="C160" s="62" t="s">
        <v>493</v>
      </c>
      <c r="D160" s="62">
        <v>1</v>
      </c>
      <c r="E160" s="62"/>
      <c r="F160" s="47"/>
      <c r="G160" s="47"/>
      <c r="H160" s="47"/>
      <c r="I160" s="48"/>
      <c r="J160" s="47"/>
      <c r="K160" s="57">
        <v>4</v>
      </c>
      <c r="L160" s="55">
        <v>3</v>
      </c>
      <c r="M160" s="47"/>
      <c r="N160" s="47"/>
      <c r="O160" s="47"/>
      <c r="P160" s="47"/>
      <c r="Q160" s="47"/>
      <c r="R160" s="47"/>
      <c r="S160" s="62"/>
      <c r="T160" s="62"/>
      <c r="U160" s="62"/>
      <c r="V160" s="62"/>
      <c r="W160" s="62"/>
      <c r="X160" s="62"/>
      <c r="Y160" s="62"/>
      <c r="Z160" s="62"/>
      <c r="AA160" s="62"/>
      <c r="AB160" s="62"/>
      <c r="AC160" s="62"/>
      <c r="AD160" s="62"/>
      <c r="AE160" s="62"/>
      <c r="AF160" s="62"/>
      <c r="AG160" s="62"/>
      <c r="AH160" s="62"/>
      <c r="AI160" s="62"/>
      <c r="AJ160" s="62"/>
      <c r="AK160" s="62"/>
      <c r="AL160" s="62"/>
      <c r="AM160" s="62"/>
      <c r="AN160" s="62"/>
      <c r="AO160" s="62"/>
      <c r="AP160" s="62"/>
      <c r="AQ160" s="62"/>
      <c r="AR160" s="62"/>
      <c r="AS160" s="62"/>
      <c r="AT160" s="62"/>
      <c r="AU160" s="62"/>
      <c r="AV160" s="62"/>
      <c r="AW160" s="62"/>
      <c r="AX160" s="62"/>
      <c r="AY160" s="62"/>
      <c r="AZ160" s="62"/>
      <c r="BA160" s="62"/>
      <c r="BB160" s="62"/>
      <c r="BC160" s="62"/>
      <c r="BD160" s="62"/>
      <c r="BE160" s="62"/>
      <c r="BF160" s="62"/>
      <c r="BG160" s="62"/>
      <c r="BH160" s="62"/>
      <c r="BI160" s="62"/>
      <c r="BJ160" s="62"/>
      <c r="BK160" s="62"/>
      <c r="BL160" s="62"/>
      <c r="BM160" s="62"/>
      <c r="BN160" s="62"/>
      <c r="BO160" s="62"/>
      <c r="BP160" s="62"/>
      <c r="BQ160" s="62"/>
      <c r="BR160" s="62"/>
      <c r="BS160" s="62"/>
      <c r="BT160" s="62"/>
      <c r="BU160" s="62"/>
      <c r="BV160" s="62"/>
      <c r="BW160" s="62"/>
      <c r="BX160" s="62"/>
      <c r="BY160" s="62"/>
      <c r="BZ160" s="62"/>
      <c r="CA160" s="62"/>
      <c r="CB160" s="62"/>
      <c r="CC160" s="62"/>
      <c r="CD160" s="62"/>
      <c r="CE160" s="62"/>
      <c r="CF160" s="62"/>
      <c r="CG160" s="62"/>
      <c r="CH160" s="62"/>
      <c r="CI160" s="62"/>
      <c r="CJ160" s="62"/>
      <c r="CK160" s="62"/>
      <c r="CL160" s="62"/>
      <c r="CM160" s="62"/>
      <c r="CN160" s="62"/>
      <c r="CO160" s="62"/>
      <c r="CP160" s="62"/>
      <c r="CQ160" s="62"/>
      <c r="CR160" s="62"/>
      <c r="CS160" s="62"/>
      <c r="CT160" s="62"/>
      <c r="CU160" s="62"/>
      <c r="CV160" s="62"/>
      <c r="CW160" s="62"/>
      <c r="CX160" s="62"/>
      <c r="CY160" s="62"/>
      <c r="CZ160" s="62"/>
      <c r="DA160" s="62"/>
      <c r="DB160" s="62"/>
      <c r="DC160" s="62"/>
      <c r="DD160" s="62"/>
      <c r="DE160" s="62"/>
    </row>
    <row r="161" spans="1:109" s="3" customFormat="1">
      <c r="A161" s="62"/>
      <c r="B161" s="62" t="s">
        <v>6390</v>
      </c>
      <c r="C161" s="62" t="s">
        <v>493</v>
      </c>
      <c r="D161" s="62">
        <v>50</v>
      </c>
      <c r="E161" s="62"/>
      <c r="F161" s="47"/>
      <c r="G161" s="47"/>
      <c r="H161" s="47"/>
      <c r="I161" s="48"/>
      <c r="J161" s="47"/>
      <c r="K161" s="57">
        <v>5</v>
      </c>
      <c r="L161" s="55"/>
      <c r="M161" s="47"/>
      <c r="N161" s="47"/>
      <c r="O161" s="47"/>
      <c r="P161" s="47"/>
      <c r="Q161" s="47"/>
      <c r="R161" s="47"/>
      <c r="S161" s="62"/>
      <c r="T161" s="62"/>
      <c r="U161" s="62"/>
      <c r="V161" s="62"/>
      <c r="W161" s="62"/>
      <c r="X161" s="62"/>
      <c r="Y161" s="62"/>
      <c r="Z161" s="62"/>
      <c r="AA161" s="62"/>
      <c r="AB161" s="62"/>
      <c r="AC161" s="62"/>
      <c r="AD161" s="62"/>
      <c r="AE161" s="62"/>
      <c r="AF161" s="62"/>
      <c r="AG161" s="62"/>
      <c r="AH161" s="62"/>
      <c r="AI161" s="62"/>
      <c r="AJ161" s="62"/>
      <c r="AK161" s="62"/>
      <c r="AL161" s="62"/>
      <c r="AM161" s="62"/>
      <c r="AN161" s="62"/>
      <c r="AO161" s="62"/>
      <c r="AP161" s="62"/>
      <c r="AQ161" s="62"/>
      <c r="AR161" s="62"/>
      <c r="AS161" s="62"/>
      <c r="AT161" s="62"/>
      <c r="AU161" s="62"/>
      <c r="AV161" s="62"/>
      <c r="AW161" s="62"/>
      <c r="AX161" s="62"/>
      <c r="AY161" s="62"/>
      <c r="AZ161" s="62"/>
      <c r="BA161" s="62"/>
      <c r="BB161" s="62"/>
      <c r="BC161" s="62"/>
      <c r="BD161" s="62"/>
      <c r="BE161" s="62"/>
      <c r="BF161" s="62"/>
      <c r="BG161" s="62"/>
      <c r="BH161" s="62"/>
      <c r="BI161" s="62"/>
      <c r="BJ161" s="62"/>
      <c r="BK161" s="62"/>
      <c r="BL161" s="62"/>
      <c r="BM161" s="62"/>
      <c r="BN161" s="62"/>
      <c r="BO161" s="62"/>
      <c r="BP161" s="62"/>
      <c r="BQ161" s="62"/>
      <c r="BR161" s="62"/>
      <c r="BS161" s="62"/>
      <c r="BT161" s="62"/>
      <c r="BU161" s="62"/>
      <c r="BV161" s="62"/>
      <c r="BW161" s="62"/>
      <c r="BX161" s="62"/>
      <c r="BY161" s="62"/>
      <c r="BZ161" s="62"/>
      <c r="CA161" s="62"/>
      <c r="CB161" s="62"/>
      <c r="CC161" s="62"/>
      <c r="CD161" s="62"/>
      <c r="CE161" s="62"/>
      <c r="CF161" s="62"/>
      <c r="CG161" s="62"/>
      <c r="CH161" s="62"/>
      <c r="CI161" s="62"/>
      <c r="CJ161" s="62"/>
      <c r="CK161" s="62"/>
      <c r="CL161" s="62"/>
      <c r="CM161" s="62"/>
      <c r="CN161" s="62"/>
      <c r="CO161" s="62"/>
      <c r="CP161" s="62"/>
      <c r="CQ161" s="62"/>
      <c r="CR161" s="62"/>
      <c r="CS161" s="62"/>
      <c r="CT161" s="62"/>
      <c r="CU161" s="62"/>
      <c r="CV161" s="62"/>
      <c r="CW161" s="62"/>
      <c r="CX161" s="62"/>
      <c r="CY161" s="62"/>
      <c r="CZ161" s="62"/>
      <c r="DA161" s="62"/>
      <c r="DB161" s="62"/>
      <c r="DC161" s="62"/>
      <c r="DD161" s="62"/>
      <c r="DE161" s="62"/>
    </row>
    <row r="162" spans="1:109" s="3" customFormat="1">
      <c r="A162" s="62"/>
      <c r="B162" s="62"/>
      <c r="C162" s="62"/>
      <c r="D162" s="62"/>
      <c r="E162" s="62"/>
      <c r="F162" s="47"/>
      <c r="G162" s="47"/>
      <c r="H162" s="47"/>
      <c r="I162" s="48"/>
      <c r="J162" s="47"/>
      <c r="K162" s="57"/>
      <c r="L162" s="55"/>
      <c r="M162" s="47"/>
      <c r="N162" s="47"/>
      <c r="O162" s="47"/>
      <c r="P162" s="47"/>
      <c r="Q162" s="47"/>
      <c r="R162" s="47"/>
      <c r="S162" s="62"/>
      <c r="T162" s="62"/>
      <c r="U162" s="62"/>
      <c r="V162" s="62"/>
      <c r="W162" s="62"/>
      <c r="X162" s="62"/>
      <c r="Y162" s="62"/>
      <c r="Z162" s="62"/>
      <c r="AA162" s="62"/>
      <c r="AB162" s="62"/>
      <c r="AC162" s="62"/>
      <c r="AD162" s="62"/>
      <c r="AE162" s="62"/>
      <c r="AF162" s="62"/>
      <c r="AG162" s="62"/>
      <c r="AH162" s="62"/>
      <c r="AI162" s="62"/>
      <c r="AJ162" s="62"/>
      <c r="AK162" s="62"/>
      <c r="AL162" s="62"/>
      <c r="AM162" s="62"/>
      <c r="AN162" s="62"/>
      <c r="AO162" s="62"/>
      <c r="AP162" s="62"/>
      <c r="AQ162" s="62"/>
      <c r="AR162" s="62"/>
      <c r="AS162" s="62"/>
      <c r="AT162" s="62"/>
      <c r="AU162" s="62"/>
      <c r="AV162" s="62"/>
      <c r="AW162" s="62"/>
      <c r="AX162" s="62"/>
      <c r="AY162" s="62"/>
      <c r="AZ162" s="62"/>
      <c r="BA162" s="62"/>
      <c r="BB162" s="62"/>
      <c r="BC162" s="62"/>
      <c r="BD162" s="62"/>
      <c r="BE162" s="62"/>
      <c r="BF162" s="62"/>
      <c r="BG162" s="62"/>
      <c r="BH162" s="62"/>
      <c r="BI162" s="62"/>
      <c r="BJ162" s="62"/>
      <c r="BK162" s="62"/>
      <c r="BL162" s="62"/>
      <c r="BM162" s="62"/>
      <c r="BN162" s="62"/>
      <c r="BO162" s="62"/>
      <c r="BP162" s="62"/>
      <c r="BQ162" s="62"/>
      <c r="BR162" s="62"/>
      <c r="BS162" s="62"/>
      <c r="BT162" s="62"/>
      <c r="BU162" s="62"/>
      <c r="BV162" s="62"/>
      <c r="BW162" s="62"/>
      <c r="BX162" s="62"/>
      <c r="BY162" s="62"/>
      <c r="BZ162" s="62"/>
      <c r="CA162" s="62"/>
      <c r="CB162" s="62"/>
      <c r="CC162" s="62"/>
      <c r="CD162" s="62"/>
      <c r="CE162" s="62"/>
      <c r="CF162" s="62"/>
      <c r="CG162" s="62"/>
      <c r="CH162" s="62"/>
      <c r="CI162" s="62"/>
      <c r="CJ162" s="62"/>
      <c r="CK162" s="62"/>
      <c r="CL162" s="62"/>
      <c r="CM162" s="62"/>
      <c r="CN162" s="62"/>
      <c r="CO162" s="62"/>
      <c r="CP162" s="62"/>
      <c r="CQ162" s="62"/>
      <c r="CR162" s="62"/>
      <c r="CS162" s="62"/>
      <c r="CT162" s="62"/>
      <c r="CU162" s="62"/>
      <c r="CV162" s="62"/>
      <c r="CW162" s="62"/>
      <c r="CX162" s="62"/>
      <c r="CY162" s="62"/>
      <c r="CZ162" s="62"/>
      <c r="DA162" s="62"/>
      <c r="DB162" s="62"/>
      <c r="DC162" s="62"/>
      <c r="DD162" s="62"/>
      <c r="DE162" s="62"/>
    </row>
    <row r="163" spans="1:109" s="3" customFormat="1">
      <c r="A163" s="62" t="s">
        <v>6391</v>
      </c>
      <c r="B163" s="62" t="s">
        <v>4914</v>
      </c>
      <c r="C163" s="62" t="s">
        <v>494</v>
      </c>
      <c r="D163" s="62"/>
      <c r="E163" s="62" t="s">
        <v>476</v>
      </c>
      <c r="F163" s="47">
        <v>2</v>
      </c>
      <c r="G163" s="47">
        <v>256</v>
      </c>
      <c r="H163" s="47" t="s">
        <v>6392</v>
      </c>
      <c r="I163" s="48"/>
      <c r="J163" s="47">
        <v>1512</v>
      </c>
      <c r="K163" s="57">
        <v>1</v>
      </c>
      <c r="L163" s="55">
        <v>6</v>
      </c>
      <c r="M163" s="47"/>
      <c r="N163" s="47"/>
      <c r="O163" s="47"/>
      <c r="P163" s="47"/>
      <c r="Q163" s="47"/>
      <c r="R163" s="47"/>
      <c r="S163" s="62"/>
      <c r="T163" s="62"/>
      <c r="U163" s="62"/>
      <c r="V163" s="62"/>
      <c r="W163" s="62"/>
      <c r="X163" s="62"/>
      <c r="Y163" s="62"/>
      <c r="Z163" s="62"/>
      <c r="AA163" s="62"/>
      <c r="AB163" s="62"/>
      <c r="AC163" s="62"/>
      <c r="AD163" s="62"/>
      <c r="AE163" s="62"/>
      <c r="AF163" s="62"/>
      <c r="AG163" s="62"/>
      <c r="AH163" s="62"/>
      <c r="AI163" s="62"/>
      <c r="AJ163" s="62"/>
      <c r="AK163" s="62"/>
      <c r="AL163" s="62"/>
      <c r="AM163" s="62"/>
      <c r="AN163" s="62"/>
      <c r="AO163" s="62"/>
      <c r="AP163" s="62"/>
      <c r="AQ163" s="62"/>
      <c r="AR163" s="62"/>
      <c r="AS163" s="62"/>
      <c r="AT163" s="62"/>
      <c r="AU163" s="62"/>
      <c r="AV163" s="62"/>
      <c r="AW163" s="62"/>
      <c r="AX163" s="62"/>
      <c r="AY163" s="62"/>
      <c r="AZ163" s="62"/>
      <c r="BA163" s="62"/>
      <c r="BB163" s="62"/>
      <c r="BC163" s="62"/>
      <c r="BD163" s="62"/>
      <c r="BE163" s="62"/>
      <c r="BF163" s="62"/>
      <c r="BG163" s="62"/>
      <c r="BH163" s="62"/>
      <c r="BI163" s="62"/>
      <c r="BJ163" s="62"/>
      <c r="BK163" s="62"/>
      <c r="BL163" s="62"/>
      <c r="BM163" s="62"/>
      <c r="BN163" s="62"/>
      <c r="BO163" s="62"/>
      <c r="BP163" s="62"/>
      <c r="BQ163" s="62"/>
      <c r="BR163" s="62"/>
      <c r="BS163" s="62"/>
      <c r="BT163" s="62"/>
      <c r="BU163" s="62"/>
      <c r="BV163" s="62"/>
      <c r="BW163" s="62"/>
      <c r="BX163" s="62"/>
      <c r="BY163" s="62"/>
      <c r="BZ163" s="62"/>
      <c r="CA163" s="62"/>
      <c r="CB163" s="62"/>
      <c r="CC163" s="62"/>
      <c r="CD163" s="62"/>
      <c r="CE163" s="62"/>
      <c r="CF163" s="62"/>
      <c r="CG163" s="62"/>
      <c r="CH163" s="62"/>
      <c r="CI163" s="62"/>
      <c r="CJ163" s="62"/>
      <c r="CK163" s="62"/>
      <c r="CL163" s="62"/>
      <c r="CM163" s="62"/>
      <c r="CN163" s="62"/>
      <c r="CO163" s="62"/>
      <c r="CP163" s="62"/>
      <c r="CQ163" s="62"/>
      <c r="CR163" s="62"/>
      <c r="CS163" s="62"/>
      <c r="CT163" s="62"/>
      <c r="CU163" s="62"/>
      <c r="CV163" s="62"/>
      <c r="CW163" s="62"/>
      <c r="CX163" s="62"/>
      <c r="CY163" s="62"/>
      <c r="CZ163" s="62"/>
      <c r="DA163" s="62"/>
      <c r="DB163" s="62"/>
      <c r="DC163" s="62"/>
      <c r="DD163" s="62"/>
      <c r="DE163" s="62"/>
    </row>
    <row r="164" spans="1:109" s="3" customFormat="1">
      <c r="A164" s="62"/>
      <c r="B164" s="62" t="s">
        <v>6393</v>
      </c>
      <c r="C164" s="62" t="s">
        <v>494</v>
      </c>
      <c r="D164" s="62"/>
      <c r="E164" s="62" t="s">
        <v>476</v>
      </c>
      <c r="F164" s="47"/>
      <c r="G164" s="47"/>
      <c r="H164" s="47"/>
      <c r="I164" s="48"/>
      <c r="J164" s="47"/>
      <c r="K164" s="57">
        <v>2</v>
      </c>
      <c r="L164" s="55">
        <v>3</v>
      </c>
      <c r="M164" s="47"/>
      <c r="N164" s="47" t="s">
        <v>6386</v>
      </c>
      <c r="O164" s="47" t="s">
        <v>3751</v>
      </c>
      <c r="P164" s="47" t="s">
        <v>6394</v>
      </c>
      <c r="Q164" s="47"/>
      <c r="R164" s="47"/>
      <c r="S164" s="62"/>
      <c r="T164" s="62"/>
      <c r="U164" s="62"/>
      <c r="V164" s="62"/>
      <c r="W164" s="62"/>
      <c r="X164" s="62"/>
      <c r="Y164" s="62"/>
      <c r="Z164" s="62"/>
      <c r="AA164" s="62"/>
      <c r="AB164" s="62"/>
      <c r="AC164" s="62"/>
      <c r="AD164" s="62"/>
      <c r="AE164" s="62"/>
      <c r="AF164" s="62"/>
      <c r="AG164" s="62"/>
      <c r="AH164" s="62"/>
      <c r="AI164" s="62"/>
      <c r="AJ164" s="62"/>
      <c r="AK164" s="62"/>
      <c r="AL164" s="62"/>
      <c r="AM164" s="62"/>
      <c r="AN164" s="62"/>
      <c r="AO164" s="62"/>
      <c r="AP164" s="62"/>
      <c r="AQ164" s="62"/>
      <c r="AR164" s="62"/>
      <c r="AS164" s="62"/>
      <c r="AT164" s="62"/>
      <c r="AU164" s="62"/>
      <c r="AV164" s="62"/>
      <c r="AW164" s="62"/>
      <c r="AX164" s="62"/>
      <c r="AY164" s="62"/>
      <c r="AZ164" s="62"/>
      <c r="BA164" s="62"/>
      <c r="BB164" s="62"/>
      <c r="BC164" s="62"/>
      <c r="BD164" s="62"/>
      <c r="BE164" s="62"/>
      <c r="BF164" s="62"/>
      <c r="BG164" s="62"/>
      <c r="BH164" s="62"/>
      <c r="BI164" s="62"/>
      <c r="BJ164" s="62"/>
      <c r="BK164" s="62"/>
      <c r="BL164" s="62"/>
      <c r="BM164" s="62"/>
      <c r="BN164" s="62"/>
      <c r="BO164" s="62"/>
      <c r="BP164" s="62"/>
      <c r="BQ164" s="62"/>
      <c r="BR164" s="62"/>
      <c r="BS164" s="62"/>
      <c r="BT164" s="62"/>
      <c r="BU164" s="62"/>
      <c r="BV164" s="62"/>
      <c r="BW164" s="62"/>
      <c r="BX164" s="62"/>
      <c r="BY164" s="62"/>
      <c r="BZ164" s="62"/>
      <c r="CA164" s="62"/>
      <c r="CB164" s="62"/>
      <c r="CC164" s="62"/>
      <c r="CD164" s="62"/>
      <c r="CE164" s="62"/>
      <c r="CF164" s="62"/>
      <c r="CG164" s="62"/>
      <c r="CH164" s="62"/>
      <c r="CI164" s="62"/>
      <c r="CJ164" s="62"/>
      <c r="CK164" s="62"/>
      <c r="CL164" s="62"/>
      <c r="CM164" s="62"/>
      <c r="CN164" s="62"/>
      <c r="CO164" s="62"/>
      <c r="CP164" s="62"/>
      <c r="CQ164" s="62"/>
      <c r="CR164" s="62"/>
      <c r="CS164" s="62"/>
      <c r="CT164" s="62"/>
      <c r="CU164" s="62"/>
      <c r="CV164" s="62"/>
      <c r="CW164" s="62"/>
      <c r="CX164" s="62"/>
      <c r="CY164" s="62"/>
      <c r="CZ164" s="62"/>
      <c r="DA164" s="62"/>
      <c r="DB164" s="62"/>
      <c r="DC164" s="62"/>
      <c r="DD164" s="62"/>
      <c r="DE164" s="62"/>
    </row>
    <row r="165" spans="1:109" s="3" customFormat="1">
      <c r="A165" s="62"/>
      <c r="B165" s="62" t="s">
        <v>4915</v>
      </c>
      <c r="C165" s="62" t="s">
        <v>494</v>
      </c>
      <c r="D165" s="62"/>
      <c r="E165" s="62"/>
      <c r="F165" s="47"/>
      <c r="G165" s="47"/>
      <c r="H165" s="47"/>
      <c r="I165" s="48"/>
      <c r="J165" s="47"/>
      <c r="K165" s="57">
        <v>3</v>
      </c>
      <c r="L165" s="55">
        <v>6</v>
      </c>
      <c r="M165" s="47"/>
      <c r="N165" s="47"/>
      <c r="O165" s="47"/>
      <c r="P165" s="47"/>
      <c r="Q165" s="47"/>
      <c r="R165" s="47"/>
      <c r="S165" s="62"/>
      <c r="T165" s="62"/>
      <c r="U165" s="62"/>
      <c r="V165" s="62"/>
      <c r="W165" s="62"/>
      <c r="X165" s="62"/>
      <c r="Y165" s="62"/>
      <c r="Z165" s="62"/>
      <c r="AA165" s="62"/>
      <c r="AB165" s="62"/>
      <c r="AC165" s="62"/>
      <c r="AD165" s="62"/>
      <c r="AE165" s="62"/>
      <c r="AF165" s="62"/>
      <c r="AG165" s="62"/>
      <c r="AH165" s="62"/>
      <c r="AI165" s="62"/>
      <c r="AJ165" s="62"/>
      <c r="AK165" s="62"/>
      <c r="AL165" s="62"/>
      <c r="AM165" s="62"/>
      <c r="AN165" s="62"/>
      <c r="AO165" s="62"/>
      <c r="AP165" s="62"/>
      <c r="AQ165" s="62"/>
      <c r="AR165" s="62"/>
      <c r="AS165" s="62"/>
      <c r="AT165" s="62"/>
      <c r="AU165" s="62"/>
      <c r="AV165" s="62"/>
      <c r="AW165" s="62"/>
      <c r="AX165" s="62"/>
      <c r="AY165" s="62"/>
      <c r="AZ165" s="62"/>
      <c r="BA165" s="62"/>
      <c r="BB165" s="62"/>
      <c r="BC165" s="62"/>
      <c r="BD165" s="62"/>
      <c r="BE165" s="62"/>
      <c r="BF165" s="62"/>
      <c r="BG165" s="62"/>
      <c r="BH165" s="62"/>
      <c r="BI165" s="62"/>
      <c r="BJ165" s="62"/>
      <c r="BK165" s="62"/>
      <c r="BL165" s="62"/>
      <c r="BM165" s="62"/>
      <c r="BN165" s="62"/>
      <c r="BO165" s="62"/>
      <c r="BP165" s="62"/>
      <c r="BQ165" s="62"/>
      <c r="BR165" s="62"/>
      <c r="BS165" s="62"/>
      <c r="BT165" s="62"/>
      <c r="BU165" s="62"/>
      <c r="BV165" s="62"/>
      <c r="BW165" s="62"/>
      <c r="BX165" s="62"/>
      <c r="BY165" s="62"/>
      <c r="BZ165" s="62"/>
      <c r="CA165" s="62"/>
      <c r="CB165" s="62"/>
      <c r="CC165" s="62"/>
      <c r="CD165" s="62"/>
      <c r="CE165" s="62"/>
      <c r="CF165" s="62"/>
      <c r="CG165" s="62"/>
      <c r="CH165" s="62"/>
      <c r="CI165" s="62"/>
      <c r="CJ165" s="62"/>
      <c r="CK165" s="62"/>
      <c r="CL165" s="62"/>
      <c r="CM165" s="62"/>
      <c r="CN165" s="62"/>
      <c r="CO165" s="62"/>
      <c r="CP165" s="62"/>
      <c r="CQ165" s="62"/>
      <c r="CR165" s="62"/>
      <c r="CS165" s="62"/>
      <c r="CT165" s="62"/>
      <c r="CU165" s="62"/>
      <c r="CV165" s="62"/>
      <c r="CW165" s="62"/>
      <c r="CX165" s="62"/>
      <c r="CY165" s="62"/>
      <c r="CZ165" s="62"/>
      <c r="DA165" s="62"/>
      <c r="DB165" s="62"/>
      <c r="DC165" s="62"/>
      <c r="DD165" s="62"/>
      <c r="DE165" s="62"/>
    </row>
    <row r="166" spans="1:109" s="3" customFormat="1">
      <c r="A166" s="62"/>
      <c r="B166" s="62" t="s">
        <v>6395</v>
      </c>
      <c r="C166" s="62" t="s">
        <v>493</v>
      </c>
      <c r="D166" s="62">
        <v>100</v>
      </c>
      <c r="E166" s="62"/>
      <c r="F166" s="47"/>
      <c r="G166" s="47"/>
      <c r="H166" s="47"/>
      <c r="I166" s="48"/>
      <c r="J166" s="47"/>
      <c r="K166" s="57">
        <v>4</v>
      </c>
      <c r="L166" s="55"/>
      <c r="M166" s="47"/>
      <c r="N166" s="47"/>
      <c r="O166" s="47"/>
      <c r="P166" s="47"/>
      <c r="Q166" s="47"/>
      <c r="R166" s="47"/>
      <c r="S166" s="62"/>
      <c r="T166" s="62"/>
      <c r="U166" s="62"/>
      <c r="V166" s="62"/>
      <c r="W166" s="62"/>
      <c r="X166" s="62"/>
      <c r="Y166" s="62"/>
      <c r="Z166" s="62"/>
      <c r="AA166" s="62"/>
      <c r="AB166" s="62"/>
      <c r="AC166" s="62"/>
      <c r="AD166" s="62"/>
      <c r="AE166" s="62"/>
      <c r="AF166" s="62"/>
      <c r="AG166" s="62"/>
      <c r="AH166" s="62"/>
      <c r="AI166" s="62"/>
      <c r="AJ166" s="62"/>
      <c r="AK166" s="62"/>
      <c r="AL166" s="62"/>
      <c r="AM166" s="62"/>
      <c r="AN166" s="62"/>
      <c r="AO166" s="62"/>
      <c r="AP166" s="62"/>
      <c r="AQ166" s="62"/>
      <c r="AR166" s="62"/>
      <c r="AS166" s="62"/>
      <c r="AT166" s="62"/>
      <c r="AU166" s="62"/>
      <c r="AV166" s="62"/>
      <c r="AW166" s="62"/>
      <c r="AX166" s="62"/>
      <c r="AY166" s="62"/>
      <c r="AZ166" s="62"/>
      <c r="BA166" s="62"/>
      <c r="BB166" s="62"/>
      <c r="BC166" s="62"/>
      <c r="BD166" s="62"/>
      <c r="BE166" s="62"/>
      <c r="BF166" s="62"/>
      <c r="BG166" s="62"/>
      <c r="BH166" s="62"/>
      <c r="BI166" s="62"/>
      <c r="BJ166" s="62"/>
      <c r="BK166" s="62"/>
      <c r="BL166" s="62"/>
      <c r="BM166" s="62"/>
      <c r="BN166" s="62"/>
      <c r="BO166" s="62"/>
      <c r="BP166" s="62"/>
      <c r="BQ166" s="62"/>
      <c r="BR166" s="62"/>
      <c r="BS166" s="62"/>
      <c r="BT166" s="62"/>
      <c r="BU166" s="62"/>
      <c r="BV166" s="62"/>
      <c r="BW166" s="62"/>
      <c r="BX166" s="62"/>
      <c r="BY166" s="62"/>
      <c r="BZ166" s="62"/>
      <c r="CA166" s="62"/>
      <c r="CB166" s="62"/>
      <c r="CC166" s="62"/>
      <c r="CD166" s="62"/>
      <c r="CE166" s="62"/>
      <c r="CF166" s="62"/>
      <c r="CG166" s="62"/>
      <c r="CH166" s="62"/>
      <c r="CI166" s="62"/>
      <c r="CJ166" s="62"/>
      <c r="CK166" s="62"/>
      <c r="CL166" s="62"/>
      <c r="CM166" s="62"/>
      <c r="CN166" s="62"/>
      <c r="CO166" s="62"/>
      <c r="CP166" s="62"/>
      <c r="CQ166" s="62"/>
      <c r="CR166" s="62"/>
      <c r="CS166" s="62"/>
      <c r="CT166" s="62"/>
      <c r="CU166" s="62"/>
      <c r="CV166" s="62"/>
      <c r="CW166" s="62"/>
      <c r="CX166" s="62"/>
      <c r="CY166" s="62"/>
      <c r="CZ166" s="62"/>
      <c r="DA166" s="62"/>
      <c r="DB166" s="62"/>
      <c r="DC166" s="62"/>
      <c r="DD166" s="62"/>
      <c r="DE166" s="62"/>
    </row>
    <row r="167" spans="1:109" s="3" customFormat="1">
      <c r="A167" s="62"/>
      <c r="B167" s="62" t="s">
        <v>6396</v>
      </c>
      <c r="C167" s="62" t="s">
        <v>493</v>
      </c>
      <c r="D167" s="62">
        <v>1</v>
      </c>
      <c r="E167" s="62"/>
      <c r="F167" s="47"/>
      <c r="G167" s="47"/>
      <c r="H167" s="47"/>
      <c r="I167" s="48"/>
      <c r="J167" s="47"/>
      <c r="K167" s="57">
        <v>5</v>
      </c>
      <c r="L167" s="55">
        <v>3</v>
      </c>
      <c r="M167" s="47"/>
      <c r="N167" s="47"/>
      <c r="O167" s="47"/>
      <c r="P167" s="47"/>
      <c r="Q167" s="47"/>
      <c r="R167" s="47"/>
      <c r="S167" s="62"/>
      <c r="T167" s="62"/>
      <c r="U167" s="62"/>
      <c r="V167" s="62"/>
      <c r="W167" s="62"/>
      <c r="X167" s="62"/>
      <c r="Y167" s="62"/>
      <c r="Z167" s="62"/>
      <c r="AA167" s="62"/>
      <c r="AB167" s="62"/>
      <c r="AC167" s="62"/>
      <c r="AD167" s="62"/>
      <c r="AE167" s="62"/>
      <c r="AF167" s="62"/>
      <c r="AG167" s="62"/>
      <c r="AH167" s="62"/>
      <c r="AI167" s="62"/>
      <c r="AJ167" s="62"/>
      <c r="AK167" s="62"/>
      <c r="AL167" s="62"/>
      <c r="AM167" s="62"/>
      <c r="AN167" s="62"/>
      <c r="AO167" s="62"/>
      <c r="AP167" s="62"/>
      <c r="AQ167" s="62"/>
      <c r="AR167" s="62"/>
      <c r="AS167" s="62"/>
      <c r="AT167" s="62"/>
      <c r="AU167" s="62"/>
      <c r="AV167" s="62"/>
      <c r="AW167" s="62"/>
      <c r="AX167" s="62"/>
      <c r="AY167" s="62"/>
      <c r="AZ167" s="62"/>
      <c r="BA167" s="62"/>
      <c r="BB167" s="62"/>
      <c r="BC167" s="62"/>
      <c r="BD167" s="62"/>
      <c r="BE167" s="62"/>
      <c r="BF167" s="62"/>
      <c r="BG167" s="62"/>
      <c r="BH167" s="62"/>
      <c r="BI167" s="62"/>
      <c r="BJ167" s="62"/>
      <c r="BK167" s="62"/>
      <c r="BL167" s="62"/>
      <c r="BM167" s="62"/>
      <c r="BN167" s="62"/>
      <c r="BO167" s="62"/>
      <c r="BP167" s="62"/>
      <c r="BQ167" s="62"/>
      <c r="BR167" s="62"/>
      <c r="BS167" s="62"/>
      <c r="BT167" s="62"/>
      <c r="BU167" s="62"/>
      <c r="BV167" s="62"/>
      <c r="BW167" s="62"/>
      <c r="BX167" s="62"/>
      <c r="BY167" s="62"/>
      <c r="BZ167" s="62"/>
      <c r="CA167" s="62"/>
      <c r="CB167" s="62"/>
      <c r="CC167" s="62"/>
      <c r="CD167" s="62"/>
      <c r="CE167" s="62"/>
      <c r="CF167" s="62"/>
      <c r="CG167" s="62"/>
      <c r="CH167" s="62"/>
      <c r="CI167" s="62"/>
      <c r="CJ167" s="62"/>
      <c r="CK167" s="62"/>
      <c r="CL167" s="62"/>
      <c r="CM167" s="62"/>
      <c r="CN167" s="62"/>
      <c r="CO167" s="62"/>
      <c r="CP167" s="62"/>
      <c r="CQ167" s="62"/>
      <c r="CR167" s="62"/>
      <c r="CS167" s="62"/>
      <c r="CT167" s="62"/>
      <c r="CU167" s="62"/>
      <c r="CV167" s="62"/>
      <c r="CW167" s="62"/>
      <c r="CX167" s="62"/>
      <c r="CY167" s="62"/>
      <c r="CZ167" s="62"/>
      <c r="DA167" s="62"/>
      <c r="DB167" s="62"/>
      <c r="DC167" s="62"/>
      <c r="DD167" s="62"/>
      <c r="DE167" s="62"/>
    </row>
    <row r="168" spans="1:109" s="3" customFormat="1">
      <c r="A168" s="62"/>
      <c r="B168" s="62" t="s">
        <v>6397</v>
      </c>
      <c r="C168" s="62" t="s">
        <v>520</v>
      </c>
      <c r="D168" s="62"/>
      <c r="E168" s="62"/>
      <c r="F168" s="47"/>
      <c r="G168" s="47"/>
      <c r="H168" s="47"/>
      <c r="I168" s="48"/>
      <c r="J168" s="47"/>
      <c r="K168" s="57">
        <v>6</v>
      </c>
      <c r="L168" s="55"/>
      <c r="M168" s="47"/>
      <c r="N168" s="47"/>
      <c r="O168" s="47"/>
      <c r="P168" s="47"/>
      <c r="Q168" s="47"/>
      <c r="R168" s="47"/>
      <c r="S168" s="62"/>
      <c r="T168" s="62"/>
      <c r="U168" s="62"/>
      <c r="V168" s="62"/>
      <c r="W168" s="62"/>
      <c r="X168" s="62"/>
      <c r="Y168" s="62"/>
      <c r="Z168" s="62"/>
      <c r="AA168" s="62"/>
      <c r="AB168" s="62"/>
      <c r="AC168" s="62"/>
      <c r="AD168" s="62"/>
      <c r="AE168" s="62"/>
      <c r="AF168" s="62"/>
      <c r="AG168" s="62"/>
      <c r="AH168" s="62"/>
      <c r="AI168" s="62"/>
      <c r="AJ168" s="62"/>
      <c r="AK168" s="62"/>
      <c r="AL168" s="62"/>
      <c r="AM168" s="62"/>
      <c r="AN168" s="62"/>
      <c r="AO168" s="62"/>
      <c r="AP168" s="62"/>
      <c r="AQ168" s="62"/>
      <c r="AR168" s="62"/>
      <c r="AS168" s="62"/>
      <c r="AT168" s="62"/>
      <c r="AU168" s="62"/>
      <c r="AV168" s="62"/>
      <c r="AW168" s="62"/>
      <c r="AX168" s="62"/>
      <c r="AY168" s="62"/>
      <c r="AZ168" s="62"/>
      <c r="BA168" s="62"/>
      <c r="BB168" s="62"/>
      <c r="BC168" s="62"/>
      <c r="BD168" s="62"/>
      <c r="BE168" s="62"/>
      <c r="BF168" s="62"/>
      <c r="BG168" s="62"/>
      <c r="BH168" s="62"/>
      <c r="BI168" s="62"/>
      <c r="BJ168" s="62"/>
      <c r="BK168" s="62"/>
      <c r="BL168" s="62"/>
      <c r="BM168" s="62"/>
      <c r="BN168" s="62"/>
      <c r="BO168" s="62"/>
      <c r="BP168" s="62"/>
      <c r="BQ168" s="62"/>
      <c r="BR168" s="62"/>
      <c r="BS168" s="62"/>
      <c r="BT168" s="62"/>
      <c r="BU168" s="62"/>
      <c r="BV168" s="62"/>
      <c r="BW168" s="62"/>
      <c r="BX168" s="62"/>
      <c r="BY168" s="62"/>
      <c r="BZ168" s="62"/>
      <c r="CA168" s="62"/>
      <c r="CB168" s="62"/>
      <c r="CC168" s="62"/>
      <c r="CD168" s="62"/>
      <c r="CE168" s="62"/>
      <c r="CF168" s="62"/>
      <c r="CG168" s="62"/>
      <c r="CH168" s="62"/>
      <c r="CI168" s="62"/>
      <c r="CJ168" s="62"/>
      <c r="CK168" s="62"/>
      <c r="CL168" s="62"/>
      <c r="CM168" s="62"/>
      <c r="CN168" s="62"/>
      <c r="CO168" s="62"/>
      <c r="CP168" s="62"/>
      <c r="CQ168" s="62"/>
      <c r="CR168" s="62"/>
      <c r="CS168" s="62"/>
      <c r="CT168" s="62"/>
      <c r="CU168" s="62"/>
      <c r="CV168" s="62"/>
      <c r="CW168" s="62"/>
      <c r="CX168" s="62"/>
      <c r="CY168" s="62"/>
      <c r="CZ168" s="62"/>
      <c r="DA168" s="62"/>
      <c r="DB168" s="62"/>
      <c r="DC168" s="62"/>
      <c r="DD168" s="62"/>
      <c r="DE168" s="62"/>
    </row>
    <row r="169" spans="1:109" s="3" customFormat="1">
      <c r="A169" s="62"/>
      <c r="B169" s="62" t="s">
        <v>6398</v>
      </c>
      <c r="C169" s="62" t="s">
        <v>520</v>
      </c>
      <c r="D169" s="62"/>
      <c r="E169" s="62"/>
      <c r="F169" s="47"/>
      <c r="G169" s="47"/>
      <c r="H169" s="47"/>
      <c r="I169" s="48"/>
      <c r="J169" s="47"/>
      <c r="K169" s="57">
        <v>7</v>
      </c>
      <c r="L169" s="55"/>
      <c r="M169" s="47"/>
      <c r="N169" s="47"/>
      <c r="O169" s="47"/>
      <c r="P169" s="47"/>
      <c r="Q169" s="47"/>
      <c r="R169" s="47"/>
      <c r="S169" s="62"/>
      <c r="T169" s="62"/>
      <c r="U169" s="62"/>
      <c r="V169" s="62"/>
      <c r="W169" s="62"/>
      <c r="X169" s="62"/>
      <c r="Y169" s="62"/>
      <c r="Z169" s="62"/>
      <c r="AA169" s="62"/>
      <c r="AB169" s="62"/>
      <c r="AC169" s="62"/>
      <c r="AD169" s="62"/>
      <c r="AE169" s="62"/>
      <c r="AF169" s="62"/>
      <c r="AG169" s="62"/>
      <c r="AH169" s="62"/>
      <c r="AI169" s="62"/>
      <c r="AJ169" s="62"/>
      <c r="AK169" s="62"/>
      <c r="AL169" s="62"/>
      <c r="AM169" s="62"/>
      <c r="AN169" s="62"/>
      <c r="AO169" s="62"/>
      <c r="AP169" s="62"/>
      <c r="AQ169" s="62"/>
      <c r="AR169" s="62"/>
      <c r="AS169" s="62"/>
      <c r="AT169" s="62"/>
      <c r="AU169" s="62"/>
      <c r="AV169" s="62"/>
      <c r="AW169" s="62"/>
      <c r="AX169" s="62"/>
      <c r="AY169" s="62"/>
      <c r="AZ169" s="62"/>
      <c r="BA169" s="62"/>
      <c r="BB169" s="62"/>
      <c r="BC169" s="62"/>
      <c r="BD169" s="62"/>
      <c r="BE169" s="62"/>
      <c r="BF169" s="62"/>
      <c r="BG169" s="62"/>
      <c r="BH169" s="62"/>
      <c r="BI169" s="62"/>
      <c r="BJ169" s="62"/>
      <c r="BK169" s="62"/>
      <c r="BL169" s="62"/>
      <c r="BM169" s="62"/>
      <c r="BN169" s="62"/>
      <c r="BO169" s="62"/>
      <c r="BP169" s="62"/>
      <c r="BQ169" s="62"/>
      <c r="BR169" s="62"/>
      <c r="BS169" s="62"/>
      <c r="BT169" s="62"/>
      <c r="BU169" s="62"/>
      <c r="BV169" s="62"/>
      <c r="BW169" s="62"/>
      <c r="BX169" s="62"/>
      <c r="BY169" s="62"/>
      <c r="BZ169" s="62"/>
      <c r="CA169" s="62"/>
      <c r="CB169" s="62"/>
      <c r="CC169" s="62"/>
      <c r="CD169" s="62"/>
      <c r="CE169" s="62"/>
      <c r="CF169" s="62"/>
      <c r="CG169" s="62"/>
      <c r="CH169" s="62"/>
      <c r="CI169" s="62"/>
      <c r="CJ169" s="62"/>
      <c r="CK169" s="62"/>
      <c r="CL169" s="62"/>
      <c r="CM169" s="62"/>
      <c r="CN169" s="62"/>
      <c r="CO169" s="62"/>
      <c r="CP169" s="62"/>
      <c r="CQ169" s="62"/>
      <c r="CR169" s="62"/>
      <c r="CS169" s="62"/>
      <c r="CT169" s="62"/>
      <c r="CU169" s="62"/>
      <c r="CV169" s="62"/>
      <c r="CW169" s="62"/>
      <c r="CX169" s="62"/>
      <c r="CY169" s="62"/>
      <c r="CZ169" s="62"/>
      <c r="DA169" s="62"/>
      <c r="DB169" s="62"/>
      <c r="DC169" s="62"/>
      <c r="DD169" s="62"/>
      <c r="DE169" s="62"/>
    </row>
    <row r="170" spans="1:109" s="62" customFormat="1">
      <c r="F170" s="47"/>
      <c r="G170" s="47"/>
      <c r="H170" s="47"/>
      <c r="I170" s="48"/>
      <c r="J170" s="47"/>
      <c r="K170" s="57"/>
      <c r="L170" s="55"/>
      <c r="M170" s="47"/>
      <c r="N170" s="47"/>
      <c r="O170" s="47"/>
      <c r="P170" s="47"/>
      <c r="Q170" s="47"/>
      <c r="R170" s="47"/>
    </row>
    <row r="171" spans="1:109" s="62" customFormat="1">
      <c r="A171" s="62" t="s">
        <v>6404</v>
      </c>
      <c r="B171" s="62" t="s">
        <v>6222</v>
      </c>
      <c r="C171" s="62" t="s">
        <v>494</v>
      </c>
      <c r="E171" s="62" t="s">
        <v>476</v>
      </c>
      <c r="F171" s="47"/>
      <c r="G171" s="47"/>
      <c r="H171" s="47"/>
      <c r="I171" s="48"/>
      <c r="J171" s="47"/>
      <c r="K171" s="57"/>
      <c r="L171" s="55"/>
      <c r="M171" s="47"/>
      <c r="N171" s="47"/>
      <c r="O171" s="47"/>
      <c r="P171" s="47"/>
      <c r="Q171" s="47"/>
      <c r="R171" s="47"/>
    </row>
    <row r="172" spans="1:109" s="62" customFormat="1">
      <c r="B172" s="62" t="s">
        <v>6405</v>
      </c>
      <c r="C172" s="62" t="s">
        <v>493</v>
      </c>
      <c r="D172" s="62">
        <v>100</v>
      </c>
      <c r="H172" s="62" t="s">
        <v>6362</v>
      </c>
    </row>
    <row r="173" spans="1:109" s="62" customFormat="1"/>
    <row r="174" spans="1:109" s="62" customFormat="1">
      <c r="A174" s="62" t="s">
        <v>6407</v>
      </c>
      <c r="B174" s="62" t="s">
        <v>6408</v>
      </c>
      <c r="C174" s="62" t="s">
        <v>494</v>
      </c>
      <c r="E174" s="62" t="s">
        <v>476</v>
      </c>
    </row>
    <row r="175" spans="1:109" s="62" customFormat="1">
      <c r="B175" s="62" t="s">
        <v>6409</v>
      </c>
      <c r="C175" s="62" t="s">
        <v>493</v>
      </c>
      <c r="D175" s="62">
        <v>100</v>
      </c>
      <c r="H175" s="47" t="s">
        <v>6410</v>
      </c>
    </row>
    <row r="176" spans="1:109" s="62" customFormat="1"/>
    <row r="177" spans="1:16" s="62" customFormat="1"/>
    <row r="178" spans="1:16" s="62" customFormat="1"/>
    <row r="179" spans="1:16" s="62" customFormat="1"/>
    <row r="180" spans="1:16" s="62" customFormat="1"/>
    <row r="181" spans="1:16" s="62" customFormat="1"/>
    <row r="182" spans="1:16" s="62" customFormat="1"/>
    <row r="183" spans="1:16" s="62" customFormat="1"/>
    <row r="184" spans="1:16">
      <c r="A184" s="62" t="s">
        <v>4843</v>
      </c>
      <c r="B184" s="62" t="s">
        <v>4848</v>
      </c>
      <c r="C184" s="62" t="s">
        <v>494</v>
      </c>
      <c r="E184" s="62" t="s">
        <v>476</v>
      </c>
      <c r="F184">
        <v>2</v>
      </c>
      <c r="G184">
        <v>251</v>
      </c>
      <c r="H184" s="62" t="s">
        <v>4847</v>
      </c>
      <c r="I184" s="22" t="s">
        <v>4846</v>
      </c>
      <c r="J184">
        <v>1512</v>
      </c>
      <c r="K184">
        <v>1</v>
      </c>
      <c r="L184">
        <v>3</v>
      </c>
      <c r="N184" s="1" t="s">
        <v>536</v>
      </c>
      <c r="O184" s="1" t="s">
        <v>537</v>
      </c>
      <c r="P184" s="1" t="s">
        <v>538</v>
      </c>
    </row>
    <row r="185" spans="1:16">
      <c r="B185" s="62" t="s">
        <v>4844</v>
      </c>
      <c r="C185" s="62" t="s">
        <v>494</v>
      </c>
      <c r="E185" s="62" t="s">
        <v>476</v>
      </c>
      <c r="K185">
        <v>2</v>
      </c>
      <c r="L185">
        <v>6</v>
      </c>
    </row>
    <row r="186" spans="1:16">
      <c r="B186" s="62" t="s">
        <v>6239</v>
      </c>
      <c r="C186" s="62" t="s">
        <v>494</v>
      </c>
      <c r="E186" s="62" t="s">
        <v>476</v>
      </c>
      <c r="H186" t="s">
        <v>6240</v>
      </c>
    </row>
    <row r="187" spans="1:16">
      <c r="B187" s="62" t="s">
        <v>4845</v>
      </c>
      <c r="C187" s="62" t="s">
        <v>494</v>
      </c>
      <c r="K187">
        <v>3</v>
      </c>
      <c r="L187">
        <v>6</v>
      </c>
    </row>
    <row r="188" spans="1:16">
      <c r="B188" s="70" t="s">
        <v>6214</v>
      </c>
      <c r="C188" s="62" t="s">
        <v>494</v>
      </c>
      <c r="K188">
        <v>4</v>
      </c>
      <c r="L188">
        <v>3</v>
      </c>
      <c r="N188" s="1" t="s">
        <v>161</v>
      </c>
      <c r="O188" s="29" t="s">
        <v>170</v>
      </c>
      <c r="P188" s="29" t="s">
        <v>172</v>
      </c>
    </row>
    <row r="189" spans="1:16">
      <c r="B189" s="62" t="s">
        <v>4858</v>
      </c>
      <c r="C189" s="62" t="s">
        <v>493</v>
      </c>
      <c r="D189">
        <v>1</v>
      </c>
      <c r="K189">
        <v>5</v>
      </c>
      <c r="L189">
        <v>30</v>
      </c>
    </row>
    <row r="190" spans="1:16">
      <c r="B190" s="62" t="s">
        <v>4849</v>
      </c>
      <c r="C190" s="62" t="s">
        <v>494</v>
      </c>
      <c r="K190">
        <v>6</v>
      </c>
      <c r="L190">
        <v>7</v>
      </c>
    </row>
    <row r="191" spans="1:16">
      <c r="B191" s="62" t="s">
        <v>4850</v>
      </c>
      <c r="C191" s="62" t="s">
        <v>494</v>
      </c>
      <c r="K191">
        <v>7</v>
      </c>
      <c r="M191">
        <v>71</v>
      </c>
    </row>
    <row r="192" spans="1:16">
      <c r="B192" s="62" t="s">
        <v>4851</v>
      </c>
      <c r="C192" s="62" t="s">
        <v>494</v>
      </c>
      <c r="K192">
        <v>8</v>
      </c>
      <c r="M192">
        <v>72</v>
      </c>
    </row>
    <row r="193" spans="2:13">
      <c r="B193" s="62" t="s">
        <v>4852</v>
      </c>
      <c r="C193" s="62" t="s">
        <v>494</v>
      </c>
      <c r="K193">
        <v>9</v>
      </c>
      <c r="M193">
        <v>71</v>
      </c>
    </row>
    <row r="194" spans="2:13">
      <c r="B194" s="62" t="s">
        <v>4853</v>
      </c>
      <c r="C194" s="62" t="s">
        <v>494</v>
      </c>
      <c r="K194">
        <v>10</v>
      </c>
      <c r="M194">
        <v>72</v>
      </c>
    </row>
    <row r="195" spans="2:13">
      <c r="B195" s="62" t="s">
        <v>4854</v>
      </c>
      <c r="C195" s="62" t="s">
        <v>493</v>
      </c>
      <c r="D195">
        <v>250</v>
      </c>
      <c r="K195">
        <v>11</v>
      </c>
    </row>
    <row r="196" spans="2:13">
      <c r="B196" s="62" t="s">
        <v>4855</v>
      </c>
      <c r="C196" s="62" t="s">
        <v>520</v>
      </c>
      <c r="K196">
        <v>12</v>
      </c>
    </row>
    <row r="197" spans="2:13">
      <c r="B197" s="62" t="s">
        <v>4856</v>
      </c>
      <c r="C197" s="62" t="s">
        <v>520</v>
      </c>
      <c r="K197">
        <v>13</v>
      </c>
    </row>
    <row r="198" spans="2:13">
      <c r="B198" s="62" t="s">
        <v>4857</v>
      </c>
      <c r="C198" s="62" t="s">
        <v>520</v>
      </c>
      <c r="K198">
        <v>14</v>
      </c>
    </row>
    <row r="199" spans="2:13">
      <c r="B199" s="62" t="s">
        <v>6237</v>
      </c>
      <c r="C199" s="62" t="s">
        <v>494</v>
      </c>
      <c r="K199">
        <v>15</v>
      </c>
      <c r="L199">
        <v>3</v>
      </c>
    </row>
    <row r="200" spans="2:13">
      <c r="B200" s="70" t="s">
        <v>4872</v>
      </c>
      <c r="C200" s="62" t="s">
        <v>493</v>
      </c>
      <c r="D200">
        <v>250</v>
      </c>
      <c r="K200">
        <v>5</v>
      </c>
    </row>
    <row r="201" spans="2:13">
      <c r="B201" s="70" t="s">
        <v>4873</v>
      </c>
      <c r="C201" s="62" t="s">
        <v>520</v>
      </c>
      <c r="K201">
        <v>6</v>
      </c>
    </row>
    <row r="202" spans="2:13">
      <c r="B202" s="70" t="s">
        <v>4867</v>
      </c>
      <c r="C202" s="62" t="s">
        <v>494</v>
      </c>
      <c r="H202" s="62" t="s">
        <v>4874</v>
      </c>
      <c r="K202">
        <v>7</v>
      </c>
      <c r="L202">
        <v>3</v>
      </c>
    </row>
    <row r="203" spans="2:13">
      <c r="B203" s="70" t="s">
        <v>4875</v>
      </c>
      <c r="C203" s="62" t="s">
        <v>494</v>
      </c>
      <c r="H203" s="62" t="s">
        <v>4874</v>
      </c>
      <c r="K203">
        <v>8</v>
      </c>
      <c r="L203">
        <v>3</v>
      </c>
    </row>
    <row r="204" spans="2:13">
      <c r="B204" s="70" t="s">
        <v>4878</v>
      </c>
      <c r="C204" s="62" t="s">
        <v>494</v>
      </c>
      <c r="H204" s="62" t="s">
        <v>4876</v>
      </c>
      <c r="K204">
        <v>9</v>
      </c>
    </row>
    <row r="205" spans="2:13">
      <c r="B205" s="70" t="s">
        <v>4877</v>
      </c>
      <c r="C205" s="62" t="s">
        <v>494</v>
      </c>
      <c r="K205">
        <v>10</v>
      </c>
    </row>
    <row r="206" spans="2:13">
      <c r="B206" s="70" t="s">
        <v>4879</v>
      </c>
      <c r="C206" s="62" t="s">
        <v>494</v>
      </c>
      <c r="K206">
        <v>11</v>
      </c>
    </row>
    <row r="207" spans="2:13">
      <c r="B207" s="70" t="s">
        <v>4880</v>
      </c>
      <c r="C207" s="62" t="s">
        <v>494</v>
      </c>
      <c r="K207">
        <v>12</v>
      </c>
      <c r="L207">
        <v>8</v>
      </c>
    </row>
    <row r="208" spans="2:13">
      <c r="B208" s="70" t="s">
        <v>4881</v>
      </c>
      <c r="C208" s="62" t="s">
        <v>520</v>
      </c>
      <c r="K208">
        <v>13</v>
      </c>
    </row>
    <row r="209" spans="2:16">
      <c r="B209" s="70" t="s">
        <v>4882</v>
      </c>
      <c r="C209" s="62" t="s">
        <v>520</v>
      </c>
      <c r="K209">
        <v>14</v>
      </c>
    </row>
    <row r="210" spans="2:16">
      <c r="B210" s="78" t="s">
        <v>4898</v>
      </c>
      <c r="C210" s="62" t="s">
        <v>493</v>
      </c>
      <c r="D210">
        <v>1</v>
      </c>
      <c r="K210">
        <v>6</v>
      </c>
      <c r="L210">
        <v>3</v>
      </c>
      <c r="M210">
        <v>1</v>
      </c>
      <c r="N210" s="1"/>
      <c r="O210" s="1"/>
      <c r="P210" s="1"/>
    </row>
    <row r="211" spans="2:16">
      <c r="B211" s="78" t="s">
        <v>4891</v>
      </c>
      <c r="C211" s="62" t="s">
        <v>494</v>
      </c>
      <c r="K211">
        <v>7</v>
      </c>
      <c r="L211">
        <v>3</v>
      </c>
      <c r="N211" s="62" t="s">
        <v>6215</v>
      </c>
      <c r="O211" t="s">
        <v>6234</v>
      </c>
      <c r="P211" t="s">
        <v>6235</v>
      </c>
    </row>
    <row r="212" spans="2:16">
      <c r="B212" s="78" t="s">
        <v>4892</v>
      </c>
      <c r="C212" s="62" t="s">
        <v>494</v>
      </c>
      <c r="K212">
        <v>8</v>
      </c>
    </row>
    <row r="213" spans="2:16">
      <c r="B213" s="78" t="s">
        <v>4893</v>
      </c>
      <c r="C213" s="62" t="s">
        <v>494</v>
      </c>
      <c r="K213">
        <v>9</v>
      </c>
    </row>
    <row r="214" spans="2:16">
      <c r="B214" s="78" t="s">
        <v>4894</v>
      </c>
      <c r="C214" s="62" t="s">
        <v>494</v>
      </c>
      <c r="K214">
        <v>10</v>
      </c>
      <c r="L214">
        <v>7</v>
      </c>
    </row>
    <row r="215" spans="2:16">
      <c r="B215" s="78" t="s">
        <v>4895</v>
      </c>
      <c r="C215" s="62" t="s">
        <v>494</v>
      </c>
      <c r="K215">
        <v>11</v>
      </c>
      <c r="L215">
        <v>7</v>
      </c>
    </row>
    <row r="216" spans="2:16">
      <c r="B216" s="78" t="s">
        <v>4896</v>
      </c>
      <c r="C216" s="62" t="s">
        <v>494</v>
      </c>
      <c r="K216">
        <v>12</v>
      </c>
      <c r="L216">
        <v>8</v>
      </c>
    </row>
    <row r="217" spans="2:16">
      <c r="B217" s="78" t="s">
        <v>4897</v>
      </c>
      <c r="C217" s="62" t="s">
        <v>520</v>
      </c>
      <c r="K217">
        <v>13</v>
      </c>
    </row>
    <row r="218" spans="2:16">
      <c r="B218" s="78" t="s">
        <v>6238</v>
      </c>
      <c r="C218" s="62" t="s">
        <v>493</v>
      </c>
      <c r="D218">
        <v>100</v>
      </c>
      <c r="K218">
        <v>14</v>
      </c>
    </row>
    <row r="219" spans="2:16">
      <c r="B219" s="118" t="s">
        <v>4918</v>
      </c>
      <c r="C219" s="62" t="s">
        <v>520</v>
      </c>
      <c r="K219">
        <v>6</v>
      </c>
      <c r="N219" s="1"/>
      <c r="O219" s="1"/>
      <c r="P219" s="1"/>
    </row>
    <row r="220" spans="2:16">
      <c r="B220" s="118" t="s">
        <v>4919</v>
      </c>
      <c r="C220" s="62" t="s">
        <v>520</v>
      </c>
      <c r="K220">
        <v>7</v>
      </c>
      <c r="N220" s="1"/>
      <c r="O220" s="1"/>
      <c r="P220" s="1"/>
    </row>
    <row r="221" spans="2:16">
      <c r="B221" s="118" t="s">
        <v>4920</v>
      </c>
      <c r="C221" s="62" t="s">
        <v>520</v>
      </c>
      <c r="K221">
        <v>8</v>
      </c>
      <c r="N221" s="1"/>
      <c r="O221" s="1"/>
      <c r="P221" s="1"/>
    </row>
    <row r="222" spans="2:16">
      <c r="B222" s="118" t="s">
        <v>4921</v>
      </c>
      <c r="C222" s="62" t="s">
        <v>493</v>
      </c>
      <c r="D222">
        <v>1</v>
      </c>
      <c r="K222">
        <v>9</v>
      </c>
      <c r="L222">
        <v>3</v>
      </c>
      <c r="N222" s="1"/>
      <c r="O222" s="1"/>
      <c r="P222" s="1"/>
    </row>
    <row r="223" spans="2:16">
      <c r="B223" s="119" t="s">
        <v>4909</v>
      </c>
      <c r="C223" s="62" t="s">
        <v>494</v>
      </c>
      <c r="K223">
        <v>4</v>
      </c>
      <c r="L223">
        <v>7</v>
      </c>
    </row>
    <row r="224" spans="2:16">
      <c r="B224" s="119" t="s">
        <v>4910</v>
      </c>
      <c r="C224" s="62" t="s">
        <v>493</v>
      </c>
      <c r="D224">
        <v>1</v>
      </c>
      <c r="H224" s="62" t="s">
        <v>4903</v>
      </c>
      <c r="K224">
        <v>5</v>
      </c>
      <c r="L224">
        <v>3</v>
      </c>
    </row>
    <row r="225" spans="1:15">
      <c r="B225" s="119" t="s">
        <v>4911</v>
      </c>
      <c r="C225" s="62" t="s">
        <v>493</v>
      </c>
      <c r="D225">
        <v>200</v>
      </c>
      <c r="K225">
        <v>6</v>
      </c>
    </row>
    <row r="226" spans="1:15">
      <c r="B226" s="119" t="s">
        <v>4912</v>
      </c>
      <c r="C226" s="62" t="s">
        <v>520</v>
      </c>
      <c r="K226">
        <v>7</v>
      </c>
    </row>
    <row r="227" spans="1:15">
      <c r="B227" s="119" t="s">
        <v>4913</v>
      </c>
      <c r="C227" s="62" t="s">
        <v>520</v>
      </c>
      <c r="H227" s="62" t="s">
        <v>4900</v>
      </c>
      <c r="K227">
        <v>8</v>
      </c>
    </row>
    <row r="229" spans="1:15">
      <c r="A229" s="62" t="s">
        <v>4859</v>
      </c>
      <c r="B229" s="62" t="s">
        <v>4860</v>
      </c>
      <c r="C229" s="62" t="s">
        <v>494</v>
      </c>
      <c r="E229" s="62" t="s">
        <v>476</v>
      </c>
      <c r="F229">
        <v>2</v>
      </c>
      <c r="G229">
        <v>252</v>
      </c>
      <c r="H229" s="62" t="s">
        <v>1176</v>
      </c>
      <c r="J229">
        <v>1512</v>
      </c>
      <c r="K229">
        <v>1</v>
      </c>
      <c r="L229">
        <v>52</v>
      </c>
      <c r="N229" s="62">
        <v>251</v>
      </c>
      <c r="O229" s="62" t="s">
        <v>4845</v>
      </c>
    </row>
    <row r="230" spans="1:15">
      <c r="B230" s="62" t="s">
        <v>4861</v>
      </c>
      <c r="C230" s="62" t="s">
        <v>494</v>
      </c>
      <c r="E230" s="62" t="s">
        <v>476</v>
      </c>
      <c r="K230">
        <v>2</v>
      </c>
      <c r="L230">
        <v>8</v>
      </c>
    </row>
    <row r="231" spans="1:15">
      <c r="B231" s="62" t="s">
        <v>4862</v>
      </c>
      <c r="C231" s="62" t="s">
        <v>494</v>
      </c>
      <c r="K231">
        <v>3</v>
      </c>
      <c r="L231">
        <v>6</v>
      </c>
    </row>
    <row r="232" spans="1:15">
      <c r="B232" s="62" t="s">
        <v>4863</v>
      </c>
      <c r="C232" s="62" t="s">
        <v>493</v>
      </c>
      <c r="D232">
        <v>1</v>
      </c>
      <c r="K232">
        <v>4</v>
      </c>
      <c r="L232">
        <v>3</v>
      </c>
    </row>
    <row r="234" spans="1:15">
      <c r="A234" s="70" t="s">
        <v>6216</v>
      </c>
      <c r="B234" s="70" t="s">
        <v>6217</v>
      </c>
      <c r="C234" s="70" t="s">
        <v>494</v>
      </c>
      <c r="E234" s="62" t="s">
        <v>476</v>
      </c>
      <c r="F234">
        <v>2</v>
      </c>
      <c r="G234">
        <v>258</v>
      </c>
      <c r="H234" s="62" t="s">
        <v>111</v>
      </c>
      <c r="J234">
        <v>1512</v>
      </c>
      <c r="K234">
        <v>1</v>
      </c>
      <c r="L234">
        <v>52</v>
      </c>
      <c r="N234" s="62">
        <v>251</v>
      </c>
      <c r="O234" s="62" t="s">
        <v>4845</v>
      </c>
    </row>
    <row r="235" spans="1:15">
      <c r="A235" s="94"/>
      <c r="B235" s="70" t="s">
        <v>6218</v>
      </c>
      <c r="C235" s="70" t="s">
        <v>494</v>
      </c>
      <c r="E235" s="62" t="s">
        <v>476</v>
      </c>
      <c r="K235">
        <v>2</v>
      </c>
      <c r="M235">
        <v>2</v>
      </c>
    </row>
    <row r="236" spans="1:15">
      <c r="A236" s="94"/>
      <c r="B236" s="70" t="s">
        <v>6219</v>
      </c>
      <c r="C236" s="70" t="s">
        <v>494</v>
      </c>
      <c r="E236" s="62" t="s">
        <v>476</v>
      </c>
      <c r="K236">
        <v>3</v>
      </c>
      <c r="M236">
        <v>2</v>
      </c>
    </row>
    <row r="237" spans="1:15">
      <c r="A237" s="94"/>
      <c r="B237" s="70" t="s">
        <v>6220</v>
      </c>
      <c r="C237" s="70" t="s">
        <v>494</v>
      </c>
      <c r="E237" s="62" t="s">
        <v>476</v>
      </c>
      <c r="K237">
        <v>4</v>
      </c>
      <c r="M237">
        <v>2</v>
      </c>
    </row>
    <row r="238" spans="1:15">
      <c r="A238" s="94"/>
      <c r="B238" s="70" t="s">
        <v>6221</v>
      </c>
      <c r="C238" s="70" t="s">
        <v>494</v>
      </c>
      <c r="E238" s="62" t="s">
        <v>476</v>
      </c>
      <c r="K238">
        <v>5</v>
      </c>
      <c r="L238">
        <v>6</v>
      </c>
    </row>
    <row r="239" spans="1:15">
      <c r="A239" s="94"/>
      <c r="B239" s="70" t="s">
        <v>6222</v>
      </c>
      <c r="C239" s="70" t="s">
        <v>494</v>
      </c>
      <c r="K239">
        <v>6</v>
      </c>
      <c r="L239">
        <v>6</v>
      </c>
    </row>
    <row r="240" spans="1:15">
      <c r="A240" s="94"/>
      <c r="B240" s="70" t="s">
        <v>6223</v>
      </c>
      <c r="C240" s="70" t="s">
        <v>493</v>
      </c>
      <c r="D240">
        <v>100</v>
      </c>
      <c r="K240">
        <v>7</v>
      </c>
    </row>
    <row r="241" spans="1:16">
      <c r="A241" s="94"/>
      <c r="B241" s="70" t="s">
        <v>6224</v>
      </c>
      <c r="C241" s="70" t="s">
        <v>494</v>
      </c>
      <c r="K241">
        <v>8</v>
      </c>
      <c r="L241">
        <v>91</v>
      </c>
    </row>
    <row r="242" spans="1:16">
      <c r="A242" s="94"/>
      <c r="B242" s="70" t="s">
        <v>6225</v>
      </c>
      <c r="C242" s="70" t="s">
        <v>494</v>
      </c>
      <c r="K242">
        <v>9</v>
      </c>
      <c r="L242">
        <v>92</v>
      </c>
    </row>
    <row r="243" spans="1:16">
      <c r="A243" s="94"/>
      <c r="B243" s="70" t="s">
        <v>6226</v>
      </c>
      <c r="C243" s="70" t="s">
        <v>494</v>
      </c>
      <c r="K243">
        <v>10</v>
      </c>
      <c r="L243">
        <v>8</v>
      </c>
      <c r="M243">
        <v>1</v>
      </c>
    </row>
    <row r="244" spans="1:16">
      <c r="A244" s="94"/>
      <c r="B244" s="70" t="s">
        <v>6227</v>
      </c>
      <c r="C244" s="70" t="s">
        <v>494</v>
      </c>
      <c r="K244">
        <v>11</v>
      </c>
      <c r="L244">
        <v>7</v>
      </c>
      <c r="M244">
        <v>1</v>
      </c>
    </row>
    <row r="246" spans="1:16">
      <c r="A246" s="62" t="s">
        <v>4864</v>
      </c>
      <c r="B246" s="62" t="s">
        <v>4868</v>
      </c>
      <c r="C246" s="62" t="s">
        <v>494</v>
      </c>
      <c r="E246" s="62" t="s">
        <v>476</v>
      </c>
      <c r="F246">
        <v>2</v>
      </c>
      <c r="G246" s="62">
        <v>253</v>
      </c>
      <c r="H246" s="62" t="s">
        <v>4884</v>
      </c>
      <c r="J246">
        <v>1512</v>
      </c>
      <c r="K246">
        <v>1</v>
      </c>
      <c r="L246">
        <v>52</v>
      </c>
      <c r="N246" s="62">
        <v>251</v>
      </c>
      <c r="O246" s="62" t="s">
        <v>4845</v>
      </c>
    </row>
    <row r="247" spans="1:16">
      <c r="B247" s="62" t="s">
        <v>4869</v>
      </c>
      <c r="C247" s="62" t="s">
        <v>494</v>
      </c>
      <c r="E247" s="62" t="s">
        <v>476</v>
      </c>
      <c r="K247">
        <v>2</v>
      </c>
      <c r="L247">
        <v>6</v>
      </c>
    </row>
    <row r="248" spans="1:16">
      <c r="B248" s="62" t="s">
        <v>4870</v>
      </c>
      <c r="C248" s="62" t="s">
        <v>494</v>
      </c>
      <c r="K248">
        <v>3</v>
      </c>
      <c r="L248">
        <v>6</v>
      </c>
    </row>
    <row r="249" spans="1:16">
      <c r="B249" s="62" t="s">
        <v>4871</v>
      </c>
      <c r="C249" s="62" t="s">
        <v>494</v>
      </c>
      <c r="K249">
        <v>4</v>
      </c>
      <c r="L249">
        <v>3</v>
      </c>
      <c r="M249">
        <v>2</v>
      </c>
      <c r="N249" s="1" t="s">
        <v>536</v>
      </c>
      <c r="O249" s="1" t="s">
        <v>537</v>
      </c>
      <c r="P249" s="1" t="s">
        <v>538</v>
      </c>
    </row>
    <row r="251" spans="1:16">
      <c r="A251" s="70" t="s">
        <v>6216</v>
      </c>
      <c r="B251" s="70" t="s">
        <v>6217</v>
      </c>
      <c r="C251" s="70" t="s">
        <v>494</v>
      </c>
      <c r="E251" s="62" t="s">
        <v>476</v>
      </c>
      <c r="F251">
        <v>2</v>
      </c>
      <c r="G251">
        <v>259</v>
      </c>
      <c r="H251" s="62" t="s">
        <v>111</v>
      </c>
      <c r="J251">
        <v>1512</v>
      </c>
      <c r="K251">
        <v>1</v>
      </c>
      <c r="M251">
        <v>2</v>
      </c>
      <c r="N251" s="62"/>
      <c r="O251" s="62"/>
    </row>
    <row r="252" spans="1:16">
      <c r="A252" s="94"/>
      <c r="B252" s="70" t="s">
        <v>6218</v>
      </c>
      <c r="C252" s="70" t="s">
        <v>494</v>
      </c>
      <c r="E252" s="62" t="s">
        <v>476</v>
      </c>
      <c r="K252">
        <v>2</v>
      </c>
      <c r="L252">
        <v>52</v>
      </c>
      <c r="N252">
        <v>253</v>
      </c>
      <c r="O252" s="62" t="s">
        <v>4870</v>
      </c>
    </row>
    <row r="253" spans="1:16">
      <c r="A253" s="94"/>
      <c r="B253" s="70" t="s">
        <v>6219</v>
      </c>
      <c r="C253" s="70" t="s">
        <v>494</v>
      </c>
      <c r="E253" s="62" t="s">
        <v>476</v>
      </c>
      <c r="K253">
        <v>3</v>
      </c>
      <c r="M253">
        <v>2</v>
      </c>
    </row>
    <row r="254" spans="1:16">
      <c r="A254" s="94"/>
      <c r="B254" s="70" t="s">
        <v>6220</v>
      </c>
      <c r="C254" s="70" t="s">
        <v>494</v>
      </c>
      <c r="E254" s="62" t="s">
        <v>476</v>
      </c>
      <c r="K254">
        <v>4</v>
      </c>
      <c r="M254">
        <v>2</v>
      </c>
    </row>
    <row r="255" spans="1:16">
      <c r="A255" s="94"/>
      <c r="B255" s="70" t="s">
        <v>6221</v>
      </c>
      <c r="C255" s="70" t="s">
        <v>494</v>
      </c>
      <c r="E255" s="62" t="s">
        <v>476</v>
      </c>
      <c r="K255">
        <v>5</v>
      </c>
      <c r="L255">
        <v>6</v>
      </c>
    </row>
    <row r="256" spans="1:16">
      <c r="A256" s="94"/>
      <c r="B256" s="70" t="s">
        <v>6222</v>
      </c>
      <c r="C256" s="70" t="s">
        <v>494</v>
      </c>
      <c r="K256">
        <v>6</v>
      </c>
      <c r="L256">
        <v>6</v>
      </c>
    </row>
    <row r="257" spans="1:18">
      <c r="A257" s="94"/>
      <c r="B257" s="70" t="s">
        <v>6223</v>
      </c>
      <c r="C257" s="70" t="s">
        <v>493</v>
      </c>
      <c r="D257">
        <v>100</v>
      </c>
      <c r="K257">
        <v>7</v>
      </c>
    </row>
    <row r="258" spans="1:18">
      <c r="A258" s="94"/>
      <c r="B258" s="70" t="s">
        <v>6224</v>
      </c>
      <c r="C258" s="70" t="s">
        <v>494</v>
      </c>
      <c r="K258">
        <v>8</v>
      </c>
      <c r="L258">
        <v>91</v>
      </c>
    </row>
    <row r="259" spans="1:18">
      <c r="A259" s="94"/>
      <c r="B259" s="70" t="s">
        <v>6225</v>
      </c>
      <c r="C259" s="70" t="s">
        <v>494</v>
      </c>
      <c r="K259">
        <v>9</v>
      </c>
      <c r="L259">
        <v>92</v>
      </c>
    </row>
    <row r="260" spans="1:18">
      <c r="A260" s="94"/>
      <c r="B260" s="70" t="s">
        <v>6226</v>
      </c>
      <c r="C260" s="70" t="s">
        <v>494</v>
      </c>
      <c r="K260">
        <v>10</v>
      </c>
      <c r="L260">
        <v>8</v>
      </c>
      <c r="M260">
        <v>1</v>
      </c>
    </row>
    <row r="261" spans="1:18">
      <c r="A261" s="94"/>
      <c r="B261" s="70" t="s">
        <v>6227</v>
      </c>
      <c r="C261" s="70" t="s">
        <v>494</v>
      </c>
      <c r="K261">
        <v>11</v>
      </c>
      <c r="L261">
        <v>7</v>
      </c>
      <c r="M261">
        <v>1</v>
      </c>
    </row>
    <row r="263" spans="1:18">
      <c r="A263" s="62" t="s">
        <v>4886</v>
      </c>
      <c r="B263" s="62" t="s">
        <v>4885</v>
      </c>
      <c r="C263" s="62" t="s">
        <v>494</v>
      </c>
      <c r="E263" s="62" t="s">
        <v>476</v>
      </c>
      <c r="F263">
        <v>2</v>
      </c>
      <c r="G263">
        <v>254</v>
      </c>
      <c r="H263" s="62" t="s">
        <v>4883</v>
      </c>
      <c r="J263">
        <v>1512</v>
      </c>
      <c r="K263">
        <v>1</v>
      </c>
      <c r="L263">
        <v>52</v>
      </c>
      <c r="N263" s="62">
        <v>251</v>
      </c>
      <c r="O263" s="62" t="s">
        <v>4845</v>
      </c>
    </row>
    <row r="264" spans="1:18">
      <c r="A264" s="62"/>
      <c r="B264" s="62" t="s">
        <v>4890</v>
      </c>
      <c r="C264" s="62" t="s">
        <v>494</v>
      </c>
      <c r="E264" s="62" t="s">
        <v>476</v>
      </c>
      <c r="H264" s="62"/>
      <c r="K264">
        <v>2</v>
      </c>
      <c r="L264">
        <v>3</v>
      </c>
      <c r="M264">
        <v>31</v>
      </c>
      <c r="N264" s="62" t="s">
        <v>4864</v>
      </c>
      <c r="O264" s="62" t="s">
        <v>4870</v>
      </c>
      <c r="P264" s="62" t="s">
        <v>4872</v>
      </c>
      <c r="Q264" s="62" t="s">
        <v>4868</v>
      </c>
      <c r="R264">
        <v>1</v>
      </c>
    </row>
    <row r="265" spans="1:18">
      <c r="B265" s="62" t="s">
        <v>4887</v>
      </c>
      <c r="C265" s="62" t="s">
        <v>494</v>
      </c>
      <c r="E265" s="62" t="s">
        <v>476</v>
      </c>
      <c r="K265">
        <v>3</v>
      </c>
      <c r="L265">
        <v>6</v>
      </c>
    </row>
    <row r="266" spans="1:18">
      <c r="B266" s="62" t="s">
        <v>4888</v>
      </c>
      <c r="C266" s="62" t="s">
        <v>494</v>
      </c>
      <c r="E266" s="62"/>
      <c r="K266">
        <v>4</v>
      </c>
      <c r="L266">
        <v>6</v>
      </c>
    </row>
    <row r="267" spans="1:18">
      <c r="B267" s="62" t="s">
        <v>4889</v>
      </c>
      <c r="C267" s="62" t="s">
        <v>494</v>
      </c>
      <c r="K267">
        <v>5</v>
      </c>
      <c r="L267">
        <v>3</v>
      </c>
      <c r="M267">
        <v>2</v>
      </c>
      <c r="N267" s="1" t="s">
        <v>536</v>
      </c>
      <c r="O267" s="1" t="s">
        <v>537</v>
      </c>
      <c r="P267" s="1" t="s">
        <v>538</v>
      </c>
    </row>
    <row r="269" spans="1:18">
      <c r="A269" s="70" t="s">
        <v>6216</v>
      </c>
      <c r="B269" s="70" t="s">
        <v>6217</v>
      </c>
      <c r="C269" s="70" t="s">
        <v>494</v>
      </c>
      <c r="E269" s="62" t="s">
        <v>476</v>
      </c>
      <c r="F269">
        <v>2</v>
      </c>
      <c r="G269">
        <v>260</v>
      </c>
      <c r="H269" s="62" t="s">
        <v>111</v>
      </c>
      <c r="J269">
        <v>1512</v>
      </c>
      <c r="K269">
        <v>1</v>
      </c>
      <c r="M269">
        <v>2</v>
      </c>
      <c r="N269" s="62"/>
      <c r="O269" s="62"/>
    </row>
    <row r="270" spans="1:18">
      <c r="A270" s="94"/>
      <c r="B270" s="70" t="s">
        <v>6218</v>
      </c>
      <c r="C270" s="70" t="s">
        <v>494</v>
      </c>
      <c r="E270" s="62" t="s">
        <v>476</v>
      </c>
      <c r="K270">
        <v>2</v>
      </c>
      <c r="M270">
        <v>2</v>
      </c>
      <c r="O270" s="62"/>
    </row>
    <row r="271" spans="1:18">
      <c r="A271" s="94"/>
      <c r="B271" s="70" t="s">
        <v>6219</v>
      </c>
      <c r="C271" s="70" t="s">
        <v>494</v>
      </c>
      <c r="E271" s="62" t="s">
        <v>476</v>
      </c>
      <c r="K271">
        <v>3</v>
      </c>
      <c r="L271">
        <v>52</v>
      </c>
      <c r="N271">
        <v>254</v>
      </c>
      <c r="O271" s="62" t="s">
        <v>4888</v>
      </c>
    </row>
    <row r="272" spans="1:18">
      <c r="A272" s="94"/>
      <c r="B272" s="70" t="s">
        <v>6220</v>
      </c>
      <c r="C272" s="70" t="s">
        <v>494</v>
      </c>
      <c r="E272" s="62" t="s">
        <v>476</v>
      </c>
      <c r="K272">
        <v>4</v>
      </c>
      <c r="M272">
        <v>2</v>
      </c>
    </row>
    <row r="273" spans="1:18">
      <c r="A273" s="94"/>
      <c r="B273" s="70" t="s">
        <v>6221</v>
      </c>
      <c r="C273" s="70" t="s">
        <v>494</v>
      </c>
      <c r="E273" s="62" t="s">
        <v>476</v>
      </c>
      <c r="K273">
        <v>5</v>
      </c>
      <c r="L273">
        <v>6</v>
      </c>
    </row>
    <row r="274" spans="1:18">
      <c r="A274" s="94"/>
      <c r="B274" s="70" t="s">
        <v>6222</v>
      </c>
      <c r="C274" s="70" t="s">
        <v>494</v>
      </c>
      <c r="K274">
        <v>6</v>
      </c>
      <c r="L274">
        <v>6</v>
      </c>
    </row>
    <row r="275" spans="1:18">
      <c r="A275" s="94"/>
      <c r="B275" s="70" t="s">
        <v>6223</v>
      </c>
      <c r="C275" s="70" t="s">
        <v>493</v>
      </c>
      <c r="D275">
        <v>100</v>
      </c>
      <c r="K275">
        <v>7</v>
      </c>
    </row>
    <row r="276" spans="1:18">
      <c r="A276" s="94"/>
      <c r="B276" s="70" t="s">
        <v>6224</v>
      </c>
      <c r="C276" s="70" t="s">
        <v>494</v>
      </c>
      <c r="K276">
        <v>8</v>
      </c>
      <c r="L276">
        <v>91</v>
      </c>
    </row>
    <row r="277" spans="1:18">
      <c r="A277" s="94"/>
      <c r="B277" s="70" t="s">
        <v>6225</v>
      </c>
      <c r="C277" s="70" t="s">
        <v>494</v>
      </c>
      <c r="K277">
        <v>9</v>
      </c>
      <c r="L277">
        <v>92</v>
      </c>
    </row>
    <row r="278" spans="1:18">
      <c r="A278" s="94"/>
      <c r="B278" s="70" t="s">
        <v>6226</v>
      </c>
      <c r="C278" s="70" t="s">
        <v>494</v>
      </c>
      <c r="K278">
        <v>10</v>
      </c>
      <c r="L278">
        <v>8</v>
      </c>
      <c r="M278">
        <v>1</v>
      </c>
    </row>
    <row r="279" spans="1:18">
      <c r="A279" s="94"/>
      <c r="B279" s="70" t="s">
        <v>6227</v>
      </c>
      <c r="C279" s="70" t="s">
        <v>494</v>
      </c>
      <c r="K279">
        <v>11</v>
      </c>
      <c r="L279">
        <v>7</v>
      </c>
      <c r="M279">
        <v>1</v>
      </c>
    </row>
    <row r="281" spans="1:18">
      <c r="A281" s="62" t="s">
        <v>4904</v>
      </c>
      <c r="B281" s="62" t="s">
        <v>4885</v>
      </c>
      <c r="C281" s="62" t="s">
        <v>494</v>
      </c>
      <c r="E281" s="62" t="s">
        <v>476</v>
      </c>
      <c r="F281">
        <v>2</v>
      </c>
      <c r="G281">
        <v>256</v>
      </c>
      <c r="H281" s="62" t="s">
        <v>4917</v>
      </c>
      <c r="J281">
        <v>1512</v>
      </c>
      <c r="K281">
        <v>1</v>
      </c>
      <c r="L281">
        <v>52</v>
      </c>
      <c r="N281" s="62">
        <v>251</v>
      </c>
      <c r="O281" s="62" t="s">
        <v>4845</v>
      </c>
    </row>
    <row r="282" spans="1:18">
      <c r="A282" s="62"/>
      <c r="B282" s="62" t="s">
        <v>4916</v>
      </c>
      <c r="C282" s="62" t="s">
        <v>494</v>
      </c>
      <c r="E282" s="62" t="s">
        <v>476</v>
      </c>
      <c r="K282">
        <v>2</v>
      </c>
      <c r="L282">
        <v>3</v>
      </c>
      <c r="M282">
        <v>31</v>
      </c>
      <c r="N282" s="62" t="s">
        <v>4864</v>
      </c>
      <c r="O282" s="62" t="s">
        <v>4870</v>
      </c>
      <c r="P282" s="62" t="s">
        <v>4872</v>
      </c>
      <c r="Q282" s="62" t="s">
        <v>4868</v>
      </c>
      <c r="R282">
        <v>1</v>
      </c>
    </row>
    <row r="283" spans="1:18">
      <c r="B283" s="62" t="s">
        <v>4914</v>
      </c>
      <c r="C283" s="62" t="s">
        <v>494</v>
      </c>
      <c r="E283" s="62" t="s">
        <v>476</v>
      </c>
      <c r="K283">
        <v>3</v>
      </c>
      <c r="L283">
        <v>6</v>
      </c>
    </row>
    <row r="284" spans="1:18">
      <c r="B284" s="62" t="s">
        <v>4915</v>
      </c>
      <c r="C284" s="62" t="s">
        <v>494</v>
      </c>
      <c r="K284">
        <v>4</v>
      </c>
      <c r="L284">
        <v>6</v>
      </c>
    </row>
    <row r="285" spans="1:18">
      <c r="B285" s="62" t="s">
        <v>4905</v>
      </c>
      <c r="C285" s="62" t="s">
        <v>494</v>
      </c>
      <c r="K285">
        <v>5</v>
      </c>
      <c r="L285">
        <v>3</v>
      </c>
      <c r="M285">
        <v>2</v>
      </c>
      <c r="N285" s="1" t="s">
        <v>536</v>
      </c>
      <c r="O285" s="1" t="s">
        <v>537</v>
      </c>
      <c r="P285" s="1" t="s">
        <v>538</v>
      </c>
    </row>
    <row r="286" spans="1:18">
      <c r="B286" s="62"/>
    </row>
    <row r="287" spans="1:18">
      <c r="A287" s="70" t="s">
        <v>6216</v>
      </c>
      <c r="B287" s="70" t="s">
        <v>6217</v>
      </c>
      <c r="C287" s="70" t="s">
        <v>494</v>
      </c>
      <c r="E287" s="62" t="s">
        <v>476</v>
      </c>
      <c r="F287">
        <v>2</v>
      </c>
      <c r="G287">
        <v>261</v>
      </c>
      <c r="H287" s="62" t="s">
        <v>111</v>
      </c>
      <c r="J287">
        <v>1512</v>
      </c>
      <c r="K287">
        <v>1</v>
      </c>
      <c r="M287">
        <v>2</v>
      </c>
      <c r="N287" s="62"/>
      <c r="O287" s="62"/>
    </row>
    <row r="288" spans="1:18">
      <c r="A288" s="94"/>
      <c r="B288" s="70" t="s">
        <v>6218</v>
      </c>
      <c r="C288" s="70" t="s">
        <v>494</v>
      </c>
      <c r="E288" s="62" t="s">
        <v>476</v>
      </c>
      <c r="K288">
        <v>2</v>
      </c>
      <c r="M288">
        <v>2</v>
      </c>
      <c r="O288" s="62"/>
    </row>
    <row r="289" spans="1:16">
      <c r="A289" s="94"/>
      <c r="B289" s="70" t="s">
        <v>6219</v>
      </c>
      <c r="C289" s="70" t="s">
        <v>494</v>
      </c>
      <c r="E289" s="62" t="s">
        <v>476</v>
      </c>
      <c r="K289">
        <v>3</v>
      </c>
      <c r="M289">
        <v>2</v>
      </c>
      <c r="O289" s="62"/>
    </row>
    <row r="290" spans="1:16">
      <c r="A290" s="94"/>
      <c r="B290" s="70" t="s">
        <v>6220</v>
      </c>
      <c r="C290" s="70" t="s">
        <v>494</v>
      </c>
      <c r="E290" s="62" t="s">
        <v>476</v>
      </c>
      <c r="K290">
        <v>4</v>
      </c>
      <c r="L290">
        <v>52</v>
      </c>
      <c r="N290">
        <v>256</v>
      </c>
      <c r="O290" s="62" t="s">
        <v>4915</v>
      </c>
    </row>
    <row r="291" spans="1:16">
      <c r="A291" s="94"/>
      <c r="B291" s="70" t="s">
        <v>6221</v>
      </c>
      <c r="C291" s="70" t="s">
        <v>494</v>
      </c>
      <c r="E291" s="62" t="s">
        <v>476</v>
      </c>
      <c r="K291">
        <v>5</v>
      </c>
      <c r="L291">
        <v>6</v>
      </c>
    </row>
    <row r="292" spans="1:16">
      <c r="A292" s="94"/>
      <c r="B292" s="70" t="s">
        <v>6222</v>
      </c>
      <c r="C292" s="70" t="s">
        <v>494</v>
      </c>
      <c r="K292">
        <v>6</v>
      </c>
      <c r="L292">
        <v>6</v>
      </c>
    </row>
    <row r="293" spans="1:16">
      <c r="A293" s="94"/>
      <c r="B293" s="70" t="s">
        <v>6223</v>
      </c>
      <c r="C293" s="70" t="s">
        <v>493</v>
      </c>
      <c r="D293">
        <v>100</v>
      </c>
      <c r="K293">
        <v>7</v>
      </c>
    </row>
    <row r="294" spans="1:16">
      <c r="A294" s="94"/>
      <c r="B294" s="70" t="s">
        <v>6224</v>
      </c>
      <c r="C294" s="70" t="s">
        <v>494</v>
      </c>
      <c r="K294">
        <v>8</v>
      </c>
      <c r="L294">
        <v>91</v>
      </c>
    </row>
    <row r="295" spans="1:16">
      <c r="A295" s="94"/>
      <c r="B295" s="70" t="s">
        <v>6225</v>
      </c>
      <c r="C295" s="70" t="s">
        <v>494</v>
      </c>
      <c r="K295">
        <v>9</v>
      </c>
      <c r="L295">
        <v>92</v>
      </c>
    </row>
    <row r="296" spans="1:16">
      <c r="A296" s="94"/>
      <c r="B296" s="70" t="s">
        <v>6226</v>
      </c>
      <c r="C296" s="70" t="s">
        <v>494</v>
      </c>
      <c r="K296">
        <v>10</v>
      </c>
      <c r="L296">
        <v>8</v>
      </c>
      <c r="M296">
        <v>1</v>
      </c>
    </row>
    <row r="297" spans="1:16">
      <c r="A297" s="94"/>
      <c r="B297" s="70" t="s">
        <v>6227</v>
      </c>
      <c r="C297" s="70" t="s">
        <v>494</v>
      </c>
      <c r="K297">
        <v>11</v>
      </c>
      <c r="L297">
        <v>7</v>
      </c>
      <c r="M297">
        <v>1</v>
      </c>
    </row>
    <row r="299" spans="1:16">
      <c r="A299" s="62" t="s">
        <v>4899</v>
      </c>
      <c r="B299" s="62" t="s">
        <v>4906</v>
      </c>
      <c r="C299" s="62" t="s">
        <v>494</v>
      </c>
      <c r="E299" s="62" t="s">
        <v>476</v>
      </c>
      <c r="F299">
        <v>2</v>
      </c>
      <c r="G299">
        <v>255</v>
      </c>
      <c r="H299" s="62" t="s">
        <v>4901</v>
      </c>
      <c r="I299" s="62" t="s">
        <v>4902</v>
      </c>
      <c r="J299">
        <v>1512</v>
      </c>
      <c r="K299">
        <v>1</v>
      </c>
      <c r="L299">
        <v>3</v>
      </c>
      <c r="N299" s="1" t="s">
        <v>536</v>
      </c>
      <c r="O299" s="1" t="s">
        <v>537</v>
      </c>
      <c r="P299" s="1" t="s">
        <v>538</v>
      </c>
    </row>
    <row r="300" spans="1:16">
      <c r="B300" s="62" t="s">
        <v>4907</v>
      </c>
      <c r="C300" s="62" t="s">
        <v>494</v>
      </c>
      <c r="E300" s="62" t="s">
        <v>476</v>
      </c>
      <c r="K300">
        <v>2</v>
      </c>
      <c r="L300">
        <v>6</v>
      </c>
    </row>
    <row r="301" spans="1:16">
      <c r="B301" s="62" t="s">
        <v>4908</v>
      </c>
      <c r="C301" s="62" t="s">
        <v>494</v>
      </c>
      <c r="K301">
        <v>3</v>
      </c>
      <c r="L301">
        <v>6</v>
      </c>
    </row>
    <row r="303" spans="1:16">
      <c r="A303" t="s">
        <v>6215</v>
      </c>
      <c r="B303" t="s">
        <v>6234</v>
      </c>
      <c r="C303" t="s">
        <v>494</v>
      </c>
      <c r="E303" t="s">
        <v>476</v>
      </c>
    </row>
    <row r="304" spans="1:16">
      <c r="B304" t="s">
        <v>6235</v>
      </c>
      <c r="C304" s="62" t="s">
        <v>493</v>
      </c>
      <c r="D304">
        <v>50</v>
      </c>
    </row>
    <row r="306" spans="1:13">
      <c r="A306" s="62" t="s">
        <v>6216</v>
      </c>
      <c r="B306" s="62" t="s">
        <v>6217</v>
      </c>
      <c r="C306" s="62" t="s">
        <v>494</v>
      </c>
      <c r="E306" s="62" t="s">
        <v>476</v>
      </c>
      <c r="F306">
        <v>2</v>
      </c>
      <c r="H306" s="62" t="s">
        <v>111</v>
      </c>
      <c r="J306">
        <v>1512</v>
      </c>
      <c r="K306">
        <v>1</v>
      </c>
    </row>
    <row r="307" spans="1:13">
      <c r="B307" s="62" t="s">
        <v>6218</v>
      </c>
      <c r="C307" s="62" t="s">
        <v>494</v>
      </c>
      <c r="E307" s="62" t="s">
        <v>476</v>
      </c>
      <c r="K307">
        <v>2</v>
      </c>
    </row>
    <row r="308" spans="1:13">
      <c r="B308" s="62" t="s">
        <v>6219</v>
      </c>
      <c r="C308" s="62" t="s">
        <v>494</v>
      </c>
      <c r="E308" s="62" t="s">
        <v>476</v>
      </c>
      <c r="K308">
        <v>3</v>
      </c>
    </row>
    <row r="309" spans="1:13">
      <c r="B309" s="62" t="s">
        <v>6220</v>
      </c>
      <c r="C309" s="62" t="s">
        <v>494</v>
      </c>
      <c r="E309" s="62" t="s">
        <v>476</v>
      </c>
      <c r="K309">
        <v>4</v>
      </c>
    </row>
    <row r="310" spans="1:13">
      <c r="B310" s="62" t="s">
        <v>6221</v>
      </c>
      <c r="C310" s="62" t="s">
        <v>494</v>
      </c>
      <c r="E310" s="62" t="s">
        <v>476</v>
      </c>
      <c r="K310">
        <v>5</v>
      </c>
      <c r="L310">
        <v>6</v>
      </c>
    </row>
    <row r="311" spans="1:13">
      <c r="B311" s="62" t="s">
        <v>6222</v>
      </c>
      <c r="C311" s="62" t="s">
        <v>494</v>
      </c>
      <c r="K311">
        <v>6</v>
      </c>
      <c r="L311">
        <v>6</v>
      </c>
    </row>
    <row r="312" spans="1:13">
      <c r="B312" s="62" t="s">
        <v>6223</v>
      </c>
      <c r="C312" s="62" t="s">
        <v>493</v>
      </c>
      <c r="D312">
        <v>100</v>
      </c>
      <c r="K312">
        <v>7</v>
      </c>
    </row>
    <row r="313" spans="1:13">
      <c r="B313" s="62" t="s">
        <v>6224</v>
      </c>
      <c r="C313" s="62" t="s">
        <v>494</v>
      </c>
      <c r="K313">
        <v>8</v>
      </c>
      <c r="L313">
        <v>91</v>
      </c>
    </row>
    <row r="314" spans="1:13">
      <c r="B314" s="62" t="s">
        <v>6225</v>
      </c>
      <c r="C314" s="62" t="s">
        <v>494</v>
      </c>
      <c r="K314">
        <v>9</v>
      </c>
      <c r="L314">
        <v>92</v>
      </c>
    </row>
    <row r="315" spans="1:13">
      <c r="B315" s="62" t="s">
        <v>6226</v>
      </c>
      <c r="C315" s="62" t="s">
        <v>494</v>
      </c>
      <c r="K315">
        <v>10</v>
      </c>
      <c r="L315">
        <v>8</v>
      </c>
      <c r="M315">
        <v>1</v>
      </c>
    </row>
    <row r="316" spans="1:13">
      <c r="B316" s="62" t="s">
        <v>6227</v>
      </c>
      <c r="C316" s="62" t="s">
        <v>494</v>
      </c>
      <c r="K316">
        <v>11</v>
      </c>
      <c r="L316">
        <v>7</v>
      </c>
      <c r="M316">
        <v>1</v>
      </c>
    </row>
  </sheetData>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sheetPr>
    <tabColor rgb="FFFFC000"/>
  </sheetPr>
  <dimension ref="A1:R12"/>
  <sheetViews>
    <sheetView workbookViewId="0">
      <pane ySplit="1" topLeftCell="A2" activePane="bottomLeft" state="frozenSplit"/>
      <selection pane="bottomLeft" activeCell="I26" sqref="I26"/>
    </sheetView>
  </sheetViews>
  <sheetFormatPr baseColWidth="10" defaultRowHeight="12.75"/>
  <cols>
    <col min="1" max="1" width="15.5703125" customWidth="1"/>
    <col min="2" max="2" width="16.85546875" bestFit="1" customWidth="1"/>
    <col min="4" max="4" width="3" bestFit="1" customWidth="1"/>
    <col min="5" max="5" width="2.42578125" customWidth="1"/>
    <col min="11" max="11" width="4"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4061</v>
      </c>
      <c r="B2" s="62" t="s">
        <v>4062</v>
      </c>
      <c r="C2" s="62" t="s">
        <v>494</v>
      </c>
      <c r="E2" s="62" t="s">
        <v>476</v>
      </c>
      <c r="F2">
        <v>12</v>
      </c>
      <c r="G2" s="62">
        <v>1201</v>
      </c>
      <c r="J2">
        <v>1</v>
      </c>
      <c r="K2">
        <v>1</v>
      </c>
    </row>
    <row r="3" spans="1:18">
      <c r="B3" s="62" t="s">
        <v>4063</v>
      </c>
      <c r="C3" s="62" t="s">
        <v>494</v>
      </c>
      <c r="E3" s="62" t="s">
        <v>476</v>
      </c>
      <c r="K3">
        <v>2</v>
      </c>
    </row>
    <row r="4" spans="1:18">
      <c r="B4" s="62" t="s">
        <v>4064</v>
      </c>
      <c r="C4" s="62" t="s">
        <v>493</v>
      </c>
      <c r="D4">
        <v>50</v>
      </c>
    </row>
    <row r="5" spans="1:18">
      <c r="B5" s="62" t="s">
        <v>4065</v>
      </c>
      <c r="C5" s="62" t="s">
        <v>494</v>
      </c>
    </row>
    <row r="6" spans="1:18">
      <c r="B6" s="62" t="s">
        <v>4071</v>
      </c>
      <c r="C6" s="62" t="s">
        <v>494</v>
      </c>
    </row>
    <row r="8" spans="1:18">
      <c r="A8" s="62" t="s">
        <v>4066</v>
      </c>
      <c r="B8" s="62" t="s">
        <v>4067</v>
      </c>
      <c r="C8" s="62" t="s">
        <v>494</v>
      </c>
      <c r="E8" s="62" t="s">
        <v>476</v>
      </c>
      <c r="J8">
        <v>1</v>
      </c>
      <c r="K8">
        <v>1</v>
      </c>
    </row>
    <row r="9" spans="1:18">
      <c r="B9" s="62" t="s">
        <v>4068</v>
      </c>
      <c r="C9" s="62" t="s">
        <v>494</v>
      </c>
      <c r="E9" s="62" t="s">
        <v>476</v>
      </c>
      <c r="K9">
        <v>2</v>
      </c>
    </row>
    <row r="10" spans="1:18">
      <c r="B10" s="62" t="s">
        <v>4069</v>
      </c>
      <c r="C10" s="62" t="s">
        <v>494</v>
      </c>
      <c r="E10" s="62" t="s">
        <v>476</v>
      </c>
    </row>
    <row r="11" spans="1:18">
      <c r="B11" s="62" t="s">
        <v>4070</v>
      </c>
      <c r="C11" s="62" t="s">
        <v>494</v>
      </c>
      <c r="E11" s="62" t="s">
        <v>476</v>
      </c>
    </row>
    <row r="12" spans="1:18">
      <c r="B12" s="62" t="s">
        <v>4066</v>
      </c>
      <c r="C12" s="62" t="s">
        <v>520</v>
      </c>
    </row>
  </sheetData>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sheetPr>
    <tabColor rgb="FFFFC000"/>
  </sheetPr>
  <dimension ref="A1:R56"/>
  <sheetViews>
    <sheetView topLeftCell="A40" workbookViewId="0">
      <selection activeCell="I29" sqref="I29"/>
    </sheetView>
  </sheetViews>
  <sheetFormatPr baseColWidth="10" defaultRowHeight="12.75"/>
  <cols>
    <col min="1" max="1" width="18.42578125" bestFit="1" customWidth="1"/>
    <col min="2" max="2" width="17.42578125" bestFit="1" customWidth="1"/>
    <col min="3" max="3" width="7.42578125" bestFit="1" customWidth="1"/>
    <col min="4" max="4" width="4" bestFit="1" customWidth="1"/>
    <col min="5" max="5" width="2.85546875" customWidth="1"/>
    <col min="6" max="6" width="4.5703125" bestFit="1" customWidth="1"/>
    <col min="7" max="7" width="7.7109375" bestFit="1" customWidth="1"/>
    <col min="8" max="8" width="19.28515625" bestFit="1" customWidth="1"/>
    <col min="9" max="9" width="19.42578125" bestFit="1" customWidth="1"/>
    <col min="10" max="10" width="6" customWidth="1"/>
    <col min="11" max="11" width="3.5703125" customWidth="1"/>
    <col min="12" max="12" width="4.42578125" customWidth="1"/>
    <col min="13" max="13" width="3.7109375" customWidth="1"/>
    <col min="14" max="14" width="13.5703125" bestFit="1" customWidth="1"/>
    <col min="15" max="15" width="10.85546875" customWidth="1"/>
    <col min="16" max="16" width="14.5703125" bestFit="1"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96" t="s">
        <v>4178</v>
      </c>
      <c r="B2" s="62" t="s">
        <v>4172</v>
      </c>
      <c r="C2" s="62" t="s">
        <v>494</v>
      </c>
      <c r="E2" s="62" t="s">
        <v>476</v>
      </c>
      <c r="F2">
        <v>14</v>
      </c>
      <c r="G2">
        <v>1403</v>
      </c>
      <c r="H2" s="62" t="s">
        <v>4188</v>
      </c>
      <c r="I2" s="62" t="s">
        <v>4189</v>
      </c>
      <c r="J2">
        <v>1401</v>
      </c>
      <c r="K2">
        <v>1</v>
      </c>
      <c r="L2">
        <v>6</v>
      </c>
    </row>
    <row r="3" spans="1:18">
      <c r="B3" s="62" t="s">
        <v>4171</v>
      </c>
      <c r="C3" s="62" t="s">
        <v>494</v>
      </c>
      <c r="K3">
        <v>2</v>
      </c>
      <c r="L3">
        <v>6</v>
      </c>
    </row>
    <row r="4" spans="1:18">
      <c r="B4" s="62" t="s">
        <v>4192</v>
      </c>
      <c r="C4" s="62" t="s">
        <v>494</v>
      </c>
      <c r="K4">
        <v>3</v>
      </c>
      <c r="L4">
        <v>3</v>
      </c>
      <c r="N4" s="64" t="s">
        <v>506</v>
      </c>
      <c r="O4" s="64" t="s">
        <v>514</v>
      </c>
      <c r="P4" s="1" t="s">
        <v>515</v>
      </c>
    </row>
    <row r="5" spans="1:18">
      <c r="B5" s="62" t="s">
        <v>4174</v>
      </c>
      <c r="C5" s="62" t="s">
        <v>494</v>
      </c>
      <c r="H5" s="62" t="s">
        <v>4209</v>
      </c>
      <c r="K5">
        <v>4</v>
      </c>
      <c r="L5">
        <v>3</v>
      </c>
    </row>
    <row r="6" spans="1:18">
      <c r="B6" s="62" t="s">
        <v>4175</v>
      </c>
      <c r="C6" s="62" t="s">
        <v>494</v>
      </c>
      <c r="K6">
        <v>5</v>
      </c>
      <c r="L6">
        <v>7</v>
      </c>
      <c r="M6">
        <v>1</v>
      </c>
    </row>
    <row r="7" spans="1:18">
      <c r="B7" s="62" t="s">
        <v>4176</v>
      </c>
      <c r="C7" s="62" t="s">
        <v>494</v>
      </c>
      <c r="K7">
        <v>6</v>
      </c>
      <c r="M7">
        <v>1</v>
      </c>
    </row>
    <row r="8" spans="1:18">
      <c r="B8" s="62" t="s">
        <v>4185</v>
      </c>
      <c r="C8" s="62" t="s">
        <v>494</v>
      </c>
      <c r="K8">
        <v>7</v>
      </c>
    </row>
    <row r="9" spans="1:18">
      <c r="B9" s="62" t="s">
        <v>4186</v>
      </c>
      <c r="C9" s="62" t="s">
        <v>494</v>
      </c>
      <c r="K9">
        <v>8</v>
      </c>
    </row>
    <row r="10" spans="1:18">
      <c r="B10" s="62" t="s">
        <v>4190</v>
      </c>
      <c r="C10" s="62" t="s">
        <v>494</v>
      </c>
      <c r="K10">
        <v>9</v>
      </c>
      <c r="L10">
        <v>8</v>
      </c>
    </row>
    <row r="11" spans="1:18">
      <c r="B11" s="62" t="s">
        <v>4191</v>
      </c>
      <c r="C11" s="62" t="s">
        <v>493</v>
      </c>
      <c r="D11">
        <v>1</v>
      </c>
      <c r="K11">
        <v>10</v>
      </c>
      <c r="L11">
        <v>3</v>
      </c>
    </row>
    <row r="12" spans="1:18">
      <c r="B12" s="62" t="s">
        <v>4210</v>
      </c>
      <c r="C12" s="62" t="s">
        <v>493</v>
      </c>
      <c r="D12">
        <v>250</v>
      </c>
      <c r="K12">
        <v>11</v>
      </c>
    </row>
    <row r="13" spans="1:18">
      <c r="B13" s="62" t="s">
        <v>4213</v>
      </c>
      <c r="C13" s="62" t="s">
        <v>494</v>
      </c>
      <c r="K13">
        <v>12</v>
      </c>
      <c r="M13">
        <v>1</v>
      </c>
    </row>
    <row r="14" spans="1:18">
      <c r="B14" s="62" t="s">
        <v>4214</v>
      </c>
      <c r="C14" s="62" t="s">
        <v>494</v>
      </c>
      <c r="K14">
        <v>13</v>
      </c>
      <c r="M14">
        <v>1</v>
      </c>
    </row>
    <row r="15" spans="1:18">
      <c r="B15" s="62" t="s">
        <v>4215</v>
      </c>
      <c r="C15" s="62" t="s">
        <v>493</v>
      </c>
      <c r="D15">
        <v>250</v>
      </c>
      <c r="K15">
        <v>14</v>
      </c>
      <c r="M15">
        <v>1</v>
      </c>
    </row>
    <row r="16" spans="1:18">
      <c r="B16" s="62" t="s">
        <v>4216</v>
      </c>
      <c r="C16" s="62" t="s">
        <v>494</v>
      </c>
      <c r="K16">
        <v>15</v>
      </c>
    </row>
    <row r="18" spans="1:15">
      <c r="A18" s="96" t="s">
        <v>4177</v>
      </c>
      <c r="B18" s="62" t="s">
        <v>4179</v>
      </c>
      <c r="C18" s="62" t="s">
        <v>494</v>
      </c>
      <c r="E18" s="62" t="s">
        <v>476</v>
      </c>
      <c r="F18">
        <v>14</v>
      </c>
      <c r="G18">
        <v>1404</v>
      </c>
      <c r="H18" s="62" t="s">
        <v>1176</v>
      </c>
      <c r="J18">
        <v>1401</v>
      </c>
      <c r="K18">
        <v>1</v>
      </c>
      <c r="L18">
        <v>52</v>
      </c>
      <c r="N18">
        <v>1403</v>
      </c>
      <c r="O18" s="62" t="s">
        <v>4171</v>
      </c>
    </row>
    <row r="19" spans="1:15">
      <c r="B19" s="62" t="s">
        <v>4180</v>
      </c>
      <c r="C19" s="62" t="s">
        <v>494</v>
      </c>
      <c r="E19" s="62" t="s">
        <v>476</v>
      </c>
      <c r="K19">
        <v>2</v>
      </c>
      <c r="L19">
        <v>8</v>
      </c>
    </row>
    <row r="20" spans="1:15">
      <c r="B20" s="62" t="s">
        <v>4181</v>
      </c>
      <c r="C20" s="62" t="s">
        <v>494</v>
      </c>
      <c r="K20">
        <v>3</v>
      </c>
      <c r="L20">
        <v>6</v>
      </c>
    </row>
    <row r="21" spans="1:15">
      <c r="B21" s="62" t="s">
        <v>4207</v>
      </c>
      <c r="C21" s="62" t="s">
        <v>494</v>
      </c>
      <c r="H21" s="62" t="s">
        <v>4208</v>
      </c>
      <c r="K21">
        <v>4</v>
      </c>
      <c r="L21">
        <v>3</v>
      </c>
    </row>
    <row r="22" spans="1:15">
      <c r="B22" s="62" t="s">
        <v>4182</v>
      </c>
      <c r="C22" s="62" t="s">
        <v>494</v>
      </c>
      <c r="K22">
        <v>5</v>
      </c>
    </row>
    <row r="23" spans="1:15">
      <c r="B23" s="62" t="s">
        <v>4183</v>
      </c>
      <c r="C23" s="62" t="s">
        <v>494</v>
      </c>
      <c r="K23">
        <v>6</v>
      </c>
    </row>
    <row r="24" spans="1:15">
      <c r="B24" s="62" t="s">
        <v>4184</v>
      </c>
      <c r="C24" s="62" t="s">
        <v>494</v>
      </c>
      <c r="H24" s="62" t="s">
        <v>4187</v>
      </c>
      <c r="K24">
        <v>7</v>
      </c>
      <c r="L24">
        <v>3</v>
      </c>
    </row>
    <row r="26" spans="1:15">
      <c r="A26" s="96" t="s">
        <v>4155</v>
      </c>
      <c r="B26" s="62" t="s">
        <v>4173</v>
      </c>
      <c r="C26" s="62" t="s">
        <v>494</v>
      </c>
      <c r="E26" s="62" t="s">
        <v>476</v>
      </c>
      <c r="F26">
        <v>14</v>
      </c>
      <c r="G26">
        <v>1401</v>
      </c>
      <c r="H26" s="62" t="s">
        <v>2838</v>
      </c>
      <c r="I26" s="62" t="s">
        <v>4212</v>
      </c>
      <c r="J26">
        <v>1401</v>
      </c>
      <c r="K26">
        <v>1</v>
      </c>
      <c r="L26">
        <v>52</v>
      </c>
      <c r="N26">
        <v>1403</v>
      </c>
      <c r="O26" s="62" t="s">
        <v>4171</v>
      </c>
    </row>
    <row r="27" spans="1:15">
      <c r="B27" s="62" t="s">
        <v>4159</v>
      </c>
      <c r="C27" s="62" t="s">
        <v>494</v>
      </c>
      <c r="K27">
        <v>2</v>
      </c>
      <c r="L27">
        <v>6</v>
      </c>
    </row>
    <row r="28" spans="1:15">
      <c r="B28" s="62" t="s">
        <v>4160</v>
      </c>
      <c r="C28" s="62" t="s">
        <v>494</v>
      </c>
      <c r="K28">
        <v>3</v>
      </c>
      <c r="L28">
        <v>6</v>
      </c>
    </row>
    <row r="29" spans="1:15">
      <c r="B29" s="62" t="s">
        <v>4170</v>
      </c>
      <c r="C29" s="62" t="s">
        <v>494</v>
      </c>
      <c r="K29">
        <v>4</v>
      </c>
      <c r="L29">
        <v>8</v>
      </c>
    </row>
    <row r="30" spans="1:15">
      <c r="B30" s="62" t="s">
        <v>4158</v>
      </c>
      <c r="C30" s="62" t="s">
        <v>494</v>
      </c>
      <c r="K30">
        <v>5</v>
      </c>
      <c r="M30">
        <v>2</v>
      </c>
    </row>
    <row r="31" spans="1:15">
      <c r="B31" s="62" t="s">
        <v>4156</v>
      </c>
      <c r="C31" s="62" t="s">
        <v>494</v>
      </c>
      <c r="K31">
        <v>6</v>
      </c>
      <c r="L31">
        <v>3</v>
      </c>
    </row>
    <row r="32" spans="1:15">
      <c r="B32" s="62" t="s">
        <v>4157</v>
      </c>
      <c r="C32" s="62" t="s">
        <v>520</v>
      </c>
      <c r="K32">
        <v>7</v>
      </c>
    </row>
    <row r="33" spans="1:16">
      <c r="B33" s="62" t="s">
        <v>4161</v>
      </c>
      <c r="C33" s="62" t="s">
        <v>494</v>
      </c>
      <c r="K33">
        <v>8</v>
      </c>
      <c r="L33">
        <v>7</v>
      </c>
      <c r="M33">
        <v>1</v>
      </c>
    </row>
    <row r="34" spans="1:16">
      <c r="B34" s="62" t="s">
        <v>4162</v>
      </c>
      <c r="C34" s="62" t="s">
        <v>494</v>
      </c>
      <c r="K34">
        <v>9</v>
      </c>
      <c r="M34">
        <v>1</v>
      </c>
    </row>
    <row r="36" spans="1:16">
      <c r="A36" s="96" t="s">
        <v>4163</v>
      </c>
      <c r="B36" s="62" t="s">
        <v>4164</v>
      </c>
      <c r="C36" s="62" t="s">
        <v>494</v>
      </c>
      <c r="E36" s="62" t="s">
        <v>476</v>
      </c>
      <c r="F36">
        <v>14</v>
      </c>
      <c r="G36">
        <v>1402</v>
      </c>
      <c r="H36" s="62" t="s">
        <v>111</v>
      </c>
      <c r="J36">
        <v>1401</v>
      </c>
      <c r="K36">
        <v>1</v>
      </c>
      <c r="L36">
        <v>52</v>
      </c>
      <c r="N36">
        <v>1401</v>
      </c>
      <c r="O36" s="62" t="s">
        <v>4160</v>
      </c>
    </row>
    <row r="37" spans="1:16">
      <c r="B37" s="62" t="s">
        <v>4165</v>
      </c>
      <c r="C37" s="62" t="s">
        <v>494</v>
      </c>
      <c r="E37" s="62" t="s">
        <v>476</v>
      </c>
      <c r="K37">
        <v>2</v>
      </c>
      <c r="L37">
        <v>6</v>
      </c>
    </row>
    <row r="38" spans="1:16">
      <c r="B38" s="62" t="s">
        <v>4166</v>
      </c>
      <c r="C38" s="62" t="s">
        <v>494</v>
      </c>
      <c r="K38">
        <v>3</v>
      </c>
      <c r="L38">
        <v>6</v>
      </c>
    </row>
    <row r="39" spans="1:16">
      <c r="B39" s="62" t="s">
        <v>4167</v>
      </c>
      <c r="C39" s="62" t="s">
        <v>494</v>
      </c>
      <c r="K39">
        <v>4</v>
      </c>
      <c r="L39">
        <v>91</v>
      </c>
    </row>
    <row r="40" spans="1:16">
      <c r="B40" s="62" t="s">
        <v>4168</v>
      </c>
      <c r="C40" s="62" t="s">
        <v>494</v>
      </c>
      <c r="K40">
        <v>5</v>
      </c>
      <c r="L40">
        <v>92</v>
      </c>
    </row>
    <row r="41" spans="1:16">
      <c r="B41" s="62" t="s">
        <v>4169</v>
      </c>
      <c r="C41" s="62" t="s">
        <v>493</v>
      </c>
      <c r="D41">
        <v>250</v>
      </c>
      <c r="K41">
        <v>6</v>
      </c>
    </row>
    <row r="43" spans="1:16">
      <c r="A43" s="96" t="s">
        <v>4193</v>
      </c>
      <c r="B43" s="62" t="s">
        <v>4197</v>
      </c>
      <c r="C43" s="62" t="s">
        <v>494</v>
      </c>
      <c r="E43" s="62" t="s">
        <v>476</v>
      </c>
      <c r="F43">
        <v>14</v>
      </c>
      <c r="G43">
        <v>1405</v>
      </c>
      <c r="H43" s="62" t="s">
        <v>4201</v>
      </c>
      <c r="J43">
        <v>1401</v>
      </c>
      <c r="K43">
        <v>1</v>
      </c>
      <c r="L43">
        <v>52</v>
      </c>
      <c r="N43">
        <v>1403</v>
      </c>
      <c r="O43" s="62" t="s">
        <v>4171</v>
      </c>
    </row>
    <row r="44" spans="1:16">
      <c r="B44" s="62" t="s">
        <v>4194</v>
      </c>
      <c r="C44" s="62" t="s">
        <v>494</v>
      </c>
      <c r="E44" s="62" t="s">
        <v>476</v>
      </c>
      <c r="K44">
        <v>2</v>
      </c>
      <c r="L44">
        <v>8</v>
      </c>
    </row>
    <row r="45" spans="1:16">
      <c r="B45" s="62" t="s">
        <v>4196</v>
      </c>
      <c r="C45" s="62" t="s">
        <v>494</v>
      </c>
      <c r="E45" s="62" t="s">
        <v>476</v>
      </c>
      <c r="K45">
        <v>3</v>
      </c>
      <c r="L45">
        <v>3</v>
      </c>
      <c r="N45" t="s">
        <v>4155</v>
      </c>
      <c r="O45" s="62" t="s">
        <v>4166</v>
      </c>
      <c r="P45" s="62" t="s">
        <v>4165</v>
      </c>
    </row>
    <row r="46" spans="1:16">
      <c r="B46" s="62" t="s">
        <v>4195</v>
      </c>
      <c r="C46" s="62" t="s">
        <v>494</v>
      </c>
      <c r="K46">
        <v>4</v>
      </c>
      <c r="L46">
        <v>6</v>
      </c>
    </row>
    <row r="47" spans="1:16">
      <c r="B47" s="62" t="s">
        <v>4198</v>
      </c>
      <c r="C47" s="62" t="s">
        <v>494</v>
      </c>
      <c r="K47">
        <v>5</v>
      </c>
      <c r="L47">
        <v>3</v>
      </c>
      <c r="M47">
        <v>1</v>
      </c>
    </row>
    <row r="48" spans="1:16">
      <c r="B48" s="62" t="s">
        <v>4199</v>
      </c>
      <c r="C48" s="62" t="s">
        <v>494</v>
      </c>
      <c r="K48">
        <v>6</v>
      </c>
      <c r="L48">
        <v>7</v>
      </c>
      <c r="M48">
        <v>1</v>
      </c>
    </row>
    <row r="49" spans="1:16">
      <c r="B49" s="62" t="s">
        <v>4200</v>
      </c>
      <c r="C49" s="62" t="s">
        <v>494</v>
      </c>
      <c r="K49">
        <v>7</v>
      </c>
      <c r="M49">
        <v>1</v>
      </c>
    </row>
    <row r="50" spans="1:16">
      <c r="B50" s="62" t="s">
        <v>4217</v>
      </c>
      <c r="C50" s="62" t="s">
        <v>494</v>
      </c>
      <c r="K50">
        <v>8</v>
      </c>
      <c r="M50">
        <v>2</v>
      </c>
    </row>
    <row r="51" spans="1:16">
      <c r="B51" s="62" t="s">
        <v>4218</v>
      </c>
      <c r="C51" s="62" t="s">
        <v>494</v>
      </c>
      <c r="K51">
        <v>9</v>
      </c>
      <c r="M51">
        <v>2</v>
      </c>
    </row>
    <row r="53" spans="1:16">
      <c r="A53" s="62" t="s">
        <v>4202</v>
      </c>
      <c r="B53" s="62" t="s">
        <v>4203</v>
      </c>
      <c r="C53" s="62" t="s">
        <v>494</v>
      </c>
      <c r="E53" s="62" t="s">
        <v>476</v>
      </c>
      <c r="F53">
        <v>14</v>
      </c>
      <c r="G53">
        <v>1406</v>
      </c>
      <c r="H53" s="62" t="s">
        <v>4211</v>
      </c>
      <c r="J53">
        <v>1401</v>
      </c>
      <c r="K53">
        <v>1</v>
      </c>
      <c r="L53">
        <v>8</v>
      </c>
    </row>
    <row r="54" spans="1:16">
      <c r="B54" s="62" t="s">
        <v>4204</v>
      </c>
      <c r="C54" s="62" t="s">
        <v>494</v>
      </c>
      <c r="E54" s="62" t="s">
        <v>476</v>
      </c>
      <c r="K54">
        <v>2</v>
      </c>
      <c r="L54">
        <v>3</v>
      </c>
      <c r="N54" s="64" t="s">
        <v>506</v>
      </c>
      <c r="O54" s="64" t="s">
        <v>514</v>
      </c>
      <c r="P54" s="1" t="s">
        <v>515</v>
      </c>
    </row>
    <row r="55" spans="1:16">
      <c r="B55" s="62" t="s">
        <v>4205</v>
      </c>
      <c r="C55" s="62" t="s">
        <v>494</v>
      </c>
      <c r="K55">
        <v>3</v>
      </c>
      <c r="L55">
        <v>6</v>
      </c>
    </row>
    <row r="56" spans="1:16">
      <c r="B56" s="62" t="s">
        <v>4206</v>
      </c>
      <c r="C56" s="62" t="s">
        <v>494</v>
      </c>
      <c r="K56">
        <v>4</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sheetPr codeName="Hoja10">
    <tabColor rgb="FF00B050"/>
  </sheetPr>
  <dimension ref="A1:R428"/>
  <sheetViews>
    <sheetView topLeftCell="A149" workbookViewId="0">
      <selection activeCell="A154" sqref="A154:XFD168"/>
    </sheetView>
  </sheetViews>
  <sheetFormatPr baseColWidth="10" defaultRowHeight="12.75"/>
  <cols>
    <col min="1" max="1" width="20.85546875" bestFit="1" customWidth="1"/>
    <col min="2" max="2" width="23.140625" customWidth="1"/>
    <col min="3" max="3" width="7.42578125" bestFit="1" customWidth="1"/>
    <col min="4" max="4" width="3.7109375" customWidth="1"/>
    <col min="5" max="5" width="1.7109375" bestFit="1" customWidth="1"/>
    <col min="6" max="6" width="4.5703125" bestFit="1" customWidth="1"/>
    <col min="7" max="7" width="6.7109375" customWidth="1"/>
    <col min="8" max="8" width="11.28515625" customWidth="1"/>
    <col min="9" max="9" width="16.85546875" bestFit="1" customWidth="1"/>
    <col min="10" max="10" width="5.42578125" customWidth="1"/>
    <col min="11" max="11" width="4.85546875" customWidth="1"/>
    <col min="12" max="12" width="4.5703125" customWidth="1"/>
    <col min="13" max="13" width="4.140625" customWidth="1"/>
    <col min="14" max="14" width="17.5703125" bestFit="1" customWidth="1"/>
    <col min="15" max="15" width="13.85546875" bestFit="1" customWidth="1"/>
    <col min="16" max="16" width="14.5703125" bestFit="1" customWidth="1"/>
    <col min="17" max="17" width="14.710937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s="7" customFormat="1" ht="12.75" customHeight="1">
      <c r="A2" s="10" t="s">
        <v>435</v>
      </c>
      <c r="B2" s="10" t="s">
        <v>436</v>
      </c>
      <c r="C2" s="10" t="s">
        <v>494</v>
      </c>
      <c r="D2" s="10"/>
      <c r="E2" s="10" t="s">
        <v>476</v>
      </c>
      <c r="F2" s="10">
        <v>15</v>
      </c>
      <c r="G2" s="10">
        <v>1501</v>
      </c>
      <c r="H2" s="64" t="s">
        <v>4518</v>
      </c>
      <c r="I2" s="10" t="s">
        <v>503</v>
      </c>
      <c r="J2" s="10">
        <v>2</v>
      </c>
      <c r="K2" s="16">
        <v>1</v>
      </c>
      <c r="L2" s="31">
        <v>6</v>
      </c>
      <c r="M2" s="10"/>
      <c r="N2" s="10"/>
      <c r="O2" s="10"/>
      <c r="P2" s="10"/>
      <c r="Q2" s="10"/>
      <c r="R2" s="10"/>
    </row>
    <row r="3" spans="1:18" s="1" customFormat="1">
      <c r="A3" s="10"/>
      <c r="B3" s="10" t="s">
        <v>437</v>
      </c>
      <c r="C3" s="10" t="s">
        <v>494</v>
      </c>
      <c r="D3" s="10"/>
      <c r="E3" s="10"/>
      <c r="F3" s="10"/>
      <c r="G3" s="10"/>
      <c r="H3" s="10"/>
      <c r="I3" s="10"/>
      <c r="J3" s="10"/>
      <c r="K3" s="16">
        <v>2</v>
      </c>
      <c r="L3" s="31">
        <v>6</v>
      </c>
      <c r="M3" s="10"/>
      <c r="N3" s="10"/>
      <c r="O3" s="10"/>
      <c r="P3" s="10"/>
      <c r="Q3" s="10"/>
      <c r="R3" s="10"/>
    </row>
    <row r="4" spans="1:18" s="1" customFormat="1">
      <c r="A4" s="10"/>
      <c r="B4" s="10" t="s">
        <v>438</v>
      </c>
      <c r="C4" s="10" t="s">
        <v>493</v>
      </c>
      <c r="D4" s="10">
        <v>1</v>
      </c>
      <c r="E4" s="10"/>
      <c r="F4" s="10"/>
      <c r="G4" s="10"/>
      <c r="H4" s="10"/>
      <c r="I4" s="10"/>
      <c r="J4" s="10"/>
      <c r="K4" s="16">
        <v>3</v>
      </c>
      <c r="L4" s="31">
        <v>3</v>
      </c>
      <c r="M4" s="10"/>
      <c r="N4" s="10"/>
      <c r="O4" s="10"/>
      <c r="P4" s="10"/>
      <c r="Q4" s="10"/>
      <c r="R4" s="10"/>
    </row>
    <row r="5" spans="1:18" s="1" customFormat="1">
      <c r="A5" s="10"/>
      <c r="B5" s="10" t="s">
        <v>439</v>
      </c>
      <c r="C5" s="10" t="s">
        <v>493</v>
      </c>
      <c r="D5" s="10">
        <v>100</v>
      </c>
      <c r="E5" s="10"/>
      <c r="F5" s="10"/>
      <c r="G5" s="10"/>
      <c r="H5" s="10"/>
      <c r="I5" s="10"/>
      <c r="J5" s="10"/>
      <c r="K5" s="16">
        <v>4</v>
      </c>
      <c r="L5" s="31"/>
      <c r="M5" s="10"/>
      <c r="N5" s="10"/>
      <c r="O5" s="10"/>
      <c r="P5" s="10"/>
      <c r="Q5" s="10"/>
      <c r="R5" s="10"/>
    </row>
    <row r="6" spans="1:18" s="1" customFormat="1">
      <c r="A6" s="10"/>
      <c r="B6" s="64" t="s">
        <v>4475</v>
      </c>
      <c r="C6" s="64" t="s">
        <v>494</v>
      </c>
      <c r="D6" s="10"/>
      <c r="E6" s="10"/>
      <c r="F6" s="10"/>
      <c r="G6" s="10"/>
      <c r="H6" s="10"/>
      <c r="I6" s="10"/>
      <c r="J6" s="10"/>
      <c r="K6" s="16">
        <v>3</v>
      </c>
      <c r="L6" s="68">
        <v>3</v>
      </c>
      <c r="M6" s="10">
        <v>2</v>
      </c>
      <c r="N6" s="10"/>
      <c r="O6" s="10"/>
      <c r="P6" s="10"/>
      <c r="Q6" s="10"/>
      <c r="R6" s="10"/>
    </row>
    <row r="7" spans="1:18" s="1" customFormat="1">
      <c r="A7" s="10"/>
      <c r="B7" s="64" t="s">
        <v>4476</v>
      </c>
      <c r="C7" s="64" t="s">
        <v>494</v>
      </c>
      <c r="D7" s="10"/>
      <c r="E7" s="10"/>
      <c r="F7" s="10"/>
      <c r="G7" s="10"/>
      <c r="H7" s="10"/>
      <c r="I7" s="10"/>
      <c r="J7" s="10"/>
      <c r="K7" s="16">
        <v>5</v>
      </c>
      <c r="L7" s="80">
        <v>3</v>
      </c>
      <c r="M7" s="10">
        <v>2</v>
      </c>
      <c r="N7" s="10"/>
      <c r="O7" s="10"/>
      <c r="P7" s="10"/>
      <c r="Q7" s="10"/>
      <c r="R7" s="10"/>
    </row>
    <row r="8" spans="1:18" s="1" customFormat="1">
      <c r="A8" s="10"/>
      <c r="B8" s="10"/>
      <c r="C8" s="10"/>
      <c r="D8" s="10"/>
      <c r="E8" s="10"/>
      <c r="F8" s="10"/>
      <c r="G8" s="10"/>
      <c r="H8" s="10"/>
      <c r="I8" s="10"/>
      <c r="J8" s="10"/>
      <c r="K8" s="16"/>
      <c r="L8" s="31"/>
      <c r="M8" s="10"/>
      <c r="N8" s="10"/>
      <c r="O8" s="10"/>
      <c r="P8" s="10"/>
      <c r="Q8" s="10"/>
      <c r="R8" s="10"/>
    </row>
    <row r="9" spans="1:18" s="1" customFormat="1">
      <c r="A9" s="64" t="s">
        <v>2475</v>
      </c>
      <c r="B9" s="64" t="s">
        <v>2476</v>
      </c>
      <c r="C9" s="64" t="s">
        <v>494</v>
      </c>
      <c r="D9" s="10"/>
      <c r="E9" s="64" t="s">
        <v>476</v>
      </c>
      <c r="F9" s="10">
        <v>15</v>
      </c>
      <c r="G9" s="10">
        <v>1506</v>
      </c>
      <c r="H9" s="64" t="s">
        <v>2480</v>
      </c>
      <c r="I9" s="64" t="s">
        <v>2511</v>
      </c>
      <c r="J9" s="10">
        <v>2</v>
      </c>
      <c r="K9" s="16">
        <v>1</v>
      </c>
      <c r="L9" s="80">
        <v>6</v>
      </c>
      <c r="M9" s="10"/>
      <c r="N9" s="64"/>
      <c r="O9" s="64"/>
      <c r="P9" s="10"/>
      <c r="Q9" s="10"/>
      <c r="R9" s="10"/>
    </row>
    <row r="10" spans="1:18" s="1" customFormat="1">
      <c r="A10" s="10"/>
      <c r="B10" s="64" t="s">
        <v>2477</v>
      </c>
      <c r="C10" s="64" t="s">
        <v>494</v>
      </c>
      <c r="D10" s="10"/>
      <c r="E10" s="10"/>
      <c r="F10" s="10"/>
      <c r="G10" s="10"/>
      <c r="H10" s="10"/>
      <c r="I10" s="10"/>
      <c r="J10" s="10"/>
      <c r="K10" s="16">
        <v>2</v>
      </c>
      <c r="L10" s="80">
        <v>6</v>
      </c>
      <c r="M10" s="10"/>
      <c r="N10" s="10"/>
      <c r="O10" s="10"/>
      <c r="P10" s="10"/>
      <c r="Q10" s="10"/>
      <c r="R10" s="10"/>
    </row>
    <row r="11" spans="1:18" s="1" customFormat="1">
      <c r="A11" s="10"/>
      <c r="B11" s="64" t="s">
        <v>2478</v>
      </c>
      <c r="C11" s="10" t="s">
        <v>493</v>
      </c>
      <c r="D11" s="10">
        <v>1</v>
      </c>
      <c r="E11" s="10"/>
      <c r="F11" s="10"/>
      <c r="G11" s="10"/>
      <c r="H11" s="10"/>
      <c r="I11" s="10"/>
      <c r="J11" s="10"/>
      <c r="K11" s="16">
        <v>3</v>
      </c>
      <c r="L11" s="80">
        <v>3</v>
      </c>
      <c r="M11" s="10"/>
      <c r="N11" s="10"/>
      <c r="O11" s="10"/>
      <c r="P11" s="10"/>
      <c r="Q11" s="10"/>
      <c r="R11" s="10"/>
    </row>
    <row r="12" spans="1:18" s="1" customFormat="1">
      <c r="A12" s="10"/>
      <c r="B12" s="64" t="s">
        <v>2479</v>
      </c>
      <c r="C12" s="10" t="s">
        <v>493</v>
      </c>
      <c r="D12" s="10">
        <v>100</v>
      </c>
      <c r="E12" s="10"/>
      <c r="F12" s="10"/>
      <c r="G12" s="10"/>
      <c r="H12" s="10"/>
      <c r="I12" s="10"/>
      <c r="J12" s="10"/>
      <c r="K12" s="16">
        <v>4</v>
      </c>
      <c r="L12" s="31"/>
      <c r="M12" s="10"/>
      <c r="N12" s="10"/>
      <c r="O12" s="10"/>
      <c r="P12" s="10"/>
      <c r="Q12" s="10"/>
      <c r="R12" s="10"/>
    </row>
    <row r="13" spans="1:18" s="1" customFormat="1">
      <c r="A13" s="10"/>
      <c r="B13" s="64" t="s">
        <v>4514</v>
      </c>
      <c r="C13" s="64" t="s">
        <v>494</v>
      </c>
      <c r="D13" s="10"/>
      <c r="E13" s="10"/>
      <c r="F13" s="10"/>
      <c r="G13" s="10"/>
      <c r="H13" s="10"/>
      <c r="I13" s="10"/>
      <c r="J13" s="10"/>
      <c r="K13" s="16">
        <v>5</v>
      </c>
      <c r="L13" s="68">
        <v>3</v>
      </c>
      <c r="M13" s="10"/>
      <c r="N13" s="10"/>
      <c r="O13" s="10"/>
      <c r="P13" s="10"/>
      <c r="Q13" s="10"/>
      <c r="R13" s="10"/>
    </row>
    <row r="14" spans="1:18" s="1" customFormat="1">
      <c r="A14" s="10"/>
      <c r="B14" s="64" t="s">
        <v>4515</v>
      </c>
      <c r="C14" s="64" t="s">
        <v>494</v>
      </c>
      <c r="D14" s="10"/>
      <c r="E14" s="10"/>
      <c r="F14" s="10"/>
      <c r="G14" s="10"/>
      <c r="H14" s="10"/>
      <c r="I14" s="10"/>
      <c r="J14" s="10"/>
      <c r="K14" s="16">
        <v>6</v>
      </c>
      <c r="L14" s="80">
        <v>3</v>
      </c>
      <c r="M14" s="10"/>
      <c r="N14" s="64" t="s">
        <v>4481</v>
      </c>
      <c r="O14" s="64" t="s">
        <v>4483</v>
      </c>
      <c r="P14" s="64" t="s">
        <v>4485</v>
      </c>
      <c r="Q14" s="10"/>
      <c r="R14" s="10"/>
    </row>
    <row r="15" spans="1:18" s="1" customFormat="1">
      <c r="A15" s="10"/>
      <c r="B15" s="64"/>
      <c r="C15" s="10"/>
      <c r="D15" s="10"/>
      <c r="E15" s="10"/>
      <c r="F15" s="10"/>
      <c r="G15" s="10"/>
      <c r="H15" s="10"/>
      <c r="I15" s="10"/>
      <c r="J15" s="10"/>
      <c r="K15" s="16"/>
      <c r="L15" s="31"/>
      <c r="M15" s="10"/>
      <c r="N15" s="10"/>
      <c r="P15" s="10"/>
      <c r="Q15" s="10"/>
      <c r="R15" s="10"/>
    </row>
    <row r="16" spans="1:18" s="1" customFormat="1">
      <c r="A16" s="62" t="s">
        <v>2482</v>
      </c>
      <c r="B16" s="64" t="s">
        <v>2483</v>
      </c>
      <c r="C16" s="64" t="s">
        <v>494</v>
      </c>
      <c r="E16" s="62" t="s">
        <v>476</v>
      </c>
      <c r="F16" s="14">
        <v>15</v>
      </c>
      <c r="G16" s="14">
        <v>1507</v>
      </c>
      <c r="H16" s="47" t="s">
        <v>2487</v>
      </c>
      <c r="I16" s="48" t="s">
        <v>2488</v>
      </c>
      <c r="J16" s="14">
        <v>2</v>
      </c>
      <c r="K16" s="16">
        <v>1</v>
      </c>
      <c r="L16" s="15">
        <v>6</v>
      </c>
      <c r="M16" s="14"/>
      <c r="N16" s="14"/>
      <c r="O16" s="14"/>
      <c r="P16" s="14"/>
      <c r="Q16" s="14"/>
      <c r="R16" s="14"/>
    </row>
    <row r="17" spans="1:18" s="1" customFormat="1">
      <c r="B17" s="64" t="s">
        <v>2484</v>
      </c>
      <c r="C17" s="64" t="s">
        <v>494</v>
      </c>
      <c r="F17" s="14"/>
      <c r="G17" s="14"/>
      <c r="H17" s="14"/>
      <c r="I17" s="11"/>
      <c r="J17" s="14"/>
      <c r="K17" s="16">
        <v>2</v>
      </c>
      <c r="L17" s="15">
        <v>6</v>
      </c>
      <c r="M17" s="14"/>
      <c r="N17" s="14"/>
      <c r="O17" s="14"/>
      <c r="P17" s="14"/>
      <c r="Q17" s="14"/>
      <c r="R17" s="14"/>
    </row>
    <row r="18" spans="1:18" s="1" customFormat="1">
      <c r="B18" s="64" t="s">
        <v>2485</v>
      </c>
      <c r="C18" s="10" t="s">
        <v>493</v>
      </c>
      <c r="D18" s="10">
        <v>1</v>
      </c>
      <c r="F18" s="14"/>
      <c r="G18" s="14"/>
      <c r="H18" s="14"/>
      <c r="I18" s="11"/>
      <c r="J18" s="14"/>
      <c r="K18" s="16">
        <v>3</v>
      </c>
      <c r="L18" s="15">
        <v>3</v>
      </c>
      <c r="M18" s="14"/>
      <c r="N18" s="14"/>
      <c r="O18" s="14"/>
      <c r="P18" s="14"/>
      <c r="Q18" s="14"/>
      <c r="R18" s="14"/>
    </row>
    <row r="19" spans="1:18" s="1" customFormat="1">
      <c r="B19" s="64" t="s">
        <v>2489</v>
      </c>
      <c r="C19" s="10" t="s">
        <v>493</v>
      </c>
      <c r="D19" s="10">
        <v>1</v>
      </c>
      <c r="F19" s="14"/>
      <c r="G19" s="14"/>
      <c r="H19" s="14"/>
      <c r="I19" s="11"/>
      <c r="J19" s="14"/>
      <c r="K19" s="16">
        <v>4</v>
      </c>
      <c r="L19" s="15">
        <v>3</v>
      </c>
      <c r="M19" s="14"/>
      <c r="N19" s="14"/>
      <c r="O19" s="14"/>
      <c r="P19" s="14"/>
      <c r="Q19" s="14"/>
      <c r="R19" s="14"/>
    </row>
    <row r="20" spans="1:18" s="1" customFormat="1">
      <c r="B20" s="64" t="s">
        <v>2486</v>
      </c>
      <c r="C20" s="10" t="s">
        <v>493</v>
      </c>
      <c r="D20" s="10">
        <v>100</v>
      </c>
      <c r="F20" s="14"/>
      <c r="G20" s="14"/>
      <c r="H20" s="14"/>
      <c r="I20" s="11"/>
      <c r="J20" s="14"/>
      <c r="K20" s="16">
        <v>5</v>
      </c>
      <c r="L20" s="15"/>
      <c r="M20" s="14"/>
      <c r="N20" s="14"/>
      <c r="O20" s="14"/>
      <c r="P20" s="14"/>
      <c r="Q20" s="14"/>
      <c r="R20" s="14"/>
    </row>
    <row r="21" spans="1:18" s="1" customFormat="1">
      <c r="B21" s="64"/>
      <c r="C21" s="10"/>
      <c r="D21" s="10"/>
      <c r="F21" s="14"/>
      <c r="G21" s="14"/>
      <c r="H21" s="14"/>
      <c r="I21" s="11"/>
      <c r="J21" s="14"/>
      <c r="K21" s="16"/>
      <c r="L21" s="15"/>
      <c r="M21" s="14"/>
      <c r="N21" s="14"/>
      <c r="O21" s="14"/>
      <c r="P21" s="14"/>
      <c r="Q21" s="14"/>
      <c r="R21" s="14"/>
    </row>
    <row r="22" spans="1:18" s="1" customFormat="1">
      <c r="A22" s="64" t="s">
        <v>4516</v>
      </c>
      <c r="B22" s="64" t="s">
        <v>4517</v>
      </c>
      <c r="C22" s="64" t="s">
        <v>494</v>
      </c>
      <c r="D22" s="10"/>
      <c r="E22" s="64" t="s">
        <v>476</v>
      </c>
      <c r="F22" s="10">
        <v>15</v>
      </c>
      <c r="G22" s="10">
        <v>1526</v>
      </c>
      <c r="H22" s="64" t="s">
        <v>4480</v>
      </c>
      <c r="I22" s="10"/>
      <c r="J22" s="10">
        <v>2</v>
      </c>
      <c r="K22" s="16">
        <v>1</v>
      </c>
      <c r="L22" s="80">
        <v>52</v>
      </c>
      <c r="M22" s="10"/>
      <c r="N22" s="64">
        <v>1506</v>
      </c>
      <c r="O22" s="64" t="s">
        <v>2477</v>
      </c>
      <c r="P22" s="10"/>
      <c r="Q22" s="10"/>
      <c r="R22" s="10"/>
    </row>
    <row r="23" spans="1:18" s="1" customFormat="1">
      <c r="A23" s="64"/>
      <c r="B23" s="64" t="s">
        <v>4477</v>
      </c>
      <c r="C23" s="64" t="s">
        <v>494</v>
      </c>
      <c r="D23" s="10"/>
      <c r="E23" s="64" t="s">
        <v>476</v>
      </c>
      <c r="F23" s="10"/>
      <c r="G23" s="10"/>
      <c r="H23" s="10"/>
      <c r="I23" s="10"/>
      <c r="J23" s="10"/>
      <c r="K23" s="16">
        <v>2</v>
      </c>
      <c r="L23" s="31">
        <v>3</v>
      </c>
      <c r="M23" s="10"/>
      <c r="N23" s="1" t="s">
        <v>551</v>
      </c>
      <c r="O23" s="1" t="s">
        <v>552</v>
      </c>
      <c r="P23" s="1" t="s">
        <v>553</v>
      </c>
      <c r="Q23" s="10"/>
      <c r="R23" s="10"/>
    </row>
    <row r="24" spans="1:18" s="1" customFormat="1">
      <c r="A24" s="64"/>
      <c r="B24" s="64" t="s">
        <v>4478</v>
      </c>
      <c r="C24" s="64" t="s">
        <v>494</v>
      </c>
      <c r="D24" s="10"/>
      <c r="E24" s="10"/>
      <c r="F24" s="10"/>
      <c r="G24" s="10"/>
      <c r="H24" s="10"/>
      <c r="I24" s="10"/>
      <c r="J24" s="10"/>
      <c r="K24" s="16">
        <v>3</v>
      </c>
      <c r="L24" s="31">
        <v>6</v>
      </c>
      <c r="M24" s="10"/>
      <c r="N24" s="10"/>
      <c r="O24" s="10"/>
      <c r="P24" s="10"/>
      <c r="Q24" s="10"/>
      <c r="R24" s="10"/>
    </row>
    <row r="25" spans="1:18" s="1" customFormat="1">
      <c r="A25" s="64"/>
      <c r="B25" s="64" t="s">
        <v>4479</v>
      </c>
      <c r="C25" s="64" t="s">
        <v>493</v>
      </c>
      <c r="D25" s="10">
        <v>1</v>
      </c>
      <c r="E25" s="10"/>
      <c r="F25" s="10"/>
      <c r="G25" s="10"/>
      <c r="H25" s="10"/>
      <c r="I25" s="10"/>
      <c r="J25" s="10"/>
      <c r="K25" s="16">
        <v>4</v>
      </c>
      <c r="L25" s="31">
        <v>3</v>
      </c>
      <c r="M25" s="10"/>
      <c r="N25" s="10"/>
      <c r="O25" s="10"/>
      <c r="P25" s="10"/>
      <c r="Q25" s="10"/>
      <c r="R25" s="10"/>
    </row>
    <row r="26" spans="1:18" s="1" customFormat="1">
      <c r="A26" s="64"/>
      <c r="B26" s="64"/>
      <c r="C26" s="10"/>
      <c r="D26" s="10"/>
      <c r="E26" s="10"/>
      <c r="F26" s="10"/>
      <c r="G26" s="10"/>
      <c r="H26" s="10"/>
      <c r="I26" s="10"/>
      <c r="J26" s="10"/>
      <c r="K26" s="16"/>
      <c r="L26" s="31"/>
      <c r="M26" s="10"/>
      <c r="N26" s="10"/>
      <c r="O26" s="10"/>
      <c r="P26" s="10"/>
      <c r="Q26" s="10"/>
      <c r="R26" s="10"/>
    </row>
    <row r="27" spans="1:18" s="1" customFormat="1">
      <c r="A27" s="10" t="s">
        <v>440</v>
      </c>
      <c r="B27" s="10" t="s">
        <v>441</v>
      </c>
      <c r="C27" s="10" t="s">
        <v>494</v>
      </c>
      <c r="D27" s="10"/>
      <c r="E27" s="10" t="s">
        <v>476</v>
      </c>
      <c r="F27" s="10"/>
      <c r="G27" s="10"/>
      <c r="H27" s="10"/>
      <c r="I27" s="10"/>
      <c r="J27" s="10"/>
      <c r="K27" s="16">
        <v>1</v>
      </c>
      <c r="L27" s="31"/>
      <c r="M27" s="10"/>
      <c r="N27" s="10"/>
      <c r="O27" s="10"/>
      <c r="P27" s="10"/>
      <c r="Q27" s="10"/>
      <c r="R27" s="10"/>
    </row>
    <row r="28" spans="1:18" s="1" customFormat="1">
      <c r="A28" s="10"/>
      <c r="B28" s="10" t="s">
        <v>442</v>
      </c>
      <c r="C28" s="10" t="s">
        <v>493</v>
      </c>
      <c r="D28" s="10">
        <v>100</v>
      </c>
      <c r="E28" s="10"/>
      <c r="F28" s="10"/>
      <c r="G28" s="10"/>
      <c r="H28" s="10"/>
      <c r="I28" s="10"/>
      <c r="J28" s="10"/>
      <c r="K28" s="16">
        <v>2</v>
      </c>
      <c r="L28" s="31"/>
      <c r="M28" s="10"/>
      <c r="N28" s="10"/>
      <c r="O28" s="10"/>
      <c r="P28" s="10"/>
      <c r="Q28" s="10"/>
      <c r="R28" s="10"/>
    </row>
    <row r="29" spans="1:18" s="1" customFormat="1">
      <c r="A29" s="10"/>
      <c r="B29" s="10"/>
      <c r="C29" s="10"/>
      <c r="D29" s="10"/>
      <c r="E29" s="10"/>
      <c r="F29" s="10"/>
      <c r="G29" s="10"/>
      <c r="H29" s="10"/>
      <c r="I29" s="10"/>
      <c r="J29" s="10"/>
      <c r="K29" s="16"/>
      <c r="L29" s="31"/>
      <c r="M29" s="10"/>
      <c r="N29" s="10"/>
      <c r="O29" s="10"/>
      <c r="P29" s="10"/>
      <c r="Q29" s="10"/>
      <c r="R29" s="10"/>
    </row>
    <row r="30" spans="1:18" s="1" customFormat="1">
      <c r="A30" s="10" t="s">
        <v>443</v>
      </c>
      <c r="B30" s="10" t="s">
        <v>444</v>
      </c>
      <c r="C30" s="10" t="s">
        <v>494</v>
      </c>
      <c r="D30" s="10"/>
      <c r="E30" s="10" t="s">
        <v>476</v>
      </c>
      <c r="F30" s="10"/>
      <c r="G30" s="10"/>
      <c r="H30" s="10"/>
      <c r="I30" s="10"/>
      <c r="J30" s="10"/>
      <c r="K30" s="16">
        <v>1</v>
      </c>
      <c r="L30" s="31"/>
      <c r="M30" s="10"/>
      <c r="N30" s="10"/>
      <c r="O30" s="10"/>
      <c r="P30" s="10"/>
      <c r="Q30" s="10"/>
      <c r="R30" s="10"/>
    </row>
    <row r="31" spans="1:18" s="1" customFormat="1">
      <c r="A31" s="10"/>
      <c r="B31" s="10" t="s">
        <v>445</v>
      </c>
      <c r="C31" s="10" t="s">
        <v>493</v>
      </c>
      <c r="D31" s="10">
        <v>100</v>
      </c>
      <c r="E31" s="10"/>
      <c r="F31" s="10"/>
      <c r="G31" s="10"/>
      <c r="H31" s="10"/>
      <c r="I31" s="10"/>
      <c r="J31" s="10"/>
      <c r="K31" s="16">
        <v>2</v>
      </c>
      <c r="L31" s="31"/>
      <c r="M31" s="10"/>
      <c r="N31" s="10"/>
      <c r="O31" s="10"/>
      <c r="P31" s="10"/>
      <c r="Q31" s="10"/>
      <c r="R31" s="10"/>
    </row>
    <row r="32" spans="1:18" s="1" customFormat="1">
      <c r="A32" s="10"/>
      <c r="B32" s="10"/>
      <c r="C32" s="10"/>
      <c r="D32" s="10"/>
      <c r="E32" s="10"/>
      <c r="F32" s="10"/>
      <c r="G32" s="10"/>
      <c r="H32" s="10"/>
      <c r="I32" s="10"/>
      <c r="J32" s="10"/>
      <c r="K32" s="16"/>
      <c r="L32" s="31"/>
      <c r="M32" s="10"/>
      <c r="N32" s="10"/>
      <c r="O32" s="10"/>
      <c r="P32" s="10"/>
      <c r="Q32" s="10"/>
      <c r="R32" s="10"/>
    </row>
    <row r="33" spans="1:18" s="1" customFormat="1">
      <c r="A33" s="64" t="s">
        <v>446</v>
      </c>
      <c r="B33" s="64" t="s">
        <v>447</v>
      </c>
      <c r="C33" s="10" t="s">
        <v>494</v>
      </c>
      <c r="D33" s="10"/>
      <c r="E33" s="10" t="s">
        <v>476</v>
      </c>
      <c r="F33" s="10">
        <v>15</v>
      </c>
      <c r="G33" s="10">
        <v>1504</v>
      </c>
      <c r="H33" s="10" t="s">
        <v>504</v>
      </c>
      <c r="I33" s="10" t="s">
        <v>519</v>
      </c>
      <c r="J33" s="10">
        <v>1501</v>
      </c>
      <c r="K33" s="16">
        <v>1</v>
      </c>
      <c r="L33" s="31">
        <v>6</v>
      </c>
      <c r="M33" s="10"/>
      <c r="N33" s="10"/>
      <c r="O33" s="10"/>
      <c r="P33" s="10"/>
      <c r="Q33" s="10"/>
      <c r="R33" s="10"/>
    </row>
    <row r="34" spans="1:18" s="1" customFormat="1">
      <c r="A34" s="10"/>
      <c r="B34" s="10" t="s">
        <v>448</v>
      </c>
      <c r="C34" s="10" t="s">
        <v>494</v>
      </c>
      <c r="D34" s="10"/>
      <c r="E34" s="10"/>
      <c r="F34" s="10"/>
      <c r="G34" s="10"/>
      <c r="H34" s="10"/>
      <c r="I34" s="10"/>
      <c r="J34" s="10"/>
      <c r="K34" s="16">
        <v>2</v>
      </c>
      <c r="L34" s="31">
        <v>6</v>
      </c>
      <c r="M34" s="10"/>
      <c r="N34" s="10"/>
      <c r="O34" s="10"/>
      <c r="P34" s="10"/>
      <c r="Q34" s="10"/>
      <c r="R34" s="10"/>
    </row>
    <row r="35" spans="1:18" s="1" customFormat="1">
      <c r="A35" s="10"/>
      <c r="B35" s="64" t="s">
        <v>470</v>
      </c>
      <c r="C35" s="10" t="s">
        <v>494</v>
      </c>
      <c r="D35" s="10"/>
      <c r="E35" s="10"/>
      <c r="F35" s="10"/>
      <c r="G35" s="10"/>
      <c r="H35" s="10"/>
      <c r="I35" s="10"/>
      <c r="J35" s="10"/>
      <c r="K35" s="16">
        <v>3</v>
      </c>
      <c r="L35" s="31">
        <v>3</v>
      </c>
      <c r="M35" s="10">
        <v>1</v>
      </c>
      <c r="N35" s="10" t="s">
        <v>440</v>
      </c>
      <c r="O35" s="10" t="s">
        <v>441</v>
      </c>
      <c r="P35" s="10" t="s">
        <v>442</v>
      </c>
      <c r="Q35" s="10"/>
      <c r="R35" s="10"/>
    </row>
    <row r="36" spans="1:18" s="1" customFormat="1">
      <c r="A36" s="10"/>
      <c r="B36" s="10" t="s">
        <v>449</v>
      </c>
      <c r="C36" s="10" t="s">
        <v>494</v>
      </c>
      <c r="D36" s="10"/>
      <c r="E36" s="10"/>
      <c r="F36" s="10"/>
      <c r="G36" s="10"/>
      <c r="H36" s="10"/>
      <c r="I36" s="10"/>
      <c r="J36" s="10"/>
      <c r="K36" s="16">
        <v>4</v>
      </c>
      <c r="L36" s="31">
        <v>3</v>
      </c>
      <c r="M36" s="10">
        <v>3</v>
      </c>
      <c r="N36" s="10" t="s">
        <v>435</v>
      </c>
      <c r="O36" s="10" t="s">
        <v>437</v>
      </c>
      <c r="P36" s="10" t="s">
        <v>439</v>
      </c>
      <c r="Q36" s="10"/>
      <c r="R36" s="10"/>
    </row>
    <row r="37" spans="1:18" s="1" customFormat="1">
      <c r="A37" s="10"/>
      <c r="B37" s="64" t="s">
        <v>450</v>
      </c>
      <c r="C37" s="10" t="s">
        <v>494</v>
      </c>
      <c r="D37" s="10"/>
      <c r="E37" s="10"/>
      <c r="F37" s="10"/>
      <c r="G37" s="10"/>
      <c r="H37" s="10"/>
      <c r="I37" s="10"/>
      <c r="J37" s="10"/>
      <c r="K37" s="16">
        <v>5</v>
      </c>
      <c r="L37" s="31">
        <v>8</v>
      </c>
      <c r="M37" s="10"/>
      <c r="N37" s="10"/>
      <c r="O37" s="10"/>
      <c r="P37" s="10"/>
      <c r="Q37" s="10"/>
      <c r="R37" s="10"/>
    </row>
    <row r="38" spans="1:18" s="1" customFormat="1">
      <c r="A38" s="10"/>
      <c r="B38" s="10" t="s">
        <v>451</v>
      </c>
      <c r="C38" s="10" t="s">
        <v>493</v>
      </c>
      <c r="D38" s="10">
        <v>10</v>
      </c>
      <c r="E38" s="10"/>
      <c r="F38" s="10"/>
      <c r="G38" s="10"/>
      <c r="H38" s="10"/>
      <c r="I38" s="10"/>
      <c r="J38" s="10"/>
      <c r="K38" s="16">
        <v>6</v>
      </c>
      <c r="L38" s="31">
        <v>7</v>
      </c>
      <c r="M38" s="10"/>
      <c r="N38" s="10"/>
      <c r="O38" s="10"/>
      <c r="P38" s="10"/>
      <c r="Q38" s="10"/>
      <c r="R38" s="10"/>
    </row>
    <row r="39" spans="1:18" s="1" customFormat="1">
      <c r="A39" s="10"/>
      <c r="B39" s="10" t="s">
        <v>452</v>
      </c>
      <c r="C39" s="10" t="s">
        <v>494</v>
      </c>
      <c r="D39" s="10"/>
      <c r="E39" s="10"/>
      <c r="F39" s="10"/>
      <c r="G39" s="10"/>
      <c r="H39" s="10"/>
      <c r="I39" s="10"/>
      <c r="J39" s="10"/>
      <c r="K39" s="16">
        <v>7</v>
      </c>
      <c r="L39" s="31"/>
      <c r="M39" s="10">
        <v>71</v>
      </c>
      <c r="N39" s="10"/>
      <c r="O39" s="10"/>
      <c r="P39" s="10"/>
      <c r="Q39" s="10"/>
      <c r="R39" s="10"/>
    </row>
    <row r="40" spans="1:18" s="1" customFormat="1">
      <c r="A40" s="10"/>
      <c r="B40" s="10" t="s">
        <v>453</v>
      </c>
      <c r="C40" s="10" t="s">
        <v>494</v>
      </c>
      <c r="D40" s="10"/>
      <c r="E40" s="10"/>
      <c r="F40" s="10"/>
      <c r="G40" s="10"/>
      <c r="H40" s="10"/>
      <c r="I40" s="10"/>
      <c r="J40" s="10"/>
      <c r="K40" s="16">
        <v>8</v>
      </c>
      <c r="L40" s="31"/>
      <c r="M40" s="10">
        <v>72</v>
      </c>
      <c r="N40" s="10"/>
      <c r="O40" s="10"/>
      <c r="P40" s="10"/>
      <c r="Q40" s="10"/>
      <c r="R40" s="10"/>
    </row>
    <row r="41" spans="1:18" s="1" customFormat="1">
      <c r="A41" s="10"/>
      <c r="B41" s="70" t="s">
        <v>4525</v>
      </c>
      <c r="C41" s="64" t="s">
        <v>494</v>
      </c>
      <c r="D41" s="10"/>
      <c r="E41" s="10"/>
      <c r="F41" s="10"/>
      <c r="G41" s="10"/>
      <c r="H41" s="10"/>
      <c r="I41" s="10"/>
      <c r="J41" s="10"/>
      <c r="K41" s="16">
        <v>9</v>
      </c>
      <c r="L41" s="80">
        <v>3</v>
      </c>
      <c r="M41" s="14"/>
      <c r="N41" s="62" t="s">
        <v>693</v>
      </c>
      <c r="O41" s="1" t="s">
        <v>695</v>
      </c>
      <c r="P41" s="1" t="s">
        <v>696</v>
      </c>
      <c r="Q41" s="62"/>
      <c r="R41" s="14"/>
    </row>
    <row r="42" spans="1:18" s="1" customFormat="1">
      <c r="A42" s="10"/>
      <c r="B42" s="10" t="s">
        <v>454</v>
      </c>
      <c r="C42" s="10" t="s">
        <v>494</v>
      </c>
      <c r="D42" s="10"/>
      <c r="E42" s="10"/>
      <c r="F42" s="10"/>
      <c r="G42" s="10"/>
      <c r="H42" s="10"/>
      <c r="I42" s="10"/>
      <c r="J42" s="10"/>
      <c r="K42" s="16">
        <v>10</v>
      </c>
      <c r="L42" s="31">
        <v>3</v>
      </c>
      <c r="M42" s="14">
        <v>31</v>
      </c>
      <c r="N42" s="1" t="s">
        <v>379</v>
      </c>
      <c r="O42" s="62" t="s">
        <v>698</v>
      </c>
      <c r="P42" s="62" t="s">
        <v>699</v>
      </c>
      <c r="Q42" s="62" t="s">
        <v>383</v>
      </c>
      <c r="R42" s="14">
        <v>9</v>
      </c>
    </row>
    <row r="43" spans="1:18" s="1" customFormat="1">
      <c r="A43" s="10"/>
      <c r="B43" s="10" t="s">
        <v>455</v>
      </c>
      <c r="C43" s="10" t="s">
        <v>493</v>
      </c>
      <c r="D43" s="10">
        <v>20</v>
      </c>
      <c r="E43" s="10"/>
      <c r="F43" s="10"/>
      <c r="G43" s="10"/>
      <c r="H43" s="10"/>
      <c r="I43" s="10"/>
      <c r="J43" s="10"/>
      <c r="K43" s="16">
        <v>11</v>
      </c>
      <c r="L43" s="31"/>
      <c r="M43" s="10"/>
      <c r="N43" s="10"/>
      <c r="O43" s="10"/>
      <c r="P43" s="10"/>
      <c r="Q43" s="10"/>
      <c r="R43" s="10"/>
    </row>
    <row r="44" spans="1:18" s="1" customFormat="1">
      <c r="A44" s="10"/>
      <c r="B44" s="10" t="s">
        <v>471</v>
      </c>
      <c r="C44" s="10" t="s">
        <v>494</v>
      </c>
      <c r="D44" s="10"/>
      <c r="E44" s="10"/>
      <c r="F44" s="10"/>
      <c r="G44" s="10"/>
      <c r="H44" s="10"/>
      <c r="I44" s="10"/>
      <c r="J44" s="10"/>
      <c r="K44" s="16">
        <v>12</v>
      </c>
      <c r="L44" s="31">
        <v>3</v>
      </c>
      <c r="M44" s="10"/>
      <c r="N44" s="10" t="s">
        <v>443</v>
      </c>
      <c r="O44" s="10" t="s">
        <v>444</v>
      </c>
      <c r="P44" s="10" t="s">
        <v>445</v>
      </c>
      <c r="Q44" s="10"/>
      <c r="R44" s="10"/>
    </row>
    <row r="45" spans="1:18" s="1" customFormat="1">
      <c r="A45" s="10"/>
      <c r="B45" s="10" t="s">
        <v>456</v>
      </c>
      <c r="C45" s="10" t="s">
        <v>520</v>
      </c>
      <c r="D45" s="10"/>
      <c r="E45" s="10"/>
      <c r="F45" s="10"/>
      <c r="G45" s="10"/>
      <c r="H45" s="10"/>
      <c r="I45" s="10"/>
      <c r="J45" s="10"/>
      <c r="K45" s="16">
        <v>13</v>
      </c>
      <c r="L45" s="31"/>
      <c r="M45" s="10"/>
      <c r="N45" s="10"/>
      <c r="O45" s="10"/>
      <c r="P45" s="10"/>
      <c r="Q45" s="10"/>
      <c r="R45" s="10"/>
    </row>
    <row r="46" spans="1:18" s="1" customFormat="1">
      <c r="A46" s="10"/>
      <c r="B46" s="64" t="s">
        <v>457</v>
      </c>
      <c r="C46" s="10" t="s">
        <v>494</v>
      </c>
      <c r="D46" s="10"/>
      <c r="E46" s="10"/>
      <c r="F46" s="10"/>
      <c r="G46" s="10"/>
      <c r="H46" s="10"/>
      <c r="I46" s="10"/>
      <c r="J46" s="10"/>
      <c r="K46" s="16">
        <v>14</v>
      </c>
      <c r="L46" s="31">
        <v>8</v>
      </c>
      <c r="M46" s="10"/>
      <c r="N46" s="10"/>
      <c r="O46" s="10"/>
      <c r="P46" s="10"/>
      <c r="Q46" s="10"/>
      <c r="R46" s="10"/>
    </row>
    <row r="47" spans="1:18" s="1" customFormat="1">
      <c r="A47" s="10"/>
      <c r="B47" s="10" t="s">
        <v>458</v>
      </c>
      <c r="C47" s="10" t="s">
        <v>493</v>
      </c>
      <c r="D47" s="10">
        <v>10</v>
      </c>
      <c r="E47" s="10"/>
      <c r="F47" s="10"/>
      <c r="G47" s="10"/>
      <c r="H47" s="10"/>
      <c r="I47" s="10"/>
      <c r="J47" s="10"/>
      <c r="K47" s="16">
        <v>15</v>
      </c>
      <c r="L47" s="31">
        <v>7</v>
      </c>
      <c r="M47" s="10"/>
      <c r="N47" s="10"/>
      <c r="O47" s="10"/>
      <c r="P47" s="10"/>
      <c r="Q47" s="10"/>
      <c r="R47" s="10"/>
    </row>
    <row r="48" spans="1:18" s="1" customFormat="1">
      <c r="A48" s="10"/>
      <c r="B48" s="10" t="s">
        <v>459</v>
      </c>
      <c r="C48" s="10" t="s">
        <v>493</v>
      </c>
      <c r="D48" s="10">
        <v>10</v>
      </c>
      <c r="E48" s="10"/>
      <c r="F48" s="10"/>
      <c r="G48" s="10"/>
      <c r="H48" s="10"/>
      <c r="I48" s="10"/>
      <c r="J48" s="10"/>
      <c r="K48" s="16">
        <v>16</v>
      </c>
      <c r="L48" s="31">
        <v>7</v>
      </c>
      <c r="M48" s="10"/>
      <c r="N48" s="10"/>
      <c r="O48" s="10"/>
      <c r="P48" s="10"/>
      <c r="Q48" s="10"/>
      <c r="R48" s="10"/>
    </row>
    <row r="49" spans="1:18" s="1" customFormat="1">
      <c r="A49" s="10"/>
      <c r="B49" s="64" t="s">
        <v>2481</v>
      </c>
      <c r="C49" s="64" t="s">
        <v>494</v>
      </c>
      <c r="D49" s="10"/>
      <c r="E49" s="10"/>
      <c r="F49" s="10"/>
      <c r="G49" s="10"/>
      <c r="H49" s="10"/>
      <c r="I49" s="10"/>
      <c r="J49" s="10"/>
      <c r="K49" s="16">
        <v>17</v>
      </c>
      <c r="L49" s="80">
        <v>3</v>
      </c>
      <c r="M49" s="10"/>
      <c r="N49" s="64" t="s">
        <v>2475</v>
      </c>
      <c r="O49" s="64" t="s">
        <v>2477</v>
      </c>
      <c r="P49" s="64" t="s">
        <v>2479</v>
      </c>
      <c r="Q49" s="64"/>
      <c r="R49" s="10"/>
    </row>
    <row r="50" spans="1:18" s="1" customFormat="1">
      <c r="A50" s="10"/>
      <c r="B50" s="64" t="s">
        <v>1260</v>
      </c>
      <c r="C50" s="64" t="s">
        <v>494</v>
      </c>
      <c r="D50" s="10"/>
      <c r="E50" s="10"/>
      <c r="F50" s="10"/>
      <c r="G50" s="10"/>
      <c r="H50" s="10"/>
      <c r="I50" s="10"/>
      <c r="J50" s="10"/>
      <c r="K50" s="16">
        <v>18</v>
      </c>
      <c r="L50" s="80">
        <v>3</v>
      </c>
      <c r="M50" s="10"/>
      <c r="N50" s="62" t="s">
        <v>2482</v>
      </c>
      <c r="O50" s="64" t="s">
        <v>2484</v>
      </c>
      <c r="P50" s="64" t="s">
        <v>2486</v>
      </c>
      <c r="Q50" s="10"/>
      <c r="R50" s="10"/>
    </row>
    <row r="51" spans="1:18" s="1" customFormat="1">
      <c r="A51" s="10"/>
      <c r="B51" s="64" t="s">
        <v>2490</v>
      </c>
      <c r="C51" s="64" t="s">
        <v>494</v>
      </c>
      <c r="D51" s="10"/>
      <c r="E51" s="10"/>
      <c r="F51" s="10"/>
      <c r="G51" s="10"/>
      <c r="H51" s="10"/>
      <c r="I51" s="10"/>
      <c r="J51" s="10"/>
      <c r="K51" s="16">
        <v>19</v>
      </c>
      <c r="L51" s="80"/>
      <c r="M51" s="10"/>
      <c r="N51" s="62"/>
      <c r="O51" s="64"/>
      <c r="P51" s="64"/>
      <c r="Q51" s="10"/>
      <c r="R51" s="10"/>
    </row>
    <row r="52" spans="1:18" s="1" customFormat="1">
      <c r="A52" s="10"/>
      <c r="B52" s="64" t="s">
        <v>2513</v>
      </c>
      <c r="C52" s="64" t="s">
        <v>494</v>
      </c>
      <c r="D52" s="10"/>
      <c r="E52" s="10"/>
      <c r="F52" s="10"/>
      <c r="G52" s="10"/>
      <c r="H52" s="10"/>
      <c r="I52" s="10"/>
      <c r="J52" s="10"/>
      <c r="K52" s="16">
        <v>20</v>
      </c>
      <c r="L52" s="80">
        <v>8</v>
      </c>
      <c r="M52" s="10"/>
      <c r="N52" s="62"/>
      <c r="O52" s="64"/>
      <c r="P52" s="64"/>
      <c r="Q52" s="10"/>
      <c r="R52" s="10"/>
    </row>
    <row r="53" spans="1:18" s="1" customFormat="1">
      <c r="A53" s="10"/>
      <c r="B53" s="70" t="s">
        <v>4498</v>
      </c>
      <c r="C53" s="64" t="s">
        <v>494</v>
      </c>
      <c r="D53" s="10"/>
      <c r="E53" s="10"/>
      <c r="F53" s="10"/>
      <c r="G53" s="10"/>
      <c r="H53" s="10"/>
      <c r="I53" s="10"/>
      <c r="J53" s="10"/>
      <c r="K53" s="16">
        <v>21</v>
      </c>
      <c r="L53" s="80">
        <v>3</v>
      </c>
      <c r="M53" s="10"/>
      <c r="N53" s="64" t="s">
        <v>4481</v>
      </c>
      <c r="O53" s="64" t="s">
        <v>4483</v>
      </c>
      <c r="P53" s="64" t="s">
        <v>4485</v>
      </c>
      <c r="Q53" s="10"/>
      <c r="R53" s="10"/>
    </row>
    <row r="54" spans="1:18" s="1" customFormat="1">
      <c r="A54" s="10"/>
      <c r="B54" s="70" t="s">
        <v>4526</v>
      </c>
      <c r="C54" s="64" t="s">
        <v>494</v>
      </c>
      <c r="D54" s="10"/>
      <c r="E54" s="10"/>
      <c r="F54" s="10"/>
      <c r="G54" s="10"/>
      <c r="H54" s="10"/>
      <c r="I54" s="10"/>
      <c r="J54" s="10"/>
      <c r="K54" s="16">
        <v>22</v>
      </c>
      <c r="L54" s="80"/>
      <c r="M54" s="10">
        <v>2</v>
      </c>
      <c r="N54" s="64"/>
      <c r="O54" s="64"/>
      <c r="P54" s="64"/>
      <c r="Q54" s="10"/>
      <c r="R54" s="10"/>
    </row>
    <row r="55" spans="1:18" s="1" customFormat="1">
      <c r="A55" s="10"/>
      <c r="B55" s="70" t="s">
        <v>4497</v>
      </c>
      <c r="C55" s="64" t="s">
        <v>494</v>
      </c>
      <c r="D55" s="10"/>
      <c r="E55" s="10"/>
      <c r="F55" s="10"/>
      <c r="G55" s="10"/>
      <c r="H55" s="10"/>
      <c r="I55" s="10"/>
      <c r="J55" s="10"/>
      <c r="K55" s="16">
        <v>23</v>
      </c>
      <c r="L55" s="80">
        <v>8</v>
      </c>
      <c r="M55" s="10">
        <v>3</v>
      </c>
      <c r="N55" s="62"/>
      <c r="P55" s="64"/>
      <c r="Q55" s="10"/>
      <c r="R55" s="10"/>
    </row>
    <row r="56" spans="1:18" s="1" customFormat="1">
      <c r="A56" s="10"/>
      <c r="B56" s="70" t="s">
        <v>4502</v>
      </c>
      <c r="C56" s="64" t="s">
        <v>520</v>
      </c>
      <c r="D56" s="10"/>
      <c r="E56" s="10"/>
      <c r="F56" s="10"/>
      <c r="G56" s="10"/>
      <c r="H56" s="10"/>
      <c r="I56" s="10"/>
      <c r="J56" s="10"/>
      <c r="K56" s="16">
        <v>24</v>
      </c>
      <c r="L56" s="80"/>
      <c r="M56" s="10"/>
      <c r="N56" s="62"/>
      <c r="P56" s="64"/>
      <c r="Q56" s="10"/>
      <c r="R56" s="10"/>
    </row>
    <row r="57" spans="1:18" s="1" customFormat="1">
      <c r="A57" s="10"/>
      <c r="B57" s="70" t="s">
        <v>4503</v>
      </c>
      <c r="C57" s="64" t="s">
        <v>493</v>
      </c>
      <c r="D57" s="10">
        <v>50</v>
      </c>
      <c r="E57" s="10"/>
      <c r="F57" s="10"/>
      <c r="G57" s="10"/>
      <c r="H57" s="10"/>
      <c r="I57" s="10"/>
      <c r="J57" s="10"/>
      <c r="K57" s="16">
        <v>25</v>
      </c>
      <c r="L57" s="80"/>
      <c r="M57" s="10">
        <v>1</v>
      </c>
      <c r="N57" s="62"/>
      <c r="P57" s="64"/>
      <c r="Q57" s="10"/>
      <c r="R57" s="10"/>
    </row>
    <row r="58" spans="1:18" s="1" customFormat="1">
      <c r="A58" s="10"/>
      <c r="B58" s="70" t="s">
        <v>4521</v>
      </c>
      <c r="C58" s="64" t="s">
        <v>494</v>
      </c>
      <c r="D58" s="10"/>
      <c r="E58" s="10"/>
      <c r="F58" s="10"/>
      <c r="G58" s="10"/>
      <c r="H58" s="10"/>
      <c r="I58" s="10"/>
      <c r="J58" s="10"/>
      <c r="K58" s="16">
        <v>26</v>
      </c>
      <c r="L58" s="80">
        <v>7</v>
      </c>
      <c r="M58" s="10"/>
      <c r="N58" s="62"/>
      <c r="P58" s="64"/>
      <c r="Q58" s="10"/>
      <c r="R58" s="10"/>
    </row>
    <row r="59" spans="1:18" s="1" customFormat="1">
      <c r="A59" s="10"/>
      <c r="B59" s="70" t="s">
        <v>4522</v>
      </c>
      <c r="C59" s="64" t="s">
        <v>494</v>
      </c>
      <c r="D59" s="10"/>
      <c r="E59" s="10"/>
      <c r="F59" s="10"/>
      <c r="G59" s="10"/>
      <c r="H59" s="10"/>
      <c r="I59" s="10"/>
      <c r="J59" s="10"/>
      <c r="K59" s="16">
        <v>27</v>
      </c>
      <c r="L59" s="80"/>
      <c r="M59" s="10"/>
      <c r="N59" s="62"/>
      <c r="P59" s="64"/>
      <c r="Q59" s="10"/>
      <c r="R59" s="10"/>
    </row>
    <row r="60" spans="1:18" s="1" customFormat="1">
      <c r="A60" s="10"/>
      <c r="B60" s="70" t="s">
        <v>4523</v>
      </c>
      <c r="C60" s="64" t="s">
        <v>494</v>
      </c>
      <c r="D60" s="10"/>
      <c r="E60" s="10"/>
      <c r="F60" s="10"/>
      <c r="G60" s="10"/>
      <c r="H60" s="10"/>
      <c r="I60" s="10"/>
      <c r="J60" s="10"/>
      <c r="K60" s="16">
        <v>28</v>
      </c>
      <c r="L60" s="80"/>
      <c r="M60" s="10">
        <v>1</v>
      </c>
      <c r="N60" s="62"/>
      <c r="P60" s="64"/>
      <c r="Q60" s="10"/>
      <c r="R60" s="10"/>
    </row>
    <row r="61" spans="1:18" s="1" customFormat="1">
      <c r="A61" s="10"/>
      <c r="B61" s="70" t="s">
        <v>4524</v>
      </c>
      <c r="C61" s="64" t="s">
        <v>494</v>
      </c>
      <c r="D61" s="10"/>
      <c r="E61" s="10"/>
      <c r="F61" s="10"/>
      <c r="G61" s="10"/>
      <c r="H61" s="10"/>
      <c r="I61" s="10"/>
      <c r="J61" s="10"/>
      <c r="K61" s="16">
        <v>29</v>
      </c>
      <c r="L61" s="80"/>
      <c r="M61" s="10">
        <v>1</v>
      </c>
      <c r="N61" s="62"/>
      <c r="P61" s="64"/>
      <c r="Q61" s="10"/>
      <c r="R61" s="10"/>
    </row>
    <row r="62" spans="1:18" s="1" customFormat="1">
      <c r="A62" s="10"/>
      <c r="B62" s="10"/>
      <c r="C62" s="10"/>
      <c r="D62" s="10"/>
      <c r="E62" s="10"/>
      <c r="F62" s="10"/>
      <c r="G62" s="10"/>
      <c r="H62" s="10"/>
      <c r="I62" s="10"/>
      <c r="J62" s="10"/>
      <c r="K62" s="16"/>
      <c r="L62" s="31"/>
      <c r="M62" s="10"/>
      <c r="N62" s="10"/>
      <c r="O62" s="10"/>
      <c r="P62" s="10"/>
      <c r="Q62" s="10"/>
      <c r="R62" s="10"/>
    </row>
    <row r="63" spans="1:18" s="1" customFormat="1">
      <c r="A63" s="10" t="s">
        <v>460</v>
      </c>
      <c r="B63" s="10" t="s">
        <v>461</v>
      </c>
      <c r="C63" s="10" t="s">
        <v>494</v>
      </c>
      <c r="D63" s="10"/>
      <c r="E63" s="10" t="s">
        <v>476</v>
      </c>
      <c r="F63" s="10">
        <v>15</v>
      </c>
      <c r="G63" s="10">
        <v>1505</v>
      </c>
      <c r="H63" s="10" t="s">
        <v>521</v>
      </c>
      <c r="I63" s="10"/>
      <c r="J63" s="10">
        <v>1501</v>
      </c>
      <c r="K63" s="16">
        <v>1</v>
      </c>
      <c r="L63" s="31">
        <v>52</v>
      </c>
      <c r="M63" s="10"/>
      <c r="N63" s="10">
        <v>1504</v>
      </c>
      <c r="O63" s="10" t="s">
        <v>448</v>
      </c>
      <c r="P63" s="10"/>
      <c r="Q63" s="10"/>
      <c r="R63" s="10"/>
    </row>
    <row r="64" spans="1:18" s="1" customFormat="1">
      <c r="A64" s="10"/>
      <c r="B64" s="10" t="s">
        <v>462</v>
      </c>
      <c r="C64" s="10" t="s">
        <v>494</v>
      </c>
      <c r="D64" s="10"/>
      <c r="E64" s="10" t="s">
        <v>476</v>
      </c>
      <c r="F64" s="10"/>
      <c r="G64" s="10"/>
      <c r="H64" s="10"/>
      <c r="I64" s="10"/>
      <c r="J64" s="10"/>
      <c r="K64" s="16">
        <v>2</v>
      </c>
      <c r="L64" s="31">
        <v>6</v>
      </c>
      <c r="M64" s="10"/>
      <c r="N64" s="10"/>
      <c r="O64" s="10"/>
      <c r="P64" s="10"/>
      <c r="Q64" s="10"/>
      <c r="R64" s="10"/>
    </row>
    <row r="65" spans="1:18" s="1" customFormat="1">
      <c r="A65" s="10"/>
      <c r="B65" s="10" t="s">
        <v>463</v>
      </c>
      <c r="C65" s="10" t="s">
        <v>494</v>
      </c>
      <c r="D65" s="10"/>
      <c r="E65" s="10"/>
      <c r="F65" s="10"/>
      <c r="G65" s="10"/>
      <c r="H65" s="10"/>
      <c r="I65" s="10"/>
      <c r="J65" s="10"/>
      <c r="K65" s="16">
        <v>3</v>
      </c>
      <c r="L65" s="31">
        <v>6</v>
      </c>
      <c r="M65" s="10"/>
      <c r="N65" s="10"/>
      <c r="O65" s="10"/>
      <c r="P65" s="10"/>
      <c r="Q65" s="10"/>
      <c r="R65" s="10"/>
    </row>
    <row r="66" spans="1:18" s="1" customFormat="1">
      <c r="A66" s="10"/>
      <c r="B66" s="10" t="s">
        <v>464</v>
      </c>
      <c r="C66" s="10" t="s">
        <v>493</v>
      </c>
      <c r="D66" s="10">
        <v>10</v>
      </c>
      <c r="E66" s="10"/>
      <c r="F66" s="10"/>
      <c r="G66" s="10"/>
      <c r="H66" s="10"/>
      <c r="I66" s="10"/>
      <c r="J66" s="10"/>
      <c r="K66" s="16">
        <v>4</v>
      </c>
      <c r="L66" s="31">
        <v>7</v>
      </c>
      <c r="M66" s="10"/>
      <c r="N66" s="10"/>
      <c r="O66" s="10"/>
      <c r="P66" s="10"/>
      <c r="Q66" s="10"/>
      <c r="R66" s="10"/>
    </row>
    <row r="67" spans="1:18" s="1" customFormat="1">
      <c r="A67" s="10"/>
      <c r="B67" s="10" t="s">
        <v>465</v>
      </c>
      <c r="C67" s="10" t="s">
        <v>494</v>
      </c>
      <c r="D67" s="10"/>
      <c r="E67" s="10"/>
      <c r="F67" s="10"/>
      <c r="G67" s="10"/>
      <c r="H67" s="10"/>
      <c r="I67" s="10"/>
      <c r="J67" s="10"/>
      <c r="K67" s="16">
        <v>5</v>
      </c>
      <c r="L67" s="31"/>
      <c r="M67" s="10">
        <v>71</v>
      </c>
      <c r="N67" s="10"/>
      <c r="O67" s="10"/>
      <c r="P67" s="10"/>
      <c r="Q67" s="10"/>
      <c r="R67" s="10"/>
    </row>
    <row r="68" spans="1:18" s="1" customFormat="1">
      <c r="A68" s="10"/>
      <c r="B68" s="10" t="s">
        <v>466</v>
      </c>
      <c r="C68" s="10" t="s">
        <v>494</v>
      </c>
      <c r="D68" s="10"/>
      <c r="E68" s="10"/>
      <c r="F68" s="10"/>
      <c r="G68" s="10"/>
      <c r="H68" s="10"/>
      <c r="I68" s="10"/>
      <c r="J68" s="10"/>
      <c r="K68" s="16">
        <v>6</v>
      </c>
      <c r="L68" s="31"/>
      <c r="M68" s="10">
        <v>72</v>
      </c>
      <c r="N68" s="10"/>
      <c r="O68" s="10"/>
      <c r="P68" s="10"/>
      <c r="Q68" s="10"/>
      <c r="R68" s="10"/>
    </row>
    <row r="69" spans="1:18" s="1" customFormat="1">
      <c r="A69" s="10"/>
      <c r="B69" s="10" t="s">
        <v>467</v>
      </c>
      <c r="C69" s="10" t="s">
        <v>494</v>
      </c>
      <c r="D69" s="10"/>
      <c r="E69" s="10"/>
      <c r="F69" s="10"/>
      <c r="G69" s="10"/>
      <c r="H69" s="10"/>
      <c r="I69" s="10"/>
      <c r="J69" s="10"/>
      <c r="K69" s="16">
        <v>7</v>
      </c>
      <c r="L69" s="31">
        <v>8</v>
      </c>
      <c r="M69" s="10"/>
      <c r="N69" s="10"/>
      <c r="O69" s="10"/>
      <c r="P69" s="10"/>
      <c r="Q69" s="10"/>
      <c r="R69" s="10"/>
    </row>
    <row r="70" spans="1:18" s="1" customFormat="1">
      <c r="A70" s="10"/>
      <c r="B70" s="10" t="s">
        <v>468</v>
      </c>
      <c r="C70" s="10" t="s">
        <v>520</v>
      </c>
      <c r="D70" s="10"/>
      <c r="E70" s="10"/>
      <c r="F70" s="10"/>
      <c r="G70" s="10"/>
      <c r="H70" s="10"/>
      <c r="I70" s="10"/>
      <c r="J70" s="10"/>
      <c r="K70" s="16">
        <v>8</v>
      </c>
      <c r="L70" s="31"/>
      <c r="M70" s="10"/>
      <c r="N70" s="10"/>
      <c r="O70" s="10"/>
      <c r="P70" s="10"/>
      <c r="Q70" s="10"/>
      <c r="R70" s="10"/>
    </row>
    <row r="71" spans="1:18" s="1" customFormat="1">
      <c r="A71" s="10"/>
      <c r="B71" s="10" t="s">
        <v>469</v>
      </c>
      <c r="C71" s="10" t="s">
        <v>493</v>
      </c>
      <c r="D71" s="10">
        <v>1</v>
      </c>
      <c r="E71" s="10"/>
      <c r="F71" s="10"/>
      <c r="G71" s="10"/>
      <c r="H71" s="10"/>
      <c r="I71" s="10"/>
      <c r="J71" s="10"/>
      <c r="K71" s="16">
        <v>9</v>
      </c>
      <c r="L71" s="31">
        <v>3</v>
      </c>
      <c r="M71" s="10"/>
      <c r="N71" s="10"/>
      <c r="O71" s="10"/>
      <c r="P71" s="10"/>
      <c r="Q71" s="10"/>
      <c r="R71" s="10"/>
    </row>
    <row r="72" spans="1:18" s="1" customFormat="1">
      <c r="A72" s="10"/>
      <c r="B72" s="70" t="s">
        <v>4499</v>
      </c>
      <c r="C72" s="70" t="s">
        <v>493</v>
      </c>
      <c r="D72" s="10">
        <v>1</v>
      </c>
      <c r="E72" s="10"/>
      <c r="F72" s="10"/>
      <c r="G72" s="10"/>
      <c r="H72" s="10"/>
      <c r="I72" s="10"/>
      <c r="J72" s="10"/>
      <c r="K72" s="16">
        <v>10</v>
      </c>
      <c r="L72" s="31">
        <v>3</v>
      </c>
      <c r="M72" s="10"/>
      <c r="N72" s="10"/>
      <c r="O72" s="10"/>
      <c r="P72" s="10"/>
      <c r="Q72" s="10"/>
      <c r="R72" s="10"/>
    </row>
    <row r="73" spans="1:18" s="1" customFormat="1">
      <c r="A73" s="10"/>
      <c r="B73" s="70" t="s">
        <v>4500</v>
      </c>
      <c r="C73" s="70" t="s">
        <v>494</v>
      </c>
      <c r="D73" s="10"/>
      <c r="E73" s="10"/>
      <c r="F73" s="10"/>
      <c r="G73" s="10"/>
      <c r="H73" s="10"/>
      <c r="I73" s="10"/>
      <c r="J73" s="10"/>
      <c r="K73" s="16">
        <v>11</v>
      </c>
      <c r="L73" s="80">
        <v>91</v>
      </c>
      <c r="M73" s="10"/>
      <c r="N73" s="10"/>
      <c r="O73" s="10"/>
      <c r="P73" s="10"/>
      <c r="Q73" s="10"/>
      <c r="R73" s="10"/>
    </row>
    <row r="74" spans="1:18" s="1" customFormat="1">
      <c r="A74" s="10"/>
      <c r="B74" s="70" t="s">
        <v>4501</v>
      </c>
      <c r="C74" s="70" t="s">
        <v>494</v>
      </c>
      <c r="D74" s="10"/>
      <c r="E74" s="10"/>
      <c r="F74" s="10"/>
      <c r="G74" s="10"/>
      <c r="H74" s="10"/>
      <c r="I74" s="10"/>
      <c r="J74" s="10"/>
      <c r="K74" s="16">
        <v>12</v>
      </c>
      <c r="L74" s="80">
        <v>92</v>
      </c>
      <c r="M74" s="10"/>
      <c r="N74" s="10"/>
      <c r="O74" s="10"/>
      <c r="P74" s="10"/>
      <c r="Q74" s="10"/>
      <c r="R74" s="10"/>
    </row>
    <row r="75" spans="1:18" s="1" customFormat="1">
      <c r="A75" s="10"/>
      <c r="B75" s="10"/>
      <c r="C75" s="10"/>
      <c r="D75" s="10"/>
      <c r="E75" s="10"/>
      <c r="F75" s="10"/>
      <c r="G75" s="10"/>
      <c r="H75" s="10"/>
      <c r="I75" s="10"/>
      <c r="J75" s="10"/>
      <c r="K75" s="16"/>
      <c r="L75" s="31"/>
      <c r="M75" s="10"/>
      <c r="N75" s="10"/>
      <c r="O75" s="10"/>
      <c r="P75" s="10"/>
      <c r="Q75" s="10"/>
      <c r="R75" s="10"/>
    </row>
    <row r="76" spans="1:18" s="1" customFormat="1">
      <c r="A76" s="64" t="s">
        <v>4504</v>
      </c>
      <c r="B76" s="64" t="s">
        <v>4505</v>
      </c>
      <c r="C76" s="64" t="s">
        <v>494</v>
      </c>
      <c r="D76" s="10"/>
      <c r="E76" s="64" t="s">
        <v>476</v>
      </c>
      <c r="F76" s="10">
        <v>15</v>
      </c>
      <c r="G76" s="10">
        <v>1529</v>
      </c>
      <c r="H76" s="64" t="s">
        <v>4443</v>
      </c>
      <c r="I76" s="10"/>
      <c r="J76" s="10">
        <v>1501</v>
      </c>
      <c r="K76" s="16">
        <v>1</v>
      </c>
      <c r="L76" s="80">
        <v>52</v>
      </c>
      <c r="M76" s="10"/>
      <c r="N76" s="10">
        <v>1504</v>
      </c>
      <c r="O76" s="10" t="s">
        <v>448</v>
      </c>
      <c r="P76" s="10"/>
      <c r="Q76" s="10"/>
      <c r="R76" s="10"/>
    </row>
    <row r="77" spans="1:18" s="1" customFormat="1">
      <c r="A77" s="10"/>
      <c r="B77" s="64" t="s">
        <v>4506</v>
      </c>
      <c r="C77" s="64" t="s">
        <v>494</v>
      </c>
      <c r="D77" s="10"/>
      <c r="E77" s="64" t="s">
        <v>476</v>
      </c>
      <c r="F77" s="10"/>
      <c r="G77" s="10"/>
      <c r="H77" s="10"/>
      <c r="I77" s="10"/>
      <c r="J77" s="10"/>
      <c r="K77" s="16">
        <v>2</v>
      </c>
      <c r="L77" s="80">
        <v>6</v>
      </c>
      <c r="M77" s="10"/>
      <c r="N77" s="10"/>
      <c r="O77" s="10"/>
      <c r="P77" s="10"/>
      <c r="Q77" s="10"/>
      <c r="R77" s="10"/>
    </row>
    <row r="78" spans="1:18" s="1" customFormat="1">
      <c r="A78" s="10"/>
      <c r="B78" s="64" t="s">
        <v>4507</v>
      </c>
      <c r="C78" s="64" t="s">
        <v>494</v>
      </c>
      <c r="D78" s="10"/>
      <c r="E78" s="10"/>
      <c r="F78" s="10"/>
      <c r="G78" s="10"/>
      <c r="H78" s="10"/>
      <c r="I78" s="10"/>
      <c r="J78" s="10"/>
      <c r="K78" s="16">
        <v>3</v>
      </c>
      <c r="L78" s="80">
        <v>6</v>
      </c>
      <c r="M78" s="10"/>
      <c r="N78" s="10"/>
      <c r="O78" s="10"/>
      <c r="P78" s="10"/>
      <c r="Q78" s="10"/>
      <c r="R78" s="10"/>
    </row>
    <row r="79" spans="1:18" s="1" customFormat="1">
      <c r="A79" s="10"/>
      <c r="B79" s="64" t="s">
        <v>4508</v>
      </c>
      <c r="C79" s="64" t="s">
        <v>494</v>
      </c>
      <c r="D79" s="10"/>
      <c r="E79" s="10"/>
      <c r="F79" s="10"/>
      <c r="G79" s="10"/>
      <c r="H79" s="10"/>
      <c r="I79" s="10"/>
      <c r="J79" s="10"/>
      <c r="K79" s="16">
        <v>4</v>
      </c>
      <c r="L79" s="80">
        <v>3</v>
      </c>
      <c r="M79" s="10"/>
      <c r="N79" s="10"/>
      <c r="O79" s="10"/>
      <c r="P79" s="10"/>
      <c r="Q79" s="10"/>
      <c r="R79" s="10"/>
    </row>
    <row r="80" spans="1:18" s="1" customFormat="1">
      <c r="A80" s="10"/>
      <c r="B80" s="64" t="s">
        <v>4509</v>
      </c>
      <c r="C80" s="64" t="s">
        <v>494</v>
      </c>
      <c r="D80" s="10"/>
      <c r="E80" s="10"/>
      <c r="F80" s="10"/>
      <c r="G80" s="10"/>
      <c r="H80" s="10"/>
      <c r="I80" s="10"/>
      <c r="J80" s="10"/>
      <c r="K80" s="16">
        <v>5</v>
      </c>
      <c r="L80" s="80">
        <v>3</v>
      </c>
      <c r="M80" s="10"/>
      <c r="N80" s="10"/>
      <c r="O80" s="10"/>
      <c r="P80" s="10"/>
      <c r="Q80" s="10"/>
      <c r="R80" s="10"/>
    </row>
    <row r="81" spans="1:18" s="1" customFormat="1">
      <c r="A81" s="10"/>
      <c r="B81" s="64" t="s">
        <v>4510</v>
      </c>
      <c r="C81" s="64" t="s">
        <v>494</v>
      </c>
      <c r="D81" s="10"/>
      <c r="E81" s="10"/>
      <c r="F81" s="10"/>
      <c r="G81" s="10"/>
      <c r="H81" s="10"/>
      <c r="I81" s="10"/>
      <c r="J81" s="10"/>
      <c r="K81" s="16">
        <v>6</v>
      </c>
      <c r="L81" s="80">
        <v>8</v>
      </c>
      <c r="M81" s="10"/>
      <c r="N81" s="10"/>
      <c r="O81" s="10"/>
      <c r="P81" s="10"/>
      <c r="Q81" s="10"/>
      <c r="R81" s="10"/>
    </row>
    <row r="82" spans="1:18" s="1" customFormat="1">
      <c r="A82" s="10"/>
      <c r="B82" s="64" t="s">
        <v>4511</v>
      </c>
      <c r="C82" s="64" t="s">
        <v>494</v>
      </c>
      <c r="D82" s="10"/>
      <c r="E82" s="10"/>
      <c r="F82" s="10"/>
      <c r="G82" s="10"/>
      <c r="H82" s="10"/>
      <c r="I82" s="10"/>
      <c r="J82" s="10"/>
      <c r="K82" s="16">
        <v>7</v>
      </c>
      <c r="L82" s="80">
        <v>7</v>
      </c>
      <c r="M82" s="10"/>
      <c r="N82" s="10"/>
      <c r="O82" s="10"/>
      <c r="P82" s="10"/>
      <c r="Q82" s="10"/>
      <c r="R82" s="10"/>
    </row>
    <row r="83" spans="1:18" s="1" customFormat="1">
      <c r="A83" s="10"/>
      <c r="B83" s="64" t="s">
        <v>4512</v>
      </c>
      <c r="C83" s="64" t="s">
        <v>494</v>
      </c>
      <c r="D83" s="10"/>
      <c r="E83" s="10"/>
      <c r="F83" s="10"/>
      <c r="G83" s="10"/>
      <c r="H83" s="10"/>
      <c r="I83" s="10"/>
      <c r="J83" s="10"/>
      <c r="K83" s="16">
        <v>8</v>
      </c>
      <c r="L83" s="80">
        <v>7</v>
      </c>
      <c r="M83" s="10"/>
      <c r="N83" s="10"/>
      <c r="O83" s="10"/>
      <c r="P83" s="10"/>
      <c r="Q83" s="10"/>
      <c r="R83" s="10"/>
    </row>
    <row r="84" spans="1:18" s="1" customFormat="1">
      <c r="A84" s="10"/>
      <c r="B84" s="64"/>
      <c r="C84" s="64"/>
      <c r="D84" s="10"/>
      <c r="E84" s="10"/>
      <c r="F84" s="10"/>
      <c r="G84" s="10"/>
      <c r="H84" s="10"/>
      <c r="I84" s="10"/>
      <c r="J84" s="10"/>
      <c r="K84" s="16"/>
      <c r="L84" s="80"/>
      <c r="M84" s="10"/>
      <c r="N84" s="10"/>
      <c r="O84" s="10"/>
      <c r="P84" s="10"/>
      <c r="Q84" s="10"/>
      <c r="R84" s="10"/>
    </row>
    <row r="85" spans="1:18" s="1" customFormat="1">
      <c r="A85" s="64" t="s">
        <v>4519</v>
      </c>
      <c r="B85" s="64" t="s">
        <v>4527</v>
      </c>
      <c r="C85" s="64" t="s">
        <v>494</v>
      </c>
      <c r="D85" s="10"/>
      <c r="E85" s="64" t="s">
        <v>476</v>
      </c>
      <c r="F85" s="10">
        <v>15</v>
      </c>
      <c r="G85" s="10">
        <v>1530</v>
      </c>
      <c r="H85" s="64" t="s">
        <v>4520</v>
      </c>
      <c r="I85" s="10"/>
      <c r="J85" s="10">
        <v>1501</v>
      </c>
      <c r="K85" s="57">
        <v>1</v>
      </c>
      <c r="L85" s="80">
        <v>52</v>
      </c>
      <c r="M85" s="10"/>
      <c r="N85" s="10">
        <v>1504</v>
      </c>
      <c r="O85" s="10" t="s">
        <v>448</v>
      </c>
      <c r="P85" s="10"/>
      <c r="Q85" s="10"/>
      <c r="R85" s="10"/>
    </row>
    <row r="86" spans="1:18" s="1" customFormat="1">
      <c r="A86" s="10"/>
      <c r="B86" s="64" t="s">
        <v>4528</v>
      </c>
      <c r="C86" s="64" t="s">
        <v>494</v>
      </c>
      <c r="D86" s="10"/>
      <c r="E86" s="64" t="s">
        <v>476</v>
      </c>
      <c r="F86" s="10"/>
      <c r="G86" s="10"/>
      <c r="H86" s="10"/>
      <c r="I86" s="10"/>
      <c r="J86" s="10"/>
      <c r="K86" s="16">
        <v>2</v>
      </c>
      <c r="L86" s="80">
        <v>6</v>
      </c>
      <c r="M86" s="10"/>
      <c r="N86" s="10"/>
      <c r="O86" s="10"/>
      <c r="P86" s="10"/>
      <c r="Q86" s="10"/>
      <c r="R86" s="10"/>
    </row>
    <row r="87" spans="1:18" s="1" customFormat="1">
      <c r="A87" s="10"/>
      <c r="B87" s="64" t="s">
        <v>4529</v>
      </c>
      <c r="C87" s="64" t="s">
        <v>494</v>
      </c>
      <c r="D87" s="10"/>
      <c r="E87" s="10"/>
      <c r="F87" s="10"/>
      <c r="G87" s="10"/>
      <c r="H87" s="10"/>
      <c r="I87" s="10"/>
      <c r="J87" s="10"/>
      <c r="K87" s="57">
        <v>3</v>
      </c>
      <c r="L87" s="80">
        <v>6</v>
      </c>
      <c r="M87" s="10"/>
      <c r="N87" s="10"/>
      <c r="O87" s="10"/>
      <c r="P87" s="10"/>
      <c r="Q87" s="10"/>
      <c r="R87" s="10"/>
    </row>
    <row r="88" spans="1:18" s="1" customFormat="1">
      <c r="A88" s="10"/>
      <c r="B88" s="64" t="s">
        <v>4530</v>
      </c>
      <c r="C88" s="64" t="s">
        <v>494</v>
      </c>
      <c r="D88" s="10"/>
      <c r="E88" s="10"/>
      <c r="F88" s="10"/>
      <c r="G88" s="10"/>
      <c r="H88" s="10"/>
      <c r="I88" s="10"/>
      <c r="J88" s="10"/>
      <c r="K88" s="16">
        <v>4</v>
      </c>
      <c r="L88" s="80">
        <v>8</v>
      </c>
      <c r="M88" s="10"/>
      <c r="N88" s="10"/>
      <c r="O88" s="10"/>
      <c r="P88" s="10"/>
      <c r="Q88" s="10"/>
      <c r="R88" s="10"/>
    </row>
    <row r="89" spans="1:18" s="1" customFormat="1">
      <c r="A89" s="10"/>
      <c r="B89" s="64" t="s">
        <v>4531</v>
      </c>
      <c r="C89" s="64" t="s">
        <v>494</v>
      </c>
      <c r="D89" s="10"/>
      <c r="E89" s="10"/>
      <c r="F89" s="10"/>
      <c r="G89" s="10"/>
      <c r="H89" s="10"/>
      <c r="I89" s="10"/>
      <c r="J89" s="10"/>
      <c r="K89" s="57">
        <v>5</v>
      </c>
      <c r="L89" s="80">
        <v>7</v>
      </c>
      <c r="M89" s="10"/>
      <c r="N89" s="10"/>
      <c r="O89" s="10"/>
      <c r="P89" s="10"/>
      <c r="Q89" s="10"/>
      <c r="R89" s="10"/>
    </row>
    <row r="90" spans="1:18" s="1" customFormat="1">
      <c r="A90" s="10"/>
      <c r="B90" s="64" t="s">
        <v>4532</v>
      </c>
      <c r="C90" s="64" t="s">
        <v>494</v>
      </c>
      <c r="D90" s="10"/>
      <c r="E90" s="10"/>
      <c r="F90" s="10"/>
      <c r="G90" s="10"/>
      <c r="H90" s="10"/>
      <c r="I90" s="10"/>
      <c r="J90" s="10"/>
      <c r="K90" s="16">
        <v>6</v>
      </c>
      <c r="L90" s="80"/>
      <c r="M90" s="10">
        <v>1</v>
      </c>
      <c r="N90" s="10"/>
      <c r="O90" s="10"/>
      <c r="P90" s="10"/>
      <c r="Q90" s="10"/>
      <c r="R90" s="10"/>
    </row>
    <row r="91" spans="1:18" s="1" customFormat="1">
      <c r="A91" s="10"/>
      <c r="B91" s="64" t="s">
        <v>4533</v>
      </c>
      <c r="C91" s="64" t="s">
        <v>520</v>
      </c>
      <c r="D91" s="10"/>
      <c r="E91" s="10"/>
      <c r="F91" s="10"/>
      <c r="G91" s="10"/>
      <c r="H91" s="10"/>
      <c r="I91" s="10"/>
      <c r="J91" s="10"/>
      <c r="K91" s="57">
        <v>7</v>
      </c>
      <c r="L91" s="80"/>
      <c r="M91" s="10"/>
      <c r="N91" s="10"/>
      <c r="O91" s="10"/>
      <c r="P91" s="10"/>
      <c r="Q91" s="10"/>
      <c r="R91" s="10"/>
    </row>
    <row r="92" spans="1:18" s="1" customFormat="1">
      <c r="A92" s="10"/>
      <c r="B92" s="64"/>
      <c r="C92" s="64"/>
      <c r="D92" s="10"/>
      <c r="E92" s="10"/>
      <c r="F92" s="10"/>
      <c r="G92" s="10"/>
      <c r="H92" s="10"/>
      <c r="I92" s="10"/>
      <c r="J92" s="10"/>
      <c r="K92" s="16"/>
      <c r="L92" s="80"/>
      <c r="M92" s="10"/>
      <c r="N92" s="10"/>
      <c r="O92" s="10"/>
      <c r="P92" s="10"/>
      <c r="Q92" s="10"/>
      <c r="R92" s="10"/>
    </row>
    <row r="93" spans="1:18" s="1" customFormat="1">
      <c r="A93" s="44" t="s">
        <v>161</v>
      </c>
      <c r="B93" s="29" t="s">
        <v>169</v>
      </c>
      <c r="C93" s="1" t="s">
        <v>494</v>
      </c>
      <c r="E93" s="1" t="s">
        <v>476</v>
      </c>
      <c r="F93" s="14">
        <v>15</v>
      </c>
      <c r="G93" s="14">
        <v>1509</v>
      </c>
      <c r="H93" s="14" t="s">
        <v>174</v>
      </c>
      <c r="I93" s="11" t="s">
        <v>175</v>
      </c>
      <c r="J93" s="14">
        <v>1</v>
      </c>
      <c r="K93" s="16">
        <v>1</v>
      </c>
      <c r="L93" s="15">
        <v>6</v>
      </c>
      <c r="M93" s="14"/>
      <c r="P93" s="14"/>
      <c r="Q93" s="14"/>
      <c r="R93" s="14"/>
    </row>
    <row r="94" spans="1:18" s="1" customFormat="1">
      <c r="B94" s="29" t="s">
        <v>170</v>
      </c>
      <c r="C94" s="1" t="s">
        <v>494</v>
      </c>
      <c r="F94" s="14"/>
      <c r="G94" s="14"/>
      <c r="H94" s="14"/>
      <c r="I94" s="11"/>
      <c r="J94" s="14"/>
      <c r="K94" s="16">
        <v>2</v>
      </c>
      <c r="L94" s="15">
        <v>6</v>
      </c>
      <c r="M94" s="14"/>
      <c r="P94" s="14"/>
      <c r="Q94" s="14"/>
      <c r="R94" s="14"/>
    </row>
    <row r="95" spans="1:18" s="1" customFormat="1">
      <c r="B95" s="29" t="s">
        <v>171</v>
      </c>
      <c r="C95" s="1" t="s">
        <v>493</v>
      </c>
      <c r="D95" s="1">
        <v>1</v>
      </c>
      <c r="F95" s="14"/>
      <c r="G95" s="14"/>
      <c r="H95" s="14"/>
      <c r="I95" s="11"/>
      <c r="J95" s="14"/>
      <c r="K95" s="16">
        <v>3</v>
      </c>
      <c r="L95" s="15">
        <v>3</v>
      </c>
      <c r="M95" s="14"/>
      <c r="P95" s="14"/>
      <c r="Q95" s="14"/>
      <c r="R95" s="14"/>
    </row>
    <row r="96" spans="1:18" s="1" customFormat="1">
      <c r="B96" s="29" t="s">
        <v>114</v>
      </c>
      <c r="C96" s="1" t="s">
        <v>493</v>
      </c>
      <c r="D96" s="1">
        <v>50</v>
      </c>
      <c r="F96" s="14"/>
      <c r="G96" s="14"/>
      <c r="H96" s="14"/>
      <c r="I96" s="11"/>
      <c r="J96" s="14"/>
      <c r="K96" s="16">
        <v>4</v>
      </c>
      <c r="L96" s="15"/>
      <c r="M96" s="14"/>
      <c r="P96" s="14"/>
      <c r="Q96" s="14"/>
      <c r="R96" s="14"/>
    </row>
    <row r="97" spans="2:18" s="1" customFormat="1">
      <c r="B97" s="29" t="s">
        <v>172</v>
      </c>
      <c r="C97" s="1" t="s">
        <v>493</v>
      </c>
      <c r="D97" s="1">
        <v>250</v>
      </c>
      <c r="F97" s="14"/>
      <c r="G97" s="14"/>
      <c r="H97" s="14"/>
      <c r="I97" s="11"/>
      <c r="J97" s="14"/>
      <c r="K97" s="16">
        <v>5</v>
      </c>
      <c r="L97" s="15"/>
      <c r="M97" s="14"/>
      <c r="P97" s="14"/>
      <c r="Q97" s="14"/>
      <c r="R97" s="14"/>
    </row>
    <row r="98" spans="2:18" s="1" customFormat="1">
      <c r="B98" s="29" t="s">
        <v>173</v>
      </c>
      <c r="C98" s="1" t="s">
        <v>520</v>
      </c>
      <c r="F98" s="14"/>
      <c r="G98" s="14"/>
      <c r="H98" s="14"/>
      <c r="I98" s="11"/>
      <c r="J98" s="14"/>
      <c r="K98" s="16">
        <v>6</v>
      </c>
      <c r="L98" s="15"/>
      <c r="M98" s="14"/>
      <c r="P98" s="14"/>
      <c r="Q98" s="14"/>
      <c r="R98" s="14"/>
    </row>
    <row r="99" spans="2:18" s="1" customFormat="1">
      <c r="B99" s="49" t="s">
        <v>1506</v>
      </c>
      <c r="C99" s="44" t="s">
        <v>494</v>
      </c>
      <c r="F99" s="14"/>
      <c r="G99" s="14"/>
      <c r="H99" s="14"/>
      <c r="I99" s="11"/>
      <c r="J99" s="14"/>
      <c r="K99" s="16">
        <v>7</v>
      </c>
      <c r="L99" s="15">
        <v>3</v>
      </c>
      <c r="M99" s="14"/>
      <c r="N99" s="44" t="s">
        <v>1511</v>
      </c>
      <c r="O99" s="49" t="s">
        <v>1513</v>
      </c>
      <c r="P99" s="49" t="s">
        <v>1514</v>
      </c>
      <c r="Q99" s="14"/>
      <c r="R99" s="14"/>
    </row>
    <row r="100" spans="2:18" s="1" customFormat="1">
      <c r="B100" s="49" t="s">
        <v>1507</v>
      </c>
      <c r="C100" s="1" t="s">
        <v>493</v>
      </c>
      <c r="D100" s="1">
        <v>10</v>
      </c>
      <c r="F100" s="14"/>
      <c r="G100" s="14"/>
      <c r="H100" s="14"/>
      <c r="I100" s="11"/>
      <c r="J100" s="14"/>
      <c r="K100" s="16">
        <v>8</v>
      </c>
      <c r="L100" s="15">
        <v>7</v>
      </c>
      <c r="M100" s="14"/>
      <c r="P100" s="14"/>
      <c r="Q100" s="14"/>
      <c r="R100" s="14"/>
    </row>
    <row r="101" spans="2:18" s="1" customFormat="1">
      <c r="B101" s="49" t="s">
        <v>1508</v>
      </c>
      <c r="C101" s="44" t="s">
        <v>520</v>
      </c>
      <c r="F101" s="14"/>
      <c r="G101" s="14"/>
      <c r="H101" s="14"/>
      <c r="I101" s="11"/>
      <c r="J101" s="14"/>
      <c r="K101" s="16">
        <v>9</v>
      </c>
      <c r="L101" s="15"/>
      <c r="M101" s="14"/>
      <c r="P101" s="14"/>
      <c r="Q101" s="14"/>
      <c r="R101" s="14"/>
    </row>
    <row r="102" spans="2:18" s="1" customFormat="1">
      <c r="B102" s="49" t="s">
        <v>1509</v>
      </c>
      <c r="C102" s="44" t="s">
        <v>520</v>
      </c>
      <c r="F102" s="14"/>
      <c r="G102" s="14"/>
      <c r="H102" s="14"/>
      <c r="I102" s="11"/>
      <c r="J102" s="14"/>
      <c r="K102" s="16">
        <v>10</v>
      </c>
      <c r="L102" s="15"/>
      <c r="M102" s="14"/>
      <c r="P102" s="14"/>
      <c r="Q102" s="14"/>
      <c r="R102" s="14"/>
    </row>
    <row r="103" spans="2:18" s="1" customFormat="1">
      <c r="B103" s="49" t="s">
        <v>1510</v>
      </c>
      <c r="C103" s="44" t="s">
        <v>520</v>
      </c>
      <c r="F103" s="14"/>
      <c r="G103" s="14"/>
      <c r="H103" s="14"/>
      <c r="I103" s="11"/>
      <c r="J103" s="14"/>
      <c r="K103" s="16">
        <v>11</v>
      </c>
      <c r="L103" s="15"/>
      <c r="M103" s="14"/>
      <c r="Q103" s="14"/>
      <c r="R103" s="14"/>
    </row>
    <row r="104" spans="2:18" s="1" customFormat="1">
      <c r="B104" s="66" t="s">
        <v>6095</v>
      </c>
      <c r="C104" s="62" t="s">
        <v>494</v>
      </c>
      <c r="F104" s="14"/>
      <c r="G104" s="14"/>
      <c r="H104" s="14"/>
      <c r="I104" s="11"/>
      <c r="J104" s="14"/>
      <c r="K104" s="16">
        <v>12</v>
      </c>
      <c r="L104" s="15">
        <v>3</v>
      </c>
      <c r="M104" s="14"/>
      <c r="N104" s="62" t="s">
        <v>6104</v>
      </c>
      <c r="O104" s="66" t="s">
        <v>6105</v>
      </c>
      <c r="P104" s="66" t="s">
        <v>6106</v>
      </c>
      <c r="Q104" s="14"/>
      <c r="R104" s="14"/>
    </row>
    <row r="105" spans="2:18" s="1" customFormat="1">
      <c r="B105" s="66" t="s">
        <v>6100</v>
      </c>
      <c r="C105" s="62" t="s">
        <v>494</v>
      </c>
      <c r="F105" s="14"/>
      <c r="G105" s="14"/>
      <c r="H105" s="14"/>
      <c r="I105" s="11"/>
      <c r="J105" s="14"/>
      <c r="K105" s="16">
        <v>13</v>
      </c>
      <c r="L105" s="15">
        <v>3</v>
      </c>
      <c r="M105" s="14"/>
      <c r="N105" s="62" t="s">
        <v>6101</v>
      </c>
      <c r="O105" s="66" t="s">
        <v>6102</v>
      </c>
      <c r="P105" s="66" t="s">
        <v>6103</v>
      </c>
      <c r="Q105" s="14"/>
      <c r="R105" s="14"/>
    </row>
    <row r="106" spans="2:18" s="1" customFormat="1">
      <c r="B106" s="66" t="s">
        <v>6096</v>
      </c>
      <c r="C106" s="62" t="s">
        <v>494</v>
      </c>
      <c r="F106" s="14"/>
      <c r="G106" s="14"/>
      <c r="H106" s="14"/>
      <c r="I106" s="11"/>
      <c r="J106" s="14"/>
      <c r="K106" s="16">
        <v>14</v>
      </c>
      <c r="L106" s="15">
        <v>8</v>
      </c>
      <c r="M106" s="14"/>
      <c r="P106" s="14"/>
      <c r="Q106" s="14"/>
      <c r="R106" s="14"/>
    </row>
    <row r="107" spans="2:18" s="1" customFormat="1">
      <c r="B107" s="66" t="s">
        <v>6097</v>
      </c>
      <c r="C107" s="62" t="s">
        <v>494</v>
      </c>
      <c r="F107" s="14"/>
      <c r="G107" s="14"/>
      <c r="H107" s="14"/>
      <c r="I107" s="11"/>
      <c r="J107" s="14"/>
      <c r="K107" s="16">
        <v>15</v>
      </c>
      <c r="L107" s="15">
        <v>8</v>
      </c>
      <c r="M107" s="14"/>
      <c r="P107" s="14"/>
      <c r="Q107" s="14"/>
      <c r="R107" s="14"/>
    </row>
    <row r="108" spans="2:18" s="1" customFormat="1">
      <c r="B108" s="66" t="s">
        <v>6098</v>
      </c>
      <c r="C108" s="62" t="s">
        <v>494</v>
      </c>
      <c r="F108" s="14"/>
      <c r="G108" s="14"/>
      <c r="H108" s="14"/>
      <c r="I108" s="11"/>
      <c r="J108" s="14"/>
      <c r="K108" s="16">
        <v>16</v>
      </c>
      <c r="L108" s="15">
        <v>8</v>
      </c>
      <c r="M108" s="14"/>
      <c r="P108" s="14"/>
      <c r="Q108" s="14"/>
      <c r="R108" s="14"/>
    </row>
    <row r="109" spans="2:18" s="1" customFormat="1">
      <c r="B109" s="66" t="s">
        <v>6099</v>
      </c>
      <c r="C109" s="62" t="s">
        <v>494</v>
      </c>
      <c r="F109" s="14"/>
      <c r="G109" s="14"/>
      <c r="H109" s="14"/>
      <c r="I109" s="11"/>
      <c r="J109" s="14"/>
      <c r="K109" s="16">
        <v>17</v>
      </c>
      <c r="L109" s="15">
        <v>8</v>
      </c>
      <c r="M109" s="14"/>
      <c r="P109" s="14"/>
      <c r="Q109" s="14"/>
      <c r="R109" s="14"/>
    </row>
    <row r="110" spans="2:18" s="1" customFormat="1">
      <c r="B110" s="66" t="s">
        <v>6107</v>
      </c>
      <c r="C110" s="62" t="s">
        <v>494</v>
      </c>
      <c r="F110" s="14"/>
      <c r="G110" s="14"/>
      <c r="H110" s="14"/>
      <c r="I110" s="11"/>
      <c r="J110" s="14"/>
      <c r="K110" s="16">
        <v>18</v>
      </c>
      <c r="L110" s="15">
        <v>8</v>
      </c>
      <c r="M110" s="14"/>
      <c r="P110" s="14"/>
      <c r="Q110" s="14"/>
      <c r="R110" s="14"/>
    </row>
    <row r="111" spans="2:18" s="1" customFormat="1">
      <c r="B111" s="66" t="s">
        <v>6117</v>
      </c>
      <c r="C111" s="62" t="s">
        <v>494</v>
      </c>
      <c r="F111" s="14"/>
      <c r="G111" s="14"/>
      <c r="H111" s="14"/>
      <c r="I111" s="11"/>
      <c r="J111" s="14"/>
      <c r="K111" s="16">
        <v>19</v>
      </c>
      <c r="L111" s="15">
        <v>3</v>
      </c>
      <c r="M111" s="14"/>
      <c r="N111" s="62" t="s">
        <v>536</v>
      </c>
      <c r="O111" s="62" t="s">
        <v>537</v>
      </c>
      <c r="P111" s="62" t="s">
        <v>538</v>
      </c>
      <c r="Q111" s="14"/>
      <c r="R111" s="14"/>
    </row>
    <row r="112" spans="2:18" s="1" customFormat="1">
      <c r="B112" s="66" t="s">
        <v>6228</v>
      </c>
      <c r="C112" s="62" t="s">
        <v>494</v>
      </c>
      <c r="F112" s="14"/>
      <c r="G112" s="14"/>
      <c r="H112" s="14"/>
      <c r="I112" s="11"/>
      <c r="J112" s="14"/>
      <c r="K112" s="16">
        <v>20</v>
      </c>
      <c r="L112" s="15"/>
      <c r="M112" s="14">
        <v>2</v>
      </c>
      <c r="N112" s="62"/>
      <c r="O112" s="62"/>
      <c r="P112" s="62"/>
      <c r="Q112" s="14"/>
      <c r="R112" s="14"/>
    </row>
    <row r="113" spans="1:18" s="1" customFormat="1">
      <c r="B113" s="29"/>
      <c r="F113" s="14"/>
      <c r="G113" s="14"/>
      <c r="H113" s="14"/>
      <c r="I113" s="11"/>
      <c r="J113" s="14"/>
      <c r="K113" s="16"/>
      <c r="L113" s="15"/>
      <c r="M113" s="14"/>
      <c r="N113" s="62"/>
      <c r="P113" s="14"/>
      <c r="Q113" s="14"/>
      <c r="R113" s="14"/>
    </row>
    <row r="114" spans="1:18" s="1" customFormat="1">
      <c r="A114" s="1" t="s">
        <v>162</v>
      </c>
      <c r="B114" s="29" t="s">
        <v>168</v>
      </c>
      <c r="C114" s="62" t="s">
        <v>494</v>
      </c>
      <c r="E114" s="1" t="s">
        <v>476</v>
      </c>
      <c r="F114" s="14">
        <v>15</v>
      </c>
      <c r="G114" s="14">
        <v>1510</v>
      </c>
      <c r="H114" s="14" t="s">
        <v>176</v>
      </c>
      <c r="I114" s="11"/>
      <c r="J114" s="14">
        <v>1</v>
      </c>
      <c r="K114" s="16">
        <v>1</v>
      </c>
      <c r="L114" s="15">
        <v>52</v>
      </c>
      <c r="M114" s="14"/>
      <c r="N114" s="1">
        <v>1509</v>
      </c>
      <c r="O114" s="29" t="s">
        <v>170</v>
      </c>
      <c r="P114" s="14"/>
      <c r="Q114" s="14"/>
      <c r="R114" s="14"/>
    </row>
    <row r="115" spans="1:18" s="1" customFormat="1">
      <c r="B115" s="29" t="s">
        <v>163</v>
      </c>
      <c r="C115" s="1" t="s">
        <v>494</v>
      </c>
      <c r="E115" s="62" t="s">
        <v>476</v>
      </c>
      <c r="F115" s="14"/>
      <c r="G115" s="14"/>
      <c r="H115" s="14"/>
      <c r="I115" s="11"/>
      <c r="J115" s="14"/>
      <c r="K115" s="16">
        <v>2</v>
      </c>
      <c r="L115" s="15">
        <v>6</v>
      </c>
      <c r="M115" s="14"/>
      <c r="P115" s="14"/>
      <c r="Q115" s="14"/>
      <c r="R115" s="14"/>
    </row>
    <row r="116" spans="1:18" s="1" customFormat="1">
      <c r="B116" s="29" t="s">
        <v>164</v>
      </c>
      <c r="C116" s="1" t="s">
        <v>494</v>
      </c>
      <c r="F116" s="14"/>
      <c r="G116" s="14"/>
      <c r="H116" s="14"/>
      <c r="I116" s="11"/>
      <c r="J116" s="14"/>
      <c r="K116" s="16">
        <v>3</v>
      </c>
      <c r="L116" s="15">
        <v>6</v>
      </c>
      <c r="M116" s="14"/>
      <c r="P116" s="14"/>
      <c r="Q116" s="14"/>
      <c r="R116" s="14"/>
    </row>
    <row r="117" spans="1:18" s="1" customFormat="1">
      <c r="B117" s="29" t="s">
        <v>165</v>
      </c>
      <c r="C117" s="1" t="s">
        <v>493</v>
      </c>
      <c r="D117" s="1">
        <v>1</v>
      </c>
      <c r="F117" s="14"/>
      <c r="G117" s="14"/>
      <c r="H117" s="14"/>
      <c r="I117" s="11"/>
      <c r="J117" s="14"/>
      <c r="K117" s="16">
        <v>4</v>
      </c>
      <c r="L117" s="15">
        <v>3</v>
      </c>
      <c r="M117" s="14"/>
      <c r="P117" s="14"/>
      <c r="Q117" s="14"/>
      <c r="R117" s="14"/>
    </row>
    <row r="118" spans="1:18" s="1" customFormat="1">
      <c r="B118" s="29" t="s">
        <v>166</v>
      </c>
      <c r="C118" s="1" t="s">
        <v>493</v>
      </c>
      <c r="D118" s="1">
        <v>250</v>
      </c>
      <c r="F118" s="14"/>
      <c r="G118" s="14"/>
      <c r="H118" s="14"/>
      <c r="I118" s="11"/>
      <c r="J118" s="14"/>
      <c r="K118" s="16">
        <v>5</v>
      </c>
      <c r="L118" s="15"/>
      <c r="M118" s="14"/>
      <c r="P118" s="14"/>
      <c r="Q118" s="14"/>
      <c r="R118" s="14"/>
    </row>
    <row r="119" spans="1:18" s="1" customFormat="1">
      <c r="B119" s="29" t="s">
        <v>167</v>
      </c>
      <c r="C119" s="1" t="s">
        <v>520</v>
      </c>
      <c r="F119" s="14"/>
      <c r="G119" s="14"/>
      <c r="H119" s="14"/>
      <c r="I119" s="11"/>
      <c r="J119" s="14"/>
      <c r="K119" s="16">
        <v>6</v>
      </c>
      <c r="L119" s="15"/>
      <c r="M119" s="14"/>
      <c r="P119" s="14"/>
      <c r="Q119" s="14"/>
      <c r="R119" s="14"/>
    </row>
    <row r="120" spans="1:18" s="1" customFormat="1">
      <c r="B120" s="29"/>
      <c r="F120" s="14"/>
      <c r="G120" s="14"/>
      <c r="H120" s="14"/>
      <c r="I120" s="11"/>
      <c r="J120" s="14"/>
      <c r="K120" s="16"/>
      <c r="L120" s="15"/>
      <c r="M120" s="14"/>
      <c r="P120" s="14"/>
      <c r="Q120" s="14"/>
      <c r="R120" s="14"/>
    </row>
    <row r="121" spans="1:18" s="1" customFormat="1">
      <c r="A121" s="62" t="s">
        <v>6108</v>
      </c>
      <c r="B121" s="66" t="s">
        <v>6109</v>
      </c>
      <c r="C121" s="62" t="s">
        <v>494</v>
      </c>
      <c r="E121" s="62" t="s">
        <v>476</v>
      </c>
      <c r="F121" s="14">
        <v>15</v>
      </c>
      <c r="G121" s="14">
        <v>1560</v>
      </c>
      <c r="H121" s="47" t="s">
        <v>6116</v>
      </c>
      <c r="I121" s="11"/>
      <c r="J121" s="14">
        <v>1</v>
      </c>
      <c r="K121" s="16">
        <v>1</v>
      </c>
      <c r="L121" s="15">
        <v>52</v>
      </c>
      <c r="M121" s="14"/>
      <c r="N121" s="1">
        <v>1509</v>
      </c>
      <c r="O121" s="29" t="s">
        <v>170</v>
      </c>
      <c r="P121" s="14"/>
      <c r="Q121" s="14"/>
      <c r="R121" s="14"/>
    </row>
    <row r="122" spans="1:18" s="1" customFormat="1">
      <c r="B122" s="66" t="s">
        <v>6110</v>
      </c>
      <c r="C122" s="62" t="s">
        <v>494</v>
      </c>
      <c r="E122" s="62" t="s">
        <v>476</v>
      </c>
      <c r="F122" s="14"/>
      <c r="G122" s="14"/>
      <c r="H122" s="14"/>
      <c r="I122" s="11"/>
      <c r="J122" s="14"/>
      <c r="K122" s="16">
        <v>2</v>
      </c>
      <c r="L122" s="15">
        <v>6</v>
      </c>
      <c r="M122" s="14"/>
      <c r="P122" s="14"/>
      <c r="Q122" s="14"/>
      <c r="R122" s="14"/>
    </row>
    <row r="123" spans="1:18" s="1" customFormat="1">
      <c r="B123" s="66" t="s">
        <v>1867</v>
      </c>
      <c r="C123" s="62" t="s">
        <v>494</v>
      </c>
      <c r="F123" s="14"/>
      <c r="G123" s="14"/>
      <c r="H123" s="14"/>
      <c r="I123" s="11"/>
      <c r="J123" s="14"/>
      <c r="K123" s="16">
        <v>3</v>
      </c>
      <c r="L123" s="15">
        <v>6</v>
      </c>
      <c r="M123" s="14"/>
      <c r="P123" s="14"/>
      <c r="Q123" s="14"/>
      <c r="R123" s="14"/>
    </row>
    <row r="124" spans="1:18" s="1" customFormat="1">
      <c r="B124" s="66" t="s">
        <v>6111</v>
      </c>
      <c r="C124" s="62" t="s">
        <v>494</v>
      </c>
      <c r="F124" s="14"/>
      <c r="G124" s="14"/>
      <c r="H124" s="14"/>
      <c r="I124" s="11"/>
      <c r="J124" s="14"/>
      <c r="K124" s="16">
        <v>4</v>
      </c>
      <c r="L124" s="15">
        <v>3</v>
      </c>
      <c r="M124" s="14"/>
      <c r="N124" s="62" t="s">
        <v>6101</v>
      </c>
      <c r="O124" s="66" t="s">
        <v>6102</v>
      </c>
      <c r="P124" s="66" t="s">
        <v>6103</v>
      </c>
      <c r="Q124" s="14"/>
      <c r="R124" s="14"/>
    </row>
    <row r="125" spans="1:18" s="1" customFormat="1">
      <c r="B125" s="66" t="s">
        <v>6112</v>
      </c>
      <c r="C125" s="62" t="s">
        <v>494</v>
      </c>
      <c r="F125" s="14"/>
      <c r="G125" s="14"/>
      <c r="H125" s="14"/>
      <c r="I125" s="11"/>
      <c r="J125" s="14"/>
      <c r="K125" s="16">
        <v>5</v>
      </c>
      <c r="L125" s="15">
        <v>3</v>
      </c>
      <c r="M125" s="14"/>
      <c r="N125" s="62" t="s">
        <v>6101</v>
      </c>
      <c r="O125" s="66" t="s">
        <v>6102</v>
      </c>
      <c r="P125" s="66" t="s">
        <v>6103</v>
      </c>
      <c r="Q125" s="14"/>
      <c r="R125" s="14"/>
    </row>
    <row r="126" spans="1:18" s="1" customFormat="1">
      <c r="B126" s="66" t="s">
        <v>6113</v>
      </c>
      <c r="C126" s="62" t="s">
        <v>494</v>
      </c>
      <c r="F126" s="14"/>
      <c r="G126" s="14"/>
      <c r="H126" s="14"/>
      <c r="I126" s="11"/>
      <c r="J126" s="14"/>
      <c r="K126" s="16">
        <v>6</v>
      </c>
      <c r="L126" s="15">
        <v>8</v>
      </c>
      <c r="M126" s="14"/>
      <c r="P126" s="14"/>
      <c r="Q126" s="14"/>
      <c r="R126" s="14"/>
    </row>
    <row r="127" spans="1:18" s="1" customFormat="1">
      <c r="B127" s="66" t="s">
        <v>6114</v>
      </c>
      <c r="C127" s="62" t="s">
        <v>494</v>
      </c>
      <c r="F127" s="14"/>
      <c r="G127" s="14"/>
      <c r="H127" s="14"/>
      <c r="I127" s="11"/>
      <c r="J127" s="14"/>
      <c r="K127" s="16">
        <v>7</v>
      </c>
      <c r="L127" s="15">
        <v>7</v>
      </c>
      <c r="M127" s="14"/>
      <c r="P127" s="14"/>
      <c r="Q127" s="14"/>
      <c r="R127" s="14"/>
    </row>
    <row r="128" spans="1:18" s="1" customFormat="1">
      <c r="B128" s="66" t="s">
        <v>6115</v>
      </c>
      <c r="C128" s="62" t="s">
        <v>520</v>
      </c>
      <c r="F128" s="14"/>
      <c r="G128" s="14"/>
      <c r="H128" s="14"/>
      <c r="I128" s="11"/>
      <c r="J128" s="14"/>
      <c r="K128" s="16">
        <v>8</v>
      </c>
      <c r="L128" s="15"/>
      <c r="M128" s="14"/>
      <c r="P128" s="14"/>
      <c r="Q128" s="14"/>
      <c r="R128" s="14"/>
    </row>
    <row r="129" spans="1:18" s="1" customFormat="1">
      <c r="B129" s="66"/>
      <c r="C129" s="62"/>
      <c r="F129" s="14"/>
      <c r="G129" s="14"/>
      <c r="H129" s="14"/>
      <c r="I129" s="11"/>
      <c r="J129" s="14"/>
      <c r="K129" s="16"/>
      <c r="L129" s="15"/>
      <c r="M129" s="14"/>
      <c r="P129" s="14"/>
      <c r="Q129" s="14"/>
      <c r="R129" s="14"/>
    </row>
    <row r="130" spans="1:18" s="1" customFormat="1">
      <c r="A130" s="62" t="s">
        <v>6124</v>
      </c>
      <c r="B130" s="66" t="s">
        <v>6125</v>
      </c>
      <c r="C130" s="62" t="s">
        <v>494</v>
      </c>
      <c r="E130" s="62" t="s">
        <v>476</v>
      </c>
      <c r="F130" s="14">
        <v>15</v>
      </c>
      <c r="G130" s="14">
        <v>1562</v>
      </c>
      <c r="H130" s="47" t="s">
        <v>111</v>
      </c>
      <c r="I130" s="11"/>
      <c r="J130" s="14">
        <v>1</v>
      </c>
      <c r="K130" s="16">
        <v>1</v>
      </c>
      <c r="L130" s="15">
        <v>52</v>
      </c>
      <c r="M130" s="14"/>
      <c r="N130" s="1">
        <v>1509</v>
      </c>
      <c r="O130" s="29" t="s">
        <v>170</v>
      </c>
      <c r="P130" s="14"/>
      <c r="Q130" s="14"/>
      <c r="R130" s="14"/>
    </row>
    <row r="131" spans="1:18" s="1" customFormat="1">
      <c r="B131" s="66" t="s">
        <v>1840</v>
      </c>
      <c r="C131" s="62" t="s">
        <v>494</v>
      </c>
      <c r="E131" s="62" t="s">
        <v>476</v>
      </c>
      <c r="F131" s="14"/>
      <c r="G131" s="14"/>
      <c r="H131" s="14"/>
      <c r="I131" s="11"/>
      <c r="J131" s="14"/>
      <c r="K131" s="16">
        <v>2</v>
      </c>
      <c r="L131" s="15">
        <v>6</v>
      </c>
      <c r="M131" s="14"/>
      <c r="P131" s="14"/>
      <c r="Q131" s="14"/>
      <c r="R131" s="14"/>
    </row>
    <row r="132" spans="1:18" s="1" customFormat="1">
      <c r="B132" s="66" t="s">
        <v>1841</v>
      </c>
      <c r="C132" s="62" t="s">
        <v>494</v>
      </c>
      <c r="F132" s="14"/>
      <c r="G132" s="14"/>
      <c r="H132" s="14"/>
      <c r="I132" s="11"/>
      <c r="J132" s="14"/>
      <c r="K132" s="16">
        <v>3</v>
      </c>
      <c r="L132" s="15">
        <v>6</v>
      </c>
      <c r="M132" s="14"/>
      <c r="P132" s="14"/>
      <c r="Q132" s="14"/>
      <c r="R132" s="14"/>
    </row>
    <row r="133" spans="1:18" s="1" customFormat="1">
      <c r="B133" s="66" t="s">
        <v>6126</v>
      </c>
      <c r="C133" s="62" t="s">
        <v>494</v>
      </c>
      <c r="F133" s="14"/>
      <c r="G133" s="14"/>
      <c r="H133" s="14"/>
      <c r="I133" s="11"/>
      <c r="J133" s="14"/>
      <c r="K133" s="16">
        <v>4</v>
      </c>
      <c r="L133" s="15">
        <v>3</v>
      </c>
      <c r="M133" s="14"/>
      <c r="N133" s="62" t="s">
        <v>6118</v>
      </c>
      <c r="O133" s="66" t="s">
        <v>1835</v>
      </c>
      <c r="P133" s="66" t="s">
        <v>1831</v>
      </c>
      <c r="Q133" s="14"/>
      <c r="R133" s="14"/>
    </row>
    <row r="134" spans="1:18" s="1" customFormat="1">
      <c r="B134" s="66" t="s">
        <v>6127</v>
      </c>
      <c r="C134" s="62" t="s">
        <v>494</v>
      </c>
      <c r="F134" s="14"/>
      <c r="G134" s="14"/>
      <c r="H134" s="14"/>
      <c r="I134" s="11"/>
      <c r="J134" s="14"/>
      <c r="K134" s="16">
        <v>5</v>
      </c>
      <c r="L134" s="15">
        <v>91</v>
      </c>
      <c r="M134" s="14"/>
      <c r="P134" s="14"/>
      <c r="Q134" s="14"/>
      <c r="R134" s="14"/>
    </row>
    <row r="135" spans="1:18" s="1" customFormat="1">
      <c r="B135" s="66" t="s">
        <v>6128</v>
      </c>
      <c r="C135" s="62" t="s">
        <v>494</v>
      </c>
      <c r="F135" s="14"/>
      <c r="G135" s="14"/>
      <c r="H135" s="14"/>
      <c r="I135" s="11"/>
      <c r="J135" s="14"/>
      <c r="K135" s="16">
        <v>6</v>
      </c>
      <c r="L135" s="15">
        <v>92</v>
      </c>
      <c r="M135" s="14"/>
      <c r="P135" s="14"/>
      <c r="Q135" s="14"/>
      <c r="R135" s="14"/>
    </row>
    <row r="136" spans="1:18" s="1" customFormat="1">
      <c r="B136" s="66" t="s">
        <v>6129</v>
      </c>
      <c r="C136" s="62" t="s">
        <v>520</v>
      </c>
      <c r="F136" s="14"/>
      <c r="G136" s="14"/>
      <c r="H136" s="14"/>
      <c r="I136" s="11"/>
      <c r="J136" s="14"/>
      <c r="K136" s="16">
        <v>7</v>
      </c>
      <c r="L136" s="15"/>
      <c r="M136" s="14"/>
      <c r="P136" s="14"/>
      <c r="Q136" s="14"/>
      <c r="R136" s="14"/>
    </row>
    <row r="137" spans="1:18" s="1" customFormat="1">
      <c r="B137" s="66" t="s">
        <v>1842</v>
      </c>
      <c r="C137" s="62" t="s">
        <v>494</v>
      </c>
      <c r="F137" s="14"/>
      <c r="G137" s="14"/>
      <c r="H137" s="14"/>
      <c r="I137" s="11"/>
      <c r="J137" s="14"/>
      <c r="K137" s="16">
        <v>8</v>
      </c>
      <c r="L137" s="15">
        <v>7</v>
      </c>
      <c r="M137" s="14"/>
      <c r="P137" s="14"/>
      <c r="Q137" s="14"/>
      <c r="R137" s="14"/>
    </row>
    <row r="138" spans="1:18" s="1" customFormat="1">
      <c r="B138" s="66" t="s">
        <v>6130</v>
      </c>
      <c r="C138" s="62" t="s">
        <v>494</v>
      </c>
      <c r="F138" s="14"/>
      <c r="G138" s="14"/>
      <c r="H138" s="14"/>
      <c r="I138" s="11"/>
      <c r="J138" s="14"/>
      <c r="K138" s="16">
        <v>9</v>
      </c>
      <c r="L138" s="15">
        <v>8</v>
      </c>
      <c r="M138" s="14"/>
      <c r="P138" s="14"/>
      <c r="Q138" s="14"/>
      <c r="R138" s="14"/>
    </row>
    <row r="139" spans="1:18" s="1" customFormat="1">
      <c r="B139" s="66"/>
      <c r="C139" s="62"/>
      <c r="F139" s="14"/>
      <c r="G139" s="14"/>
      <c r="H139" s="14"/>
      <c r="I139" s="11"/>
      <c r="J139" s="14"/>
      <c r="K139" s="16"/>
      <c r="L139" s="15"/>
      <c r="M139" s="14"/>
      <c r="P139" s="14"/>
      <c r="Q139" s="14"/>
      <c r="R139" s="14"/>
    </row>
    <row r="140" spans="1:18" s="1" customFormat="1">
      <c r="A140" s="62" t="s">
        <v>6118</v>
      </c>
      <c r="B140" s="66" t="s">
        <v>1837</v>
      </c>
      <c r="C140" s="62" t="s">
        <v>494</v>
      </c>
      <c r="E140" s="62" t="s">
        <v>476</v>
      </c>
      <c r="F140" s="14">
        <v>15</v>
      </c>
      <c r="G140" s="14">
        <v>1561</v>
      </c>
      <c r="H140" s="47" t="s">
        <v>6121</v>
      </c>
      <c r="I140" s="48" t="s">
        <v>6183</v>
      </c>
      <c r="J140" s="14">
        <v>3</v>
      </c>
      <c r="K140" s="16">
        <v>1</v>
      </c>
      <c r="L140" s="15">
        <v>6</v>
      </c>
      <c r="M140" s="14"/>
      <c r="P140" s="14"/>
      <c r="Q140" s="14"/>
      <c r="R140" s="14"/>
    </row>
    <row r="141" spans="1:18" s="1" customFormat="1">
      <c r="B141" s="66" t="s">
        <v>1835</v>
      </c>
      <c r="C141" s="62" t="s">
        <v>494</v>
      </c>
      <c r="F141" s="14"/>
      <c r="G141" s="14"/>
      <c r="H141" s="14"/>
      <c r="I141" s="11"/>
      <c r="J141" s="14"/>
      <c r="K141" s="16">
        <v>2</v>
      </c>
      <c r="L141" s="15">
        <v>6</v>
      </c>
      <c r="M141" s="14"/>
      <c r="P141" s="14"/>
      <c r="Q141" s="14"/>
      <c r="R141" s="14"/>
    </row>
    <row r="142" spans="1:18" s="1" customFormat="1">
      <c r="B142" s="66" t="s">
        <v>6119</v>
      </c>
      <c r="C142" s="62" t="s">
        <v>493</v>
      </c>
      <c r="D142" s="1">
        <v>1</v>
      </c>
      <c r="F142" s="14"/>
      <c r="G142" s="14"/>
      <c r="H142" s="14"/>
      <c r="I142" s="11"/>
      <c r="J142" s="14"/>
      <c r="K142" s="16">
        <v>3</v>
      </c>
      <c r="L142" s="15">
        <v>3</v>
      </c>
      <c r="M142" s="14"/>
      <c r="P142" s="14"/>
      <c r="Q142" s="14"/>
      <c r="R142" s="14"/>
    </row>
    <row r="143" spans="1:18" s="1" customFormat="1">
      <c r="B143" s="66" t="s">
        <v>6120</v>
      </c>
      <c r="C143" s="62" t="s">
        <v>494</v>
      </c>
      <c r="F143" s="14"/>
      <c r="G143" s="14"/>
      <c r="H143" s="14"/>
      <c r="I143" s="11"/>
      <c r="J143" s="14"/>
      <c r="K143" s="16">
        <v>4</v>
      </c>
      <c r="L143" s="15"/>
      <c r="M143" s="14"/>
      <c r="P143" s="14"/>
      <c r="Q143" s="14"/>
      <c r="R143" s="14"/>
    </row>
    <row r="144" spans="1:18" s="1" customFormat="1">
      <c r="B144" s="66" t="s">
        <v>1831</v>
      </c>
      <c r="C144" s="62" t="s">
        <v>493</v>
      </c>
      <c r="D144" s="1">
        <v>100</v>
      </c>
      <c r="F144" s="14"/>
      <c r="G144" s="14"/>
      <c r="H144" s="14"/>
      <c r="I144" s="11"/>
      <c r="J144" s="14"/>
      <c r="K144" s="16">
        <v>5</v>
      </c>
      <c r="L144" s="15"/>
      <c r="M144" s="14"/>
      <c r="P144" s="14"/>
      <c r="Q144" s="14"/>
      <c r="R144" s="14"/>
    </row>
    <row r="145" spans="1:18" s="1" customFormat="1">
      <c r="B145" s="66" t="s">
        <v>6122</v>
      </c>
      <c r="C145" s="62" t="s">
        <v>494</v>
      </c>
      <c r="F145" s="14"/>
      <c r="G145" s="14"/>
      <c r="H145" s="14"/>
      <c r="I145" s="11"/>
      <c r="J145" s="14"/>
      <c r="K145" s="16">
        <v>6</v>
      </c>
      <c r="L145" s="15">
        <v>91</v>
      </c>
      <c r="M145" s="14"/>
      <c r="P145" s="14"/>
      <c r="Q145" s="14"/>
      <c r="R145" s="14"/>
    </row>
    <row r="146" spans="1:18" s="1" customFormat="1">
      <c r="B146" s="66" t="s">
        <v>6123</v>
      </c>
      <c r="C146" s="62" t="s">
        <v>494</v>
      </c>
      <c r="F146" s="14"/>
      <c r="G146" s="14"/>
      <c r="H146" s="14"/>
      <c r="I146" s="11"/>
      <c r="J146" s="14"/>
      <c r="K146" s="16">
        <v>7</v>
      </c>
      <c r="L146" s="15">
        <v>92</v>
      </c>
      <c r="M146" s="14"/>
      <c r="P146" s="14"/>
      <c r="Q146" s="14"/>
      <c r="R146" s="14"/>
    </row>
    <row r="147" spans="1:18" s="1" customFormat="1">
      <c r="B147" s="66"/>
      <c r="C147" s="62"/>
      <c r="F147" s="14"/>
      <c r="G147" s="14"/>
      <c r="H147" s="14"/>
      <c r="I147" s="11"/>
      <c r="J147" s="14"/>
      <c r="K147" s="16"/>
      <c r="L147" s="15"/>
      <c r="M147" s="14"/>
      <c r="P147" s="14"/>
      <c r="Q147" s="14"/>
      <c r="R147" s="14"/>
    </row>
    <row r="148" spans="1:18" s="1" customFormat="1">
      <c r="B148" s="29"/>
      <c r="F148" s="14"/>
      <c r="G148" s="14"/>
      <c r="H148" s="14"/>
      <c r="I148" s="11"/>
      <c r="J148" s="14"/>
      <c r="K148" s="16"/>
      <c r="L148" s="15"/>
      <c r="M148" s="14"/>
      <c r="P148" s="14"/>
      <c r="Q148" s="14"/>
      <c r="R148" s="14"/>
    </row>
    <row r="149" spans="1:18" s="1" customFormat="1">
      <c r="A149" s="44" t="s">
        <v>1511</v>
      </c>
      <c r="B149" s="49" t="s">
        <v>1512</v>
      </c>
      <c r="C149" s="44" t="s">
        <v>494</v>
      </c>
      <c r="E149" s="44" t="s">
        <v>476</v>
      </c>
      <c r="F149" s="14">
        <v>15</v>
      </c>
      <c r="G149" s="14">
        <v>1525</v>
      </c>
      <c r="H149" s="47" t="s">
        <v>1516</v>
      </c>
      <c r="I149" s="48" t="s">
        <v>1517</v>
      </c>
      <c r="J149" s="14">
        <v>2</v>
      </c>
      <c r="K149" s="16">
        <v>1</v>
      </c>
      <c r="L149" s="15">
        <v>6</v>
      </c>
      <c r="M149" s="14"/>
      <c r="P149" s="14"/>
      <c r="Q149" s="14"/>
      <c r="R149" s="14"/>
    </row>
    <row r="150" spans="1:18" s="1" customFormat="1">
      <c r="B150" s="49" t="s">
        <v>1513</v>
      </c>
      <c r="C150" s="44" t="s">
        <v>494</v>
      </c>
      <c r="F150" s="14"/>
      <c r="G150" s="14"/>
      <c r="H150" s="14"/>
      <c r="I150" s="11"/>
      <c r="J150" s="14"/>
      <c r="K150" s="16">
        <v>2</v>
      </c>
      <c r="L150" s="15">
        <v>6</v>
      </c>
      <c r="M150" s="14"/>
      <c r="P150" s="14"/>
      <c r="Q150" s="14"/>
      <c r="R150" s="14"/>
    </row>
    <row r="151" spans="1:18" s="1" customFormat="1">
      <c r="B151" s="49" t="s">
        <v>1514</v>
      </c>
      <c r="C151" s="44" t="s">
        <v>493</v>
      </c>
      <c r="D151" s="1">
        <v>100</v>
      </c>
      <c r="F151" s="14"/>
      <c r="G151" s="14"/>
      <c r="H151" s="14"/>
      <c r="I151" s="11"/>
      <c r="J151" s="14"/>
      <c r="K151" s="16">
        <v>3</v>
      </c>
      <c r="L151" s="15"/>
      <c r="M151" s="14"/>
      <c r="P151" s="14"/>
      <c r="Q151" s="14"/>
      <c r="R151" s="14"/>
    </row>
    <row r="152" spans="1:18" s="1" customFormat="1">
      <c r="B152" s="49" t="s">
        <v>1515</v>
      </c>
      <c r="C152" s="44" t="s">
        <v>520</v>
      </c>
      <c r="F152" s="14"/>
      <c r="G152" s="14"/>
      <c r="H152" s="14"/>
      <c r="I152" s="11"/>
      <c r="J152" s="14"/>
      <c r="K152" s="16">
        <v>4</v>
      </c>
      <c r="L152" s="15"/>
      <c r="M152" s="14"/>
      <c r="P152" s="14"/>
      <c r="Q152" s="14"/>
      <c r="R152" s="14"/>
    </row>
    <row r="153" spans="1:18" s="1" customFormat="1">
      <c r="B153" s="29"/>
      <c r="F153" s="14"/>
      <c r="G153" s="14"/>
      <c r="H153" s="14"/>
      <c r="I153" s="11"/>
      <c r="J153" s="14"/>
      <c r="K153" s="16"/>
      <c r="L153" s="15"/>
      <c r="M153" s="14"/>
      <c r="P153" s="14"/>
      <c r="Q153" s="14"/>
      <c r="R153" s="14"/>
    </row>
    <row r="169" spans="1:18" s="1" customFormat="1">
      <c r="A169" s="62" t="s">
        <v>1518</v>
      </c>
      <c r="B169" s="29" t="s">
        <v>1519</v>
      </c>
      <c r="C169" s="44" t="s">
        <v>494</v>
      </c>
      <c r="E169" s="44" t="s">
        <v>476</v>
      </c>
      <c r="F169" s="14">
        <v>15</v>
      </c>
      <c r="G169" s="14">
        <v>1531</v>
      </c>
      <c r="H169" s="47" t="s">
        <v>1535</v>
      </c>
      <c r="I169" s="48" t="s">
        <v>1536</v>
      </c>
      <c r="J169" s="14">
        <v>1503</v>
      </c>
      <c r="K169" s="16">
        <v>1</v>
      </c>
      <c r="L169" s="15">
        <v>6</v>
      </c>
      <c r="M169" s="14"/>
      <c r="P169" s="14"/>
      <c r="Q169" s="14"/>
      <c r="R169" s="14"/>
    </row>
    <row r="170" spans="1:18" s="1" customFormat="1">
      <c r="B170" s="29" t="s">
        <v>1520</v>
      </c>
      <c r="C170" s="44" t="s">
        <v>494</v>
      </c>
      <c r="F170" s="14"/>
      <c r="G170" s="14"/>
      <c r="H170" s="14"/>
      <c r="I170" s="11"/>
      <c r="J170" s="14"/>
      <c r="K170" s="16">
        <v>2</v>
      </c>
      <c r="L170" s="15">
        <v>6</v>
      </c>
      <c r="M170" s="14"/>
      <c r="P170" s="14"/>
      <c r="Q170" s="14"/>
      <c r="R170" s="14"/>
    </row>
    <row r="171" spans="1:18" s="1" customFormat="1">
      <c r="B171" s="29" t="s">
        <v>1524</v>
      </c>
      <c r="C171" s="44" t="s">
        <v>493</v>
      </c>
      <c r="D171" s="1">
        <v>1</v>
      </c>
      <c r="F171" s="14"/>
      <c r="G171" s="14"/>
      <c r="H171" s="14"/>
      <c r="I171" s="11"/>
      <c r="J171" s="14"/>
      <c r="K171" s="16">
        <v>3</v>
      </c>
      <c r="L171" s="15">
        <v>3</v>
      </c>
      <c r="M171" s="14"/>
      <c r="P171" s="14"/>
      <c r="Q171" s="14"/>
      <c r="R171" s="14"/>
    </row>
    <row r="172" spans="1:18" s="1" customFormat="1">
      <c r="B172" s="29" t="s">
        <v>1521</v>
      </c>
      <c r="C172" s="44" t="s">
        <v>493</v>
      </c>
      <c r="D172" s="1">
        <v>250</v>
      </c>
      <c r="F172" s="14"/>
      <c r="G172" s="14"/>
      <c r="H172" s="14"/>
      <c r="I172" s="11"/>
      <c r="J172" s="14"/>
      <c r="K172" s="16">
        <v>4</v>
      </c>
      <c r="L172" s="15"/>
      <c r="M172" s="14"/>
      <c r="P172" s="14"/>
      <c r="Q172" s="14"/>
      <c r="R172" s="14"/>
    </row>
    <row r="173" spans="1:18" s="1" customFormat="1">
      <c r="B173" s="29" t="s">
        <v>1522</v>
      </c>
      <c r="C173" s="44" t="s">
        <v>520</v>
      </c>
      <c r="F173" s="14"/>
      <c r="G173" s="14"/>
      <c r="H173" s="14"/>
      <c r="I173" s="11"/>
      <c r="J173" s="14"/>
      <c r="K173" s="16">
        <v>5</v>
      </c>
      <c r="L173" s="15"/>
      <c r="M173" s="14"/>
      <c r="P173" s="14"/>
      <c r="Q173" s="14"/>
      <c r="R173" s="14"/>
    </row>
    <row r="174" spans="1:18" s="1" customFormat="1">
      <c r="B174" s="29" t="s">
        <v>1523</v>
      </c>
      <c r="C174" s="44" t="s">
        <v>493</v>
      </c>
      <c r="D174" s="1">
        <v>50</v>
      </c>
      <c r="F174" s="14"/>
      <c r="G174" s="14"/>
      <c r="H174" s="14"/>
      <c r="I174" s="11"/>
      <c r="J174" s="14"/>
      <c r="K174" s="16">
        <v>6</v>
      </c>
      <c r="L174" s="15"/>
      <c r="M174" s="14"/>
      <c r="P174" s="14"/>
      <c r="Q174" s="14"/>
      <c r="R174" s="14"/>
    </row>
    <row r="175" spans="1:18" s="1" customFormat="1">
      <c r="B175" s="29" t="s">
        <v>1525</v>
      </c>
      <c r="C175" s="44" t="s">
        <v>493</v>
      </c>
      <c r="D175" s="1">
        <v>250</v>
      </c>
      <c r="F175" s="14"/>
      <c r="G175" s="14"/>
      <c r="H175" s="14"/>
      <c r="I175" s="11"/>
      <c r="J175" s="14"/>
      <c r="K175" s="16">
        <v>7</v>
      </c>
      <c r="L175" s="15"/>
      <c r="M175" s="14"/>
      <c r="P175" s="14"/>
      <c r="Q175" s="14"/>
      <c r="R175" s="14"/>
    </row>
    <row r="176" spans="1:18" s="1" customFormat="1">
      <c r="B176" s="29" t="s">
        <v>1526</v>
      </c>
      <c r="C176" s="44" t="s">
        <v>493</v>
      </c>
      <c r="D176" s="1">
        <v>250</v>
      </c>
      <c r="F176" s="14"/>
      <c r="G176" s="14"/>
      <c r="H176" s="14"/>
      <c r="I176" s="11"/>
      <c r="J176" s="14"/>
      <c r="K176" s="16">
        <v>8</v>
      </c>
      <c r="L176" s="15"/>
      <c r="M176" s="14"/>
      <c r="P176" s="14"/>
      <c r="Q176" s="14"/>
      <c r="R176" s="14"/>
    </row>
    <row r="177" spans="2:18" s="1" customFormat="1">
      <c r="B177" s="29" t="s">
        <v>1527</v>
      </c>
      <c r="C177" s="44" t="s">
        <v>494</v>
      </c>
      <c r="F177" s="14"/>
      <c r="G177" s="14"/>
      <c r="H177" s="14"/>
      <c r="I177" s="11"/>
      <c r="J177" s="14"/>
      <c r="K177" s="16">
        <v>9</v>
      </c>
      <c r="L177" s="15">
        <v>3</v>
      </c>
      <c r="M177" s="14">
        <v>3</v>
      </c>
      <c r="N177" s="44" t="s">
        <v>1528</v>
      </c>
      <c r="O177" s="29" t="s">
        <v>1530</v>
      </c>
      <c r="P177" s="29" t="s">
        <v>1531</v>
      </c>
      <c r="Q177" s="14"/>
      <c r="R177" s="14"/>
    </row>
    <row r="178" spans="2:18" s="1" customFormat="1">
      <c r="B178" s="29" t="s">
        <v>1534</v>
      </c>
      <c r="C178" s="44" t="s">
        <v>493</v>
      </c>
      <c r="D178" s="1">
        <v>1</v>
      </c>
      <c r="F178" s="14"/>
      <c r="G178" s="14"/>
      <c r="H178" s="14"/>
      <c r="I178" s="11"/>
      <c r="J178" s="14"/>
      <c r="K178" s="16">
        <v>10</v>
      </c>
      <c r="L178" s="15">
        <v>3</v>
      </c>
      <c r="M178" s="14"/>
      <c r="P178" s="14"/>
      <c r="Q178" s="14"/>
      <c r="R178" s="14"/>
    </row>
    <row r="179" spans="2:18" s="1" customFormat="1">
      <c r="B179" s="66" t="s">
        <v>1537</v>
      </c>
      <c r="C179" s="44" t="s">
        <v>494</v>
      </c>
      <c r="F179" s="14"/>
      <c r="G179" s="14"/>
      <c r="H179" s="14"/>
      <c r="I179" s="11"/>
      <c r="J179" s="14"/>
      <c r="K179" s="16">
        <v>11</v>
      </c>
      <c r="L179" s="15">
        <v>3</v>
      </c>
      <c r="M179" s="14"/>
      <c r="N179" s="62" t="s">
        <v>1540</v>
      </c>
      <c r="O179" s="49" t="s">
        <v>1542</v>
      </c>
      <c r="P179" s="49" t="s">
        <v>1543</v>
      </c>
      <c r="Q179" s="14"/>
      <c r="R179" s="14"/>
    </row>
    <row r="180" spans="2:18" s="1" customFormat="1">
      <c r="B180" s="49" t="s">
        <v>1538</v>
      </c>
      <c r="C180" s="44" t="s">
        <v>493</v>
      </c>
      <c r="D180" s="44">
        <v>50</v>
      </c>
      <c r="F180" s="14"/>
      <c r="G180" s="14"/>
      <c r="H180" s="14"/>
      <c r="I180" s="11"/>
      <c r="J180" s="14"/>
      <c r="K180" s="16">
        <v>12</v>
      </c>
      <c r="L180" s="15"/>
      <c r="M180" s="14"/>
      <c r="P180" s="14"/>
      <c r="Q180" s="14"/>
      <c r="R180" s="14"/>
    </row>
    <row r="181" spans="2:18" s="1" customFormat="1">
      <c r="B181" s="49" t="s">
        <v>1547</v>
      </c>
      <c r="C181" s="44" t="s">
        <v>493</v>
      </c>
      <c r="D181" s="44">
        <v>50</v>
      </c>
      <c r="F181" s="14"/>
      <c r="G181" s="14"/>
      <c r="H181" s="14"/>
      <c r="I181" s="11"/>
      <c r="J181" s="14"/>
      <c r="K181" s="16">
        <v>13</v>
      </c>
      <c r="L181" s="15"/>
      <c r="M181" s="14"/>
      <c r="P181" s="14"/>
      <c r="Q181" s="14"/>
      <c r="R181" s="14"/>
    </row>
    <row r="182" spans="2:18" s="1" customFormat="1">
      <c r="B182" s="49" t="s">
        <v>1539</v>
      </c>
      <c r="C182" s="44" t="s">
        <v>520</v>
      </c>
      <c r="F182" s="14"/>
      <c r="G182" s="14"/>
      <c r="H182" s="14"/>
      <c r="I182" s="11"/>
      <c r="J182" s="14"/>
      <c r="K182" s="16">
        <v>14</v>
      </c>
      <c r="L182" s="15"/>
      <c r="M182" s="14"/>
      <c r="P182" s="14"/>
      <c r="Q182" s="14"/>
      <c r="R182" s="14"/>
    </row>
    <row r="183" spans="2:18" s="1" customFormat="1">
      <c r="B183" s="49" t="s">
        <v>1546</v>
      </c>
      <c r="C183" s="44" t="s">
        <v>493</v>
      </c>
      <c r="D183" s="44">
        <v>50</v>
      </c>
      <c r="F183" s="14"/>
      <c r="G183" s="14"/>
      <c r="H183" s="14"/>
      <c r="I183" s="11"/>
      <c r="J183" s="14"/>
      <c r="K183" s="16">
        <v>15</v>
      </c>
      <c r="L183" s="15"/>
      <c r="M183" s="14"/>
      <c r="P183" s="14"/>
      <c r="Q183" s="14"/>
      <c r="R183" s="14"/>
    </row>
    <row r="184" spans="2:18" s="1" customFormat="1">
      <c r="B184" s="49" t="s">
        <v>1548</v>
      </c>
      <c r="C184" s="44" t="s">
        <v>494</v>
      </c>
      <c r="F184" s="14"/>
      <c r="G184" s="14"/>
      <c r="H184" s="14"/>
      <c r="I184" s="11"/>
      <c r="J184" s="14"/>
      <c r="K184" s="16">
        <v>16</v>
      </c>
      <c r="L184" s="15">
        <v>3</v>
      </c>
      <c r="N184" s="1" t="s">
        <v>693</v>
      </c>
      <c r="O184" s="1" t="s">
        <v>695</v>
      </c>
      <c r="P184" s="1" t="s">
        <v>696</v>
      </c>
      <c r="Q184" s="14"/>
      <c r="R184" s="14"/>
    </row>
    <row r="185" spans="2:18" s="1" customFormat="1">
      <c r="B185" s="49" t="s">
        <v>1549</v>
      </c>
      <c r="C185" s="44" t="s">
        <v>494</v>
      </c>
      <c r="F185" s="14"/>
      <c r="G185" s="14"/>
      <c r="H185" s="14"/>
      <c r="I185" s="11"/>
      <c r="J185" s="14"/>
      <c r="K185" s="16">
        <v>17</v>
      </c>
      <c r="L185" s="1">
        <v>3</v>
      </c>
      <c r="M185" s="1">
        <v>31</v>
      </c>
      <c r="N185" s="44" t="s">
        <v>379</v>
      </c>
      <c r="O185" s="1" t="s">
        <v>698</v>
      </c>
      <c r="P185" s="1" t="s">
        <v>699</v>
      </c>
      <c r="Q185" s="1" t="s">
        <v>383</v>
      </c>
      <c r="R185" s="14">
        <f>+K184</f>
        <v>16</v>
      </c>
    </row>
    <row r="186" spans="2:18" s="1" customFormat="1">
      <c r="B186" s="49" t="s">
        <v>1550</v>
      </c>
      <c r="C186" s="44" t="s">
        <v>493</v>
      </c>
      <c r="D186" s="44">
        <v>250</v>
      </c>
      <c r="F186" s="14"/>
      <c r="G186" s="14"/>
      <c r="H186" s="14"/>
      <c r="I186" s="11"/>
      <c r="J186" s="14"/>
      <c r="K186" s="16">
        <v>18</v>
      </c>
      <c r="L186" s="15"/>
      <c r="M186" s="14"/>
      <c r="P186" s="14"/>
      <c r="Q186" s="14"/>
      <c r="R186" s="14"/>
    </row>
    <row r="187" spans="2:18" s="1" customFormat="1">
      <c r="B187" s="49" t="s">
        <v>1551</v>
      </c>
      <c r="C187" s="44" t="s">
        <v>493</v>
      </c>
      <c r="D187" s="44">
        <v>50</v>
      </c>
      <c r="F187" s="14"/>
      <c r="G187" s="14"/>
      <c r="H187" s="14"/>
      <c r="I187" s="11"/>
      <c r="J187" s="14"/>
      <c r="K187" s="16">
        <v>19</v>
      </c>
      <c r="L187" s="15"/>
      <c r="M187" s="14"/>
      <c r="P187" s="14"/>
      <c r="Q187" s="14"/>
      <c r="R187" s="14"/>
    </row>
    <row r="188" spans="2:18" s="1" customFormat="1">
      <c r="B188" s="49" t="s">
        <v>1553</v>
      </c>
      <c r="C188" s="44" t="s">
        <v>493</v>
      </c>
      <c r="D188" s="44">
        <v>50</v>
      </c>
      <c r="F188" s="14"/>
      <c r="G188" s="14"/>
      <c r="H188" s="14"/>
      <c r="I188" s="11"/>
      <c r="J188" s="14"/>
      <c r="K188" s="16">
        <v>20</v>
      </c>
      <c r="L188" s="15"/>
      <c r="M188" s="14"/>
      <c r="P188" s="14"/>
      <c r="Q188" s="14"/>
      <c r="R188" s="14"/>
    </row>
    <row r="189" spans="2:18" s="1" customFormat="1">
      <c r="B189" s="49" t="s">
        <v>1552</v>
      </c>
      <c r="C189" s="44" t="s">
        <v>494</v>
      </c>
      <c r="F189" s="14"/>
      <c r="G189" s="14"/>
      <c r="H189" s="14"/>
      <c r="I189" s="11"/>
      <c r="J189" s="14"/>
      <c r="K189" s="16">
        <v>21</v>
      </c>
      <c r="L189" s="15"/>
      <c r="M189" s="14"/>
      <c r="P189" s="14"/>
      <c r="Q189" s="14"/>
      <c r="R189" s="14"/>
    </row>
    <row r="190" spans="2:18" s="1" customFormat="1" ht="14.25" customHeight="1">
      <c r="B190" s="49" t="s">
        <v>1554</v>
      </c>
      <c r="C190" s="44" t="s">
        <v>702</v>
      </c>
      <c r="F190" s="14"/>
      <c r="G190" s="14"/>
      <c r="H190" s="14"/>
      <c r="I190" s="11"/>
      <c r="J190" s="14"/>
      <c r="K190" s="16">
        <v>22</v>
      </c>
      <c r="L190" s="15"/>
      <c r="M190" s="14"/>
      <c r="P190" s="14"/>
      <c r="Q190" s="14"/>
      <c r="R190" s="14"/>
    </row>
    <row r="191" spans="2:18" s="1" customFormat="1">
      <c r="B191" s="49" t="s">
        <v>1555</v>
      </c>
      <c r="C191" s="44" t="s">
        <v>493</v>
      </c>
      <c r="D191" s="44">
        <v>100</v>
      </c>
      <c r="F191" s="14"/>
      <c r="G191" s="14"/>
      <c r="H191" s="14"/>
      <c r="I191" s="11"/>
      <c r="J191" s="14"/>
      <c r="K191" s="16">
        <v>23</v>
      </c>
      <c r="L191" s="15"/>
      <c r="M191" s="14"/>
      <c r="P191" s="14"/>
      <c r="Q191" s="14"/>
      <c r="R191" s="14"/>
    </row>
    <row r="192" spans="2:18" s="1" customFormat="1">
      <c r="B192" s="49" t="s">
        <v>1556</v>
      </c>
      <c r="C192" s="44" t="s">
        <v>493</v>
      </c>
      <c r="D192" s="44">
        <v>100</v>
      </c>
      <c r="F192" s="14"/>
      <c r="G192" s="14"/>
      <c r="H192" s="14"/>
      <c r="I192" s="11"/>
      <c r="J192" s="14"/>
      <c r="K192" s="16">
        <v>24</v>
      </c>
      <c r="L192" s="15"/>
      <c r="M192" s="14"/>
      <c r="P192" s="14"/>
      <c r="Q192" s="14"/>
      <c r="R192" s="14"/>
    </row>
    <row r="193" spans="2:18" s="1" customFormat="1">
      <c r="B193" s="49" t="s">
        <v>1557</v>
      </c>
      <c r="C193" s="44" t="s">
        <v>493</v>
      </c>
      <c r="D193" s="44">
        <v>100</v>
      </c>
      <c r="F193" s="14"/>
      <c r="G193" s="14"/>
      <c r="H193" s="14"/>
      <c r="I193" s="11"/>
      <c r="J193" s="14"/>
      <c r="K193" s="16">
        <v>25</v>
      </c>
      <c r="L193" s="15"/>
      <c r="M193" s="14"/>
      <c r="P193" s="14"/>
      <c r="Q193" s="14"/>
      <c r="R193" s="14"/>
    </row>
    <row r="194" spans="2:18" s="1" customFormat="1">
      <c r="B194" s="49" t="s">
        <v>1558</v>
      </c>
      <c r="C194" s="44" t="s">
        <v>493</v>
      </c>
      <c r="D194" s="44">
        <v>100</v>
      </c>
      <c r="F194" s="14"/>
      <c r="G194" s="14"/>
      <c r="H194" s="14"/>
      <c r="I194" s="11"/>
      <c r="J194" s="14"/>
      <c r="K194" s="16">
        <v>26</v>
      </c>
      <c r="L194" s="15"/>
      <c r="M194" s="14"/>
      <c r="P194" s="14"/>
      <c r="Q194" s="14"/>
      <c r="R194" s="14"/>
    </row>
    <row r="195" spans="2:18" s="1" customFormat="1">
      <c r="B195" s="49" t="s">
        <v>1559</v>
      </c>
      <c r="C195" s="44" t="s">
        <v>494</v>
      </c>
      <c r="F195" s="14"/>
      <c r="G195" s="14"/>
      <c r="H195" s="14"/>
      <c r="I195" s="11"/>
      <c r="J195" s="14"/>
      <c r="K195" s="16">
        <v>27</v>
      </c>
      <c r="L195" s="15"/>
      <c r="M195" s="14"/>
      <c r="P195" s="14"/>
      <c r="Q195" s="14"/>
      <c r="R195" s="14"/>
    </row>
    <row r="196" spans="2:18" s="1" customFormat="1">
      <c r="B196" s="49" t="s">
        <v>1560</v>
      </c>
      <c r="C196" s="44" t="s">
        <v>493</v>
      </c>
      <c r="D196" s="44">
        <v>100</v>
      </c>
      <c r="F196" s="14"/>
      <c r="G196" s="14"/>
      <c r="H196" s="14"/>
      <c r="I196" s="11"/>
      <c r="J196" s="14"/>
      <c r="K196" s="16">
        <v>28</v>
      </c>
      <c r="L196" s="15"/>
      <c r="M196" s="14"/>
      <c r="P196" s="14"/>
      <c r="Q196" s="14"/>
      <c r="R196" s="14"/>
    </row>
    <row r="197" spans="2:18" s="1" customFormat="1">
      <c r="B197" s="49" t="s">
        <v>1561</v>
      </c>
      <c r="C197" s="44" t="s">
        <v>493</v>
      </c>
      <c r="D197" s="44">
        <v>100</v>
      </c>
      <c r="F197" s="14"/>
      <c r="G197" s="14"/>
      <c r="H197" s="14"/>
      <c r="I197" s="11"/>
      <c r="J197" s="14"/>
      <c r="K197" s="16">
        <v>29</v>
      </c>
      <c r="L197" s="15"/>
      <c r="M197" s="14"/>
      <c r="P197" s="14"/>
      <c r="Q197" s="14"/>
      <c r="R197" s="14"/>
    </row>
    <row r="198" spans="2:18" s="1" customFormat="1">
      <c r="B198" s="49" t="s">
        <v>1562</v>
      </c>
      <c r="C198" s="44" t="s">
        <v>520</v>
      </c>
      <c r="F198" s="14"/>
      <c r="G198" s="14"/>
      <c r="H198" s="14"/>
      <c r="I198" s="11"/>
      <c r="J198" s="14"/>
      <c r="K198" s="16">
        <v>30</v>
      </c>
      <c r="L198" s="15"/>
      <c r="M198" s="14"/>
      <c r="P198" s="14"/>
      <c r="Q198" s="14"/>
      <c r="R198" s="14"/>
    </row>
    <row r="199" spans="2:18" s="1" customFormat="1">
      <c r="B199" s="49" t="s">
        <v>1563</v>
      </c>
      <c r="C199" s="44" t="s">
        <v>520</v>
      </c>
      <c r="F199" s="14"/>
      <c r="G199" s="14"/>
      <c r="H199" s="14"/>
      <c r="I199" s="11"/>
      <c r="J199" s="14"/>
      <c r="K199" s="16">
        <v>31</v>
      </c>
      <c r="L199" s="15"/>
      <c r="M199" s="14"/>
      <c r="P199" s="14"/>
      <c r="Q199" s="14"/>
      <c r="R199" s="14"/>
    </row>
    <row r="200" spans="2:18" s="1" customFormat="1">
      <c r="B200" s="49" t="s">
        <v>1564</v>
      </c>
      <c r="C200" s="44" t="s">
        <v>494</v>
      </c>
      <c r="F200" s="14"/>
      <c r="G200" s="14"/>
      <c r="H200" s="14"/>
      <c r="I200" s="11"/>
      <c r="J200" s="14"/>
      <c r="K200" s="16">
        <v>32</v>
      </c>
      <c r="L200" s="15"/>
      <c r="M200" s="14"/>
      <c r="P200" s="14"/>
      <c r="Q200" s="14"/>
      <c r="R200" s="14"/>
    </row>
    <row r="201" spans="2:18" s="1" customFormat="1">
      <c r="B201" s="49" t="s">
        <v>1565</v>
      </c>
      <c r="C201" s="44" t="s">
        <v>520</v>
      </c>
      <c r="F201" s="14"/>
      <c r="G201" s="14"/>
      <c r="H201" s="14"/>
      <c r="I201" s="11"/>
      <c r="J201" s="14"/>
      <c r="K201" s="16">
        <v>33</v>
      </c>
      <c r="L201" s="15"/>
      <c r="M201" s="14"/>
      <c r="P201" s="14"/>
      <c r="Q201" s="14"/>
      <c r="R201" s="14"/>
    </row>
    <row r="202" spans="2:18" s="1" customFormat="1">
      <c r="B202" s="49" t="s">
        <v>1566</v>
      </c>
      <c r="C202" s="44" t="s">
        <v>520</v>
      </c>
      <c r="F202" s="14"/>
      <c r="G202" s="14"/>
      <c r="H202" s="14"/>
      <c r="I202" s="11"/>
      <c r="J202" s="14"/>
      <c r="K202" s="16">
        <v>34</v>
      </c>
      <c r="L202" s="15"/>
      <c r="M202" s="14"/>
      <c r="P202" s="14"/>
      <c r="Q202" s="14"/>
      <c r="R202" s="14"/>
    </row>
    <row r="203" spans="2:18" s="1" customFormat="1">
      <c r="B203" s="49" t="s">
        <v>1567</v>
      </c>
      <c r="C203" s="44" t="s">
        <v>520</v>
      </c>
      <c r="F203" s="14"/>
      <c r="G203" s="14"/>
      <c r="H203" s="14"/>
      <c r="I203" s="11"/>
      <c r="J203" s="14"/>
      <c r="K203" s="16">
        <v>35</v>
      </c>
      <c r="L203" s="15"/>
      <c r="M203" s="14"/>
      <c r="P203" s="14"/>
      <c r="Q203" s="14"/>
      <c r="R203" s="14"/>
    </row>
    <row r="204" spans="2:18" s="1" customFormat="1">
      <c r="B204" s="49" t="s">
        <v>1568</v>
      </c>
      <c r="C204" s="44" t="s">
        <v>520</v>
      </c>
      <c r="F204" s="14"/>
      <c r="G204" s="14"/>
      <c r="H204" s="14"/>
      <c r="I204" s="11"/>
      <c r="J204" s="14"/>
      <c r="K204" s="16">
        <v>36</v>
      </c>
      <c r="L204" s="15"/>
      <c r="M204" s="14"/>
      <c r="P204" s="14"/>
      <c r="Q204" s="14"/>
      <c r="R204" s="14"/>
    </row>
    <row r="205" spans="2:18" s="1" customFormat="1">
      <c r="B205" s="49" t="s">
        <v>1569</v>
      </c>
      <c r="C205" s="44" t="s">
        <v>520</v>
      </c>
      <c r="F205" s="14"/>
      <c r="G205" s="14"/>
      <c r="H205" s="14"/>
      <c r="I205" s="11"/>
      <c r="J205" s="14"/>
      <c r="K205" s="16">
        <v>37</v>
      </c>
      <c r="L205" s="15"/>
      <c r="M205" s="14"/>
      <c r="P205" s="14"/>
      <c r="Q205" s="14"/>
      <c r="R205" s="14"/>
    </row>
    <row r="206" spans="2:18" s="1" customFormat="1">
      <c r="B206" s="49" t="s">
        <v>1570</v>
      </c>
      <c r="C206" s="44" t="s">
        <v>493</v>
      </c>
      <c r="D206" s="1">
        <v>50</v>
      </c>
      <c r="F206" s="14"/>
      <c r="G206" s="14"/>
      <c r="H206" s="14"/>
      <c r="I206" s="11"/>
      <c r="J206" s="14"/>
      <c r="K206" s="16">
        <v>38</v>
      </c>
      <c r="L206" s="15"/>
      <c r="M206" s="14"/>
      <c r="P206" s="14"/>
      <c r="Q206" s="14"/>
      <c r="R206" s="14"/>
    </row>
    <row r="207" spans="2:18" s="1" customFormat="1">
      <c r="B207" s="49" t="s">
        <v>1571</v>
      </c>
      <c r="C207" s="44" t="s">
        <v>493</v>
      </c>
      <c r="D207" s="1">
        <v>50</v>
      </c>
      <c r="F207" s="14"/>
      <c r="G207" s="14"/>
      <c r="H207" s="14"/>
      <c r="I207" s="11"/>
      <c r="J207" s="14"/>
      <c r="K207" s="16">
        <v>39</v>
      </c>
      <c r="L207" s="15"/>
      <c r="M207" s="14"/>
      <c r="P207" s="14"/>
      <c r="Q207" s="14"/>
      <c r="R207" s="14"/>
    </row>
    <row r="208" spans="2:18" s="1" customFormat="1">
      <c r="B208" s="49" t="s">
        <v>1572</v>
      </c>
      <c r="C208" s="62" t="s">
        <v>520</v>
      </c>
      <c r="D208" s="44"/>
      <c r="F208" s="14"/>
      <c r="G208" s="14"/>
      <c r="H208" s="14"/>
      <c r="I208" s="11"/>
      <c r="J208" s="14"/>
      <c r="K208" s="16">
        <v>40</v>
      </c>
      <c r="L208" s="15"/>
      <c r="M208" s="14"/>
      <c r="P208" s="14"/>
      <c r="Q208" s="14"/>
      <c r="R208" s="14"/>
    </row>
    <row r="209" spans="1:18" s="1" customFormat="1">
      <c r="B209" s="49" t="s">
        <v>1573</v>
      </c>
      <c r="C209" s="44" t="s">
        <v>493</v>
      </c>
      <c r="D209" s="44">
        <v>100</v>
      </c>
      <c r="F209" s="14"/>
      <c r="G209" s="14"/>
      <c r="H209" s="14"/>
      <c r="I209" s="11"/>
      <c r="J209" s="14"/>
      <c r="K209" s="16">
        <v>41</v>
      </c>
      <c r="L209" s="15"/>
      <c r="M209" s="14"/>
      <c r="P209" s="14"/>
      <c r="Q209" s="14"/>
      <c r="R209" s="14"/>
    </row>
    <row r="210" spans="1:18" s="1" customFormat="1">
      <c r="B210" s="49" t="s">
        <v>1574</v>
      </c>
      <c r="C210" s="44" t="s">
        <v>493</v>
      </c>
      <c r="D210" s="44">
        <v>100</v>
      </c>
      <c r="F210" s="14"/>
      <c r="G210" s="14"/>
      <c r="H210" s="14"/>
      <c r="I210" s="11"/>
      <c r="J210" s="14"/>
      <c r="K210" s="16">
        <v>42</v>
      </c>
      <c r="L210" s="15"/>
      <c r="M210" s="14"/>
      <c r="P210" s="14"/>
      <c r="Q210" s="14"/>
      <c r="R210" s="14"/>
    </row>
    <row r="211" spans="1:18" s="1" customFormat="1">
      <c r="B211" s="49" t="s">
        <v>1575</v>
      </c>
      <c r="C211" s="44" t="s">
        <v>493</v>
      </c>
      <c r="D211" s="44">
        <v>100</v>
      </c>
      <c r="F211" s="14"/>
      <c r="G211" s="14"/>
      <c r="H211" s="14"/>
      <c r="I211" s="11"/>
      <c r="J211" s="14"/>
      <c r="K211" s="16">
        <v>43</v>
      </c>
      <c r="L211" s="15"/>
      <c r="M211" s="14"/>
      <c r="P211" s="14"/>
      <c r="Q211" s="14"/>
      <c r="R211" s="14"/>
    </row>
    <row r="212" spans="1:18" s="1" customFormat="1">
      <c r="B212" s="49" t="s">
        <v>1576</v>
      </c>
      <c r="C212" s="44" t="s">
        <v>493</v>
      </c>
      <c r="D212" s="44">
        <v>100</v>
      </c>
      <c r="F212" s="14"/>
      <c r="G212" s="14"/>
      <c r="H212" s="14"/>
      <c r="I212" s="11"/>
      <c r="J212" s="14"/>
      <c r="K212" s="16">
        <v>44</v>
      </c>
      <c r="L212" s="15"/>
      <c r="M212" s="14"/>
      <c r="P212" s="14"/>
      <c r="Q212" s="14"/>
      <c r="R212" s="14"/>
    </row>
    <row r="213" spans="1:18" s="1" customFormat="1">
      <c r="B213" s="49" t="s">
        <v>1608</v>
      </c>
      <c r="C213" s="44" t="s">
        <v>494</v>
      </c>
      <c r="D213" s="44"/>
      <c r="F213" s="14"/>
      <c r="G213" s="14"/>
      <c r="H213" s="14"/>
      <c r="I213" s="11"/>
      <c r="J213" s="14"/>
      <c r="K213" s="16">
        <v>45</v>
      </c>
      <c r="L213" s="15">
        <v>3</v>
      </c>
      <c r="M213" s="14"/>
      <c r="N213" s="1" t="s">
        <v>721</v>
      </c>
      <c r="O213" s="1" t="s">
        <v>723</v>
      </c>
      <c r="P213" s="44" t="s">
        <v>724</v>
      </c>
      <c r="Q213" s="14"/>
      <c r="R213" s="14"/>
    </row>
    <row r="214" spans="1:18" s="1" customFormat="1">
      <c r="B214" s="49" t="s">
        <v>1610</v>
      </c>
      <c r="C214" s="44" t="s">
        <v>493</v>
      </c>
      <c r="D214" s="44">
        <v>10</v>
      </c>
      <c r="F214" s="14"/>
      <c r="G214" s="14"/>
      <c r="H214" s="14"/>
      <c r="I214" s="11"/>
      <c r="J214" s="14"/>
      <c r="K214" s="16">
        <v>46</v>
      </c>
      <c r="L214" s="15"/>
      <c r="M214" s="14"/>
      <c r="P214" s="44"/>
      <c r="Q214" s="14"/>
      <c r="R214" s="14"/>
    </row>
    <row r="215" spans="1:18" s="1" customFormat="1">
      <c r="B215" s="49" t="s">
        <v>1611</v>
      </c>
      <c r="C215" s="44" t="s">
        <v>493</v>
      </c>
      <c r="D215" s="44">
        <v>10</v>
      </c>
      <c r="F215" s="14"/>
      <c r="G215" s="14"/>
      <c r="H215" s="14"/>
      <c r="I215" s="11"/>
      <c r="J215" s="14"/>
      <c r="K215" s="16">
        <v>47</v>
      </c>
      <c r="L215" s="15"/>
      <c r="M215" s="14"/>
      <c r="P215" s="44"/>
      <c r="Q215" s="14"/>
      <c r="R215" s="14"/>
    </row>
    <row r="216" spans="1:18" s="1" customFormat="1">
      <c r="B216" s="49" t="s">
        <v>1612</v>
      </c>
      <c r="C216" s="44" t="s">
        <v>520</v>
      </c>
      <c r="D216" s="44"/>
      <c r="F216" s="14"/>
      <c r="G216" s="14"/>
      <c r="H216" s="14"/>
      <c r="I216" s="11"/>
      <c r="J216" s="14"/>
      <c r="K216" s="16">
        <v>48</v>
      </c>
      <c r="L216" s="15"/>
      <c r="M216" s="14"/>
      <c r="P216" s="44"/>
      <c r="Q216" s="14"/>
      <c r="R216" s="14"/>
    </row>
    <row r="217" spans="1:18" s="1" customFormat="1">
      <c r="B217" s="66" t="s">
        <v>1879</v>
      </c>
      <c r="C217" s="62" t="s">
        <v>494</v>
      </c>
      <c r="D217" s="44"/>
      <c r="F217" s="14"/>
      <c r="G217" s="14"/>
      <c r="H217" s="14"/>
      <c r="I217" s="11"/>
      <c r="J217" s="14"/>
      <c r="K217" s="16">
        <v>49</v>
      </c>
      <c r="L217" s="15">
        <v>3</v>
      </c>
      <c r="M217" s="14"/>
      <c r="N217" s="44" t="s">
        <v>1518</v>
      </c>
      <c r="O217" s="29" t="s">
        <v>1520</v>
      </c>
      <c r="P217" s="29" t="s">
        <v>1521</v>
      </c>
      <c r="Q217" s="14"/>
      <c r="R217" s="14"/>
    </row>
    <row r="218" spans="1:18" s="1" customFormat="1">
      <c r="B218" s="49"/>
      <c r="F218" s="14"/>
      <c r="G218" s="14"/>
      <c r="H218" s="14"/>
      <c r="I218" s="11"/>
      <c r="J218" s="14"/>
      <c r="K218" s="16"/>
      <c r="L218" s="15"/>
      <c r="M218" s="14"/>
      <c r="P218" s="14"/>
      <c r="Q218" s="14"/>
      <c r="R218" s="14"/>
    </row>
    <row r="219" spans="1:18" s="1" customFormat="1">
      <c r="A219" s="44" t="s">
        <v>1577</v>
      </c>
      <c r="B219" s="49" t="s">
        <v>1578</v>
      </c>
      <c r="C219" s="44" t="s">
        <v>494</v>
      </c>
      <c r="E219" s="44" t="s">
        <v>476</v>
      </c>
      <c r="F219" s="14">
        <v>15</v>
      </c>
      <c r="G219" s="14">
        <v>1534</v>
      </c>
      <c r="H219" s="47" t="s">
        <v>1584</v>
      </c>
      <c r="I219" s="48" t="s">
        <v>1585</v>
      </c>
      <c r="J219" s="14">
        <v>1503</v>
      </c>
      <c r="K219" s="16">
        <v>1</v>
      </c>
      <c r="L219" s="15">
        <v>52</v>
      </c>
      <c r="M219" s="14"/>
      <c r="N219" s="1">
        <v>1531</v>
      </c>
      <c r="O219" s="29" t="s">
        <v>1520</v>
      </c>
      <c r="P219" s="14">
        <v>39</v>
      </c>
      <c r="Q219" s="14"/>
      <c r="R219" s="14"/>
    </row>
    <row r="220" spans="1:18" s="1" customFormat="1">
      <c r="B220" s="49" t="s">
        <v>1579</v>
      </c>
      <c r="C220" s="44" t="s">
        <v>494</v>
      </c>
      <c r="E220" s="44" t="s">
        <v>476</v>
      </c>
      <c r="F220" s="14"/>
      <c r="G220" s="14"/>
      <c r="H220" s="14"/>
      <c r="I220" s="11"/>
      <c r="J220" s="14"/>
      <c r="K220" s="16">
        <v>2</v>
      </c>
      <c r="L220" s="15">
        <v>6</v>
      </c>
      <c r="M220" s="14"/>
      <c r="P220" s="14"/>
      <c r="Q220" s="14"/>
      <c r="R220" s="14"/>
    </row>
    <row r="221" spans="1:18" s="1" customFormat="1">
      <c r="B221" s="49" t="s">
        <v>1580</v>
      </c>
      <c r="C221" s="44" t="s">
        <v>494</v>
      </c>
      <c r="F221" s="14"/>
      <c r="G221" s="14"/>
      <c r="H221" s="14"/>
      <c r="I221" s="11"/>
      <c r="J221" s="14"/>
      <c r="K221" s="16">
        <v>3</v>
      </c>
      <c r="L221" s="15">
        <v>6</v>
      </c>
      <c r="M221" s="14"/>
      <c r="P221" s="14"/>
      <c r="Q221" s="14"/>
      <c r="R221" s="14"/>
    </row>
    <row r="222" spans="1:18" s="1" customFormat="1">
      <c r="B222" s="49" t="s">
        <v>1581</v>
      </c>
      <c r="C222" s="44" t="s">
        <v>520</v>
      </c>
      <c r="F222" s="14"/>
      <c r="G222" s="14"/>
      <c r="H222" s="14"/>
      <c r="I222" s="11"/>
      <c r="J222" s="14"/>
      <c r="K222" s="16">
        <v>4</v>
      </c>
      <c r="L222" s="15"/>
      <c r="M222" s="14"/>
      <c r="P222" s="14"/>
      <c r="Q222" s="14"/>
      <c r="R222" s="14"/>
    </row>
    <row r="223" spans="1:18" s="1" customFormat="1">
      <c r="B223" s="49" t="s">
        <v>1582</v>
      </c>
      <c r="C223" s="44" t="s">
        <v>493</v>
      </c>
      <c r="D223" s="1">
        <v>10</v>
      </c>
      <c r="F223" s="14"/>
      <c r="G223" s="14"/>
      <c r="H223" s="14"/>
      <c r="I223" s="11"/>
      <c r="J223" s="14"/>
      <c r="K223" s="16">
        <v>5</v>
      </c>
      <c r="L223" s="15">
        <v>7</v>
      </c>
      <c r="M223" s="14"/>
      <c r="P223" s="14"/>
      <c r="Q223" s="14"/>
      <c r="R223" s="14"/>
    </row>
    <row r="224" spans="1:18" s="1" customFormat="1">
      <c r="B224" s="49" t="s">
        <v>1583</v>
      </c>
      <c r="C224" s="44" t="s">
        <v>494</v>
      </c>
      <c r="F224" s="14"/>
      <c r="G224" s="14"/>
      <c r="H224" s="14"/>
      <c r="I224" s="11"/>
      <c r="J224" s="14"/>
      <c r="K224" s="16">
        <v>6</v>
      </c>
      <c r="L224" s="15">
        <v>8</v>
      </c>
      <c r="M224" s="14"/>
      <c r="P224" s="14"/>
      <c r="Q224" s="14"/>
      <c r="R224" s="14"/>
    </row>
    <row r="225" spans="1:18" s="1" customFormat="1">
      <c r="B225" s="49"/>
      <c r="F225" s="14"/>
      <c r="G225" s="14"/>
      <c r="H225" s="14"/>
      <c r="I225" s="11"/>
      <c r="J225" s="14"/>
      <c r="K225" s="16"/>
      <c r="L225" s="15"/>
      <c r="M225" s="14"/>
      <c r="P225" s="14"/>
      <c r="Q225" s="14"/>
      <c r="R225" s="14"/>
    </row>
    <row r="226" spans="1:18" s="1" customFormat="1">
      <c r="A226" s="44" t="s">
        <v>1586</v>
      </c>
      <c r="B226" s="49" t="s">
        <v>1587</v>
      </c>
      <c r="C226" s="44" t="s">
        <v>494</v>
      </c>
      <c r="E226" s="44" t="s">
        <v>476</v>
      </c>
      <c r="F226" s="14">
        <v>15</v>
      </c>
      <c r="G226" s="14">
        <v>1535</v>
      </c>
      <c r="H226" s="47" t="s">
        <v>286</v>
      </c>
      <c r="I226" s="48" t="s">
        <v>1609</v>
      </c>
      <c r="J226" s="14">
        <v>1503</v>
      </c>
      <c r="K226" s="16">
        <v>1</v>
      </c>
      <c r="L226" s="15">
        <v>52</v>
      </c>
      <c r="M226" s="14"/>
      <c r="N226" s="1">
        <v>1531</v>
      </c>
      <c r="O226" s="29" t="s">
        <v>1520</v>
      </c>
      <c r="P226" s="14"/>
      <c r="Q226" s="14"/>
      <c r="R226" s="14"/>
    </row>
    <row r="227" spans="1:18" s="1" customFormat="1">
      <c r="B227" s="49" t="s">
        <v>1588</v>
      </c>
      <c r="C227" s="44" t="s">
        <v>494</v>
      </c>
      <c r="E227" s="44" t="s">
        <v>476</v>
      </c>
      <c r="F227" s="14"/>
      <c r="G227" s="14"/>
      <c r="H227" s="14"/>
      <c r="I227" s="11"/>
      <c r="J227" s="14"/>
      <c r="K227" s="16">
        <v>2</v>
      </c>
      <c r="L227" s="15">
        <v>6</v>
      </c>
      <c r="M227" s="14"/>
      <c r="P227" s="14"/>
      <c r="Q227" s="14"/>
      <c r="R227" s="14"/>
    </row>
    <row r="228" spans="1:18" s="1" customFormat="1">
      <c r="B228" s="49" t="s">
        <v>1589</v>
      </c>
      <c r="C228" s="44" t="s">
        <v>494</v>
      </c>
      <c r="F228" s="14"/>
      <c r="G228" s="14"/>
      <c r="H228" s="14"/>
      <c r="I228" s="11"/>
      <c r="J228" s="14"/>
      <c r="K228" s="16">
        <v>3</v>
      </c>
      <c r="L228" s="15">
        <v>6</v>
      </c>
      <c r="M228" s="14"/>
      <c r="P228" s="14"/>
      <c r="Q228" s="14"/>
      <c r="R228" s="14"/>
    </row>
    <row r="229" spans="1:18" s="1" customFormat="1">
      <c r="B229" s="49" t="s">
        <v>1592</v>
      </c>
      <c r="C229" s="44" t="s">
        <v>520</v>
      </c>
      <c r="F229" s="14"/>
      <c r="G229" s="14"/>
      <c r="H229" s="14"/>
      <c r="I229" s="11"/>
      <c r="J229" s="14"/>
      <c r="K229" s="16">
        <v>4</v>
      </c>
      <c r="L229" s="15"/>
      <c r="M229" s="14"/>
      <c r="P229" s="14"/>
      <c r="Q229" s="14"/>
      <c r="R229" s="14"/>
    </row>
    <row r="230" spans="1:18" s="1" customFormat="1">
      <c r="B230" s="49" t="s">
        <v>1590</v>
      </c>
      <c r="C230" s="44" t="s">
        <v>493</v>
      </c>
      <c r="D230" s="1">
        <v>10</v>
      </c>
      <c r="F230" s="14"/>
      <c r="G230" s="14"/>
      <c r="H230" s="14"/>
      <c r="I230" s="11"/>
      <c r="J230" s="14"/>
      <c r="K230" s="16">
        <v>5</v>
      </c>
      <c r="L230" s="15">
        <v>7</v>
      </c>
      <c r="M230" s="14"/>
      <c r="P230" s="14"/>
      <c r="Q230" s="14"/>
      <c r="R230" s="14"/>
    </row>
    <row r="231" spans="1:18" s="1" customFormat="1">
      <c r="B231" s="49" t="s">
        <v>1591</v>
      </c>
      <c r="C231" s="44" t="s">
        <v>493</v>
      </c>
      <c r="D231" s="1">
        <v>10</v>
      </c>
      <c r="F231" s="14"/>
      <c r="G231" s="14"/>
      <c r="H231" s="14"/>
      <c r="I231" s="11"/>
      <c r="J231" s="14"/>
      <c r="K231" s="16">
        <v>6</v>
      </c>
      <c r="L231" s="15">
        <v>7</v>
      </c>
      <c r="M231" s="14"/>
      <c r="P231" s="14"/>
      <c r="Q231" s="14"/>
      <c r="R231" s="14"/>
    </row>
    <row r="232" spans="1:18" s="1" customFormat="1">
      <c r="B232" s="49" t="s">
        <v>1593</v>
      </c>
      <c r="C232" s="44" t="s">
        <v>494</v>
      </c>
      <c r="F232" s="14"/>
      <c r="G232" s="14"/>
      <c r="H232" s="14"/>
      <c r="I232" s="11"/>
      <c r="J232" s="14"/>
      <c r="K232" s="16">
        <v>7</v>
      </c>
      <c r="L232" s="15">
        <v>3</v>
      </c>
      <c r="M232" s="14"/>
      <c r="N232" s="44" t="s">
        <v>1601</v>
      </c>
      <c r="O232" s="49" t="s">
        <v>1597</v>
      </c>
      <c r="P232" s="49" t="s">
        <v>1598</v>
      </c>
      <c r="Q232" s="14"/>
      <c r="R232" s="14"/>
    </row>
    <row r="233" spans="1:18" s="1" customFormat="1">
      <c r="B233" s="49" t="s">
        <v>1594</v>
      </c>
      <c r="C233" s="44" t="s">
        <v>493</v>
      </c>
      <c r="D233" s="1">
        <v>50</v>
      </c>
      <c r="F233" s="14"/>
      <c r="G233" s="14"/>
      <c r="H233" s="14"/>
      <c r="I233" s="11"/>
      <c r="J233" s="14"/>
      <c r="K233" s="16">
        <v>8</v>
      </c>
      <c r="L233" s="15"/>
      <c r="M233" s="14"/>
      <c r="P233" s="14"/>
      <c r="Q233" s="14"/>
      <c r="R233" s="14"/>
    </row>
    <row r="234" spans="1:18" s="1" customFormat="1">
      <c r="B234" s="49" t="s">
        <v>1595</v>
      </c>
      <c r="C234" s="44" t="s">
        <v>494</v>
      </c>
      <c r="F234" s="14"/>
      <c r="G234" s="14"/>
      <c r="H234" s="14"/>
      <c r="I234" s="11"/>
      <c r="J234" s="14"/>
      <c r="K234" s="16">
        <v>9</v>
      </c>
      <c r="L234" s="15">
        <v>3</v>
      </c>
      <c r="M234" s="14"/>
      <c r="N234" s="44" t="s">
        <v>1602</v>
      </c>
      <c r="O234" s="49" t="s">
        <v>1604</v>
      </c>
      <c r="P234" s="49" t="s">
        <v>1605</v>
      </c>
      <c r="Q234" s="14"/>
      <c r="R234" s="14"/>
    </row>
    <row r="235" spans="1:18" s="1" customFormat="1">
      <c r="B235" s="49"/>
      <c r="F235" s="14"/>
      <c r="G235" s="14"/>
      <c r="H235" s="14"/>
      <c r="I235" s="11"/>
      <c r="J235" s="14"/>
      <c r="K235" s="16"/>
      <c r="L235" s="15"/>
      <c r="M235" s="14"/>
      <c r="P235" s="14"/>
      <c r="Q235" s="14"/>
      <c r="R235" s="14"/>
    </row>
    <row r="236" spans="1:18" s="1" customFormat="1">
      <c r="A236" s="44" t="s">
        <v>1614</v>
      </c>
      <c r="B236" s="49" t="s">
        <v>1613</v>
      </c>
      <c r="C236" s="44" t="s">
        <v>494</v>
      </c>
      <c r="E236" s="44" t="s">
        <v>476</v>
      </c>
      <c r="F236" s="14">
        <v>15</v>
      </c>
      <c r="G236" s="14">
        <v>1538</v>
      </c>
      <c r="H236" s="47" t="s">
        <v>1625</v>
      </c>
      <c r="I236" s="48" t="s">
        <v>1626</v>
      </c>
      <c r="J236" s="14">
        <v>1503</v>
      </c>
      <c r="K236" s="16">
        <v>1</v>
      </c>
      <c r="L236" s="15">
        <v>52</v>
      </c>
      <c r="M236" s="14"/>
      <c r="N236" s="1">
        <v>1531</v>
      </c>
      <c r="O236" s="29" t="s">
        <v>1520</v>
      </c>
      <c r="P236" s="14"/>
      <c r="Q236" s="14"/>
      <c r="R236" s="14"/>
    </row>
    <row r="237" spans="1:18" s="1" customFormat="1">
      <c r="B237" s="49" t="s">
        <v>1615</v>
      </c>
      <c r="C237" s="44" t="s">
        <v>494</v>
      </c>
      <c r="E237" s="44" t="s">
        <v>476</v>
      </c>
      <c r="F237" s="14"/>
      <c r="G237" s="14"/>
      <c r="H237" s="14"/>
      <c r="I237" s="11"/>
      <c r="J237" s="14"/>
      <c r="K237" s="16">
        <v>2</v>
      </c>
      <c r="L237" s="15">
        <v>6</v>
      </c>
      <c r="M237" s="14"/>
      <c r="P237" s="14"/>
      <c r="Q237" s="14"/>
      <c r="R237" s="14"/>
    </row>
    <row r="238" spans="1:18" s="1" customFormat="1">
      <c r="B238" s="49" t="s">
        <v>1616</v>
      </c>
      <c r="C238" s="44" t="s">
        <v>494</v>
      </c>
      <c r="F238" s="14"/>
      <c r="G238" s="14"/>
      <c r="H238" s="14"/>
      <c r="I238" s="11"/>
      <c r="J238" s="14"/>
      <c r="K238" s="16">
        <v>3</v>
      </c>
      <c r="L238" s="15">
        <v>6</v>
      </c>
      <c r="M238" s="14"/>
      <c r="P238" s="14"/>
      <c r="Q238" s="14"/>
      <c r="R238" s="14"/>
    </row>
    <row r="239" spans="1:18" s="1" customFormat="1">
      <c r="B239" s="49" t="s">
        <v>1618</v>
      </c>
      <c r="C239" s="44" t="s">
        <v>493</v>
      </c>
      <c r="D239" s="1">
        <v>10</v>
      </c>
      <c r="F239" s="14"/>
      <c r="G239" s="14"/>
      <c r="H239" s="14"/>
      <c r="I239" s="11"/>
      <c r="J239" s="14"/>
      <c r="K239" s="16">
        <v>4</v>
      </c>
      <c r="L239" s="15">
        <v>7</v>
      </c>
      <c r="M239" s="14"/>
      <c r="P239" s="14"/>
      <c r="Q239" s="14"/>
      <c r="R239" s="14"/>
    </row>
    <row r="240" spans="1:18" s="1" customFormat="1">
      <c r="B240" s="49" t="s">
        <v>1619</v>
      </c>
      <c r="C240" s="44" t="s">
        <v>493</v>
      </c>
      <c r="D240" s="1">
        <v>10</v>
      </c>
      <c r="F240" s="14"/>
      <c r="G240" s="14"/>
      <c r="H240" s="14"/>
      <c r="I240" s="11"/>
      <c r="J240" s="14"/>
      <c r="K240" s="16">
        <v>5</v>
      </c>
      <c r="L240" s="15">
        <v>7</v>
      </c>
      <c r="M240" s="14"/>
      <c r="P240" s="14"/>
      <c r="Q240" s="14"/>
      <c r="R240" s="14"/>
    </row>
    <row r="241" spans="1:18" s="1" customFormat="1">
      <c r="B241" s="49" t="s">
        <v>1620</v>
      </c>
      <c r="C241" s="44" t="s">
        <v>493</v>
      </c>
      <c r="D241" s="1">
        <v>30</v>
      </c>
      <c r="F241" s="14"/>
      <c r="G241" s="14"/>
      <c r="H241" s="14"/>
      <c r="I241" s="11"/>
      <c r="J241" s="14"/>
      <c r="K241" s="16">
        <v>6</v>
      </c>
      <c r="L241" s="15"/>
      <c r="M241" s="14"/>
      <c r="P241" s="14"/>
      <c r="Q241" s="14"/>
      <c r="R241" s="14"/>
    </row>
    <row r="242" spans="1:18" s="1" customFormat="1">
      <c r="B242" s="49" t="s">
        <v>1621</v>
      </c>
      <c r="C242" s="44" t="s">
        <v>493</v>
      </c>
      <c r="D242" s="44">
        <v>100</v>
      </c>
      <c r="F242" s="14"/>
      <c r="G242" s="14"/>
      <c r="H242" s="14"/>
      <c r="I242" s="11"/>
      <c r="J242" s="14"/>
      <c r="K242" s="16">
        <v>7</v>
      </c>
      <c r="L242" s="15"/>
      <c r="M242" s="14"/>
      <c r="P242" s="14"/>
      <c r="Q242" s="14"/>
      <c r="R242" s="14"/>
    </row>
    <row r="243" spans="1:18" s="1" customFormat="1">
      <c r="B243" s="49" t="s">
        <v>1622</v>
      </c>
      <c r="C243" s="44" t="s">
        <v>493</v>
      </c>
      <c r="D243" s="44">
        <v>30</v>
      </c>
      <c r="F243" s="14"/>
      <c r="G243" s="14"/>
      <c r="H243" s="14"/>
      <c r="I243" s="11"/>
      <c r="J243" s="14"/>
      <c r="K243" s="16">
        <v>8</v>
      </c>
      <c r="L243" s="15"/>
      <c r="M243" s="14"/>
      <c r="P243" s="14"/>
      <c r="Q243" s="14"/>
      <c r="R243" s="14"/>
    </row>
    <row r="244" spans="1:18" s="1" customFormat="1">
      <c r="B244" s="49" t="s">
        <v>1623</v>
      </c>
      <c r="C244" s="44" t="s">
        <v>493</v>
      </c>
      <c r="D244" s="44">
        <v>100</v>
      </c>
      <c r="F244" s="14"/>
      <c r="G244" s="14"/>
      <c r="H244" s="14"/>
      <c r="I244" s="11"/>
      <c r="J244" s="14"/>
      <c r="K244" s="16">
        <v>9</v>
      </c>
      <c r="L244" s="15"/>
      <c r="M244" s="14"/>
      <c r="P244" s="14"/>
      <c r="Q244" s="14"/>
      <c r="R244" s="14"/>
    </row>
    <row r="245" spans="1:18" s="1" customFormat="1">
      <c r="B245" s="49" t="s">
        <v>1617</v>
      </c>
      <c r="C245" s="44" t="s">
        <v>520</v>
      </c>
      <c r="F245" s="14"/>
      <c r="G245" s="14"/>
      <c r="H245" s="14"/>
      <c r="I245" s="11"/>
      <c r="J245" s="14"/>
      <c r="K245" s="16">
        <v>10</v>
      </c>
      <c r="L245" s="15"/>
      <c r="M245" s="14"/>
      <c r="P245" s="14"/>
      <c r="Q245" s="14"/>
      <c r="R245" s="14"/>
    </row>
    <row r="246" spans="1:18" s="1" customFormat="1">
      <c r="B246" s="49"/>
      <c r="F246" s="14"/>
      <c r="G246" s="14"/>
      <c r="H246" s="14"/>
      <c r="I246" s="11"/>
      <c r="J246" s="14"/>
      <c r="K246" s="16"/>
      <c r="L246" s="15"/>
      <c r="M246" s="14"/>
      <c r="P246" s="14"/>
      <c r="Q246" s="14"/>
      <c r="R246" s="14"/>
    </row>
    <row r="247" spans="1:18" s="1" customFormat="1">
      <c r="A247" s="44" t="s">
        <v>1624</v>
      </c>
      <c r="B247" s="49" t="s">
        <v>1627</v>
      </c>
      <c r="C247" s="44" t="s">
        <v>494</v>
      </c>
      <c r="E247" s="44" t="s">
        <v>476</v>
      </c>
      <c r="F247" s="14">
        <v>15</v>
      </c>
      <c r="G247" s="14">
        <v>1539</v>
      </c>
      <c r="H247" s="47" t="s">
        <v>1635</v>
      </c>
      <c r="I247" s="48" t="s">
        <v>1636</v>
      </c>
      <c r="J247" s="14">
        <v>1503</v>
      </c>
      <c r="K247" s="16">
        <v>1</v>
      </c>
      <c r="L247" s="15">
        <v>52</v>
      </c>
      <c r="M247" s="14"/>
      <c r="N247" s="1">
        <v>1531</v>
      </c>
      <c r="O247" s="29" t="s">
        <v>1520</v>
      </c>
      <c r="P247" s="14"/>
      <c r="Q247" s="14"/>
      <c r="R247" s="14"/>
    </row>
    <row r="248" spans="1:18" s="1" customFormat="1">
      <c r="B248" s="49" t="s">
        <v>1628</v>
      </c>
      <c r="C248" s="44" t="s">
        <v>494</v>
      </c>
      <c r="E248" s="44" t="s">
        <v>476</v>
      </c>
      <c r="F248" s="14"/>
      <c r="G248" s="14"/>
      <c r="H248" s="14"/>
      <c r="I248" s="11"/>
      <c r="J248" s="14"/>
      <c r="K248" s="16">
        <v>2</v>
      </c>
      <c r="L248" s="15">
        <v>6</v>
      </c>
      <c r="M248" s="14"/>
      <c r="P248" s="14"/>
      <c r="Q248" s="14"/>
      <c r="R248" s="14"/>
    </row>
    <row r="249" spans="1:18" s="1" customFormat="1">
      <c r="B249" s="49" t="s">
        <v>1629</v>
      </c>
      <c r="C249" s="44" t="s">
        <v>494</v>
      </c>
      <c r="F249" s="14"/>
      <c r="G249" s="14"/>
      <c r="H249" s="14"/>
      <c r="I249" s="11"/>
      <c r="J249" s="14"/>
      <c r="K249" s="16">
        <v>3</v>
      </c>
      <c r="L249" s="15">
        <v>6</v>
      </c>
      <c r="M249" s="14"/>
      <c r="P249" s="14"/>
      <c r="Q249" s="14"/>
      <c r="R249" s="14"/>
    </row>
    <row r="250" spans="1:18" s="1" customFormat="1">
      <c r="B250" s="49" t="s">
        <v>1630</v>
      </c>
      <c r="C250" s="44" t="s">
        <v>493</v>
      </c>
      <c r="D250" s="44">
        <v>50</v>
      </c>
      <c r="F250" s="14"/>
      <c r="G250" s="14"/>
      <c r="H250" s="14"/>
      <c r="I250" s="11"/>
      <c r="J250" s="14"/>
      <c r="K250" s="16">
        <v>4</v>
      </c>
      <c r="L250" s="15"/>
      <c r="M250" s="14"/>
      <c r="P250" s="14"/>
      <c r="Q250" s="14"/>
      <c r="R250" s="14"/>
    </row>
    <row r="251" spans="1:18" s="1" customFormat="1">
      <c r="B251" s="49" t="s">
        <v>1631</v>
      </c>
      <c r="C251" s="44" t="s">
        <v>493</v>
      </c>
      <c r="D251" s="44">
        <v>50</v>
      </c>
      <c r="F251" s="14"/>
      <c r="G251" s="14"/>
      <c r="H251" s="14"/>
      <c r="I251" s="11"/>
      <c r="J251" s="14"/>
      <c r="K251" s="16">
        <v>5</v>
      </c>
      <c r="L251" s="15"/>
      <c r="M251" s="14"/>
      <c r="P251" s="14"/>
      <c r="Q251" s="14"/>
      <c r="R251" s="14"/>
    </row>
    <row r="252" spans="1:18" s="1" customFormat="1">
      <c r="B252" s="49" t="s">
        <v>1632</v>
      </c>
      <c r="C252" s="44" t="s">
        <v>493</v>
      </c>
      <c r="D252" s="44">
        <v>50</v>
      </c>
      <c r="F252" s="14"/>
      <c r="G252" s="14"/>
      <c r="H252" s="14"/>
      <c r="I252" s="11"/>
      <c r="J252" s="14"/>
      <c r="K252" s="16">
        <v>6</v>
      </c>
      <c r="L252" s="15"/>
      <c r="M252" s="14"/>
      <c r="P252" s="14"/>
      <c r="Q252" s="14"/>
      <c r="R252" s="14"/>
    </row>
    <row r="253" spans="1:18" s="1" customFormat="1">
      <c r="B253" s="49" t="s">
        <v>1633</v>
      </c>
      <c r="C253" s="44" t="s">
        <v>493</v>
      </c>
      <c r="D253" s="44">
        <v>50</v>
      </c>
      <c r="F253" s="14"/>
      <c r="G253" s="14"/>
      <c r="H253" s="14"/>
      <c r="I253" s="11"/>
      <c r="J253" s="14"/>
      <c r="K253" s="16">
        <v>7</v>
      </c>
      <c r="L253" s="15"/>
      <c r="M253" s="14"/>
      <c r="P253" s="14"/>
      <c r="Q253" s="14"/>
      <c r="R253" s="14"/>
    </row>
    <row r="254" spans="1:18" s="1" customFormat="1">
      <c r="B254" s="49" t="s">
        <v>1634</v>
      </c>
      <c r="C254" s="44" t="s">
        <v>493</v>
      </c>
      <c r="D254" s="44">
        <v>50</v>
      </c>
      <c r="F254" s="14"/>
      <c r="G254" s="14"/>
      <c r="H254" s="14"/>
      <c r="I254" s="11"/>
      <c r="J254" s="14"/>
      <c r="K254" s="16">
        <v>8</v>
      </c>
      <c r="L254" s="15"/>
      <c r="M254" s="14"/>
      <c r="P254" s="14"/>
      <c r="Q254" s="14"/>
      <c r="R254" s="14"/>
    </row>
    <row r="255" spans="1:18" s="1" customFormat="1">
      <c r="B255" s="49"/>
      <c r="F255" s="14"/>
      <c r="G255" s="14"/>
      <c r="H255" s="14"/>
      <c r="I255" s="11"/>
      <c r="J255" s="14"/>
      <c r="K255" s="16"/>
      <c r="L255" s="15"/>
      <c r="M255" s="14"/>
      <c r="P255" s="14"/>
      <c r="Q255" s="14"/>
      <c r="R255" s="14"/>
    </row>
    <row r="256" spans="1:18" s="1" customFormat="1">
      <c r="A256" s="44" t="s">
        <v>1637</v>
      </c>
      <c r="B256" s="49" t="s">
        <v>1638</v>
      </c>
      <c r="C256" s="44" t="s">
        <v>494</v>
      </c>
      <c r="E256" s="44" t="s">
        <v>476</v>
      </c>
      <c r="F256" s="14">
        <v>15</v>
      </c>
      <c r="G256" s="14">
        <v>1540</v>
      </c>
      <c r="H256" s="47" t="s">
        <v>1644</v>
      </c>
      <c r="I256" s="48" t="s">
        <v>1645</v>
      </c>
      <c r="J256" s="14">
        <v>1503</v>
      </c>
      <c r="K256" s="16">
        <v>1</v>
      </c>
      <c r="L256" s="15">
        <v>52</v>
      </c>
      <c r="M256" s="14"/>
      <c r="N256" s="1">
        <v>1531</v>
      </c>
      <c r="O256" s="29" t="s">
        <v>1520</v>
      </c>
      <c r="P256" s="14"/>
      <c r="Q256" s="14"/>
      <c r="R256" s="14"/>
    </row>
    <row r="257" spans="2:18" s="1" customFormat="1">
      <c r="B257" s="49" t="s">
        <v>1639</v>
      </c>
      <c r="C257" s="44" t="s">
        <v>494</v>
      </c>
      <c r="E257" s="44" t="s">
        <v>476</v>
      </c>
      <c r="F257" s="14"/>
      <c r="G257" s="14"/>
      <c r="H257" s="14"/>
      <c r="I257" s="11"/>
      <c r="J257" s="14"/>
      <c r="K257" s="16">
        <v>2</v>
      </c>
      <c r="L257" s="15">
        <v>6</v>
      </c>
      <c r="M257" s="14"/>
      <c r="P257" s="14"/>
      <c r="Q257" s="14"/>
      <c r="R257" s="14"/>
    </row>
    <row r="258" spans="2:18" s="1" customFormat="1">
      <c r="B258" s="49" t="s">
        <v>1640</v>
      </c>
      <c r="C258" s="44" t="s">
        <v>494</v>
      </c>
      <c r="F258" s="14"/>
      <c r="G258" s="14"/>
      <c r="H258" s="14"/>
      <c r="I258" s="11"/>
      <c r="J258" s="14"/>
      <c r="K258" s="16">
        <v>3</v>
      </c>
      <c r="L258" s="15">
        <v>6</v>
      </c>
      <c r="M258" s="14"/>
      <c r="P258" s="14"/>
      <c r="Q258" s="14"/>
      <c r="R258" s="14"/>
    </row>
    <row r="259" spans="2:18" s="1" customFormat="1">
      <c r="B259" s="49" t="s">
        <v>1641</v>
      </c>
      <c r="C259" s="44" t="s">
        <v>493</v>
      </c>
      <c r="D259" s="1">
        <v>50</v>
      </c>
      <c r="F259" s="14"/>
      <c r="G259" s="14"/>
      <c r="H259" s="14"/>
      <c r="I259" s="11"/>
      <c r="J259" s="14"/>
      <c r="K259" s="16">
        <v>4</v>
      </c>
      <c r="L259" s="15"/>
      <c r="M259" s="14"/>
      <c r="P259" s="14"/>
      <c r="Q259" s="14"/>
      <c r="R259" s="14"/>
    </row>
    <row r="260" spans="2:18" s="1" customFormat="1">
      <c r="B260" s="49" t="s">
        <v>1642</v>
      </c>
      <c r="C260" s="44" t="s">
        <v>493</v>
      </c>
      <c r="D260" s="1">
        <v>100</v>
      </c>
      <c r="F260" s="14"/>
      <c r="G260" s="14"/>
      <c r="H260" s="14"/>
      <c r="I260" s="11"/>
      <c r="J260" s="14"/>
      <c r="K260" s="16">
        <v>5</v>
      </c>
      <c r="L260" s="15"/>
      <c r="M260" s="14"/>
      <c r="P260" s="14"/>
      <c r="Q260" s="14"/>
      <c r="R260" s="14"/>
    </row>
    <row r="261" spans="2:18" s="1" customFormat="1">
      <c r="B261" s="49" t="s">
        <v>1643</v>
      </c>
      <c r="C261" s="44" t="s">
        <v>493</v>
      </c>
      <c r="D261" s="1">
        <v>1</v>
      </c>
      <c r="F261" s="14"/>
      <c r="G261" s="14"/>
      <c r="H261" s="14"/>
      <c r="I261" s="11"/>
      <c r="J261" s="14"/>
      <c r="K261" s="16">
        <v>6</v>
      </c>
      <c r="L261" s="15">
        <v>3</v>
      </c>
      <c r="M261" s="14"/>
      <c r="P261" s="14"/>
      <c r="Q261" s="14"/>
      <c r="R261" s="14"/>
    </row>
    <row r="262" spans="2:18" s="1" customFormat="1">
      <c r="B262" s="49" t="s">
        <v>1646</v>
      </c>
      <c r="C262" s="44" t="s">
        <v>493</v>
      </c>
      <c r="D262" s="1">
        <v>50</v>
      </c>
      <c r="F262" s="14"/>
      <c r="G262" s="14"/>
      <c r="H262" s="14"/>
      <c r="I262" s="11"/>
      <c r="J262" s="14"/>
      <c r="K262" s="16">
        <v>7</v>
      </c>
      <c r="L262" s="15"/>
      <c r="M262" s="14"/>
      <c r="P262" s="14"/>
      <c r="Q262" s="14"/>
      <c r="R262" s="14"/>
    </row>
    <row r="263" spans="2:18" s="1" customFormat="1">
      <c r="B263" s="49" t="s">
        <v>1647</v>
      </c>
      <c r="C263" s="44" t="s">
        <v>493</v>
      </c>
      <c r="D263" s="1">
        <v>1</v>
      </c>
      <c r="F263" s="14"/>
      <c r="G263" s="14"/>
      <c r="H263" s="14"/>
      <c r="I263" s="11"/>
      <c r="J263" s="14"/>
      <c r="K263" s="16">
        <v>8</v>
      </c>
      <c r="L263" s="15">
        <v>3</v>
      </c>
      <c r="M263" s="14"/>
      <c r="P263" s="14"/>
      <c r="Q263" s="14"/>
      <c r="R263" s="14"/>
    </row>
    <row r="264" spans="2:18" s="1" customFormat="1">
      <c r="B264" s="49" t="s">
        <v>1648</v>
      </c>
      <c r="C264" s="44" t="s">
        <v>493</v>
      </c>
      <c r="D264" s="1">
        <v>100</v>
      </c>
      <c r="F264" s="14"/>
      <c r="G264" s="14"/>
      <c r="H264" s="14"/>
      <c r="I264" s="11"/>
      <c r="J264" s="14"/>
      <c r="K264" s="16">
        <v>9</v>
      </c>
      <c r="L264" s="15"/>
      <c r="M264" s="14"/>
      <c r="P264" s="14"/>
      <c r="Q264" s="14"/>
      <c r="R264" s="14"/>
    </row>
    <row r="265" spans="2:18" s="1" customFormat="1">
      <c r="B265" s="49" t="s">
        <v>1649</v>
      </c>
      <c r="C265" s="44" t="s">
        <v>493</v>
      </c>
      <c r="D265" s="1">
        <v>50</v>
      </c>
      <c r="F265" s="14"/>
      <c r="G265" s="14"/>
      <c r="H265" s="14"/>
      <c r="I265" s="11"/>
      <c r="J265" s="14"/>
      <c r="K265" s="16">
        <v>10</v>
      </c>
      <c r="L265" s="15"/>
      <c r="M265" s="14"/>
      <c r="P265" s="14"/>
      <c r="Q265" s="14"/>
      <c r="R265" s="14"/>
    </row>
    <row r="266" spans="2:18" s="1" customFormat="1">
      <c r="B266" s="49" t="s">
        <v>1650</v>
      </c>
      <c r="C266" s="44" t="s">
        <v>493</v>
      </c>
      <c r="D266" s="1">
        <v>50</v>
      </c>
      <c r="F266" s="14"/>
      <c r="G266" s="14"/>
      <c r="H266" s="14"/>
      <c r="I266" s="11"/>
      <c r="J266" s="14"/>
      <c r="K266" s="16">
        <v>11</v>
      </c>
      <c r="L266" s="15"/>
      <c r="M266" s="14"/>
      <c r="P266" s="14"/>
      <c r="Q266" s="14"/>
      <c r="R266" s="14"/>
    </row>
    <row r="267" spans="2:18" s="1" customFormat="1">
      <c r="B267" s="49" t="s">
        <v>1651</v>
      </c>
      <c r="C267" s="44" t="s">
        <v>493</v>
      </c>
      <c r="D267" s="1">
        <v>50</v>
      </c>
      <c r="F267" s="14"/>
      <c r="G267" s="14"/>
      <c r="H267" s="14"/>
      <c r="I267" s="11"/>
      <c r="J267" s="14"/>
      <c r="K267" s="16">
        <v>12</v>
      </c>
      <c r="L267" s="15"/>
      <c r="M267" s="14"/>
      <c r="P267" s="14"/>
      <c r="Q267" s="14"/>
      <c r="R267" s="14"/>
    </row>
    <row r="268" spans="2:18" s="1" customFormat="1">
      <c r="B268" s="49" t="s">
        <v>1652</v>
      </c>
      <c r="C268" s="44" t="s">
        <v>493</v>
      </c>
      <c r="D268" s="1">
        <v>50</v>
      </c>
      <c r="F268" s="14"/>
      <c r="G268" s="14"/>
      <c r="H268" s="14"/>
      <c r="I268" s="11"/>
      <c r="J268" s="14"/>
      <c r="K268" s="16">
        <v>13</v>
      </c>
      <c r="L268" s="15"/>
      <c r="M268" s="14"/>
      <c r="P268" s="14"/>
      <c r="Q268" s="14"/>
      <c r="R268" s="14"/>
    </row>
    <row r="269" spans="2:18" s="1" customFormat="1">
      <c r="B269" s="49" t="s">
        <v>1653</v>
      </c>
      <c r="C269" s="44" t="s">
        <v>493</v>
      </c>
      <c r="D269" s="1">
        <v>50</v>
      </c>
      <c r="F269" s="14"/>
      <c r="G269" s="14"/>
      <c r="H269" s="14"/>
      <c r="I269" s="11"/>
      <c r="J269" s="14"/>
      <c r="K269" s="16">
        <v>14</v>
      </c>
      <c r="L269" s="15"/>
      <c r="M269" s="14"/>
      <c r="P269" s="14"/>
      <c r="Q269" s="14"/>
      <c r="R269" s="14"/>
    </row>
    <row r="270" spans="2:18" s="1" customFormat="1">
      <c r="B270" s="49" t="s">
        <v>1654</v>
      </c>
      <c r="C270" s="44" t="s">
        <v>493</v>
      </c>
      <c r="D270" s="1">
        <v>50</v>
      </c>
      <c r="F270" s="14"/>
      <c r="G270" s="14"/>
      <c r="H270" s="14"/>
      <c r="I270" s="11"/>
      <c r="J270" s="14"/>
      <c r="K270" s="16">
        <v>15</v>
      </c>
      <c r="L270" s="15"/>
      <c r="M270" s="14"/>
      <c r="P270" s="14"/>
      <c r="Q270" s="14"/>
      <c r="R270" s="14"/>
    </row>
    <row r="271" spans="2:18" s="1" customFormat="1">
      <c r="B271" s="49" t="s">
        <v>1655</v>
      </c>
      <c r="C271" s="44" t="s">
        <v>493</v>
      </c>
      <c r="D271" s="1">
        <v>50</v>
      </c>
      <c r="F271" s="14"/>
      <c r="G271" s="14"/>
      <c r="H271" s="14"/>
      <c r="I271" s="11"/>
      <c r="J271" s="14"/>
      <c r="K271" s="16">
        <v>16</v>
      </c>
      <c r="L271" s="15"/>
      <c r="M271" s="14"/>
      <c r="P271" s="14"/>
      <c r="Q271" s="14"/>
      <c r="R271" s="14"/>
    </row>
    <row r="272" spans="2:18" s="1" customFormat="1">
      <c r="B272" s="49" t="s">
        <v>1656</v>
      </c>
      <c r="C272" s="44" t="s">
        <v>493</v>
      </c>
      <c r="D272" s="1">
        <v>50</v>
      </c>
      <c r="F272" s="14"/>
      <c r="G272" s="14"/>
      <c r="H272" s="14"/>
      <c r="I272" s="11"/>
      <c r="J272" s="14"/>
      <c r="K272" s="16">
        <v>17</v>
      </c>
      <c r="L272" s="15"/>
      <c r="M272" s="14"/>
      <c r="P272" s="14"/>
      <c r="Q272" s="14"/>
      <c r="R272" s="14"/>
    </row>
    <row r="273" spans="1:18" s="1" customFormat="1">
      <c r="B273" s="49" t="s">
        <v>1657</v>
      </c>
      <c r="C273" s="44" t="s">
        <v>493</v>
      </c>
      <c r="D273" s="1">
        <v>50</v>
      </c>
      <c r="F273" s="14"/>
      <c r="G273" s="14"/>
      <c r="H273" s="14"/>
      <c r="I273" s="11"/>
      <c r="J273" s="14"/>
      <c r="K273" s="16">
        <v>18</v>
      </c>
      <c r="L273" s="15"/>
      <c r="M273" s="14"/>
      <c r="P273" s="14"/>
      <c r="Q273" s="14"/>
      <c r="R273" s="14"/>
    </row>
    <row r="274" spans="1:18" s="1" customFormat="1">
      <c r="B274" s="49"/>
      <c r="F274" s="14"/>
      <c r="G274" s="14"/>
      <c r="H274" s="14"/>
      <c r="I274" s="11"/>
      <c r="J274" s="14"/>
      <c r="K274" s="16"/>
      <c r="L274" s="15"/>
      <c r="M274" s="14"/>
      <c r="P274" s="14"/>
      <c r="Q274" s="14"/>
      <c r="R274" s="14"/>
    </row>
    <row r="275" spans="1:18" s="1" customFormat="1">
      <c r="A275" s="44" t="s">
        <v>1658</v>
      </c>
      <c r="B275" s="49" t="s">
        <v>1659</v>
      </c>
      <c r="C275" s="44" t="s">
        <v>494</v>
      </c>
      <c r="E275" s="44" t="s">
        <v>476</v>
      </c>
      <c r="F275" s="14">
        <v>15</v>
      </c>
      <c r="G275" s="14">
        <v>1541</v>
      </c>
      <c r="H275" s="47" t="s">
        <v>473</v>
      </c>
      <c r="I275" s="48" t="s">
        <v>1668</v>
      </c>
      <c r="J275" s="14">
        <v>1503</v>
      </c>
      <c r="K275" s="16">
        <v>1</v>
      </c>
      <c r="L275" s="15">
        <v>52</v>
      </c>
      <c r="M275" s="14"/>
      <c r="N275" s="1">
        <v>1531</v>
      </c>
      <c r="O275" s="29" t="s">
        <v>1520</v>
      </c>
      <c r="P275" s="14"/>
      <c r="Q275" s="14"/>
      <c r="R275" s="14"/>
    </row>
    <row r="276" spans="1:18" s="1" customFormat="1">
      <c r="B276" s="49" t="s">
        <v>1660</v>
      </c>
      <c r="C276" s="44" t="s">
        <v>494</v>
      </c>
      <c r="E276" s="44" t="s">
        <v>476</v>
      </c>
      <c r="F276" s="14"/>
      <c r="G276" s="14"/>
      <c r="H276" s="14"/>
      <c r="I276" s="11"/>
      <c r="J276" s="14"/>
      <c r="K276" s="16">
        <v>2</v>
      </c>
      <c r="L276" s="15">
        <v>6</v>
      </c>
      <c r="M276" s="14"/>
      <c r="P276" s="14"/>
      <c r="Q276" s="14"/>
      <c r="R276" s="14"/>
    </row>
    <row r="277" spans="1:18" s="1" customFormat="1">
      <c r="B277" s="49" t="s">
        <v>1661</v>
      </c>
      <c r="C277" s="44" t="s">
        <v>494</v>
      </c>
      <c r="F277" s="14"/>
      <c r="G277" s="14"/>
      <c r="H277" s="14"/>
      <c r="I277" s="11"/>
      <c r="J277" s="14"/>
      <c r="K277" s="16">
        <v>3</v>
      </c>
      <c r="L277" s="15">
        <v>6</v>
      </c>
      <c r="M277" s="14"/>
      <c r="P277" s="14"/>
      <c r="Q277" s="14"/>
      <c r="R277" s="14"/>
    </row>
    <row r="278" spans="1:18" s="1" customFormat="1">
      <c r="B278" s="49" t="s">
        <v>1662</v>
      </c>
      <c r="C278" s="44" t="s">
        <v>493</v>
      </c>
      <c r="D278" s="1">
        <v>10</v>
      </c>
      <c r="F278" s="14"/>
      <c r="G278" s="14"/>
      <c r="H278" s="14"/>
      <c r="I278" s="11"/>
      <c r="J278" s="14"/>
      <c r="K278" s="16">
        <v>4</v>
      </c>
      <c r="L278" s="15">
        <v>7</v>
      </c>
      <c r="M278" s="14"/>
      <c r="P278" s="14"/>
      <c r="Q278" s="14"/>
      <c r="R278" s="14"/>
    </row>
    <row r="279" spans="1:18" s="1" customFormat="1">
      <c r="B279" s="49" t="s">
        <v>1663</v>
      </c>
      <c r="C279" s="44" t="s">
        <v>493</v>
      </c>
      <c r="D279" s="1">
        <v>10</v>
      </c>
      <c r="F279" s="14"/>
      <c r="G279" s="14"/>
      <c r="H279" s="14"/>
      <c r="I279" s="11"/>
      <c r="J279" s="14"/>
      <c r="K279" s="16">
        <v>5</v>
      </c>
      <c r="L279" s="15">
        <v>7</v>
      </c>
      <c r="M279" s="14"/>
      <c r="P279" s="14"/>
      <c r="Q279" s="14"/>
      <c r="R279" s="14"/>
    </row>
    <row r="280" spans="1:18" s="1" customFormat="1">
      <c r="B280" s="49" t="s">
        <v>1664</v>
      </c>
      <c r="C280" s="44" t="s">
        <v>494</v>
      </c>
      <c r="F280" s="14"/>
      <c r="G280" s="14"/>
      <c r="H280" s="14"/>
      <c r="I280" s="11"/>
      <c r="J280" s="14"/>
      <c r="K280" s="16">
        <v>6</v>
      </c>
      <c r="L280" s="15">
        <v>8</v>
      </c>
      <c r="M280" s="14"/>
      <c r="P280" s="14"/>
      <c r="Q280" s="14"/>
      <c r="R280" s="14"/>
    </row>
    <row r="281" spans="1:18" s="1" customFormat="1">
      <c r="B281" s="49" t="s">
        <v>1665</v>
      </c>
      <c r="C281" s="44" t="s">
        <v>494</v>
      </c>
      <c r="F281" s="14"/>
      <c r="G281" s="14"/>
      <c r="H281" s="14"/>
      <c r="I281" s="11"/>
      <c r="J281" s="14"/>
      <c r="K281" s="16">
        <v>7</v>
      </c>
      <c r="L281" s="15">
        <v>3</v>
      </c>
      <c r="M281" s="14"/>
      <c r="N281" s="44" t="s">
        <v>1669</v>
      </c>
      <c r="O281" s="49" t="s">
        <v>1672</v>
      </c>
      <c r="P281" s="49" t="s">
        <v>1673</v>
      </c>
      <c r="Q281" s="14"/>
      <c r="R281" s="14"/>
    </row>
    <row r="282" spans="1:18" s="1" customFormat="1">
      <c r="B282" s="49" t="s">
        <v>1666</v>
      </c>
      <c r="C282" s="44" t="s">
        <v>494</v>
      </c>
      <c r="F282" s="14"/>
      <c r="G282" s="14"/>
      <c r="H282" s="14"/>
      <c r="I282" s="11"/>
      <c r="J282" s="14"/>
      <c r="K282" s="16">
        <v>8</v>
      </c>
      <c r="L282" s="15">
        <v>3</v>
      </c>
      <c r="M282" s="14"/>
      <c r="N282" s="44" t="s">
        <v>1670</v>
      </c>
      <c r="O282" s="49" t="s">
        <v>1675</v>
      </c>
      <c r="P282" s="49" t="s">
        <v>1676</v>
      </c>
      <c r="Q282" s="14"/>
      <c r="R282" s="14"/>
    </row>
    <row r="283" spans="1:18" s="1" customFormat="1">
      <c r="B283" s="49" t="s">
        <v>1667</v>
      </c>
      <c r="C283" s="44" t="s">
        <v>520</v>
      </c>
      <c r="F283" s="14"/>
      <c r="G283" s="14"/>
      <c r="H283" s="14"/>
      <c r="I283" s="11"/>
      <c r="J283" s="14"/>
      <c r="K283" s="16">
        <v>9</v>
      </c>
      <c r="L283" s="15"/>
      <c r="M283" s="14"/>
      <c r="N283" s="44"/>
      <c r="O283" s="49"/>
      <c r="P283" s="14"/>
      <c r="Q283" s="14"/>
      <c r="R283" s="14"/>
    </row>
    <row r="284" spans="1:18" s="1" customFormat="1">
      <c r="B284" s="49"/>
      <c r="F284" s="14"/>
      <c r="G284" s="14"/>
      <c r="H284" s="14"/>
      <c r="I284" s="11"/>
      <c r="J284" s="14"/>
      <c r="K284" s="16"/>
      <c r="L284" s="15"/>
      <c r="M284" s="14"/>
      <c r="N284" s="44"/>
      <c r="O284" s="44"/>
      <c r="P284" s="14"/>
      <c r="Q284" s="14"/>
      <c r="R284" s="14"/>
    </row>
    <row r="285" spans="1:18" s="1" customFormat="1">
      <c r="A285" s="44" t="s">
        <v>1681</v>
      </c>
      <c r="B285" s="49" t="s">
        <v>1682</v>
      </c>
      <c r="C285" s="44" t="s">
        <v>494</v>
      </c>
      <c r="E285" s="44" t="s">
        <v>476</v>
      </c>
      <c r="F285" s="14">
        <v>15</v>
      </c>
      <c r="G285" s="14">
        <v>1544</v>
      </c>
      <c r="H285" s="47" t="s">
        <v>1689</v>
      </c>
      <c r="I285" s="48" t="s">
        <v>1690</v>
      </c>
      <c r="J285" s="14">
        <v>1503</v>
      </c>
      <c r="K285" s="16">
        <v>1</v>
      </c>
      <c r="L285" s="15">
        <v>52</v>
      </c>
      <c r="M285" s="14"/>
      <c r="N285" s="1">
        <v>1531</v>
      </c>
      <c r="O285" s="29" t="s">
        <v>1520</v>
      </c>
      <c r="P285" s="14"/>
      <c r="Q285" s="14"/>
      <c r="R285" s="14"/>
    </row>
    <row r="286" spans="1:18" s="1" customFormat="1">
      <c r="B286" s="49" t="s">
        <v>1683</v>
      </c>
      <c r="C286" s="44" t="s">
        <v>494</v>
      </c>
      <c r="E286" s="44" t="s">
        <v>476</v>
      </c>
      <c r="F286" s="14"/>
      <c r="G286" s="14"/>
      <c r="H286" s="14"/>
      <c r="I286" s="11"/>
      <c r="J286" s="14"/>
      <c r="K286" s="16">
        <v>2</v>
      </c>
      <c r="L286" s="15">
        <v>6</v>
      </c>
      <c r="M286" s="14"/>
      <c r="P286" s="14"/>
      <c r="Q286" s="14"/>
      <c r="R286" s="14"/>
    </row>
    <row r="287" spans="1:18" s="1" customFormat="1">
      <c r="B287" s="49" t="s">
        <v>1684</v>
      </c>
      <c r="C287" s="44" t="s">
        <v>494</v>
      </c>
      <c r="F287" s="14"/>
      <c r="G287" s="14"/>
      <c r="H287" s="14"/>
      <c r="I287" s="11"/>
      <c r="J287" s="14"/>
      <c r="K287" s="16">
        <v>3</v>
      </c>
      <c r="L287" s="15">
        <v>6</v>
      </c>
      <c r="M287" s="14"/>
      <c r="P287" s="14"/>
      <c r="Q287" s="14"/>
      <c r="R287" s="14"/>
    </row>
    <row r="288" spans="1:18" s="1" customFormat="1">
      <c r="B288" s="49" t="s">
        <v>1687</v>
      </c>
      <c r="C288" s="44" t="s">
        <v>520</v>
      </c>
      <c r="F288" s="14"/>
      <c r="G288" s="14"/>
      <c r="H288" s="14"/>
      <c r="I288" s="11"/>
      <c r="J288" s="14"/>
      <c r="K288" s="16">
        <v>4</v>
      </c>
      <c r="L288" s="15"/>
      <c r="M288" s="14"/>
      <c r="N288" s="44"/>
      <c r="O288" s="49"/>
      <c r="P288" s="14"/>
      <c r="Q288" s="14"/>
      <c r="R288" s="14"/>
    </row>
    <row r="289" spans="1:18" s="1" customFormat="1">
      <c r="B289" s="49" t="s">
        <v>1685</v>
      </c>
      <c r="C289" s="44" t="s">
        <v>493</v>
      </c>
      <c r="D289" s="1">
        <v>10</v>
      </c>
      <c r="F289" s="14"/>
      <c r="G289" s="14"/>
      <c r="H289" s="14"/>
      <c r="I289" s="11"/>
      <c r="J289" s="14"/>
      <c r="K289" s="16">
        <v>5</v>
      </c>
      <c r="L289" s="15">
        <v>7</v>
      </c>
      <c r="M289" s="14"/>
      <c r="N289" s="44"/>
      <c r="O289" s="49"/>
      <c r="P289" s="14"/>
      <c r="Q289" s="14"/>
      <c r="R289" s="14"/>
    </row>
    <row r="290" spans="1:18" s="1" customFormat="1">
      <c r="B290" s="49" t="s">
        <v>1686</v>
      </c>
      <c r="C290" s="44" t="s">
        <v>493</v>
      </c>
      <c r="D290" s="1">
        <v>10</v>
      </c>
      <c r="F290" s="14"/>
      <c r="G290" s="14"/>
      <c r="H290" s="14"/>
      <c r="I290" s="11"/>
      <c r="J290" s="14"/>
      <c r="K290" s="16">
        <v>6</v>
      </c>
      <c r="L290" s="15">
        <v>7</v>
      </c>
      <c r="M290" s="14"/>
      <c r="N290" s="44"/>
      <c r="O290" s="49"/>
      <c r="P290" s="14"/>
      <c r="Q290" s="14"/>
      <c r="R290" s="14"/>
    </row>
    <row r="291" spans="1:18" s="1" customFormat="1">
      <c r="B291" s="49" t="s">
        <v>1688</v>
      </c>
      <c r="C291" s="44" t="s">
        <v>520</v>
      </c>
      <c r="F291" s="14"/>
      <c r="G291" s="14"/>
      <c r="H291" s="14"/>
      <c r="I291" s="11"/>
      <c r="J291" s="14"/>
      <c r="K291" s="16">
        <v>7</v>
      </c>
      <c r="L291" s="15"/>
      <c r="M291" s="14"/>
      <c r="N291" s="44"/>
      <c r="O291" s="49"/>
      <c r="P291" s="14"/>
      <c r="Q291" s="14"/>
      <c r="R291" s="14"/>
    </row>
    <row r="292" spans="1:18" s="1" customFormat="1">
      <c r="B292" s="49"/>
      <c r="F292" s="14"/>
      <c r="G292" s="14"/>
      <c r="H292" s="14"/>
      <c r="I292" s="11"/>
      <c r="J292" s="14"/>
      <c r="K292" s="16"/>
      <c r="L292" s="15"/>
      <c r="M292" s="14"/>
      <c r="N292" s="44"/>
      <c r="O292" s="49"/>
      <c r="P292" s="14"/>
      <c r="Q292" s="14"/>
      <c r="R292" s="14"/>
    </row>
    <row r="293" spans="1:18" s="1" customFormat="1">
      <c r="A293" s="44" t="s">
        <v>1691</v>
      </c>
      <c r="B293" s="49" t="s">
        <v>1693</v>
      </c>
      <c r="C293" s="44" t="s">
        <v>494</v>
      </c>
      <c r="E293" s="44" t="s">
        <v>476</v>
      </c>
      <c r="F293" s="14">
        <v>15</v>
      </c>
      <c r="G293" s="14">
        <v>1545</v>
      </c>
      <c r="H293" s="47" t="s">
        <v>1707</v>
      </c>
      <c r="I293" s="48" t="s">
        <v>1709</v>
      </c>
      <c r="J293" s="14">
        <v>1503</v>
      </c>
      <c r="K293" s="16">
        <v>1</v>
      </c>
      <c r="L293" s="15">
        <v>52</v>
      </c>
      <c r="M293" s="14"/>
      <c r="N293" s="1">
        <v>1531</v>
      </c>
      <c r="O293" s="29" t="s">
        <v>1520</v>
      </c>
      <c r="P293" s="14"/>
      <c r="Q293" s="14"/>
      <c r="R293" s="14"/>
    </row>
    <row r="294" spans="1:18" s="1" customFormat="1">
      <c r="B294" s="49" t="s">
        <v>1694</v>
      </c>
      <c r="C294" s="44" t="s">
        <v>494</v>
      </c>
      <c r="E294" s="44" t="s">
        <v>476</v>
      </c>
      <c r="F294" s="14"/>
      <c r="G294" s="14"/>
      <c r="H294" s="14"/>
      <c r="I294" s="11"/>
      <c r="J294" s="14"/>
      <c r="K294" s="16">
        <v>2</v>
      </c>
      <c r="L294" s="15">
        <v>6</v>
      </c>
      <c r="M294" s="14"/>
      <c r="P294" s="14"/>
      <c r="Q294" s="14"/>
      <c r="R294" s="14"/>
    </row>
    <row r="295" spans="1:18" s="1" customFormat="1">
      <c r="B295" s="49" t="s">
        <v>1695</v>
      </c>
      <c r="C295" s="44" t="s">
        <v>494</v>
      </c>
      <c r="F295" s="14"/>
      <c r="G295" s="14"/>
      <c r="H295" s="14"/>
      <c r="I295" s="11"/>
      <c r="J295" s="14"/>
      <c r="K295" s="16">
        <v>3</v>
      </c>
      <c r="L295" s="15">
        <v>6</v>
      </c>
      <c r="M295" s="14"/>
      <c r="P295" s="14"/>
      <c r="Q295" s="14"/>
      <c r="R295" s="14"/>
    </row>
    <row r="296" spans="1:18" s="1" customFormat="1">
      <c r="B296" s="49" t="s">
        <v>1696</v>
      </c>
      <c r="C296" s="44" t="s">
        <v>520</v>
      </c>
      <c r="F296" s="14"/>
      <c r="G296" s="14"/>
      <c r="H296" s="14"/>
      <c r="I296" s="11"/>
      <c r="J296" s="14"/>
      <c r="K296" s="16">
        <v>4</v>
      </c>
      <c r="L296" s="15"/>
      <c r="M296" s="14"/>
      <c r="N296" s="44"/>
      <c r="O296" s="49"/>
      <c r="P296" s="14"/>
      <c r="Q296" s="14"/>
      <c r="R296" s="14"/>
    </row>
    <row r="297" spans="1:18" s="1" customFormat="1">
      <c r="B297" s="49" t="s">
        <v>1697</v>
      </c>
      <c r="C297" s="44" t="s">
        <v>493</v>
      </c>
      <c r="D297" s="1">
        <v>10</v>
      </c>
      <c r="F297" s="14"/>
      <c r="G297" s="14"/>
      <c r="H297" s="14"/>
      <c r="I297" s="11"/>
      <c r="J297" s="14"/>
      <c r="K297" s="16">
        <v>5</v>
      </c>
      <c r="L297" s="15">
        <v>7</v>
      </c>
      <c r="M297" s="14"/>
      <c r="N297" s="44"/>
      <c r="O297" s="49"/>
      <c r="P297" s="14"/>
      <c r="Q297" s="14"/>
      <c r="R297" s="14"/>
    </row>
    <row r="298" spans="1:18" s="1" customFormat="1">
      <c r="B298" s="49" t="s">
        <v>1698</v>
      </c>
      <c r="C298" s="44" t="s">
        <v>493</v>
      </c>
      <c r="D298" s="1">
        <v>10</v>
      </c>
      <c r="F298" s="14"/>
      <c r="G298" s="14"/>
      <c r="H298" s="14"/>
      <c r="I298" s="11"/>
      <c r="J298" s="14"/>
      <c r="K298" s="16">
        <v>6</v>
      </c>
      <c r="L298" s="15">
        <v>7</v>
      </c>
      <c r="M298" s="14"/>
      <c r="N298" s="44"/>
      <c r="O298" s="49"/>
      <c r="P298" s="14"/>
      <c r="Q298" s="14"/>
      <c r="R298" s="14"/>
    </row>
    <row r="299" spans="1:18" s="1" customFormat="1">
      <c r="B299" s="49" t="s">
        <v>1699</v>
      </c>
      <c r="C299" s="44" t="s">
        <v>520</v>
      </c>
      <c r="F299" s="14"/>
      <c r="G299" s="14"/>
      <c r="H299" s="14"/>
      <c r="I299" s="11"/>
      <c r="J299" s="14"/>
      <c r="K299" s="16">
        <v>7</v>
      </c>
      <c r="L299" s="15"/>
      <c r="M299" s="14"/>
      <c r="N299" s="44"/>
      <c r="O299" s="49"/>
      <c r="P299" s="14"/>
      <c r="Q299" s="14"/>
      <c r="R299" s="14"/>
    </row>
    <row r="300" spans="1:18" s="1" customFormat="1">
      <c r="B300" s="49"/>
      <c r="F300" s="14"/>
      <c r="G300" s="14"/>
      <c r="H300" s="14"/>
      <c r="I300" s="11"/>
      <c r="J300" s="14"/>
      <c r="K300" s="16"/>
      <c r="L300" s="15"/>
      <c r="M300" s="14"/>
      <c r="N300" s="44"/>
      <c r="O300" s="49"/>
      <c r="P300" s="14"/>
      <c r="Q300" s="14"/>
      <c r="R300" s="14"/>
    </row>
    <row r="301" spans="1:18" s="1" customFormat="1">
      <c r="A301" s="44" t="s">
        <v>1692</v>
      </c>
      <c r="B301" s="49" t="s">
        <v>1700</v>
      </c>
      <c r="C301" s="44" t="s">
        <v>494</v>
      </c>
      <c r="E301" s="44" t="s">
        <v>476</v>
      </c>
      <c r="F301" s="14">
        <v>15</v>
      </c>
      <c r="G301" s="14">
        <v>1546</v>
      </c>
      <c r="H301" s="47" t="s">
        <v>1708</v>
      </c>
      <c r="I301" s="48" t="s">
        <v>1710</v>
      </c>
      <c r="J301" s="14">
        <v>1503</v>
      </c>
      <c r="K301" s="16">
        <v>1</v>
      </c>
      <c r="L301" s="15">
        <v>52</v>
      </c>
      <c r="M301" s="14"/>
      <c r="N301" s="1">
        <v>1531</v>
      </c>
      <c r="O301" s="29" t="s">
        <v>1520</v>
      </c>
      <c r="P301" s="14"/>
      <c r="Q301" s="14"/>
      <c r="R301" s="14"/>
    </row>
    <row r="302" spans="1:18" s="1" customFormat="1">
      <c r="B302" s="49" t="s">
        <v>1701</v>
      </c>
      <c r="C302" s="44" t="s">
        <v>494</v>
      </c>
      <c r="E302" s="44" t="s">
        <v>476</v>
      </c>
      <c r="F302" s="14"/>
      <c r="G302" s="14"/>
      <c r="H302" s="14"/>
      <c r="I302" s="11"/>
      <c r="J302" s="14"/>
      <c r="K302" s="16">
        <v>2</v>
      </c>
      <c r="L302" s="15">
        <v>6</v>
      </c>
      <c r="M302" s="14"/>
      <c r="P302" s="14"/>
      <c r="Q302" s="14"/>
      <c r="R302" s="14"/>
    </row>
    <row r="303" spans="1:18" s="1" customFormat="1">
      <c r="B303" s="49" t="s">
        <v>1702</v>
      </c>
      <c r="C303" s="44" t="s">
        <v>494</v>
      </c>
      <c r="F303" s="14"/>
      <c r="G303" s="14"/>
      <c r="H303" s="14"/>
      <c r="I303" s="11"/>
      <c r="J303" s="14"/>
      <c r="K303" s="16">
        <v>3</v>
      </c>
      <c r="L303" s="15">
        <v>6</v>
      </c>
      <c r="M303" s="14"/>
      <c r="P303" s="14"/>
      <c r="Q303" s="14"/>
      <c r="R303" s="14"/>
    </row>
    <row r="304" spans="1:18" s="1" customFormat="1">
      <c r="B304" s="49" t="s">
        <v>1703</v>
      </c>
      <c r="C304" s="44" t="s">
        <v>520</v>
      </c>
      <c r="F304" s="14"/>
      <c r="G304" s="14"/>
      <c r="H304" s="14"/>
      <c r="I304" s="11"/>
      <c r="J304" s="14"/>
      <c r="K304" s="16">
        <v>4</v>
      </c>
      <c r="L304" s="15"/>
      <c r="M304" s="14"/>
      <c r="N304" s="44"/>
      <c r="O304" s="49"/>
      <c r="P304" s="14"/>
      <c r="Q304" s="14"/>
      <c r="R304" s="14"/>
    </row>
    <row r="305" spans="1:18" s="1" customFormat="1">
      <c r="B305" s="49" t="s">
        <v>1704</v>
      </c>
      <c r="C305" s="44" t="s">
        <v>493</v>
      </c>
      <c r="D305" s="1">
        <v>10</v>
      </c>
      <c r="F305" s="14"/>
      <c r="G305" s="14"/>
      <c r="H305" s="14"/>
      <c r="I305" s="11"/>
      <c r="J305" s="14"/>
      <c r="K305" s="16">
        <v>5</v>
      </c>
      <c r="L305" s="15">
        <v>7</v>
      </c>
      <c r="M305" s="14"/>
      <c r="N305" s="44"/>
      <c r="O305" s="49"/>
      <c r="P305" s="14"/>
      <c r="Q305" s="14"/>
      <c r="R305" s="14"/>
    </row>
    <row r="306" spans="1:18" s="1" customFormat="1">
      <c r="B306" s="49" t="s">
        <v>1705</v>
      </c>
      <c r="C306" s="44" t="s">
        <v>493</v>
      </c>
      <c r="D306" s="1">
        <v>10</v>
      </c>
      <c r="F306" s="14"/>
      <c r="G306" s="14"/>
      <c r="H306" s="14"/>
      <c r="I306" s="11"/>
      <c r="J306" s="14"/>
      <c r="K306" s="16">
        <v>6</v>
      </c>
      <c r="L306" s="15">
        <v>7</v>
      </c>
      <c r="M306" s="14"/>
      <c r="N306" s="44"/>
      <c r="O306" s="49"/>
      <c r="P306" s="14"/>
      <c r="Q306" s="14"/>
      <c r="R306" s="14"/>
    </row>
    <row r="307" spans="1:18" s="1" customFormat="1">
      <c r="B307" s="49" t="s">
        <v>1706</v>
      </c>
      <c r="C307" s="44" t="s">
        <v>520</v>
      </c>
      <c r="F307" s="14"/>
      <c r="G307" s="14"/>
      <c r="H307" s="14"/>
      <c r="I307" s="11"/>
      <c r="J307" s="14"/>
      <c r="K307" s="16">
        <v>7</v>
      </c>
      <c r="L307" s="15"/>
      <c r="M307" s="14"/>
      <c r="N307" s="44"/>
      <c r="O307" s="49"/>
      <c r="P307" s="14"/>
      <c r="Q307" s="14"/>
      <c r="R307" s="14"/>
    </row>
    <row r="308" spans="1:18" s="1" customFormat="1">
      <c r="B308" s="49"/>
      <c r="C308" s="44"/>
      <c r="F308" s="14"/>
      <c r="G308" s="14"/>
      <c r="H308" s="14"/>
      <c r="I308" s="11"/>
      <c r="J308" s="14"/>
      <c r="K308" s="16"/>
      <c r="L308" s="15"/>
      <c r="M308" s="14"/>
      <c r="N308" s="44"/>
      <c r="O308" s="49"/>
      <c r="P308" s="14"/>
      <c r="Q308" s="14"/>
      <c r="R308" s="14"/>
    </row>
    <row r="309" spans="1:18" s="1" customFormat="1">
      <c r="A309" s="44" t="s">
        <v>1711</v>
      </c>
      <c r="B309" s="49" t="s">
        <v>1712</v>
      </c>
      <c r="C309" s="44" t="s">
        <v>494</v>
      </c>
      <c r="E309" s="44" t="s">
        <v>476</v>
      </c>
      <c r="F309" s="14">
        <v>15</v>
      </c>
      <c r="G309" s="14">
        <v>1547</v>
      </c>
      <c r="H309" s="47" t="s">
        <v>1758</v>
      </c>
      <c r="I309" s="48" t="s">
        <v>1710</v>
      </c>
      <c r="J309" s="14">
        <v>1503</v>
      </c>
      <c r="K309" s="16">
        <v>1</v>
      </c>
      <c r="L309" s="15">
        <v>52</v>
      </c>
      <c r="M309" s="14"/>
      <c r="N309" s="1">
        <v>1531</v>
      </c>
      <c r="O309" s="29" t="s">
        <v>1520</v>
      </c>
      <c r="P309" s="14"/>
      <c r="Q309" s="14"/>
      <c r="R309" s="14"/>
    </row>
    <row r="310" spans="1:18" s="1" customFormat="1">
      <c r="B310" s="49" t="s">
        <v>1713</v>
      </c>
      <c r="C310" s="44" t="s">
        <v>494</v>
      </c>
      <c r="E310" s="44" t="s">
        <v>476</v>
      </c>
      <c r="F310" s="14"/>
      <c r="G310" s="14"/>
      <c r="H310" s="14"/>
      <c r="I310" s="11"/>
      <c r="J310" s="14"/>
      <c r="K310" s="16">
        <v>2</v>
      </c>
      <c r="L310" s="15">
        <v>6</v>
      </c>
      <c r="M310" s="14"/>
      <c r="P310" s="14"/>
      <c r="Q310" s="14"/>
      <c r="R310" s="14"/>
    </row>
    <row r="311" spans="1:18" s="1" customFormat="1">
      <c r="B311" s="49" t="s">
        <v>1714</v>
      </c>
      <c r="C311" s="44" t="s">
        <v>494</v>
      </c>
      <c r="F311" s="14"/>
      <c r="G311" s="14"/>
      <c r="H311" s="14"/>
      <c r="I311" s="11"/>
      <c r="J311" s="14"/>
      <c r="K311" s="16">
        <v>3</v>
      </c>
      <c r="L311" s="15">
        <v>6</v>
      </c>
      <c r="M311" s="14"/>
      <c r="P311" s="14"/>
      <c r="Q311" s="14"/>
      <c r="R311" s="14"/>
    </row>
    <row r="312" spans="1:18" s="1" customFormat="1">
      <c r="B312" s="49" t="s">
        <v>1715</v>
      </c>
      <c r="C312" s="44" t="s">
        <v>493</v>
      </c>
      <c r="D312" s="1">
        <v>100</v>
      </c>
      <c r="F312" s="14"/>
      <c r="G312" s="14"/>
      <c r="H312" s="14"/>
      <c r="I312" s="11"/>
      <c r="J312" s="14"/>
      <c r="K312" s="16">
        <v>4</v>
      </c>
      <c r="L312" s="15"/>
      <c r="M312" s="14"/>
      <c r="N312" s="44"/>
      <c r="O312" s="49"/>
      <c r="P312" s="14"/>
      <c r="Q312" s="14"/>
      <c r="R312" s="14"/>
    </row>
    <row r="313" spans="1:18" s="1" customFormat="1">
      <c r="B313" s="49" t="s">
        <v>1716</v>
      </c>
      <c r="C313" s="44" t="s">
        <v>494</v>
      </c>
      <c r="F313" s="14"/>
      <c r="G313" s="14"/>
      <c r="H313" s="14"/>
      <c r="I313" s="11"/>
      <c r="J313" s="14"/>
      <c r="K313" s="16">
        <v>5</v>
      </c>
      <c r="L313" s="15">
        <v>91</v>
      </c>
      <c r="M313" s="14"/>
      <c r="N313" s="44"/>
      <c r="O313" s="49"/>
      <c r="P313" s="14"/>
      <c r="Q313" s="14"/>
      <c r="R313" s="14"/>
    </row>
    <row r="314" spans="1:18" s="1" customFormat="1">
      <c r="B314" s="49" t="s">
        <v>1717</v>
      </c>
      <c r="C314" s="44" t="s">
        <v>494</v>
      </c>
      <c r="F314" s="14"/>
      <c r="G314" s="14"/>
      <c r="H314" s="14"/>
      <c r="I314" s="11"/>
      <c r="J314" s="14"/>
      <c r="K314" s="16">
        <v>6</v>
      </c>
      <c r="L314" s="15">
        <v>92</v>
      </c>
      <c r="M314" s="14"/>
      <c r="N314" s="44"/>
      <c r="O314" s="49"/>
      <c r="P314" s="14"/>
      <c r="Q314" s="14"/>
      <c r="R314" s="14"/>
    </row>
    <row r="315" spans="1:18" s="1" customFormat="1">
      <c r="B315" s="49" t="s">
        <v>1718</v>
      </c>
      <c r="C315" s="44" t="s">
        <v>520</v>
      </c>
      <c r="F315" s="14"/>
      <c r="G315" s="14"/>
      <c r="H315" s="14"/>
      <c r="I315" s="11"/>
      <c r="J315" s="14"/>
      <c r="K315" s="16">
        <v>7</v>
      </c>
      <c r="L315" s="15"/>
      <c r="M315" s="14"/>
      <c r="N315" s="44"/>
      <c r="O315" s="49"/>
      <c r="P315" s="14"/>
      <c r="Q315" s="14"/>
      <c r="R315" s="14"/>
    </row>
    <row r="316" spans="1:18" s="1" customFormat="1">
      <c r="B316" s="49"/>
      <c r="F316" s="14"/>
      <c r="G316" s="14"/>
      <c r="H316" s="14"/>
      <c r="I316" s="11"/>
      <c r="J316" s="14"/>
      <c r="K316" s="16"/>
      <c r="L316" s="15"/>
      <c r="M316" s="14"/>
      <c r="N316" s="44"/>
      <c r="O316" s="49"/>
      <c r="P316" s="14"/>
      <c r="Q316" s="14"/>
      <c r="R316" s="14"/>
    </row>
    <row r="317" spans="1:18" s="1" customFormat="1">
      <c r="A317" s="44" t="s">
        <v>1719</v>
      </c>
      <c r="B317" s="49" t="s">
        <v>1720</v>
      </c>
      <c r="C317" s="44" t="s">
        <v>494</v>
      </c>
      <c r="E317" s="44" t="s">
        <v>476</v>
      </c>
      <c r="F317" s="14">
        <v>15</v>
      </c>
      <c r="G317" s="14">
        <v>1548</v>
      </c>
      <c r="H317" s="47" t="s">
        <v>1728</v>
      </c>
      <c r="I317" s="48" t="s">
        <v>1729</v>
      </c>
      <c r="J317" s="14">
        <v>1503</v>
      </c>
      <c r="K317" s="16">
        <v>1</v>
      </c>
      <c r="L317" s="15">
        <v>52</v>
      </c>
      <c r="M317" s="14"/>
      <c r="N317" s="1">
        <v>1531</v>
      </c>
      <c r="O317" s="29" t="s">
        <v>1520</v>
      </c>
      <c r="P317" s="14"/>
      <c r="Q317" s="14"/>
      <c r="R317" s="14"/>
    </row>
    <row r="318" spans="1:18" s="1" customFormat="1">
      <c r="B318" s="49" t="s">
        <v>1721</v>
      </c>
      <c r="C318" s="44" t="s">
        <v>494</v>
      </c>
      <c r="E318" s="44" t="s">
        <v>476</v>
      </c>
      <c r="F318" s="14"/>
      <c r="G318" s="14"/>
      <c r="H318" s="14"/>
      <c r="I318" s="11"/>
      <c r="J318" s="14"/>
      <c r="K318" s="16">
        <v>2</v>
      </c>
      <c r="L318" s="15">
        <v>6</v>
      </c>
      <c r="M318" s="14"/>
      <c r="P318" s="14"/>
      <c r="Q318" s="14"/>
      <c r="R318" s="14"/>
    </row>
    <row r="319" spans="1:18" s="1" customFormat="1">
      <c r="B319" s="49" t="s">
        <v>1722</v>
      </c>
      <c r="C319" s="44" t="s">
        <v>494</v>
      </c>
      <c r="F319" s="14"/>
      <c r="G319" s="14"/>
      <c r="H319" s="14"/>
      <c r="I319" s="11"/>
      <c r="J319" s="14"/>
      <c r="K319" s="16">
        <v>3</v>
      </c>
      <c r="L319" s="15">
        <v>6</v>
      </c>
      <c r="M319" s="14"/>
      <c r="P319" s="14"/>
      <c r="Q319" s="14"/>
      <c r="R319" s="14"/>
    </row>
    <row r="320" spans="1:18" s="1" customFormat="1">
      <c r="B320" s="49" t="s">
        <v>1723</v>
      </c>
      <c r="C320" s="44" t="s">
        <v>493</v>
      </c>
      <c r="D320" s="1">
        <v>10</v>
      </c>
      <c r="F320" s="14"/>
      <c r="G320" s="14"/>
      <c r="H320" s="14"/>
      <c r="I320" s="11"/>
      <c r="J320" s="14"/>
      <c r="K320" s="16">
        <v>4</v>
      </c>
      <c r="L320" s="15">
        <v>7</v>
      </c>
      <c r="M320" s="14"/>
      <c r="N320" s="44"/>
      <c r="O320" s="49"/>
      <c r="P320" s="14"/>
      <c r="Q320" s="14"/>
      <c r="R320" s="14"/>
    </row>
    <row r="321" spans="1:18" s="1" customFormat="1">
      <c r="B321" s="49" t="s">
        <v>1724</v>
      </c>
      <c r="C321" s="44" t="s">
        <v>494</v>
      </c>
      <c r="F321" s="14"/>
      <c r="G321" s="14"/>
      <c r="H321" s="14"/>
      <c r="I321" s="11"/>
      <c r="J321" s="14"/>
      <c r="K321" s="16">
        <v>5</v>
      </c>
      <c r="L321" s="15"/>
      <c r="M321" s="14"/>
      <c r="N321" s="44"/>
      <c r="O321" s="49"/>
      <c r="P321" s="14"/>
      <c r="Q321" s="14"/>
      <c r="R321" s="14"/>
    </row>
    <row r="322" spans="1:18" s="1" customFormat="1">
      <c r="B322" s="49" t="s">
        <v>1725</v>
      </c>
      <c r="C322" s="44" t="s">
        <v>493</v>
      </c>
      <c r="D322" s="1">
        <v>40</v>
      </c>
      <c r="F322" s="14"/>
      <c r="G322" s="14"/>
      <c r="H322" s="14"/>
      <c r="I322" s="11"/>
      <c r="J322" s="14"/>
      <c r="K322" s="16">
        <v>6</v>
      </c>
      <c r="L322" s="15"/>
      <c r="M322" s="14"/>
      <c r="N322" s="44"/>
      <c r="O322" s="49"/>
      <c r="P322" s="14"/>
      <c r="Q322" s="14"/>
      <c r="R322" s="14"/>
    </row>
    <row r="323" spans="1:18" s="1" customFormat="1">
      <c r="B323" s="49" t="s">
        <v>1726</v>
      </c>
      <c r="C323" s="44" t="s">
        <v>493</v>
      </c>
      <c r="D323" s="1">
        <v>1</v>
      </c>
      <c r="F323" s="14"/>
      <c r="G323" s="14"/>
      <c r="H323" s="14"/>
      <c r="I323" s="11"/>
      <c r="J323" s="14"/>
      <c r="K323" s="16">
        <v>7</v>
      </c>
      <c r="L323" s="15">
        <v>3</v>
      </c>
      <c r="M323" s="14"/>
      <c r="N323" s="44"/>
      <c r="O323" s="49"/>
      <c r="P323" s="14"/>
      <c r="Q323" s="14"/>
      <c r="R323" s="14"/>
    </row>
    <row r="324" spans="1:18" s="1" customFormat="1">
      <c r="B324" s="49" t="s">
        <v>1727</v>
      </c>
      <c r="C324" s="44" t="s">
        <v>493</v>
      </c>
      <c r="D324" s="1">
        <v>10</v>
      </c>
      <c r="F324" s="14"/>
      <c r="G324" s="14"/>
      <c r="H324" s="14"/>
      <c r="I324" s="11"/>
      <c r="J324" s="14"/>
      <c r="K324" s="16">
        <v>8</v>
      </c>
      <c r="L324" s="15">
        <v>7</v>
      </c>
      <c r="M324" s="14"/>
      <c r="N324" s="44"/>
      <c r="O324" s="49"/>
      <c r="P324" s="14"/>
      <c r="Q324" s="14"/>
      <c r="R324" s="14"/>
    </row>
    <row r="325" spans="1:18" s="1" customFormat="1">
      <c r="B325" s="49"/>
      <c r="C325" s="44"/>
      <c r="F325" s="14"/>
      <c r="G325" s="14"/>
      <c r="H325" s="14"/>
      <c r="I325" s="11"/>
      <c r="J325" s="14"/>
      <c r="K325" s="16"/>
      <c r="L325" s="15"/>
      <c r="M325" s="14"/>
      <c r="N325" s="44"/>
      <c r="O325" s="49"/>
      <c r="P325" s="14"/>
      <c r="Q325" s="14"/>
      <c r="R325" s="14"/>
    </row>
    <row r="326" spans="1:18" s="1" customFormat="1">
      <c r="A326" s="44" t="s">
        <v>1730</v>
      </c>
      <c r="B326" s="49" t="s">
        <v>1732</v>
      </c>
      <c r="C326" s="44" t="s">
        <v>494</v>
      </c>
      <c r="E326" s="44" t="s">
        <v>476</v>
      </c>
      <c r="F326" s="14">
        <v>15</v>
      </c>
      <c r="G326" s="14">
        <v>1549</v>
      </c>
      <c r="H326" s="47" t="s">
        <v>1737</v>
      </c>
      <c r="I326" s="48" t="s">
        <v>1738</v>
      </c>
      <c r="J326" s="14">
        <v>1503</v>
      </c>
      <c r="K326" s="16">
        <v>1</v>
      </c>
      <c r="L326" s="15">
        <v>52</v>
      </c>
      <c r="M326" s="14"/>
      <c r="N326" s="1">
        <v>1531</v>
      </c>
      <c r="O326" s="29" t="s">
        <v>1520</v>
      </c>
      <c r="P326" s="14"/>
      <c r="Q326" s="14"/>
      <c r="R326" s="14"/>
    </row>
    <row r="327" spans="1:18" s="1" customFormat="1">
      <c r="B327" s="49" t="s">
        <v>1731</v>
      </c>
      <c r="C327" s="44" t="s">
        <v>494</v>
      </c>
      <c r="E327" s="44" t="s">
        <v>476</v>
      </c>
      <c r="F327" s="14"/>
      <c r="G327" s="14"/>
      <c r="H327" s="14"/>
      <c r="I327" s="11"/>
      <c r="J327" s="14"/>
      <c r="K327" s="16">
        <v>2</v>
      </c>
      <c r="L327" s="15">
        <v>6</v>
      </c>
      <c r="M327" s="14"/>
      <c r="P327" s="14"/>
      <c r="Q327" s="14"/>
      <c r="R327" s="14"/>
    </row>
    <row r="328" spans="1:18" s="1" customFormat="1">
      <c r="B328" s="49" t="s">
        <v>1733</v>
      </c>
      <c r="C328" s="44" t="s">
        <v>494</v>
      </c>
      <c r="F328" s="14"/>
      <c r="G328" s="14"/>
      <c r="H328" s="14"/>
      <c r="I328" s="11"/>
      <c r="J328" s="14"/>
      <c r="K328" s="16">
        <v>3</v>
      </c>
      <c r="L328" s="15">
        <v>6</v>
      </c>
      <c r="M328" s="14"/>
      <c r="P328" s="14"/>
      <c r="Q328" s="14"/>
      <c r="R328" s="14"/>
    </row>
    <row r="329" spans="1:18" s="1" customFormat="1">
      <c r="B329" s="49" t="s">
        <v>1734</v>
      </c>
      <c r="C329" s="44" t="s">
        <v>520</v>
      </c>
      <c r="F329" s="14"/>
      <c r="G329" s="14"/>
      <c r="H329" s="14"/>
      <c r="I329" s="11"/>
      <c r="J329" s="14"/>
      <c r="K329" s="16">
        <v>4</v>
      </c>
      <c r="L329" s="15"/>
      <c r="M329" s="14"/>
      <c r="N329" s="44"/>
      <c r="O329" s="49"/>
      <c r="P329" s="14"/>
      <c r="Q329" s="14"/>
      <c r="R329" s="14"/>
    </row>
    <row r="330" spans="1:18" s="1" customFormat="1">
      <c r="B330" s="66" t="s">
        <v>1735</v>
      </c>
      <c r="C330" s="44" t="s">
        <v>494</v>
      </c>
      <c r="F330" s="14"/>
      <c r="G330" s="14"/>
      <c r="H330" s="14"/>
      <c r="I330" s="11"/>
      <c r="J330" s="14"/>
      <c r="K330" s="16">
        <v>5</v>
      </c>
      <c r="L330" s="15">
        <v>8</v>
      </c>
      <c r="M330" s="14"/>
      <c r="N330" s="44"/>
      <c r="O330" s="49"/>
      <c r="P330" s="14"/>
      <c r="Q330" s="14"/>
      <c r="R330" s="14"/>
    </row>
    <row r="331" spans="1:18" s="1" customFormat="1">
      <c r="B331" s="49" t="s">
        <v>1736</v>
      </c>
      <c r="C331" s="44" t="s">
        <v>493</v>
      </c>
      <c r="D331" s="1">
        <v>10</v>
      </c>
      <c r="F331" s="14"/>
      <c r="G331" s="14"/>
      <c r="H331" s="14"/>
      <c r="I331" s="11"/>
      <c r="J331" s="14"/>
      <c r="K331" s="16">
        <v>6</v>
      </c>
      <c r="L331" s="15">
        <v>7</v>
      </c>
      <c r="M331" s="14"/>
      <c r="N331" s="44"/>
      <c r="O331" s="49"/>
      <c r="P331" s="14"/>
      <c r="Q331" s="14"/>
      <c r="R331" s="14"/>
    </row>
    <row r="332" spans="1:18" s="1" customFormat="1">
      <c r="B332" s="49"/>
      <c r="C332" s="44"/>
      <c r="F332" s="14"/>
      <c r="G332" s="14"/>
      <c r="H332" s="14"/>
      <c r="I332" s="11"/>
      <c r="J332" s="14"/>
      <c r="K332" s="16"/>
      <c r="L332" s="15"/>
      <c r="M332" s="14"/>
      <c r="N332" s="44"/>
      <c r="O332" s="49"/>
      <c r="P332" s="14"/>
      <c r="Q332" s="14"/>
      <c r="R332" s="14"/>
    </row>
    <row r="333" spans="1:18" s="1" customFormat="1">
      <c r="A333" s="44" t="s">
        <v>1739</v>
      </c>
      <c r="B333" s="49" t="s">
        <v>1740</v>
      </c>
      <c r="C333" s="44" t="s">
        <v>494</v>
      </c>
      <c r="E333" s="44" t="s">
        <v>476</v>
      </c>
      <c r="F333" s="14">
        <v>15</v>
      </c>
      <c r="G333" s="14">
        <v>1550</v>
      </c>
      <c r="H333" s="47" t="s">
        <v>1746</v>
      </c>
      <c r="I333" s="48" t="s">
        <v>1747</v>
      </c>
      <c r="J333" s="14">
        <v>1503</v>
      </c>
      <c r="K333" s="16">
        <v>1</v>
      </c>
      <c r="L333" s="15">
        <v>52</v>
      </c>
      <c r="M333" s="14"/>
      <c r="N333" s="1">
        <v>1531</v>
      </c>
      <c r="O333" s="29" t="s">
        <v>1520</v>
      </c>
      <c r="P333" s="14"/>
      <c r="Q333" s="14"/>
      <c r="R333" s="14"/>
    </row>
    <row r="334" spans="1:18" s="1" customFormat="1">
      <c r="B334" s="49" t="s">
        <v>1741</v>
      </c>
      <c r="C334" s="44" t="s">
        <v>494</v>
      </c>
      <c r="E334" s="44" t="s">
        <v>476</v>
      </c>
      <c r="F334" s="14"/>
      <c r="G334" s="14"/>
      <c r="H334" s="14"/>
      <c r="I334" s="11"/>
      <c r="J334" s="14"/>
      <c r="K334" s="16">
        <v>2</v>
      </c>
      <c r="L334" s="15">
        <v>6</v>
      </c>
      <c r="M334" s="14"/>
      <c r="P334" s="14"/>
      <c r="Q334" s="14"/>
      <c r="R334" s="14"/>
    </row>
    <row r="335" spans="1:18" s="1" customFormat="1">
      <c r="B335" s="49" t="s">
        <v>1742</v>
      </c>
      <c r="C335" s="44" t="s">
        <v>494</v>
      </c>
      <c r="F335" s="14"/>
      <c r="G335" s="14"/>
      <c r="H335" s="14"/>
      <c r="I335" s="11"/>
      <c r="J335" s="14"/>
      <c r="K335" s="16">
        <v>3</v>
      </c>
      <c r="L335" s="15">
        <v>6</v>
      </c>
      <c r="M335" s="14"/>
      <c r="P335" s="14"/>
      <c r="Q335" s="14"/>
      <c r="R335" s="14"/>
    </row>
    <row r="336" spans="1:18" s="1" customFormat="1">
      <c r="B336" s="49" t="s">
        <v>1745</v>
      </c>
      <c r="C336" s="44" t="s">
        <v>494</v>
      </c>
      <c r="F336" s="14"/>
      <c r="G336" s="14"/>
      <c r="H336" s="14"/>
      <c r="I336" s="11"/>
      <c r="J336" s="14"/>
      <c r="K336" s="16">
        <v>4</v>
      </c>
      <c r="L336" s="15">
        <v>3</v>
      </c>
      <c r="M336" s="14">
        <v>3</v>
      </c>
      <c r="N336" s="62" t="s">
        <v>1880</v>
      </c>
      <c r="O336" s="66" t="s">
        <v>1881</v>
      </c>
      <c r="P336" s="47" t="s">
        <v>1882</v>
      </c>
      <c r="Q336" s="14"/>
      <c r="R336" s="14"/>
    </row>
    <row r="337" spans="1:18" s="1" customFormat="1">
      <c r="B337" s="49" t="s">
        <v>1744</v>
      </c>
      <c r="C337" s="44" t="s">
        <v>494</v>
      </c>
      <c r="F337" s="14"/>
      <c r="G337" s="14"/>
      <c r="H337" s="14"/>
      <c r="I337" s="11"/>
      <c r="J337" s="14"/>
      <c r="K337" s="16">
        <v>5</v>
      </c>
      <c r="L337" s="15"/>
      <c r="M337" s="14"/>
      <c r="N337" s="44"/>
      <c r="O337" s="49"/>
      <c r="P337" s="14"/>
      <c r="Q337" s="14"/>
      <c r="R337" s="14"/>
    </row>
    <row r="338" spans="1:18" s="1" customFormat="1">
      <c r="B338" s="49" t="s">
        <v>1743</v>
      </c>
      <c r="C338" s="44" t="s">
        <v>520</v>
      </c>
      <c r="F338" s="14"/>
      <c r="G338" s="14"/>
      <c r="H338" s="14"/>
      <c r="I338" s="11"/>
      <c r="J338" s="14"/>
      <c r="K338" s="16">
        <v>6</v>
      </c>
      <c r="L338" s="15"/>
      <c r="M338" s="14"/>
      <c r="N338" s="44"/>
      <c r="O338" s="49"/>
      <c r="P338" s="14"/>
      <c r="Q338" s="14"/>
      <c r="R338" s="14"/>
    </row>
    <row r="339" spans="1:18" s="1" customFormat="1">
      <c r="B339" s="49"/>
      <c r="C339" s="44"/>
      <c r="F339" s="14"/>
      <c r="G339" s="14"/>
      <c r="H339" s="14"/>
      <c r="I339" s="11"/>
      <c r="J339" s="14"/>
      <c r="K339" s="16"/>
      <c r="L339" s="15"/>
      <c r="M339" s="14"/>
      <c r="N339" s="44"/>
      <c r="O339" s="49"/>
      <c r="P339" s="14"/>
      <c r="Q339" s="14"/>
      <c r="R339" s="14"/>
    </row>
    <row r="340" spans="1:18" s="1" customFormat="1">
      <c r="A340" s="44" t="s">
        <v>1748</v>
      </c>
      <c r="B340" s="49" t="s">
        <v>1749</v>
      </c>
      <c r="C340" s="44" t="s">
        <v>494</v>
      </c>
      <c r="E340" s="44" t="s">
        <v>476</v>
      </c>
      <c r="F340" s="14">
        <v>15</v>
      </c>
      <c r="G340" s="14">
        <v>1551</v>
      </c>
      <c r="H340" s="47" t="s">
        <v>1756</v>
      </c>
      <c r="I340" s="48" t="s">
        <v>1757</v>
      </c>
      <c r="J340" s="14">
        <v>1503</v>
      </c>
      <c r="K340" s="16">
        <v>1</v>
      </c>
      <c r="L340" s="15">
        <v>52</v>
      </c>
      <c r="M340" s="14"/>
      <c r="N340" s="1">
        <v>1531</v>
      </c>
      <c r="O340" s="29" t="s">
        <v>1520</v>
      </c>
      <c r="P340" s="14"/>
      <c r="Q340" s="14"/>
      <c r="R340" s="14"/>
    </row>
    <row r="341" spans="1:18" s="1" customFormat="1">
      <c r="B341" s="49" t="s">
        <v>1750</v>
      </c>
      <c r="C341" s="44" t="s">
        <v>494</v>
      </c>
      <c r="E341" s="44" t="s">
        <v>476</v>
      </c>
      <c r="F341" s="14"/>
      <c r="G341" s="14"/>
      <c r="H341" s="14"/>
      <c r="I341" s="11"/>
      <c r="J341" s="14"/>
      <c r="K341" s="16">
        <v>2</v>
      </c>
      <c r="L341" s="15">
        <v>6</v>
      </c>
      <c r="M341" s="14"/>
      <c r="P341" s="14"/>
      <c r="Q341" s="14"/>
      <c r="R341" s="14"/>
    </row>
    <row r="342" spans="1:18" s="1" customFormat="1">
      <c r="B342" s="49" t="s">
        <v>1751</v>
      </c>
      <c r="C342" s="44" t="s">
        <v>494</v>
      </c>
      <c r="F342" s="14"/>
      <c r="G342" s="14"/>
      <c r="H342" s="14"/>
      <c r="I342" s="11"/>
      <c r="J342" s="14"/>
      <c r="K342" s="16">
        <v>3</v>
      </c>
      <c r="L342" s="15">
        <v>6</v>
      </c>
      <c r="M342" s="14"/>
      <c r="P342" s="14"/>
      <c r="Q342" s="14"/>
      <c r="R342" s="14"/>
    </row>
    <row r="343" spans="1:18" s="1" customFormat="1">
      <c r="B343" s="49" t="s">
        <v>1752</v>
      </c>
      <c r="C343" s="44" t="s">
        <v>494</v>
      </c>
      <c r="F343" s="14"/>
      <c r="G343" s="14"/>
      <c r="H343" s="14"/>
      <c r="I343" s="11"/>
      <c r="J343" s="14"/>
      <c r="K343" s="16">
        <v>4</v>
      </c>
      <c r="L343" s="15">
        <v>8</v>
      </c>
      <c r="M343" s="14"/>
      <c r="N343" s="44"/>
      <c r="O343" s="49"/>
      <c r="P343" s="14"/>
      <c r="Q343" s="14"/>
      <c r="R343" s="14"/>
    </row>
    <row r="344" spans="1:18" s="1" customFormat="1">
      <c r="B344" s="49" t="s">
        <v>1753</v>
      </c>
      <c r="C344" s="44" t="s">
        <v>493</v>
      </c>
      <c r="D344" s="1">
        <v>10</v>
      </c>
      <c r="F344" s="14"/>
      <c r="G344" s="14"/>
      <c r="H344" s="14"/>
      <c r="I344" s="11"/>
      <c r="J344" s="14"/>
      <c r="K344" s="16">
        <v>5</v>
      </c>
      <c r="L344" s="15">
        <v>7</v>
      </c>
      <c r="M344" s="14"/>
      <c r="N344" s="44"/>
      <c r="O344" s="49"/>
      <c r="P344" s="14"/>
      <c r="Q344" s="14"/>
      <c r="R344" s="14"/>
    </row>
    <row r="345" spans="1:18" s="1" customFormat="1">
      <c r="B345" s="49" t="s">
        <v>1754</v>
      </c>
      <c r="C345" s="44" t="s">
        <v>493</v>
      </c>
      <c r="D345" s="1">
        <v>10</v>
      </c>
      <c r="F345" s="14"/>
      <c r="G345" s="14"/>
      <c r="H345" s="14"/>
      <c r="I345" s="11"/>
      <c r="J345" s="14"/>
      <c r="K345" s="16">
        <v>6</v>
      </c>
      <c r="L345" s="15">
        <v>7</v>
      </c>
      <c r="M345" s="14"/>
      <c r="N345" s="44"/>
      <c r="O345" s="49"/>
      <c r="P345" s="14"/>
      <c r="Q345" s="14"/>
      <c r="R345" s="14"/>
    </row>
    <row r="346" spans="1:18" s="1" customFormat="1">
      <c r="B346" s="49" t="s">
        <v>1755</v>
      </c>
      <c r="C346" s="44" t="s">
        <v>493</v>
      </c>
      <c r="D346" s="1">
        <v>1</v>
      </c>
      <c r="F346" s="14"/>
      <c r="G346" s="14"/>
      <c r="H346" s="14"/>
      <c r="I346" s="11"/>
      <c r="J346" s="14"/>
      <c r="K346" s="16">
        <v>7</v>
      </c>
      <c r="L346" s="15">
        <v>3</v>
      </c>
      <c r="M346" s="14"/>
      <c r="N346" s="44"/>
      <c r="O346" s="49"/>
      <c r="P346" s="14"/>
      <c r="Q346" s="14"/>
      <c r="R346" s="14"/>
    </row>
    <row r="347" spans="1:18" s="1" customFormat="1">
      <c r="B347" s="49"/>
      <c r="C347" s="44"/>
      <c r="F347" s="14"/>
      <c r="G347" s="14"/>
      <c r="H347" s="14"/>
      <c r="I347" s="11"/>
      <c r="J347" s="14"/>
      <c r="K347" s="16"/>
      <c r="L347" s="15"/>
      <c r="M347" s="14"/>
      <c r="N347" s="44"/>
      <c r="O347" s="49"/>
      <c r="P347" s="14"/>
      <c r="Q347" s="14"/>
      <c r="R347" s="14"/>
    </row>
    <row r="348" spans="1:18" s="1" customFormat="1">
      <c r="A348" s="70" t="s">
        <v>1002</v>
      </c>
      <c r="B348" s="67" t="s">
        <v>3779</v>
      </c>
      <c r="C348" s="70" t="s">
        <v>494</v>
      </c>
      <c r="D348" s="70">
        <v>1</v>
      </c>
      <c r="E348" s="1" t="s">
        <v>476</v>
      </c>
      <c r="F348" s="14">
        <v>1</v>
      </c>
      <c r="G348" s="14">
        <v>139</v>
      </c>
      <c r="H348" s="14" t="s">
        <v>1024</v>
      </c>
      <c r="I348" s="11"/>
      <c r="J348" s="14">
        <v>2</v>
      </c>
      <c r="K348" s="16">
        <v>1</v>
      </c>
      <c r="L348" s="15">
        <v>52</v>
      </c>
      <c r="M348" s="14"/>
      <c r="N348" s="62">
        <v>1531</v>
      </c>
      <c r="O348" s="29" t="s">
        <v>1520</v>
      </c>
      <c r="P348" s="29" t="s">
        <v>1521</v>
      </c>
      <c r="Q348" s="14"/>
      <c r="R348" s="14">
        <v>1531</v>
      </c>
    </row>
    <row r="349" spans="1:18" s="1" customFormat="1">
      <c r="A349" s="70"/>
      <c r="B349" s="88" t="s">
        <v>1003</v>
      </c>
      <c r="C349" s="39" t="s">
        <v>494</v>
      </c>
      <c r="E349" s="1" t="s">
        <v>476</v>
      </c>
      <c r="F349" s="14"/>
      <c r="G349" s="14"/>
      <c r="H349" s="14"/>
      <c r="I349" s="11"/>
      <c r="J349" s="14"/>
      <c r="K349" s="16">
        <v>2</v>
      </c>
      <c r="L349" s="15">
        <v>6</v>
      </c>
      <c r="M349" s="14"/>
      <c r="P349" s="14"/>
      <c r="Q349" s="14"/>
      <c r="R349" s="14"/>
    </row>
    <row r="350" spans="1:18" s="1" customFormat="1">
      <c r="A350" s="39"/>
      <c r="B350" s="88" t="s">
        <v>1004</v>
      </c>
      <c r="C350" s="39" t="s">
        <v>494</v>
      </c>
      <c r="F350" s="14"/>
      <c r="G350" s="14"/>
      <c r="H350" s="14"/>
      <c r="I350" s="11"/>
      <c r="J350" s="14"/>
      <c r="K350" s="16">
        <v>3</v>
      </c>
      <c r="L350" s="15">
        <v>6</v>
      </c>
      <c r="M350" s="14"/>
      <c r="P350" s="14"/>
      <c r="Q350" s="14"/>
      <c r="R350" s="14"/>
    </row>
    <row r="351" spans="1:18" s="1" customFormat="1">
      <c r="A351" s="39"/>
      <c r="B351" s="67" t="s">
        <v>1021</v>
      </c>
      <c r="C351" s="39" t="s">
        <v>493</v>
      </c>
      <c r="D351" s="1">
        <v>1</v>
      </c>
      <c r="F351" s="14"/>
      <c r="G351" s="14"/>
      <c r="H351" s="14"/>
      <c r="I351" s="11"/>
      <c r="J351" s="14"/>
      <c r="K351" s="16">
        <v>4</v>
      </c>
      <c r="L351" s="15">
        <v>3</v>
      </c>
      <c r="M351" s="14"/>
      <c r="P351" s="14"/>
      <c r="Q351" s="14"/>
      <c r="R351" s="14"/>
    </row>
    <row r="352" spans="1:18" s="1" customFormat="1">
      <c r="A352" s="39"/>
      <c r="B352" s="88" t="s">
        <v>1022</v>
      </c>
      <c r="C352" s="39" t="s">
        <v>494</v>
      </c>
      <c r="F352" s="14"/>
      <c r="G352" s="14"/>
      <c r="H352" s="14"/>
      <c r="I352" s="11"/>
      <c r="J352" s="14"/>
      <c r="K352" s="16">
        <v>5</v>
      </c>
      <c r="L352" s="15"/>
      <c r="M352" s="14"/>
      <c r="P352" s="14"/>
      <c r="Q352" s="14"/>
      <c r="R352" s="14"/>
    </row>
    <row r="353" spans="1:18" s="1" customFormat="1">
      <c r="A353" s="39"/>
      <c r="B353" s="67" t="s">
        <v>1023</v>
      </c>
      <c r="C353" s="39" t="s">
        <v>493</v>
      </c>
      <c r="D353" s="10">
        <v>100</v>
      </c>
      <c r="F353" s="14"/>
      <c r="G353" s="14"/>
      <c r="H353" s="14"/>
      <c r="I353" s="11"/>
      <c r="J353" s="14"/>
      <c r="K353" s="16">
        <v>6</v>
      </c>
      <c r="L353" s="15"/>
      <c r="M353" s="14"/>
      <c r="P353" s="14"/>
      <c r="Q353" s="14"/>
      <c r="R353" s="14"/>
    </row>
    <row r="354" spans="1:18" s="1" customFormat="1">
      <c r="B354" s="66"/>
      <c r="C354" s="45"/>
      <c r="D354" s="10"/>
      <c r="F354" s="14"/>
      <c r="G354" s="14"/>
      <c r="H354" s="14"/>
      <c r="I354" s="11"/>
      <c r="J354" s="14"/>
      <c r="K354" s="16"/>
      <c r="L354" s="15"/>
      <c r="M354" s="14"/>
      <c r="N354" s="62"/>
      <c r="P354" s="62"/>
      <c r="Q354" s="14"/>
      <c r="R354" s="14"/>
    </row>
    <row r="355" spans="1:18" s="1" customFormat="1">
      <c r="A355" s="44" t="s">
        <v>1528</v>
      </c>
      <c r="B355" s="29" t="s">
        <v>1529</v>
      </c>
      <c r="C355" s="44" t="s">
        <v>494</v>
      </c>
      <c r="E355" s="44" t="s">
        <v>476</v>
      </c>
      <c r="F355" s="14">
        <v>15</v>
      </c>
      <c r="G355" s="14">
        <v>1532</v>
      </c>
      <c r="H355" s="47" t="s">
        <v>1532</v>
      </c>
      <c r="I355" s="48" t="s">
        <v>1533</v>
      </c>
      <c r="J355" s="14">
        <v>2</v>
      </c>
      <c r="K355" s="16">
        <v>1</v>
      </c>
      <c r="L355" s="15">
        <v>6</v>
      </c>
      <c r="M355" s="14"/>
      <c r="P355" s="14"/>
      <c r="Q355" s="14"/>
      <c r="R355" s="14"/>
    </row>
    <row r="356" spans="1:18" s="1" customFormat="1">
      <c r="B356" s="29" t="s">
        <v>1530</v>
      </c>
      <c r="C356" s="44" t="s">
        <v>494</v>
      </c>
      <c r="F356" s="14"/>
      <c r="G356" s="14"/>
      <c r="H356" s="14"/>
      <c r="I356" s="11"/>
      <c r="J356" s="14"/>
      <c r="K356" s="16">
        <v>2</v>
      </c>
      <c r="L356" s="15">
        <v>6</v>
      </c>
      <c r="M356" s="14"/>
      <c r="P356" s="14"/>
      <c r="Q356" s="14"/>
      <c r="R356" s="14"/>
    </row>
    <row r="357" spans="1:18" s="1" customFormat="1">
      <c r="B357" s="29" t="s">
        <v>1531</v>
      </c>
      <c r="C357" s="44" t="s">
        <v>493</v>
      </c>
      <c r="D357" s="1">
        <v>100</v>
      </c>
      <c r="F357" s="14"/>
      <c r="G357" s="14"/>
      <c r="H357" s="14"/>
      <c r="I357" s="11"/>
      <c r="J357" s="14"/>
      <c r="K357" s="16">
        <v>3</v>
      </c>
      <c r="L357" s="15"/>
      <c r="M357" s="14"/>
      <c r="P357" s="14"/>
      <c r="Q357" s="14"/>
      <c r="R357" s="14"/>
    </row>
    <row r="358" spans="1:18" s="1" customFormat="1">
      <c r="B358" s="66" t="s">
        <v>1875</v>
      </c>
      <c r="C358" s="62" t="s">
        <v>494</v>
      </c>
      <c r="F358" s="14"/>
      <c r="G358" s="14"/>
      <c r="H358" s="14"/>
      <c r="I358" s="11"/>
      <c r="J358" s="14"/>
      <c r="K358" s="16">
        <v>4</v>
      </c>
      <c r="L358" s="15">
        <v>3</v>
      </c>
      <c r="M358" s="14"/>
      <c r="N358" s="62" t="s">
        <v>1876</v>
      </c>
      <c r="O358" s="66" t="s">
        <v>1877</v>
      </c>
      <c r="P358" s="66" t="s">
        <v>1878</v>
      </c>
      <c r="Q358" s="14"/>
      <c r="R358" s="14"/>
    </row>
    <row r="359" spans="1:18" s="1" customFormat="1">
      <c r="B359" s="66"/>
      <c r="C359" s="62"/>
      <c r="F359" s="14"/>
      <c r="G359" s="14"/>
      <c r="H359" s="14"/>
      <c r="I359" s="11"/>
      <c r="J359" s="14"/>
      <c r="K359" s="16"/>
      <c r="L359" s="15"/>
      <c r="M359" s="14"/>
      <c r="P359" s="14"/>
      <c r="Q359" s="14"/>
      <c r="R359" s="14"/>
    </row>
    <row r="360" spans="1:18" s="1" customFormat="1">
      <c r="A360" s="44" t="s">
        <v>1540</v>
      </c>
      <c r="B360" s="49" t="s">
        <v>1541</v>
      </c>
      <c r="C360" s="44" t="s">
        <v>494</v>
      </c>
      <c r="E360" s="44" t="s">
        <v>476</v>
      </c>
      <c r="F360" s="14">
        <v>15</v>
      </c>
      <c r="G360" s="14">
        <v>1533</v>
      </c>
      <c r="H360" s="47" t="s">
        <v>1544</v>
      </c>
      <c r="I360" s="48" t="s">
        <v>1545</v>
      </c>
      <c r="J360" s="14">
        <v>2</v>
      </c>
      <c r="K360" s="16">
        <v>1</v>
      </c>
      <c r="L360" s="15">
        <v>6</v>
      </c>
      <c r="M360" s="14"/>
      <c r="P360" s="14"/>
      <c r="Q360" s="14"/>
      <c r="R360" s="14"/>
    </row>
    <row r="361" spans="1:18" s="1" customFormat="1">
      <c r="B361" s="49" t="s">
        <v>1542</v>
      </c>
      <c r="C361" s="44" t="s">
        <v>494</v>
      </c>
      <c r="F361" s="14"/>
      <c r="G361" s="14"/>
      <c r="H361" s="14"/>
      <c r="I361" s="11"/>
      <c r="J361" s="14"/>
      <c r="K361" s="16">
        <v>2</v>
      </c>
      <c r="L361" s="15">
        <v>6</v>
      </c>
      <c r="M361" s="14"/>
      <c r="P361" s="14"/>
      <c r="Q361" s="14"/>
      <c r="R361" s="14"/>
    </row>
    <row r="362" spans="1:18" s="1" customFormat="1">
      <c r="B362" s="49" t="s">
        <v>1543</v>
      </c>
      <c r="C362" s="44" t="s">
        <v>493</v>
      </c>
      <c r="D362" s="1">
        <v>100</v>
      </c>
      <c r="F362" s="14"/>
      <c r="G362" s="14"/>
      <c r="H362" s="14"/>
      <c r="I362" s="11"/>
      <c r="J362" s="14"/>
      <c r="K362" s="16">
        <v>3</v>
      </c>
      <c r="L362" s="15"/>
      <c r="M362" s="14"/>
      <c r="P362" s="14"/>
      <c r="Q362" s="14"/>
      <c r="R362" s="14"/>
    </row>
    <row r="363" spans="1:18" s="1" customFormat="1">
      <c r="B363" s="29"/>
      <c r="F363" s="14"/>
      <c r="G363" s="14"/>
      <c r="H363" s="14"/>
      <c r="I363" s="11"/>
      <c r="J363" s="14"/>
      <c r="K363" s="16"/>
      <c r="L363" s="15"/>
      <c r="M363" s="14"/>
      <c r="P363" s="14"/>
      <c r="Q363" s="14"/>
      <c r="R363" s="14"/>
    </row>
    <row r="364" spans="1:18" s="1" customFormat="1">
      <c r="A364" s="44" t="s">
        <v>1601</v>
      </c>
      <c r="B364" s="49" t="s">
        <v>1596</v>
      </c>
      <c r="C364" s="44" t="s">
        <v>494</v>
      </c>
      <c r="E364" s="44" t="s">
        <v>476</v>
      </c>
      <c r="F364" s="14">
        <v>15</v>
      </c>
      <c r="G364" s="14">
        <v>1536</v>
      </c>
      <c r="H364" s="47" t="s">
        <v>1599</v>
      </c>
      <c r="I364" s="48" t="s">
        <v>1600</v>
      </c>
      <c r="J364" s="14">
        <v>2</v>
      </c>
      <c r="K364" s="16">
        <v>1</v>
      </c>
      <c r="L364" s="15">
        <v>6</v>
      </c>
      <c r="M364" s="14"/>
      <c r="P364" s="14"/>
      <c r="Q364" s="14"/>
      <c r="R364" s="14"/>
    </row>
    <row r="365" spans="1:18" s="1" customFormat="1">
      <c r="B365" s="49" t="s">
        <v>1597</v>
      </c>
      <c r="C365" s="44" t="s">
        <v>494</v>
      </c>
      <c r="F365" s="14"/>
      <c r="G365" s="14"/>
      <c r="H365" s="14"/>
      <c r="I365" s="11"/>
      <c r="J365" s="14"/>
      <c r="K365" s="16">
        <v>2</v>
      </c>
      <c r="L365" s="15">
        <v>6</v>
      </c>
      <c r="M365" s="14"/>
      <c r="P365" s="14"/>
      <c r="Q365" s="14"/>
      <c r="R365" s="14"/>
    </row>
    <row r="366" spans="1:18" s="1" customFormat="1">
      <c r="B366" s="49" t="s">
        <v>1598</v>
      </c>
      <c r="C366" s="44" t="s">
        <v>493</v>
      </c>
      <c r="D366" s="1">
        <v>100</v>
      </c>
      <c r="F366" s="14"/>
      <c r="G366" s="14"/>
      <c r="H366" s="14"/>
      <c r="I366" s="11"/>
      <c r="J366" s="14"/>
      <c r="K366" s="16">
        <v>3</v>
      </c>
      <c r="L366" s="15"/>
      <c r="M366" s="14"/>
      <c r="P366" s="14"/>
      <c r="Q366" s="14"/>
      <c r="R366" s="14"/>
    </row>
    <row r="367" spans="1:18" s="1" customFormat="1">
      <c r="B367" s="49"/>
      <c r="F367" s="14"/>
      <c r="G367" s="14"/>
      <c r="H367" s="14"/>
      <c r="I367" s="11"/>
      <c r="J367" s="14"/>
      <c r="K367" s="16"/>
      <c r="L367" s="15"/>
      <c r="M367" s="14"/>
      <c r="P367" s="14"/>
      <c r="Q367" s="14"/>
      <c r="R367" s="14"/>
    </row>
    <row r="368" spans="1:18" s="1" customFormat="1">
      <c r="A368" s="44" t="s">
        <v>1602</v>
      </c>
      <c r="B368" s="49" t="s">
        <v>1603</v>
      </c>
      <c r="C368" s="44" t="s">
        <v>494</v>
      </c>
      <c r="E368" s="44" t="s">
        <v>476</v>
      </c>
      <c r="F368" s="14">
        <v>15</v>
      </c>
      <c r="G368" s="14">
        <v>1537</v>
      </c>
      <c r="H368" s="47" t="s">
        <v>1606</v>
      </c>
      <c r="I368" s="48" t="s">
        <v>1607</v>
      </c>
      <c r="J368" s="14">
        <v>2</v>
      </c>
      <c r="K368" s="16">
        <v>1</v>
      </c>
      <c r="L368" s="15">
        <v>6</v>
      </c>
      <c r="M368" s="14"/>
      <c r="P368" s="14"/>
      <c r="Q368" s="14"/>
      <c r="R368" s="14"/>
    </row>
    <row r="369" spans="1:18" s="1" customFormat="1">
      <c r="B369" s="49" t="s">
        <v>1604</v>
      </c>
      <c r="C369" s="44" t="s">
        <v>494</v>
      </c>
      <c r="F369" s="14"/>
      <c r="G369" s="14"/>
      <c r="H369" s="14"/>
      <c r="I369" s="11"/>
      <c r="J369" s="14"/>
      <c r="K369" s="16">
        <v>2</v>
      </c>
      <c r="L369" s="15">
        <v>6</v>
      </c>
      <c r="M369" s="14"/>
      <c r="P369" s="14"/>
      <c r="Q369" s="14"/>
      <c r="R369" s="14"/>
    </row>
    <row r="370" spans="1:18" s="1" customFormat="1">
      <c r="B370" s="49" t="s">
        <v>1605</v>
      </c>
      <c r="C370" s="44" t="s">
        <v>493</v>
      </c>
      <c r="D370" s="1">
        <v>100</v>
      </c>
      <c r="F370" s="14"/>
      <c r="G370" s="14"/>
      <c r="H370" s="14"/>
      <c r="I370" s="11"/>
      <c r="J370" s="14"/>
      <c r="K370" s="16">
        <v>3</v>
      </c>
      <c r="L370" s="15"/>
      <c r="M370" s="14"/>
      <c r="P370" s="14"/>
      <c r="Q370" s="14"/>
      <c r="R370" s="14"/>
    </row>
    <row r="371" spans="1:18" s="44" customFormat="1">
      <c r="I371" s="58"/>
      <c r="K371" s="59"/>
      <c r="L371" s="59"/>
    </row>
    <row r="372" spans="1:18" s="44" customFormat="1">
      <c r="A372" s="44" t="s">
        <v>1669</v>
      </c>
      <c r="B372" s="49" t="s">
        <v>1671</v>
      </c>
      <c r="C372" s="44" t="s">
        <v>494</v>
      </c>
      <c r="D372" s="1"/>
      <c r="E372" s="44" t="s">
        <v>476</v>
      </c>
      <c r="F372" s="14">
        <v>15</v>
      </c>
      <c r="G372" s="14">
        <v>1542</v>
      </c>
      <c r="H372" s="47" t="s">
        <v>1677</v>
      </c>
      <c r="I372" s="48" t="s">
        <v>1679</v>
      </c>
      <c r="J372" s="14">
        <v>2</v>
      </c>
      <c r="K372" s="16">
        <v>1</v>
      </c>
      <c r="L372" s="15">
        <v>6</v>
      </c>
    </row>
    <row r="373" spans="1:18" s="44" customFormat="1">
      <c r="B373" s="49" t="s">
        <v>1672</v>
      </c>
      <c r="C373" s="44" t="s">
        <v>494</v>
      </c>
      <c r="D373" s="1"/>
      <c r="E373" s="1"/>
      <c r="F373" s="14"/>
      <c r="G373" s="14"/>
      <c r="H373" s="14"/>
      <c r="I373" s="11"/>
      <c r="J373" s="14"/>
      <c r="K373" s="16">
        <v>2</v>
      </c>
      <c r="L373" s="15">
        <v>6</v>
      </c>
    </row>
    <row r="374" spans="1:18" s="44" customFormat="1">
      <c r="B374" s="49" t="s">
        <v>1673</v>
      </c>
      <c r="C374" s="44" t="s">
        <v>493</v>
      </c>
      <c r="D374" s="1">
        <v>100</v>
      </c>
      <c r="E374" s="1"/>
      <c r="F374" s="14"/>
      <c r="G374" s="14"/>
      <c r="H374" s="14"/>
      <c r="I374" s="11"/>
      <c r="J374" s="14"/>
      <c r="K374" s="16">
        <v>3</v>
      </c>
      <c r="L374" s="15"/>
    </row>
    <row r="375" spans="1:18" s="44" customFormat="1">
      <c r="I375" s="58"/>
      <c r="K375" s="59"/>
      <c r="L375" s="59"/>
    </row>
    <row r="376" spans="1:18" s="44" customFormat="1">
      <c r="A376" s="44" t="s">
        <v>1670</v>
      </c>
      <c r="B376" s="49" t="s">
        <v>1674</v>
      </c>
      <c r="C376" s="44" t="s">
        <v>494</v>
      </c>
      <c r="D376" s="1"/>
      <c r="E376" s="44" t="s">
        <v>476</v>
      </c>
      <c r="F376" s="14">
        <v>15</v>
      </c>
      <c r="G376" s="14">
        <v>1543</v>
      </c>
      <c r="H376" s="47" t="s">
        <v>1678</v>
      </c>
      <c r="I376" s="48" t="s">
        <v>1680</v>
      </c>
      <c r="J376" s="14">
        <v>2</v>
      </c>
      <c r="K376" s="16">
        <v>1</v>
      </c>
      <c r="L376" s="15">
        <v>6</v>
      </c>
    </row>
    <row r="377" spans="1:18" s="44" customFormat="1">
      <c r="B377" s="49" t="s">
        <v>1675</v>
      </c>
      <c r="C377" s="44" t="s">
        <v>494</v>
      </c>
      <c r="D377" s="1"/>
      <c r="E377" s="1"/>
      <c r="F377" s="14"/>
      <c r="G377" s="14"/>
      <c r="H377" s="14"/>
      <c r="I377" s="11"/>
      <c r="J377" s="14"/>
      <c r="K377" s="16">
        <v>2</v>
      </c>
      <c r="L377" s="15">
        <v>6</v>
      </c>
    </row>
    <row r="378" spans="1:18" s="44" customFormat="1">
      <c r="B378" s="49" t="s">
        <v>1676</v>
      </c>
      <c r="C378" s="44" t="s">
        <v>493</v>
      </c>
      <c r="D378" s="1">
        <v>100</v>
      </c>
      <c r="E378" s="1"/>
      <c r="F378" s="14"/>
      <c r="G378" s="14"/>
      <c r="H378" s="14"/>
      <c r="I378" s="11"/>
      <c r="J378" s="14"/>
      <c r="K378" s="16">
        <v>3</v>
      </c>
      <c r="L378" s="15"/>
    </row>
    <row r="379" spans="1:18" s="44" customFormat="1">
      <c r="B379" s="49"/>
      <c r="D379" s="1"/>
      <c r="E379" s="1"/>
      <c r="F379" s="14"/>
      <c r="G379" s="14"/>
      <c r="H379" s="14"/>
      <c r="I379" s="11"/>
      <c r="J379" s="14"/>
      <c r="K379" s="16"/>
      <c r="L379" s="15"/>
    </row>
    <row r="380" spans="1:18" s="1" customFormat="1">
      <c r="A380" s="62" t="s">
        <v>1876</v>
      </c>
      <c r="B380" s="66" t="s">
        <v>1877</v>
      </c>
      <c r="C380" s="62" t="s">
        <v>494</v>
      </c>
      <c r="E380" s="62" t="s">
        <v>476</v>
      </c>
      <c r="F380" s="14"/>
      <c r="G380" s="14"/>
      <c r="H380" s="14"/>
      <c r="I380" s="11"/>
      <c r="J380" s="14"/>
      <c r="K380" s="16"/>
      <c r="L380" s="15"/>
      <c r="M380" s="14"/>
      <c r="P380" s="14"/>
      <c r="Q380" s="14"/>
      <c r="R380" s="14"/>
    </row>
    <row r="381" spans="1:18" s="1" customFormat="1">
      <c r="B381" s="66" t="s">
        <v>1878</v>
      </c>
      <c r="C381" s="62" t="s">
        <v>493</v>
      </c>
      <c r="D381" s="1">
        <v>100</v>
      </c>
      <c r="F381" s="14"/>
      <c r="G381" s="14"/>
      <c r="H381" s="14"/>
      <c r="I381" s="11"/>
      <c r="J381" s="14"/>
      <c r="K381" s="16"/>
      <c r="L381" s="15"/>
      <c r="M381" s="14"/>
      <c r="P381" s="14"/>
      <c r="Q381" s="14"/>
      <c r="R381" s="14"/>
    </row>
    <row r="382" spans="1:18" s="1" customFormat="1">
      <c r="B382" s="66"/>
      <c r="C382" s="62"/>
      <c r="F382" s="14"/>
      <c r="G382" s="14"/>
      <c r="H382" s="14"/>
      <c r="I382" s="11"/>
      <c r="J382" s="14"/>
      <c r="K382" s="16"/>
      <c r="L382" s="15"/>
      <c r="M382" s="14"/>
      <c r="P382" s="14"/>
      <c r="Q382" s="14"/>
      <c r="R382" s="14"/>
    </row>
    <row r="383" spans="1:18" s="1" customFormat="1">
      <c r="A383" s="62" t="s">
        <v>1880</v>
      </c>
      <c r="B383" s="66" t="s">
        <v>1883</v>
      </c>
      <c r="C383" s="62" t="s">
        <v>494</v>
      </c>
      <c r="E383" s="62" t="s">
        <v>476</v>
      </c>
      <c r="F383" s="14">
        <v>15</v>
      </c>
      <c r="G383" s="14">
        <v>1553</v>
      </c>
      <c r="H383" s="47" t="s">
        <v>1885</v>
      </c>
      <c r="I383" s="48" t="s">
        <v>1886</v>
      </c>
      <c r="J383" s="14">
        <v>2</v>
      </c>
      <c r="K383" s="16">
        <v>1</v>
      </c>
      <c r="L383" s="15">
        <v>6</v>
      </c>
      <c r="M383" s="14"/>
      <c r="N383" s="44"/>
      <c r="O383" s="49"/>
      <c r="P383" s="14"/>
      <c r="Q383" s="14"/>
      <c r="R383" s="14"/>
    </row>
    <row r="384" spans="1:18" s="1" customFormat="1">
      <c r="B384" s="66" t="s">
        <v>1881</v>
      </c>
      <c r="C384" s="62" t="s">
        <v>494</v>
      </c>
      <c r="F384" s="14"/>
      <c r="G384" s="14"/>
      <c r="H384" s="14"/>
      <c r="I384" s="11"/>
      <c r="J384" s="14"/>
      <c r="K384" s="16">
        <v>2</v>
      </c>
      <c r="L384" s="15">
        <v>6</v>
      </c>
      <c r="M384" s="14"/>
      <c r="N384" s="44"/>
      <c r="O384" s="49"/>
      <c r="P384" s="14"/>
      <c r="Q384" s="14"/>
      <c r="R384" s="14"/>
    </row>
    <row r="385" spans="1:18" s="1" customFormat="1">
      <c r="B385" s="66" t="s">
        <v>1884</v>
      </c>
      <c r="C385" s="62" t="s">
        <v>494</v>
      </c>
      <c r="F385" s="14"/>
      <c r="G385" s="14"/>
      <c r="H385" s="14"/>
      <c r="I385" s="11"/>
      <c r="J385" s="14"/>
      <c r="K385" s="16">
        <v>3</v>
      </c>
      <c r="L385" s="15"/>
      <c r="M385" s="14"/>
      <c r="N385" s="44"/>
      <c r="O385" s="49"/>
      <c r="P385" s="14"/>
      <c r="Q385" s="14"/>
      <c r="R385" s="14"/>
    </row>
    <row r="386" spans="1:18" s="1" customFormat="1">
      <c r="B386" s="66" t="s">
        <v>1882</v>
      </c>
      <c r="C386" s="62" t="s">
        <v>493</v>
      </c>
      <c r="D386" s="1">
        <v>100</v>
      </c>
      <c r="F386" s="14"/>
      <c r="G386" s="14"/>
      <c r="H386" s="14"/>
      <c r="I386" s="11"/>
      <c r="J386" s="14"/>
      <c r="K386" s="16">
        <v>4</v>
      </c>
      <c r="L386" s="15"/>
      <c r="M386" s="14"/>
      <c r="N386" s="44"/>
      <c r="O386" s="49"/>
      <c r="P386" s="14"/>
      <c r="Q386" s="14"/>
      <c r="R386" s="14"/>
    </row>
    <row r="387" spans="1:18" s="1" customFormat="1">
      <c r="B387" s="49"/>
      <c r="C387" s="44"/>
      <c r="F387" s="14"/>
      <c r="G387" s="14"/>
      <c r="H387" s="14"/>
      <c r="I387" s="11"/>
      <c r="J387" s="14"/>
      <c r="K387" s="16"/>
      <c r="L387" s="15"/>
      <c r="M387" s="14"/>
      <c r="N387" s="44"/>
      <c r="O387" s="49"/>
      <c r="P387" s="14"/>
      <c r="Q387" s="14"/>
      <c r="R387" s="14"/>
    </row>
    <row r="388" spans="1:18" s="1" customFormat="1">
      <c r="A388" s="62" t="s">
        <v>5360</v>
      </c>
      <c r="B388" s="66" t="s">
        <v>5361</v>
      </c>
      <c r="C388" s="62" t="s">
        <v>494</v>
      </c>
      <c r="E388" s="62" t="s">
        <v>476</v>
      </c>
      <c r="F388" s="14">
        <v>15</v>
      </c>
      <c r="G388" s="14">
        <v>1554</v>
      </c>
      <c r="H388" s="47" t="s">
        <v>5367</v>
      </c>
      <c r="I388" s="48" t="s">
        <v>5368</v>
      </c>
      <c r="J388" s="14">
        <v>1506</v>
      </c>
      <c r="K388" s="16">
        <v>1</v>
      </c>
      <c r="L388" s="15">
        <v>6</v>
      </c>
      <c r="M388" s="14"/>
      <c r="N388" s="44"/>
      <c r="O388" s="49"/>
      <c r="P388" s="14"/>
      <c r="Q388" s="14"/>
      <c r="R388" s="14"/>
    </row>
    <row r="389" spans="1:18" s="1" customFormat="1">
      <c r="B389" s="66" t="s">
        <v>5362</v>
      </c>
      <c r="C389" s="62" t="s">
        <v>494</v>
      </c>
      <c r="F389" s="14"/>
      <c r="G389" s="14"/>
      <c r="H389" s="14"/>
      <c r="I389" s="11"/>
      <c r="J389" s="14"/>
      <c r="K389" s="16">
        <v>2</v>
      </c>
      <c r="L389" s="15">
        <v>6</v>
      </c>
      <c r="M389" s="14"/>
      <c r="N389" s="44"/>
      <c r="O389" s="49"/>
      <c r="P389" s="14"/>
      <c r="Q389" s="14"/>
      <c r="R389" s="14"/>
    </row>
    <row r="390" spans="1:18" s="1" customFormat="1">
      <c r="B390" s="66" t="s">
        <v>5363</v>
      </c>
      <c r="C390" s="62" t="s">
        <v>493</v>
      </c>
      <c r="D390" s="1">
        <v>200</v>
      </c>
      <c r="F390" s="14"/>
      <c r="G390" s="14"/>
      <c r="H390" s="14"/>
      <c r="I390" s="11"/>
      <c r="J390" s="14"/>
      <c r="K390" s="16">
        <v>3</v>
      </c>
      <c r="L390" s="15"/>
      <c r="M390" s="14"/>
      <c r="N390" s="44"/>
      <c r="O390" s="49"/>
      <c r="P390" s="14"/>
      <c r="Q390" s="14"/>
      <c r="R390" s="14"/>
    </row>
    <row r="391" spans="1:18" s="1" customFormat="1">
      <c r="B391" s="66" t="s">
        <v>5364</v>
      </c>
      <c r="C391" s="62" t="s">
        <v>520</v>
      </c>
      <c r="F391" s="14"/>
      <c r="G391" s="14"/>
      <c r="H391" s="14"/>
      <c r="I391" s="11"/>
      <c r="J391" s="14"/>
      <c r="K391" s="16">
        <v>4</v>
      </c>
      <c r="L391" s="15"/>
      <c r="M391" s="14"/>
      <c r="N391" s="44"/>
      <c r="O391" s="49"/>
      <c r="P391" s="14"/>
      <c r="Q391" s="14"/>
      <c r="R391" s="14"/>
    </row>
    <row r="392" spans="1:18" s="1" customFormat="1">
      <c r="B392" s="66" t="s">
        <v>5365</v>
      </c>
      <c r="C392" s="62" t="s">
        <v>494</v>
      </c>
      <c r="F392" s="14"/>
      <c r="G392" s="14"/>
      <c r="H392" s="47" t="s">
        <v>5366</v>
      </c>
      <c r="I392" s="11"/>
      <c r="J392" s="14"/>
      <c r="K392" s="16">
        <v>5</v>
      </c>
      <c r="L392" s="15">
        <v>3</v>
      </c>
      <c r="M392" s="14"/>
      <c r="N392" s="44"/>
      <c r="O392" s="49"/>
      <c r="P392" s="14"/>
      <c r="Q392" s="14"/>
      <c r="R392" s="14"/>
    </row>
    <row r="393" spans="1:18" s="1" customFormat="1">
      <c r="B393" s="66" t="s">
        <v>5369</v>
      </c>
      <c r="C393" s="62" t="s">
        <v>494</v>
      </c>
      <c r="F393" s="14"/>
      <c r="G393" s="14"/>
      <c r="H393" s="14"/>
      <c r="I393" s="11"/>
      <c r="J393" s="14"/>
      <c r="K393" s="16">
        <v>6</v>
      </c>
      <c r="L393" s="15">
        <v>8</v>
      </c>
      <c r="M393" s="14"/>
      <c r="N393" s="44"/>
      <c r="O393" s="49"/>
      <c r="P393" s="14"/>
      <c r="Q393" s="14"/>
      <c r="R393" s="14"/>
    </row>
    <row r="394" spans="1:18" s="1" customFormat="1">
      <c r="B394" s="66" t="s">
        <v>5378</v>
      </c>
      <c r="C394" s="62" t="s">
        <v>494</v>
      </c>
      <c r="F394" s="14"/>
      <c r="G394" s="14"/>
      <c r="H394" s="47" t="s">
        <v>5379</v>
      </c>
      <c r="I394" s="11"/>
      <c r="J394" s="14"/>
      <c r="K394" s="16">
        <v>7</v>
      </c>
      <c r="L394" s="15">
        <v>3</v>
      </c>
      <c r="M394" s="14"/>
      <c r="N394" s="44"/>
      <c r="O394" s="49"/>
      <c r="P394" s="14"/>
      <c r="Q394" s="14"/>
      <c r="R394" s="14"/>
    </row>
    <row r="395" spans="1:18" s="1" customFormat="1">
      <c r="B395" s="66"/>
      <c r="C395" s="44"/>
      <c r="F395" s="14"/>
      <c r="G395" s="14"/>
      <c r="H395" s="14"/>
      <c r="I395" s="11"/>
      <c r="J395" s="14"/>
      <c r="K395" s="16"/>
      <c r="L395" s="15"/>
      <c r="M395" s="14"/>
      <c r="N395" s="44"/>
      <c r="O395" s="49"/>
      <c r="P395" s="14"/>
      <c r="Q395" s="14"/>
      <c r="R395" s="14"/>
    </row>
    <row r="396" spans="1:18" s="1" customFormat="1">
      <c r="A396" s="62" t="s">
        <v>5370</v>
      </c>
      <c r="B396" s="66" t="s">
        <v>5371</v>
      </c>
      <c r="C396" s="62" t="s">
        <v>494</v>
      </c>
      <c r="E396" s="62" t="s">
        <v>476</v>
      </c>
      <c r="F396" s="14">
        <v>15</v>
      </c>
      <c r="G396" s="14">
        <v>1555</v>
      </c>
      <c r="H396" s="47" t="s">
        <v>5380</v>
      </c>
      <c r="I396" s="11"/>
      <c r="J396" s="14">
        <v>1506</v>
      </c>
      <c r="K396" s="16">
        <v>1</v>
      </c>
      <c r="L396" s="15">
        <v>52</v>
      </c>
      <c r="M396" s="14"/>
      <c r="N396" s="44">
        <v>1554</v>
      </c>
      <c r="O396" s="66" t="s">
        <v>5362</v>
      </c>
      <c r="P396" s="14"/>
      <c r="Q396" s="14"/>
      <c r="R396" s="14"/>
    </row>
    <row r="397" spans="1:18" s="1" customFormat="1">
      <c r="B397" s="66" t="s">
        <v>5372</v>
      </c>
      <c r="C397" s="62" t="s">
        <v>494</v>
      </c>
      <c r="E397" s="62" t="s">
        <v>476</v>
      </c>
      <c r="F397" s="14"/>
      <c r="G397" s="14"/>
      <c r="H397" s="14"/>
      <c r="I397" s="11"/>
      <c r="J397" s="14"/>
      <c r="K397" s="16">
        <v>2</v>
      </c>
      <c r="L397" s="15">
        <v>6</v>
      </c>
      <c r="M397" s="14"/>
      <c r="N397" s="44"/>
      <c r="O397" s="49"/>
      <c r="P397" s="14"/>
      <c r="Q397" s="14"/>
      <c r="R397" s="14"/>
    </row>
    <row r="398" spans="1:18" s="1" customFormat="1">
      <c r="B398" s="66" t="s">
        <v>5373</v>
      </c>
      <c r="C398" s="62" t="s">
        <v>494</v>
      </c>
      <c r="F398" s="14"/>
      <c r="G398" s="14"/>
      <c r="H398" s="14"/>
      <c r="I398" s="11"/>
      <c r="J398" s="14"/>
      <c r="K398" s="16">
        <v>3</v>
      </c>
      <c r="L398" s="15">
        <v>6</v>
      </c>
      <c r="M398" s="14"/>
      <c r="N398" s="44"/>
      <c r="O398" s="49"/>
      <c r="P398" s="14"/>
      <c r="Q398" s="14"/>
      <c r="R398" s="14"/>
    </row>
    <row r="399" spans="1:18" s="1" customFormat="1">
      <c r="B399" s="66" t="s">
        <v>5374</v>
      </c>
      <c r="C399" s="62" t="s">
        <v>493</v>
      </c>
      <c r="D399" s="1">
        <v>200</v>
      </c>
      <c r="F399" s="14"/>
      <c r="G399" s="14"/>
      <c r="H399" s="14"/>
      <c r="I399" s="11"/>
      <c r="J399" s="14"/>
      <c r="K399" s="16">
        <v>4</v>
      </c>
      <c r="L399" s="15"/>
      <c r="M399" s="14"/>
      <c r="N399" s="44"/>
      <c r="O399" s="49"/>
      <c r="P399" s="14"/>
      <c r="Q399" s="14"/>
      <c r="R399" s="14"/>
    </row>
    <row r="400" spans="1:18" s="1" customFormat="1">
      <c r="B400" s="66" t="s">
        <v>5375</v>
      </c>
      <c r="C400" s="62" t="s">
        <v>520</v>
      </c>
      <c r="F400" s="14"/>
      <c r="G400" s="14"/>
      <c r="H400" s="14"/>
      <c r="I400" s="11"/>
      <c r="J400" s="14"/>
      <c r="K400" s="16">
        <v>5</v>
      </c>
      <c r="L400" s="15"/>
      <c r="M400" s="14"/>
      <c r="N400" s="44"/>
      <c r="O400" s="49"/>
      <c r="P400" s="14"/>
      <c r="Q400" s="14"/>
      <c r="R400" s="14"/>
    </row>
    <row r="401" spans="1:18" s="1" customFormat="1">
      <c r="B401" s="66" t="s">
        <v>5376</v>
      </c>
      <c r="C401" s="62" t="s">
        <v>494</v>
      </c>
      <c r="F401" s="14"/>
      <c r="G401" s="14"/>
      <c r="H401" s="14"/>
      <c r="I401" s="11"/>
      <c r="J401" s="14"/>
      <c r="K401" s="16">
        <v>6</v>
      </c>
      <c r="L401" s="15"/>
      <c r="M401" s="14">
        <v>1</v>
      </c>
      <c r="N401" s="44"/>
      <c r="O401" s="49"/>
      <c r="P401" s="14"/>
      <c r="Q401" s="14"/>
      <c r="R401" s="14"/>
    </row>
    <row r="402" spans="1:18" s="1" customFormat="1">
      <c r="B402" s="66" t="s">
        <v>5377</v>
      </c>
      <c r="C402" s="62" t="s">
        <v>494</v>
      </c>
      <c r="F402" s="14"/>
      <c r="G402" s="14"/>
      <c r="H402" s="14"/>
      <c r="I402" s="11"/>
      <c r="J402" s="14"/>
      <c r="K402" s="16">
        <v>7</v>
      </c>
      <c r="L402" s="15"/>
      <c r="M402" s="14">
        <v>1</v>
      </c>
      <c r="N402" s="44"/>
      <c r="O402" s="49"/>
      <c r="P402" s="14"/>
      <c r="Q402" s="14"/>
      <c r="R402" s="14"/>
    </row>
    <row r="403" spans="1:18" s="1" customFormat="1">
      <c r="B403" s="66"/>
      <c r="C403" s="44"/>
      <c r="F403" s="14"/>
      <c r="G403" s="14"/>
      <c r="H403" s="14"/>
      <c r="I403" s="11"/>
      <c r="J403" s="14"/>
      <c r="K403" s="16"/>
      <c r="L403" s="15"/>
      <c r="M403" s="14"/>
      <c r="N403" s="44"/>
      <c r="O403" s="49"/>
      <c r="P403" s="14"/>
      <c r="Q403" s="14"/>
      <c r="R403" s="14"/>
    </row>
    <row r="404" spans="1:18" s="1" customFormat="1">
      <c r="A404" s="62" t="s">
        <v>5381</v>
      </c>
      <c r="B404" s="66" t="s">
        <v>5382</v>
      </c>
      <c r="C404" s="62" t="s">
        <v>494</v>
      </c>
      <c r="E404" s="62" t="s">
        <v>476</v>
      </c>
      <c r="F404" s="14">
        <v>15</v>
      </c>
      <c r="G404" s="14">
        <v>1556</v>
      </c>
      <c r="H404" s="47" t="s">
        <v>1174</v>
      </c>
      <c r="I404" s="11"/>
      <c r="J404" s="14">
        <v>1506</v>
      </c>
      <c r="K404" s="16">
        <v>1</v>
      </c>
      <c r="L404" s="15">
        <v>52</v>
      </c>
      <c r="M404" s="14"/>
      <c r="N404" s="44">
        <v>1554</v>
      </c>
      <c r="O404" s="66" t="s">
        <v>5362</v>
      </c>
      <c r="P404" s="14"/>
      <c r="Q404" s="14"/>
      <c r="R404" s="14"/>
    </row>
    <row r="405" spans="1:18" s="1" customFormat="1">
      <c r="B405" s="66" t="s">
        <v>5383</v>
      </c>
      <c r="C405" s="62" t="s">
        <v>494</v>
      </c>
      <c r="E405" s="62" t="s">
        <v>476</v>
      </c>
      <c r="F405" s="14"/>
      <c r="G405" s="14"/>
      <c r="H405" s="14"/>
      <c r="I405" s="11"/>
      <c r="J405" s="14"/>
      <c r="K405" s="16">
        <v>2</v>
      </c>
      <c r="L405" s="15">
        <v>3</v>
      </c>
      <c r="M405" s="14"/>
      <c r="N405" s="62" t="s">
        <v>5370</v>
      </c>
      <c r="O405" s="66" t="s">
        <v>5373</v>
      </c>
      <c r="P405" s="66" t="s">
        <v>5374</v>
      </c>
      <c r="Q405" s="66" t="s">
        <v>5371</v>
      </c>
      <c r="R405" s="14">
        <v>1555</v>
      </c>
    </row>
    <row r="406" spans="1:18" s="1" customFormat="1">
      <c r="B406" s="66" t="s">
        <v>5384</v>
      </c>
      <c r="C406" s="62" t="s">
        <v>494</v>
      </c>
      <c r="E406" s="62" t="s">
        <v>476</v>
      </c>
      <c r="F406" s="14"/>
      <c r="G406" s="14"/>
      <c r="H406" s="14"/>
      <c r="I406" s="11"/>
      <c r="J406" s="14"/>
      <c r="K406" s="16">
        <v>3</v>
      </c>
      <c r="L406" s="15">
        <v>6</v>
      </c>
      <c r="M406" s="14"/>
      <c r="N406" s="44"/>
      <c r="O406" s="49"/>
      <c r="P406" s="14"/>
      <c r="Q406" s="14"/>
      <c r="R406" s="14"/>
    </row>
    <row r="407" spans="1:18" s="1" customFormat="1">
      <c r="B407" s="66" t="s">
        <v>5385</v>
      </c>
      <c r="C407" s="62" t="s">
        <v>494</v>
      </c>
      <c r="F407" s="14"/>
      <c r="G407" s="14"/>
      <c r="H407" s="14"/>
      <c r="I407" s="11"/>
      <c r="J407" s="14"/>
      <c r="K407" s="16">
        <v>4</v>
      </c>
      <c r="L407" s="15">
        <v>6</v>
      </c>
      <c r="M407" s="14"/>
      <c r="N407" s="44"/>
      <c r="O407" s="49"/>
      <c r="P407" s="14"/>
      <c r="Q407" s="14"/>
      <c r="R407" s="14"/>
    </row>
    <row r="408" spans="1:18" s="1" customFormat="1">
      <c r="B408" s="66" t="s">
        <v>5392</v>
      </c>
      <c r="C408" s="62" t="s">
        <v>494</v>
      </c>
      <c r="F408" s="14"/>
      <c r="G408" s="14"/>
      <c r="H408" s="14"/>
      <c r="I408" s="11"/>
      <c r="J408" s="14"/>
      <c r="K408" s="16">
        <v>5</v>
      </c>
      <c r="L408" s="15">
        <v>3</v>
      </c>
      <c r="M408" s="14">
        <v>3</v>
      </c>
      <c r="N408" s="62" t="s">
        <v>5393</v>
      </c>
      <c r="O408" s="66" t="s">
        <v>5394</v>
      </c>
      <c r="P408" s="66" t="s">
        <v>5395</v>
      </c>
      <c r="Q408" s="14"/>
      <c r="R408" s="14"/>
    </row>
    <row r="409" spans="1:18" s="1" customFormat="1">
      <c r="B409" s="66" t="s">
        <v>5386</v>
      </c>
      <c r="C409" s="62" t="s">
        <v>493</v>
      </c>
      <c r="D409" s="1">
        <v>200</v>
      </c>
      <c r="F409" s="14"/>
      <c r="G409" s="14"/>
      <c r="H409" s="14"/>
      <c r="I409" s="11"/>
      <c r="J409" s="14"/>
      <c r="K409" s="16">
        <v>6</v>
      </c>
      <c r="L409" s="15"/>
      <c r="M409" s="14"/>
      <c r="O409" s="66"/>
      <c r="P409" s="14"/>
      <c r="Q409" s="14"/>
      <c r="R409" s="14"/>
    </row>
    <row r="410" spans="1:18" s="1" customFormat="1">
      <c r="B410" s="66" t="s">
        <v>5387</v>
      </c>
      <c r="C410" s="62" t="s">
        <v>520</v>
      </c>
      <c r="F410" s="14"/>
      <c r="G410" s="14"/>
      <c r="H410" s="14"/>
      <c r="I410" s="11"/>
      <c r="J410" s="14"/>
      <c r="K410" s="16">
        <v>7</v>
      </c>
      <c r="L410" s="15"/>
      <c r="M410" s="14"/>
      <c r="N410" s="44"/>
      <c r="O410" s="49"/>
      <c r="P410" s="14"/>
      <c r="Q410" s="14"/>
      <c r="R410" s="14"/>
    </row>
    <row r="411" spans="1:18" s="1" customFormat="1">
      <c r="B411" s="66" t="s">
        <v>5388</v>
      </c>
      <c r="C411" s="62" t="s">
        <v>494</v>
      </c>
      <c r="F411" s="14"/>
      <c r="G411" s="14"/>
      <c r="H411" s="14"/>
      <c r="I411" s="11"/>
      <c r="J411" s="14"/>
      <c r="K411" s="16">
        <v>8</v>
      </c>
      <c r="L411" s="15">
        <v>7</v>
      </c>
      <c r="M411" s="14"/>
      <c r="N411" s="44"/>
      <c r="O411" s="49"/>
      <c r="P411" s="14"/>
      <c r="Q411" s="14"/>
      <c r="R411" s="14"/>
    </row>
    <row r="412" spans="1:18" s="1" customFormat="1">
      <c r="B412" s="66" t="s">
        <v>5389</v>
      </c>
      <c r="C412" s="62" t="s">
        <v>494</v>
      </c>
      <c r="F412" s="14"/>
      <c r="G412" s="14"/>
      <c r="H412" s="14"/>
      <c r="I412" s="11"/>
      <c r="J412" s="14"/>
      <c r="K412" s="16">
        <v>9</v>
      </c>
      <c r="L412" s="15">
        <v>7</v>
      </c>
      <c r="M412" s="14"/>
      <c r="N412" s="44"/>
      <c r="O412" s="49"/>
      <c r="P412" s="14"/>
      <c r="Q412" s="14"/>
      <c r="R412" s="14"/>
    </row>
    <row r="413" spans="1:18" s="1" customFormat="1">
      <c r="B413" s="66" t="s">
        <v>5390</v>
      </c>
      <c r="C413" s="62" t="s">
        <v>494</v>
      </c>
      <c r="F413" s="14"/>
      <c r="G413" s="14"/>
      <c r="H413" s="14"/>
      <c r="I413" s="11"/>
      <c r="J413" s="14"/>
      <c r="K413" s="16">
        <v>10</v>
      </c>
      <c r="L413" s="15">
        <v>91</v>
      </c>
      <c r="M413" s="14"/>
      <c r="N413" s="44"/>
      <c r="O413" s="49"/>
      <c r="P413" s="14"/>
      <c r="Q413" s="14"/>
      <c r="R413" s="14"/>
    </row>
    <row r="414" spans="1:18" s="1" customFormat="1">
      <c r="B414" s="66" t="s">
        <v>5391</v>
      </c>
      <c r="C414" s="62" t="s">
        <v>494</v>
      </c>
      <c r="F414" s="14"/>
      <c r="G414" s="14"/>
      <c r="H414" s="14"/>
      <c r="I414" s="11"/>
      <c r="J414" s="14"/>
      <c r="K414" s="16">
        <v>11</v>
      </c>
      <c r="L414" s="15">
        <v>92</v>
      </c>
      <c r="M414" s="14"/>
      <c r="N414" s="44"/>
      <c r="O414" s="49"/>
      <c r="P414" s="14"/>
      <c r="Q414" s="14"/>
      <c r="R414" s="14"/>
    </row>
    <row r="415" spans="1:18" s="1" customFormat="1">
      <c r="B415" s="66"/>
      <c r="C415" s="62"/>
      <c r="F415" s="14"/>
      <c r="G415" s="14"/>
      <c r="H415" s="14"/>
      <c r="I415" s="11"/>
      <c r="J415" s="14"/>
      <c r="K415" s="16"/>
      <c r="L415" s="15"/>
      <c r="M415" s="14"/>
      <c r="N415" s="44"/>
      <c r="O415" s="49"/>
      <c r="P415" s="14"/>
      <c r="Q415" s="14"/>
      <c r="R415" s="14"/>
    </row>
    <row r="416" spans="1:18" s="1" customFormat="1">
      <c r="A416" s="62" t="s">
        <v>5393</v>
      </c>
      <c r="B416" s="66" t="s">
        <v>5394</v>
      </c>
      <c r="C416" s="62" t="s">
        <v>494</v>
      </c>
      <c r="E416" s="62" t="s">
        <v>476</v>
      </c>
      <c r="F416" s="14"/>
      <c r="G416" s="14"/>
      <c r="H416" s="14"/>
      <c r="I416" s="11"/>
      <c r="J416" s="14"/>
      <c r="K416" s="16"/>
      <c r="L416" s="15"/>
      <c r="M416" s="14"/>
      <c r="N416" s="44"/>
      <c r="O416" s="49"/>
      <c r="P416" s="14"/>
      <c r="Q416" s="14"/>
      <c r="R416" s="14"/>
    </row>
    <row r="417" spans="1:18" s="1" customFormat="1">
      <c r="B417" s="66" t="s">
        <v>5395</v>
      </c>
      <c r="C417" s="62" t="s">
        <v>493</v>
      </c>
      <c r="D417" s="1">
        <v>50</v>
      </c>
      <c r="F417" s="14"/>
      <c r="G417" s="14"/>
      <c r="H417" s="14"/>
      <c r="I417" s="11"/>
      <c r="J417" s="14"/>
      <c r="K417" s="16"/>
      <c r="L417" s="15"/>
      <c r="M417" s="14"/>
      <c r="N417" s="44"/>
      <c r="O417" s="49"/>
      <c r="P417" s="14"/>
      <c r="Q417" s="14"/>
      <c r="R417" s="14"/>
    </row>
    <row r="418" spans="1:18" s="1" customFormat="1">
      <c r="B418" s="49"/>
      <c r="C418" s="44"/>
      <c r="F418" s="14"/>
      <c r="G418" s="14"/>
      <c r="H418" s="14"/>
      <c r="I418" s="11"/>
      <c r="J418" s="14"/>
      <c r="K418" s="16"/>
      <c r="L418" s="15"/>
      <c r="M418" s="14"/>
      <c r="N418" s="44"/>
      <c r="O418" s="49"/>
      <c r="P418" s="14"/>
      <c r="Q418" s="14"/>
      <c r="R418" s="14"/>
    </row>
    <row r="419" spans="1:18" s="1" customFormat="1">
      <c r="A419" s="62" t="s">
        <v>6101</v>
      </c>
      <c r="B419" s="66" t="s">
        <v>6102</v>
      </c>
      <c r="C419" s="62" t="s">
        <v>494</v>
      </c>
      <c r="E419" s="62" t="s">
        <v>476</v>
      </c>
      <c r="F419" s="14"/>
      <c r="G419" s="14"/>
      <c r="H419" s="14"/>
      <c r="I419" s="11"/>
      <c r="J419" s="14"/>
      <c r="K419" s="16"/>
      <c r="L419" s="15"/>
      <c r="M419" s="14"/>
      <c r="N419" s="44"/>
      <c r="O419" s="49"/>
      <c r="P419" s="14"/>
      <c r="Q419" s="14"/>
      <c r="R419" s="14"/>
    </row>
    <row r="420" spans="1:18" s="1" customFormat="1">
      <c r="B420" s="66" t="s">
        <v>6103</v>
      </c>
      <c r="C420" s="62" t="s">
        <v>493</v>
      </c>
      <c r="D420" s="1">
        <v>50</v>
      </c>
      <c r="F420" s="14"/>
      <c r="G420" s="14"/>
      <c r="H420" s="14"/>
      <c r="I420" s="11"/>
      <c r="J420" s="14"/>
      <c r="K420" s="16"/>
      <c r="L420" s="15"/>
      <c r="M420" s="14"/>
      <c r="N420" s="44"/>
      <c r="O420" s="49"/>
      <c r="P420" s="14"/>
      <c r="Q420" s="14"/>
      <c r="R420" s="14"/>
    </row>
    <row r="421" spans="1:18" s="1" customFormat="1">
      <c r="B421" s="49"/>
      <c r="C421" s="44"/>
      <c r="F421" s="14"/>
      <c r="G421" s="14"/>
      <c r="H421" s="14"/>
      <c r="I421" s="11"/>
      <c r="J421" s="14"/>
      <c r="K421" s="16"/>
      <c r="L421" s="15"/>
      <c r="M421" s="14"/>
      <c r="N421" s="44"/>
      <c r="O421" s="49"/>
      <c r="P421" s="14"/>
      <c r="Q421" s="14"/>
      <c r="R421" s="14"/>
    </row>
    <row r="422" spans="1:18" s="1" customFormat="1">
      <c r="A422" s="62" t="s">
        <v>6104</v>
      </c>
      <c r="B422" s="66" t="s">
        <v>6105</v>
      </c>
      <c r="C422" s="62" t="s">
        <v>494</v>
      </c>
      <c r="E422" s="62" t="s">
        <v>476</v>
      </c>
      <c r="F422" s="14"/>
      <c r="G422" s="14"/>
      <c r="H422" s="14"/>
      <c r="I422" s="11"/>
      <c r="J422" s="14"/>
      <c r="K422" s="16"/>
      <c r="L422" s="15"/>
      <c r="M422" s="14"/>
      <c r="N422" s="44"/>
      <c r="O422" s="49"/>
      <c r="P422" s="14"/>
      <c r="Q422" s="14"/>
      <c r="R422" s="14"/>
    </row>
    <row r="423" spans="1:18" s="1" customFormat="1">
      <c r="B423" s="66" t="s">
        <v>6106</v>
      </c>
      <c r="C423" s="62" t="s">
        <v>493</v>
      </c>
      <c r="D423" s="1">
        <v>50</v>
      </c>
      <c r="F423" s="14"/>
      <c r="G423" s="14"/>
      <c r="H423" s="14"/>
      <c r="I423" s="11"/>
      <c r="J423" s="14"/>
      <c r="K423" s="16"/>
      <c r="L423" s="15"/>
      <c r="M423" s="14"/>
      <c r="N423" s="44"/>
      <c r="O423" s="49"/>
      <c r="P423" s="14"/>
      <c r="Q423" s="14"/>
      <c r="R423" s="14"/>
    </row>
    <row r="424" spans="1:18" s="1" customFormat="1">
      <c r="B424" s="49"/>
      <c r="C424" s="44"/>
      <c r="F424" s="14"/>
      <c r="G424" s="14"/>
      <c r="H424" s="14"/>
      <c r="I424" s="11"/>
      <c r="J424" s="14"/>
      <c r="K424" s="16"/>
      <c r="L424" s="15"/>
      <c r="M424" s="14"/>
      <c r="N424" s="44"/>
      <c r="O424" s="49"/>
      <c r="P424" s="14"/>
      <c r="Q424" s="14"/>
      <c r="R424" s="14"/>
    </row>
    <row r="425" spans="1:18" s="1" customFormat="1">
      <c r="A425" s="62" t="s">
        <v>2973</v>
      </c>
      <c r="B425" s="62" t="s">
        <v>2974</v>
      </c>
      <c r="C425" s="62" t="s">
        <v>494</v>
      </c>
      <c r="E425" s="62" t="s">
        <v>476</v>
      </c>
      <c r="F425" s="1">
        <v>15</v>
      </c>
      <c r="G425" s="1">
        <v>1583</v>
      </c>
      <c r="H425" s="62" t="s">
        <v>2975</v>
      </c>
      <c r="I425" s="22" t="s">
        <v>2976</v>
      </c>
      <c r="J425" s="1">
        <v>9999</v>
      </c>
      <c r="K425" s="82">
        <v>1</v>
      </c>
      <c r="L425" s="9"/>
    </row>
    <row r="426" spans="1:18" s="1" customFormat="1">
      <c r="B426" s="62" t="s">
        <v>3187</v>
      </c>
      <c r="C426" s="62" t="s">
        <v>493</v>
      </c>
      <c r="D426" s="1">
        <v>30</v>
      </c>
      <c r="I426" s="2"/>
      <c r="K426" s="82">
        <v>2</v>
      </c>
      <c r="L426" s="9"/>
    </row>
    <row r="428" spans="1:18">
      <c r="A428" s="62" t="s">
        <v>4250</v>
      </c>
      <c r="B428" s="62" t="s">
        <v>4251</v>
      </c>
      <c r="C428" s="62" t="s">
        <v>493</v>
      </c>
      <c r="D428">
        <v>30</v>
      </c>
      <c r="E428" s="62" t="s">
        <v>476</v>
      </c>
      <c r="F428">
        <v>15</v>
      </c>
      <c r="G428">
        <v>1584</v>
      </c>
      <c r="H428" s="62" t="s">
        <v>4248</v>
      </c>
      <c r="I428" s="62" t="s">
        <v>4249</v>
      </c>
      <c r="J428">
        <v>301</v>
      </c>
      <c r="K428">
        <v>1</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sheetPr codeName="Hoja11">
    <tabColor rgb="FF00B050"/>
  </sheetPr>
  <dimension ref="A1:V712"/>
  <sheetViews>
    <sheetView workbookViewId="0">
      <pane ySplit="1" topLeftCell="A639" activePane="bottomLeft" state="frozenSplit"/>
      <selection pane="bottomLeft" activeCell="I643" sqref="I643"/>
    </sheetView>
  </sheetViews>
  <sheetFormatPr baseColWidth="10" defaultRowHeight="12.75"/>
  <cols>
    <col min="1" max="1" width="21" bestFit="1" customWidth="1"/>
    <col min="2" max="2" width="29.5703125" customWidth="1"/>
    <col min="3" max="3" width="7.42578125" bestFit="1" customWidth="1"/>
    <col min="4" max="4" width="4.42578125" customWidth="1"/>
    <col min="5" max="5" width="3.140625" customWidth="1"/>
    <col min="6" max="6" width="4.5703125" bestFit="1" customWidth="1"/>
    <col min="7" max="7" width="7.7109375" bestFit="1" customWidth="1"/>
    <col min="8" max="8" width="31.28515625" customWidth="1"/>
    <col min="9" max="9" width="15.85546875" bestFit="1" customWidth="1"/>
    <col min="10" max="10" width="7.7109375" customWidth="1"/>
    <col min="11" max="11" width="4" customWidth="1"/>
    <col min="12" max="12" width="4.28515625" customWidth="1"/>
    <col min="13" max="13" width="4.85546875" customWidth="1"/>
    <col min="14" max="14" width="20.28515625" bestFit="1" customWidth="1"/>
    <col min="15" max="15" width="15.85546875" customWidth="1"/>
    <col min="16" max="16" width="15.7109375" customWidth="1"/>
    <col min="17" max="17" width="21.7109375" bestFit="1"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s="1" customFormat="1">
      <c r="A2" s="62" t="s">
        <v>909</v>
      </c>
      <c r="B2" s="64" t="s">
        <v>910</v>
      </c>
      <c r="C2" s="10" t="s">
        <v>494</v>
      </c>
      <c r="D2" s="10"/>
      <c r="E2" s="10" t="s">
        <v>476</v>
      </c>
      <c r="F2" s="14">
        <v>17</v>
      </c>
      <c r="G2" s="14">
        <v>1701</v>
      </c>
      <c r="H2" s="14" t="s">
        <v>800</v>
      </c>
      <c r="I2" s="11" t="s">
        <v>919</v>
      </c>
      <c r="J2" s="14">
        <v>2</v>
      </c>
      <c r="K2" s="16">
        <v>1</v>
      </c>
      <c r="L2" s="15"/>
      <c r="M2" s="14"/>
      <c r="N2" s="14"/>
      <c r="O2" s="14"/>
      <c r="P2" s="14"/>
    </row>
    <row r="3" spans="1:18" s="1" customFormat="1">
      <c r="B3" s="10" t="s">
        <v>911</v>
      </c>
      <c r="C3" s="10" t="s">
        <v>494</v>
      </c>
      <c r="D3" s="10"/>
      <c r="E3" s="10"/>
      <c r="F3" s="14"/>
      <c r="G3" s="14"/>
      <c r="H3" s="14"/>
      <c r="I3" s="11"/>
      <c r="J3" s="14"/>
      <c r="K3" s="16">
        <v>2</v>
      </c>
      <c r="L3" s="15">
        <v>3</v>
      </c>
      <c r="M3" s="14"/>
      <c r="N3" t="s">
        <v>916</v>
      </c>
      <c r="O3" t="s">
        <v>917</v>
      </c>
      <c r="P3" t="s">
        <v>918</v>
      </c>
    </row>
    <row r="4" spans="1:18" s="1" customFormat="1">
      <c r="B4" s="10" t="s">
        <v>912</v>
      </c>
      <c r="C4" s="10" t="s">
        <v>494</v>
      </c>
      <c r="D4" s="10"/>
      <c r="E4" s="10"/>
      <c r="F4" s="14"/>
      <c r="G4" s="14"/>
      <c r="H4" s="14"/>
      <c r="I4" s="11"/>
      <c r="J4" s="14"/>
      <c r="K4" s="16">
        <v>3</v>
      </c>
      <c r="L4" s="15">
        <v>3</v>
      </c>
      <c r="M4" s="14"/>
      <c r="N4" s="1" t="s">
        <v>551</v>
      </c>
      <c r="O4" s="1" t="s">
        <v>552</v>
      </c>
      <c r="P4" s="1" t="s">
        <v>553</v>
      </c>
    </row>
    <row r="5" spans="1:18" s="1" customFormat="1">
      <c r="B5" s="10" t="s">
        <v>913</v>
      </c>
      <c r="C5" s="10" t="s">
        <v>494</v>
      </c>
      <c r="D5" s="10"/>
      <c r="E5" s="10"/>
      <c r="F5" s="14"/>
      <c r="G5" s="14"/>
      <c r="H5" s="14"/>
      <c r="I5" s="11"/>
      <c r="J5" s="14"/>
      <c r="K5" s="16">
        <v>4</v>
      </c>
      <c r="L5" s="15">
        <v>3</v>
      </c>
      <c r="M5" s="14"/>
      <c r="N5" s="1" t="s">
        <v>551</v>
      </c>
      <c r="O5" s="1" t="s">
        <v>552</v>
      </c>
      <c r="P5" s="1" t="s">
        <v>553</v>
      </c>
    </row>
    <row r="6" spans="1:18" s="1" customFormat="1">
      <c r="B6" s="10" t="s">
        <v>914</v>
      </c>
      <c r="C6" s="10" t="s">
        <v>494</v>
      </c>
      <c r="D6" s="10"/>
      <c r="E6" s="10"/>
      <c r="F6" s="14"/>
      <c r="G6" s="14"/>
      <c r="H6" s="14"/>
      <c r="I6" s="11"/>
      <c r="J6" s="14"/>
      <c r="K6" s="16">
        <v>5</v>
      </c>
      <c r="L6" s="15">
        <v>3</v>
      </c>
      <c r="M6" s="14"/>
      <c r="N6" s="1" t="s">
        <v>551</v>
      </c>
      <c r="O6" s="1" t="s">
        <v>552</v>
      </c>
      <c r="P6" s="1" t="s">
        <v>553</v>
      </c>
    </row>
    <row r="7" spans="1:18" s="1" customFormat="1">
      <c r="B7" s="10" t="s">
        <v>915</v>
      </c>
      <c r="C7" s="10" t="s">
        <v>494</v>
      </c>
      <c r="D7" s="10"/>
      <c r="E7" s="10"/>
      <c r="F7" s="14"/>
      <c r="G7" s="14"/>
      <c r="H7" s="14"/>
      <c r="I7" s="11"/>
      <c r="J7" s="14"/>
      <c r="K7" s="16">
        <v>6</v>
      </c>
      <c r="L7" s="15">
        <v>3</v>
      </c>
      <c r="M7" s="14"/>
      <c r="N7" s="1" t="s">
        <v>551</v>
      </c>
      <c r="O7" s="1" t="s">
        <v>552</v>
      </c>
      <c r="P7" s="1" t="s">
        <v>553</v>
      </c>
    </row>
    <row r="8" spans="1:18" s="1" customFormat="1">
      <c r="B8" s="10" t="s">
        <v>1070</v>
      </c>
      <c r="C8" s="10" t="s">
        <v>494</v>
      </c>
      <c r="D8" s="10"/>
      <c r="E8" s="10"/>
      <c r="F8" s="14"/>
      <c r="G8" s="14"/>
      <c r="H8" s="14"/>
      <c r="I8" s="11"/>
      <c r="J8" s="14"/>
      <c r="K8" s="16">
        <v>7</v>
      </c>
      <c r="L8" s="15">
        <v>3</v>
      </c>
      <c r="M8" s="14"/>
      <c r="N8" s="1" t="s">
        <v>551</v>
      </c>
      <c r="O8" s="1" t="s">
        <v>552</v>
      </c>
      <c r="P8" s="1" t="s">
        <v>553</v>
      </c>
    </row>
    <row r="9" spans="1:18" s="1" customFormat="1">
      <c r="B9" s="10" t="s">
        <v>1071</v>
      </c>
      <c r="C9" s="10" t="s">
        <v>494</v>
      </c>
      <c r="D9" s="10"/>
      <c r="E9" s="10"/>
      <c r="F9" s="14"/>
      <c r="G9" s="14"/>
      <c r="H9" s="14"/>
      <c r="I9" s="11"/>
      <c r="J9" s="14"/>
      <c r="K9" s="16">
        <v>8</v>
      </c>
      <c r="L9" s="15">
        <v>3</v>
      </c>
      <c r="M9" s="14"/>
      <c r="N9" s="1" t="s">
        <v>551</v>
      </c>
      <c r="O9" s="1" t="s">
        <v>552</v>
      </c>
      <c r="P9" s="1" t="s">
        <v>553</v>
      </c>
    </row>
    <row r="10" spans="1:18" s="1" customFormat="1">
      <c r="B10" s="64" t="s">
        <v>2510</v>
      </c>
      <c r="C10" s="64" t="s">
        <v>494</v>
      </c>
      <c r="D10" s="10"/>
      <c r="E10" s="10"/>
      <c r="F10" s="14"/>
      <c r="G10" s="14"/>
      <c r="H10" s="14"/>
      <c r="I10" s="11"/>
      <c r="J10" s="14"/>
      <c r="K10" s="16">
        <v>9</v>
      </c>
      <c r="L10" s="15">
        <v>3</v>
      </c>
      <c r="M10" s="14"/>
      <c r="N10" s="62" t="s">
        <v>2495</v>
      </c>
      <c r="O10" s="62" t="s">
        <v>2497</v>
      </c>
      <c r="P10" s="62" t="s">
        <v>2500</v>
      </c>
    </row>
    <row r="11" spans="1:18" s="1" customFormat="1">
      <c r="A11" s="62" t="s">
        <v>506</v>
      </c>
      <c r="B11" s="111" t="s">
        <v>5116</v>
      </c>
      <c r="C11" s="64" t="s">
        <v>494</v>
      </c>
      <c r="D11" s="62"/>
      <c r="F11" s="14"/>
      <c r="G11" s="14"/>
      <c r="H11" s="47"/>
      <c r="I11" s="11"/>
      <c r="J11" s="14"/>
      <c r="K11" s="16">
        <v>10</v>
      </c>
      <c r="L11" s="15">
        <v>3</v>
      </c>
      <c r="M11" s="14"/>
      <c r="N11" t="s">
        <v>5078</v>
      </c>
      <c r="O11" s="66" t="s">
        <v>1004</v>
      </c>
      <c r="P11" s="64" t="s">
        <v>1023</v>
      </c>
      <c r="Q11" s="10"/>
      <c r="R11" s="10">
        <v>2239</v>
      </c>
    </row>
    <row r="12" spans="1:18" s="1" customFormat="1">
      <c r="B12" s="64" t="s">
        <v>2493</v>
      </c>
      <c r="C12" s="64" t="s">
        <v>520</v>
      </c>
      <c r="F12" s="14"/>
      <c r="G12" s="14"/>
      <c r="H12" s="14"/>
      <c r="I12" s="11"/>
      <c r="J12" s="14"/>
      <c r="K12" s="16">
        <v>11</v>
      </c>
      <c r="L12" s="15"/>
      <c r="M12" s="14"/>
      <c r="N12" s="14"/>
      <c r="O12" s="14"/>
      <c r="P12" s="14"/>
      <c r="Q12" s="14"/>
      <c r="R12" s="14"/>
    </row>
    <row r="13" spans="1:18" s="1" customFormat="1">
      <c r="B13" s="111" t="s">
        <v>5117</v>
      </c>
      <c r="C13" s="64" t="s">
        <v>493</v>
      </c>
      <c r="D13" s="62">
        <v>1</v>
      </c>
      <c r="F13" s="14"/>
      <c r="G13" s="14"/>
      <c r="H13" s="47"/>
      <c r="I13" s="11"/>
      <c r="J13" s="14"/>
      <c r="K13" s="16">
        <v>12</v>
      </c>
      <c r="L13" s="15">
        <v>3</v>
      </c>
      <c r="M13" s="14"/>
      <c r="N13"/>
      <c r="O13" s="66"/>
      <c r="P13" s="64"/>
      <c r="Q13" s="10"/>
      <c r="R13" s="10"/>
    </row>
    <row r="14" spans="1:18" s="1" customFormat="1">
      <c r="B14" s="111" t="s">
        <v>5126</v>
      </c>
      <c r="C14" s="64" t="s">
        <v>494</v>
      </c>
      <c r="D14" s="62"/>
      <c r="F14" s="14"/>
      <c r="G14" s="14"/>
      <c r="H14" s="47"/>
      <c r="I14" s="11"/>
      <c r="J14" s="14"/>
      <c r="K14" s="16">
        <v>13</v>
      </c>
      <c r="L14" s="15">
        <v>7</v>
      </c>
      <c r="M14" s="14"/>
      <c r="N14"/>
      <c r="O14" s="66"/>
      <c r="P14" s="64"/>
      <c r="Q14" s="10"/>
      <c r="R14" s="10"/>
    </row>
    <row r="15" spans="1:18" s="1" customFormat="1">
      <c r="B15" s="111" t="s">
        <v>5120</v>
      </c>
      <c r="C15" s="64" t="s">
        <v>494</v>
      </c>
      <c r="D15" s="62"/>
      <c r="F15" s="14"/>
      <c r="G15" s="14"/>
      <c r="H15" s="47"/>
      <c r="I15" s="11"/>
      <c r="J15" s="14"/>
      <c r="K15" s="16">
        <v>14</v>
      </c>
      <c r="L15" s="15">
        <v>7</v>
      </c>
      <c r="M15" s="14"/>
      <c r="N15"/>
      <c r="O15" s="66"/>
      <c r="P15" s="64"/>
      <c r="Q15" s="10"/>
      <c r="R15" s="10"/>
    </row>
    <row r="16" spans="1:18" s="1" customFormat="1">
      <c r="B16" s="111" t="s">
        <v>5118</v>
      </c>
      <c r="C16" s="64" t="s">
        <v>494</v>
      </c>
      <c r="D16" s="62"/>
      <c r="F16" s="14"/>
      <c r="G16" s="14"/>
      <c r="H16" s="47"/>
      <c r="I16" s="11"/>
      <c r="J16" s="14"/>
      <c r="K16" s="16">
        <v>15</v>
      </c>
      <c r="L16" s="15">
        <v>7</v>
      </c>
      <c r="M16" s="14"/>
      <c r="N16"/>
      <c r="O16" s="66"/>
      <c r="P16" s="64"/>
      <c r="Q16" s="10"/>
      <c r="R16" s="10"/>
    </row>
    <row r="17" spans="1:18" s="1" customFormat="1">
      <c r="B17" s="111" t="s">
        <v>5119</v>
      </c>
      <c r="C17" s="64" t="s">
        <v>494</v>
      </c>
      <c r="D17" s="62"/>
      <c r="F17" s="14"/>
      <c r="G17" s="14"/>
      <c r="H17" s="47"/>
      <c r="I17" s="11"/>
      <c r="J17" s="14"/>
      <c r="K17" s="16">
        <v>16</v>
      </c>
      <c r="L17" s="15">
        <v>7</v>
      </c>
      <c r="M17" s="14"/>
      <c r="N17"/>
      <c r="O17" s="66"/>
      <c r="P17" s="64"/>
      <c r="Q17" s="10"/>
      <c r="R17" s="10"/>
    </row>
    <row r="18" spans="1:18" s="1" customFormat="1">
      <c r="B18" s="111" t="s">
        <v>5121</v>
      </c>
      <c r="C18" s="64" t="s">
        <v>494</v>
      </c>
      <c r="D18" s="62"/>
      <c r="F18" s="14"/>
      <c r="G18" s="14"/>
      <c r="H18" s="47"/>
      <c r="I18" s="11"/>
      <c r="J18" s="14"/>
      <c r="K18" s="16">
        <v>17</v>
      </c>
      <c r="L18" s="15">
        <v>7</v>
      </c>
      <c r="M18" s="14"/>
      <c r="N18"/>
      <c r="O18" s="66"/>
      <c r="P18" s="64"/>
      <c r="Q18" s="10"/>
      <c r="R18" s="10"/>
    </row>
    <row r="19" spans="1:18" s="1" customFormat="1">
      <c r="B19" s="111" t="s">
        <v>5122</v>
      </c>
      <c r="C19" s="64" t="s">
        <v>494</v>
      </c>
      <c r="D19" s="62"/>
      <c r="F19" s="14"/>
      <c r="G19" s="14"/>
      <c r="H19" s="47"/>
      <c r="I19" s="11"/>
      <c r="J19" s="14"/>
      <c r="K19" s="16">
        <v>18</v>
      </c>
      <c r="L19" s="15">
        <v>7</v>
      </c>
      <c r="M19" s="14"/>
      <c r="N19"/>
      <c r="O19" s="66"/>
      <c r="P19" s="64"/>
      <c r="Q19" s="10"/>
      <c r="R19" s="10"/>
    </row>
    <row r="20" spans="1:18" s="1" customFormat="1">
      <c r="B20" s="111" t="s">
        <v>5123</v>
      </c>
      <c r="C20" s="64" t="s">
        <v>494</v>
      </c>
      <c r="D20" s="62"/>
      <c r="F20" s="14"/>
      <c r="G20" s="14"/>
      <c r="H20" s="47"/>
      <c r="I20" s="11"/>
      <c r="J20" s="14"/>
      <c r="K20" s="16">
        <v>19</v>
      </c>
      <c r="L20" s="15">
        <v>7</v>
      </c>
      <c r="M20" s="14"/>
      <c r="N20"/>
      <c r="O20" s="66"/>
      <c r="P20" s="64"/>
      <c r="Q20" s="10"/>
      <c r="R20" s="10"/>
    </row>
    <row r="21" spans="1:18" s="1" customFormat="1">
      <c r="B21" s="70" t="s">
        <v>4866</v>
      </c>
      <c r="C21" s="64" t="s">
        <v>494</v>
      </c>
      <c r="D21" s="62"/>
      <c r="F21" s="14"/>
      <c r="G21" s="14"/>
      <c r="H21" s="47"/>
      <c r="I21" s="11"/>
      <c r="J21" s="14"/>
      <c r="K21" s="16">
        <v>20</v>
      </c>
      <c r="L21" s="15">
        <v>7</v>
      </c>
      <c r="M21" s="14"/>
      <c r="N21" s="62"/>
      <c r="O21" s="62"/>
      <c r="P21" s="62"/>
      <c r="Q21" s="14"/>
      <c r="R21" s="14"/>
    </row>
    <row r="22" spans="1:18" s="1" customFormat="1">
      <c r="B22" s="111" t="s">
        <v>5124</v>
      </c>
      <c r="C22" s="64" t="s">
        <v>494</v>
      </c>
      <c r="D22" s="62"/>
      <c r="F22" s="14"/>
      <c r="G22" s="14"/>
      <c r="H22" s="47"/>
      <c r="I22" s="11"/>
      <c r="J22" s="14"/>
      <c r="K22" s="16">
        <v>21</v>
      </c>
      <c r="L22" s="15">
        <v>7</v>
      </c>
      <c r="M22" s="14"/>
      <c r="N22"/>
      <c r="O22" s="66"/>
      <c r="P22" s="64"/>
      <c r="Q22" s="10"/>
      <c r="R22" s="10"/>
    </row>
    <row r="23" spans="1:18" s="1" customFormat="1">
      <c r="B23" s="111" t="s">
        <v>5125</v>
      </c>
      <c r="C23" s="64" t="s">
        <v>494</v>
      </c>
      <c r="D23" s="62"/>
      <c r="F23" s="14"/>
      <c r="G23" s="14"/>
      <c r="H23" s="47"/>
      <c r="I23" s="11"/>
      <c r="J23" s="14"/>
      <c r="K23" s="16">
        <v>22</v>
      </c>
      <c r="L23" s="15">
        <v>7</v>
      </c>
      <c r="M23" s="14"/>
      <c r="N23"/>
      <c r="O23" s="66"/>
      <c r="P23" s="64"/>
      <c r="Q23" s="10"/>
      <c r="R23" s="10"/>
    </row>
    <row r="24" spans="1:18" s="1" customFormat="1">
      <c r="B24" s="111" t="s">
        <v>5127</v>
      </c>
      <c r="C24" s="64" t="s">
        <v>494</v>
      </c>
      <c r="D24" s="62"/>
      <c r="F24" s="14"/>
      <c r="G24" s="14"/>
      <c r="H24" s="47"/>
      <c r="I24" s="11"/>
      <c r="J24" s="14"/>
      <c r="K24" s="16">
        <v>23</v>
      </c>
      <c r="L24" s="15">
        <v>7</v>
      </c>
      <c r="M24" s="14"/>
      <c r="N24"/>
      <c r="O24" s="66"/>
      <c r="P24" s="64"/>
      <c r="Q24" s="10"/>
      <c r="R24" s="10"/>
    </row>
    <row r="25" spans="1:18" s="1" customFormat="1">
      <c r="B25" s="64"/>
      <c r="C25" s="64"/>
      <c r="D25" s="62"/>
      <c r="F25" s="14"/>
      <c r="G25" s="14"/>
      <c r="H25" s="47"/>
      <c r="I25" s="11"/>
      <c r="J25" s="14"/>
      <c r="K25" s="16"/>
      <c r="L25" s="15"/>
      <c r="M25" s="14"/>
      <c r="N25"/>
      <c r="O25" s="66"/>
      <c r="P25" s="64"/>
      <c r="Q25" s="10"/>
      <c r="R25" s="10"/>
    </row>
    <row r="26" spans="1:18" s="1" customFormat="1">
      <c r="A26" s="62" t="s">
        <v>1027</v>
      </c>
      <c r="B26" s="60" t="s">
        <v>1028</v>
      </c>
      <c r="C26" s="1" t="s">
        <v>494</v>
      </c>
      <c r="E26" s="1" t="s">
        <v>476</v>
      </c>
      <c r="F26" s="14">
        <v>17</v>
      </c>
      <c r="G26" s="14">
        <v>1714</v>
      </c>
      <c r="H26" s="14" t="s">
        <v>1029</v>
      </c>
      <c r="I26" s="11"/>
      <c r="J26" s="14">
        <v>2</v>
      </c>
      <c r="K26" s="16">
        <v>1</v>
      </c>
      <c r="L26" s="15">
        <v>52</v>
      </c>
      <c r="M26" s="14"/>
      <c r="N26" s="1">
        <v>1701</v>
      </c>
      <c r="O26" s="1" t="s">
        <v>910</v>
      </c>
      <c r="P26" s="14"/>
      <c r="Q26" s="14"/>
      <c r="R26" s="14"/>
    </row>
    <row r="27" spans="1:18" s="1" customFormat="1">
      <c r="B27" s="60" t="s">
        <v>1030</v>
      </c>
      <c r="C27" s="1" t="s">
        <v>493</v>
      </c>
      <c r="D27" s="1">
        <v>10</v>
      </c>
      <c r="F27" s="14"/>
      <c r="G27" s="14"/>
      <c r="H27" s="14"/>
      <c r="I27" s="11"/>
      <c r="J27" s="14"/>
      <c r="K27" s="16">
        <v>2</v>
      </c>
      <c r="L27" s="15">
        <v>7</v>
      </c>
      <c r="M27" s="14"/>
      <c r="P27" s="14"/>
      <c r="Q27" s="14"/>
      <c r="R27" s="14"/>
    </row>
    <row r="28" spans="1:18" s="1" customFormat="1">
      <c r="B28" s="60" t="s">
        <v>1031</v>
      </c>
      <c r="C28" s="1" t="s">
        <v>493</v>
      </c>
      <c r="D28" s="1">
        <v>10</v>
      </c>
      <c r="F28" s="14"/>
      <c r="G28" s="14"/>
      <c r="H28" s="14"/>
      <c r="I28" s="11"/>
      <c r="J28" s="14"/>
      <c r="K28" s="16">
        <v>3</v>
      </c>
      <c r="L28" s="15">
        <v>7</v>
      </c>
      <c r="M28" s="14"/>
      <c r="P28" s="14"/>
      <c r="Q28" s="14"/>
      <c r="R28" s="14"/>
    </row>
    <row r="29" spans="1:18" s="1" customFormat="1">
      <c r="B29" s="60" t="s">
        <v>1032</v>
      </c>
      <c r="C29" s="1" t="s">
        <v>493</v>
      </c>
      <c r="D29" s="1">
        <v>10</v>
      </c>
      <c r="F29" s="14"/>
      <c r="G29" s="14"/>
      <c r="H29" s="14"/>
      <c r="I29" s="11"/>
      <c r="J29" s="14"/>
      <c r="K29" s="16">
        <v>4</v>
      </c>
      <c r="L29" s="15">
        <v>7</v>
      </c>
      <c r="M29" s="14"/>
      <c r="P29" s="14"/>
      <c r="Q29" s="14"/>
      <c r="R29" s="14"/>
    </row>
    <row r="30" spans="1:18" s="1" customFormat="1">
      <c r="B30" s="60" t="s">
        <v>1033</v>
      </c>
      <c r="C30" s="1" t="s">
        <v>493</v>
      </c>
      <c r="D30" s="1">
        <v>10</v>
      </c>
      <c r="F30" s="14"/>
      <c r="G30" s="14"/>
      <c r="H30" s="14"/>
      <c r="I30" s="11"/>
      <c r="J30" s="14"/>
      <c r="K30" s="16">
        <v>5</v>
      </c>
      <c r="L30" s="15">
        <v>7</v>
      </c>
      <c r="M30" s="14"/>
      <c r="P30" s="14"/>
      <c r="Q30" s="14"/>
      <c r="R30" s="14"/>
    </row>
    <row r="31" spans="1:18" s="1" customFormat="1">
      <c r="B31" s="23" t="s">
        <v>1034</v>
      </c>
      <c r="C31" s="1" t="s">
        <v>493</v>
      </c>
      <c r="D31" s="1">
        <v>10</v>
      </c>
      <c r="F31" s="14"/>
      <c r="G31" s="14"/>
      <c r="H31" s="14"/>
      <c r="I31" s="11"/>
      <c r="J31" s="14"/>
      <c r="K31" s="16">
        <v>6</v>
      </c>
      <c r="L31" s="15">
        <v>7</v>
      </c>
      <c r="M31" s="14"/>
      <c r="P31" s="14"/>
      <c r="Q31" s="14"/>
      <c r="R31" s="14"/>
    </row>
    <row r="32" spans="1:18" s="1" customFormat="1">
      <c r="B32" s="60" t="s">
        <v>1035</v>
      </c>
      <c r="C32" s="1" t="s">
        <v>493</v>
      </c>
      <c r="D32" s="1">
        <v>10</v>
      </c>
      <c r="F32" s="14"/>
      <c r="G32" s="14"/>
      <c r="H32" s="14"/>
      <c r="I32" s="11"/>
      <c r="J32" s="14"/>
      <c r="K32" s="16">
        <v>7</v>
      </c>
      <c r="L32" s="15">
        <v>7</v>
      </c>
      <c r="M32" s="14"/>
      <c r="P32" s="14"/>
      <c r="Q32" s="14"/>
      <c r="R32" s="14"/>
    </row>
    <row r="33" spans="1:18" s="1" customFormat="1">
      <c r="B33" s="23" t="s">
        <v>1036</v>
      </c>
      <c r="C33" s="1" t="s">
        <v>493</v>
      </c>
      <c r="D33" s="1">
        <v>10</v>
      </c>
      <c r="F33" s="14"/>
      <c r="G33" s="14"/>
      <c r="H33" s="14"/>
      <c r="I33" s="11"/>
      <c r="J33" s="14"/>
      <c r="K33" s="16">
        <v>8</v>
      </c>
      <c r="L33" s="15">
        <v>7</v>
      </c>
      <c r="M33" s="14"/>
      <c r="P33" s="14"/>
      <c r="Q33" s="14"/>
      <c r="R33" s="14"/>
    </row>
    <row r="34" spans="1:18" s="1" customFormat="1">
      <c r="B34" s="60" t="s">
        <v>1037</v>
      </c>
      <c r="C34" s="1" t="s">
        <v>493</v>
      </c>
      <c r="D34" s="1">
        <v>10</v>
      </c>
      <c r="F34" s="14"/>
      <c r="G34" s="14"/>
      <c r="H34" s="14"/>
      <c r="I34" s="11"/>
      <c r="J34" s="14"/>
      <c r="K34" s="16">
        <v>9</v>
      </c>
      <c r="L34" s="15">
        <v>7</v>
      </c>
      <c r="M34" s="14"/>
      <c r="P34" s="14"/>
      <c r="Q34" s="14"/>
      <c r="R34" s="14"/>
    </row>
    <row r="35" spans="1:18" s="1" customFormat="1">
      <c r="B35" s="67" t="s">
        <v>2491</v>
      </c>
      <c r="C35" s="1" t="s">
        <v>493</v>
      </c>
      <c r="D35" s="1">
        <v>10</v>
      </c>
      <c r="F35" s="14"/>
      <c r="G35" s="14"/>
      <c r="H35" s="14"/>
      <c r="I35" s="11"/>
      <c r="J35" s="14"/>
      <c r="K35" s="16">
        <v>10</v>
      </c>
      <c r="L35" s="15">
        <v>7</v>
      </c>
      <c r="M35" s="14"/>
      <c r="P35" s="14"/>
      <c r="Q35" s="14"/>
      <c r="R35" s="14"/>
    </row>
    <row r="36" spans="1:18" s="1" customFormat="1">
      <c r="B36" s="67" t="s">
        <v>2492</v>
      </c>
      <c r="C36" s="1" t="s">
        <v>493</v>
      </c>
      <c r="D36" s="1">
        <v>10</v>
      </c>
      <c r="F36" s="14"/>
      <c r="G36" s="14"/>
      <c r="H36" s="14"/>
      <c r="I36" s="11"/>
      <c r="J36" s="14"/>
      <c r="K36" s="16">
        <v>11</v>
      </c>
      <c r="L36" s="15">
        <v>7</v>
      </c>
      <c r="M36" s="14"/>
      <c r="P36" s="14"/>
      <c r="Q36" s="14"/>
      <c r="R36" s="14"/>
    </row>
    <row r="37" spans="1:18" s="1" customFormat="1">
      <c r="B37" s="67" t="s">
        <v>2897</v>
      </c>
      <c r="C37" s="62" t="s">
        <v>494</v>
      </c>
      <c r="F37" s="14"/>
      <c r="G37" s="14"/>
      <c r="H37" s="14"/>
      <c r="I37" s="11"/>
      <c r="J37" s="14"/>
      <c r="K37" s="16">
        <v>12</v>
      </c>
      <c r="L37" s="15">
        <v>3</v>
      </c>
      <c r="M37" s="14"/>
      <c r="N37" s="10" t="s">
        <v>506</v>
      </c>
      <c r="O37" s="10" t="s">
        <v>514</v>
      </c>
      <c r="P37" s="1" t="s">
        <v>515</v>
      </c>
      <c r="Q37" s="14"/>
      <c r="R37" s="14"/>
    </row>
    <row r="38" spans="1:18" s="1" customFormat="1">
      <c r="B38" s="23"/>
      <c r="F38" s="14"/>
      <c r="G38" s="14"/>
      <c r="H38" s="14"/>
      <c r="I38" s="11"/>
      <c r="J38" s="14"/>
      <c r="K38" s="16"/>
      <c r="L38" s="15"/>
      <c r="M38" s="14"/>
      <c r="P38" s="14"/>
      <c r="Q38" s="14"/>
      <c r="R38" s="14"/>
    </row>
    <row r="39" spans="1:18" s="1" customFormat="1">
      <c r="A39" s="10" t="s">
        <v>1091</v>
      </c>
      <c r="B39" s="10" t="s">
        <v>1092</v>
      </c>
      <c r="C39" s="10" t="s">
        <v>494</v>
      </c>
      <c r="D39" s="10"/>
      <c r="E39" s="10" t="s">
        <v>476</v>
      </c>
      <c r="F39" s="10">
        <v>17</v>
      </c>
      <c r="G39" s="10">
        <v>1719</v>
      </c>
      <c r="H39" s="10" t="s">
        <v>236</v>
      </c>
      <c r="I39" s="10"/>
      <c r="J39" s="10">
        <v>2</v>
      </c>
      <c r="K39" s="16">
        <v>1</v>
      </c>
      <c r="L39" s="15">
        <v>52</v>
      </c>
      <c r="M39" s="10"/>
      <c r="N39" s="1">
        <v>1701</v>
      </c>
      <c r="O39" s="1" t="s">
        <v>910</v>
      </c>
      <c r="P39" s="10"/>
      <c r="Q39" s="10"/>
      <c r="R39" s="10"/>
    </row>
    <row r="40" spans="1:18" s="1" customFormat="1">
      <c r="A40" s="10"/>
      <c r="B40" s="10" t="s">
        <v>1093</v>
      </c>
      <c r="C40" s="10" t="s">
        <v>494</v>
      </c>
      <c r="D40" s="10"/>
      <c r="E40" s="10" t="s">
        <v>476</v>
      </c>
      <c r="F40" s="10"/>
      <c r="G40" s="10"/>
      <c r="H40" s="10"/>
      <c r="I40" s="10"/>
      <c r="J40" s="10"/>
      <c r="K40" s="16">
        <v>2</v>
      </c>
      <c r="L40" s="31"/>
      <c r="M40" s="10"/>
      <c r="N40" s="10"/>
      <c r="O40" s="10"/>
      <c r="P40" s="10"/>
      <c r="Q40" s="10"/>
      <c r="R40" s="10"/>
    </row>
    <row r="41" spans="1:18" s="1" customFormat="1">
      <c r="A41" s="10"/>
      <c r="B41" s="10" t="s">
        <v>1094</v>
      </c>
      <c r="C41" s="10" t="s">
        <v>493</v>
      </c>
      <c r="D41" s="10">
        <v>10</v>
      </c>
      <c r="E41" s="10"/>
      <c r="F41" s="10"/>
      <c r="G41" s="10"/>
      <c r="H41" s="10"/>
      <c r="I41" s="10"/>
      <c r="J41" s="10"/>
      <c r="K41" s="16">
        <v>3</v>
      </c>
      <c r="L41" s="31">
        <v>7</v>
      </c>
      <c r="M41" s="10"/>
      <c r="N41" s="10"/>
      <c r="O41" s="10"/>
      <c r="P41" s="10"/>
      <c r="Q41" s="10"/>
      <c r="R41" s="10"/>
    </row>
    <row r="42" spans="1:18" s="1" customFormat="1">
      <c r="A42" s="10"/>
      <c r="B42" s="10" t="s">
        <v>1095</v>
      </c>
      <c r="C42" s="10" t="s">
        <v>493</v>
      </c>
      <c r="D42" s="10">
        <v>1</v>
      </c>
      <c r="E42" s="10"/>
      <c r="F42" s="10"/>
      <c r="G42" s="10"/>
      <c r="H42" s="10"/>
      <c r="I42" s="10"/>
      <c r="J42" s="10"/>
      <c r="K42" s="16">
        <v>4</v>
      </c>
      <c r="L42" s="15">
        <v>3</v>
      </c>
      <c r="M42" s="10"/>
      <c r="N42" s="10"/>
      <c r="O42" s="10"/>
      <c r="P42" s="10"/>
      <c r="Q42" s="10"/>
      <c r="R42" s="10"/>
    </row>
    <row r="43" spans="1:18" s="1" customFormat="1">
      <c r="A43" s="10"/>
      <c r="B43" s="10" t="s">
        <v>1096</v>
      </c>
      <c r="C43" s="10" t="s">
        <v>494</v>
      </c>
      <c r="D43" s="10"/>
      <c r="E43" s="10"/>
      <c r="F43" s="10"/>
      <c r="G43" s="10"/>
      <c r="H43" s="10"/>
      <c r="I43" s="10"/>
      <c r="J43" s="10"/>
      <c r="K43" s="16">
        <v>5</v>
      </c>
      <c r="L43" s="31"/>
      <c r="M43" s="10"/>
      <c r="N43" s="10"/>
      <c r="O43" s="10"/>
      <c r="P43" s="10"/>
      <c r="Q43" s="10"/>
      <c r="R43" s="10"/>
    </row>
    <row r="44" spans="1:18" s="1" customFormat="1">
      <c r="A44" s="10"/>
      <c r="B44" s="10" t="s">
        <v>235</v>
      </c>
      <c r="C44" s="10" t="s">
        <v>494</v>
      </c>
      <c r="D44" s="10"/>
      <c r="E44" s="10"/>
      <c r="F44" s="10"/>
      <c r="G44" s="10"/>
      <c r="H44" s="10"/>
      <c r="I44" s="10"/>
      <c r="J44" s="10"/>
      <c r="K44" s="16">
        <v>6</v>
      </c>
      <c r="L44" s="31"/>
      <c r="M44" s="10"/>
      <c r="N44" s="10"/>
      <c r="O44" s="10"/>
      <c r="P44" s="10"/>
      <c r="Q44" s="10"/>
      <c r="R44" s="10"/>
    </row>
    <row r="45" spans="1:18" s="1" customFormat="1">
      <c r="A45" s="10"/>
      <c r="B45" s="10"/>
      <c r="C45" s="10"/>
      <c r="D45" s="10"/>
      <c r="E45" s="10"/>
      <c r="F45" s="10"/>
      <c r="G45" s="10"/>
      <c r="H45" s="10"/>
      <c r="I45" s="10"/>
      <c r="J45" s="10"/>
      <c r="K45" s="16"/>
      <c r="L45" s="31"/>
      <c r="M45" s="10"/>
      <c r="N45" s="10"/>
      <c r="O45" s="10"/>
      <c r="P45" s="10"/>
      <c r="Q45" s="10"/>
      <c r="R45" s="10"/>
    </row>
    <row r="46" spans="1:18" s="1" customFormat="1">
      <c r="A46" s="70" t="s">
        <v>506</v>
      </c>
      <c r="B46" s="70" t="s">
        <v>514</v>
      </c>
      <c r="C46" s="39" t="s">
        <v>494</v>
      </c>
      <c r="D46" s="10"/>
      <c r="E46" s="10" t="s">
        <v>476</v>
      </c>
      <c r="F46" s="10">
        <v>1</v>
      </c>
      <c r="G46" s="10">
        <v>146</v>
      </c>
      <c r="H46" s="10" t="s">
        <v>510</v>
      </c>
      <c r="I46" s="10"/>
      <c r="J46" s="10">
        <v>1</v>
      </c>
      <c r="K46" s="16">
        <v>1</v>
      </c>
      <c r="L46" s="31">
        <v>52</v>
      </c>
      <c r="M46" s="10"/>
      <c r="N46" s="1">
        <v>1701</v>
      </c>
      <c r="O46" s="1" t="s">
        <v>910</v>
      </c>
      <c r="P46"/>
      <c r="Q46" s="10"/>
      <c r="R46" s="10"/>
    </row>
    <row r="47" spans="1:18" s="1" customFormat="1">
      <c r="A47" s="39"/>
      <c r="B47" s="70" t="s">
        <v>5117</v>
      </c>
      <c r="C47" s="70" t="s">
        <v>493</v>
      </c>
      <c r="D47" s="62">
        <v>1</v>
      </c>
      <c r="F47" s="14"/>
      <c r="G47" s="14"/>
      <c r="H47" s="47"/>
      <c r="I47" s="11"/>
      <c r="J47" s="14"/>
      <c r="K47" s="16">
        <v>2</v>
      </c>
      <c r="L47" s="15">
        <v>3</v>
      </c>
      <c r="M47" s="14"/>
      <c r="N47"/>
      <c r="O47" s="66"/>
      <c r="P47" s="64"/>
      <c r="Q47" s="10"/>
      <c r="R47" s="10"/>
    </row>
    <row r="48" spans="1:18" s="1" customFormat="1">
      <c r="A48" s="39"/>
      <c r="B48" s="70" t="s">
        <v>5126</v>
      </c>
      <c r="C48" s="70" t="s">
        <v>494</v>
      </c>
      <c r="D48" s="62"/>
      <c r="F48" s="14"/>
      <c r="G48" s="14"/>
      <c r="H48" s="47"/>
      <c r="I48" s="11"/>
      <c r="J48" s="14"/>
      <c r="K48" s="16">
        <v>3</v>
      </c>
      <c r="L48" s="15">
        <v>7</v>
      </c>
      <c r="M48" s="14"/>
      <c r="N48"/>
      <c r="O48" s="66"/>
      <c r="P48" s="64"/>
      <c r="Q48" s="10"/>
      <c r="R48" s="10"/>
    </row>
    <row r="49" spans="1:18" s="1" customFormat="1">
      <c r="A49" s="39"/>
      <c r="B49" s="70" t="s">
        <v>5120</v>
      </c>
      <c r="C49" s="70" t="s">
        <v>494</v>
      </c>
      <c r="D49" s="62"/>
      <c r="F49" s="14"/>
      <c r="G49" s="14"/>
      <c r="H49" s="47"/>
      <c r="I49" s="11"/>
      <c r="J49" s="14"/>
      <c r="K49" s="16">
        <v>4</v>
      </c>
      <c r="L49" s="15">
        <v>7</v>
      </c>
      <c r="M49" s="14"/>
      <c r="N49"/>
      <c r="O49" s="66"/>
      <c r="P49" s="64"/>
      <c r="Q49" s="10"/>
      <c r="R49" s="10"/>
    </row>
    <row r="50" spans="1:18" s="1" customFormat="1">
      <c r="A50" s="39"/>
      <c r="B50" s="70" t="s">
        <v>5118</v>
      </c>
      <c r="C50" s="70" t="s">
        <v>494</v>
      </c>
      <c r="D50" s="62"/>
      <c r="F50" s="14"/>
      <c r="G50" s="14"/>
      <c r="H50" s="47"/>
      <c r="I50" s="11"/>
      <c r="J50" s="14"/>
      <c r="K50" s="16">
        <v>5</v>
      </c>
      <c r="L50" s="15">
        <v>7</v>
      </c>
      <c r="M50" s="14"/>
      <c r="N50"/>
      <c r="O50" s="66"/>
      <c r="P50" s="64"/>
      <c r="Q50" s="10"/>
      <c r="R50" s="10"/>
    </row>
    <row r="51" spans="1:18" s="1" customFormat="1">
      <c r="A51" s="39"/>
      <c r="B51" s="70" t="s">
        <v>5119</v>
      </c>
      <c r="C51" s="70" t="s">
        <v>494</v>
      </c>
      <c r="D51" s="62"/>
      <c r="F51" s="14"/>
      <c r="G51" s="14"/>
      <c r="H51" s="47"/>
      <c r="I51" s="11"/>
      <c r="J51" s="14"/>
      <c r="K51" s="16">
        <v>6</v>
      </c>
      <c r="L51" s="15">
        <v>7</v>
      </c>
      <c r="M51" s="14"/>
      <c r="N51"/>
      <c r="O51" s="66"/>
      <c r="P51" s="64"/>
      <c r="Q51" s="10"/>
      <c r="R51" s="10"/>
    </row>
    <row r="52" spans="1:18" s="1" customFormat="1">
      <c r="A52" s="64"/>
      <c r="B52" s="64"/>
      <c r="C52" s="10"/>
      <c r="D52" s="10"/>
      <c r="E52" s="10"/>
      <c r="F52" s="10"/>
      <c r="G52" s="10"/>
      <c r="H52" s="10"/>
      <c r="I52" s="10"/>
      <c r="J52" s="10"/>
      <c r="K52" s="16"/>
      <c r="L52" s="31"/>
      <c r="M52" s="10"/>
      <c r="N52"/>
      <c r="O52"/>
      <c r="P52"/>
      <c r="Q52" s="10"/>
      <c r="R52" s="10"/>
    </row>
    <row r="53" spans="1:18" s="1" customFormat="1">
      <c r="A53" s="64"/>
      <c r="B53" s="64"/>
      <c r="C53" s="10"/>
      <c r="D53" s="10"/>
      <c r="E53" s="10"/>
      <c r="F53" s="10"/>
      <c r="G53" s="10"/>
      <c r="H53" s="10"/>
      <c r="I53" s="10"/>
      <c r="J53" s="10"/>
      <c r="K53" s="16"/>
      <c r="L53" s="31"/>
      <c r="M53" s="10"/>
      <c r="N53"/>
      <c r="O53"/>
      <c r="P53"/>
      <c r="Q53" s="10"/>
      <c r="R53" s="10"/>
    </row>
    <row r="54" spans="1:18" s="1" customFormat="1">
      <c r="A54" s="64"/>
      <c r="B54" s="64"/>
      <c r="C54" s="10"/>
      <c r="D54" s="10"/>
      <c r="E54" s="10"/>
      <c r="F54" s="10"/>
      <c r="G54" s="10"/>
      <c r="H54" s="10"/>
      <c r="I54" s="10"/>
      <c r="J54" s="10"/>
      <c r="K54" s="16"/>
      <c r="L54" s="31"/>
      <c r="M54" s="10"/>
      <c r="N54"/>
      <c r="O54"/>
      <c r="P54"/>
      <c r="Q54" s="10"/>
      <c r="R54" s="10"/>
    </row>
    <row r="55" spans="1:18" s="1" customFormat="1">
      <c r="A55" s="64"/>
      <c r="B55" s="64"/>
      <c r="C55" s="10"/>
      <c r="D55" s="10"/>
      <c r="E55" s="10"/>
      <c r="F55" s="10"/>
      <c r="G55" s="10"/>
      <c r="H55" s="10"/>
      <c r="I55" s="10"/>
      <c r="J55" s="10"/>
      <c r="K55" s="16"/>
      <c r="L55" s="31"/>
      <c r="M55" s="10"/>
      <c r="N55"/>
      <c r="O55"/>
      <c r="P55"/>
      <c r="Q55" s="10"/>
      <c r="R55" s="10"/>
    </row>
    <row r="56" spans="1:18" s="1" customFormat="1">
      <c r="A56" s="62" t="s">
        <v>961</v>
      </c>
      <c r="B56" s="60" t="s">
        <v>946</v>
      </c>
      <c r="C56" s="1" t="s">
        <v>494</v>
      </c>
      <c r="E56" s="1" t="s">
        <v>476</v>
      </c>
      <c r="F56" s="14">
        <v>17</v>
      </c>
      <c r="G56" s="14">
        <v>1704</v>
      </c>
      <c r="H56" s="14" t="s">
        <v>962</v>
      </c>
      <c r="I56" s="48" t="s">
        <v>963</v>
      </c>
      <c r="J56" s="14">
        <v>2</v>
      </c>
      <c r="K56" s="16">
        <v>1</v>
      </c>
      <c r="L56" s="15">
        <v>6</v>
      </c>
      <c r="M56" s="14"/>
      <c r="N56" s="23"/>
      <c r="O56" s="14"/>
      <c r="P56" s="14"/>
      <c r="Q56" s="14"/>
      <c r="R56" s="14"/>
    </row>
    <row r="57" spans="1:18" s="1" customFormat="1">
      <c r="B57" s="23" t="s">
        <v>942</v>
      </c>
      <c r="C57" s="1" t="s">
        <v>494</v>
      </c>
      <c r="F57" s="14"/>
      <c r="G57" s="14"/>
      <c r="H57" s="14"/>
      <c r="I57" s="11"/>
      <c r="J57" s="14"/>
      <c r="K57" s="16">
        <v>2</v>
      </c>
      <c r="L57" s="15">
        <v>6</v>
      </c>
      <c r="M57" s="14"/>
      <c r="N57" s="23"/>
      <c r="O57" s="14"/>
      <c r="P57" s="14"/>
      <c r="Q57" s="14"/>
      <c r="R57" s="14"/>
    </row>
    <row r="58" spans="1:18" s="1" customFormat="1">
      <c r="B58" s="23" t="s">
        <v>945</v>
      </c>
      <c r="C58" s="1" t="s">
        <v>493</v>
      </c>
      <c r="D58" s="1">
        <v>150</v>
      </c>
      <c r="F58" s="14"/>
      <c r="G58" s="14"/>
      <c r="H58" s="14"/>
      <c r="I58" s="11"/>
      <c r="J58" s="14"/>
      <c r="K58" s="16">
        <v>3</v>
      </c>
      <c r="L58" s="15"/>
      <c r="M58" s="14"/>
      <c r="N58" s="23"/>
      <c r="O58" s="14"/>
      <c r="P58" s="14"/>
      <c r="Q58" s="14"/>
      <c r="R58" s="14"/>
    </row>
    <row r="59" spans="1:18" s="1" customFormat="1">
      <c r="B59" s="33" t="s">
        <v>1142</v>
      </c>
      <c r="C59" s="1" t="s">
        <v>520</v>
      </c>
      <c r="F59" s="14"/>
      <c r="G59" s="14"/>
      <c r="H59" s="14"/>
      <c r="I59" s="11"/>
      <c r="J59" s="14"/>
      <c r="K59" s="16">
        <v>4</v>
      </c>
      <c r="L59" s="15"/>
      <c r="M59" s="14"/>
      <c r="N59" s="23"/>
      <c r="O59" s="14"/>
      <c r="P59" s="14"/>
      <c r="Q59" s="14"/>
      <c r="R59" s="14"/>
    </row>
    <row r="60" spans="1:18" s="1" customFormat="1">
      <c r="B60" s="33" t="s">
        <v>1143</v>
      </c>
      <c r="C60" s="1" t="s">
        <v>520</v>
      </c>
      <c r="F60" s="14"/>
      <c r="G60" s="14"/>
      <c r="H60" s="14"/>
      <c r="I60" s="11"/>
      <c r="J60" s="14"/>
      <c r="K60" s="16">
        <v>5</v>
      </c>
      <c r="L60" s="15"/>
      <c r="M60" s="14"/>
      <c r="N60" s="23"/>
      <c r="O60" s="14"/>
      <c r="P60" s="14"/>
      <c r="Q60" s="14"/>
      <c r="R60" s="14"/>
    </row>
    <row r="61" spans="1:18" s="1" customFormat="1">
      <c r="B61" s="84" t="s">
        <v>1144</v>
      </c>
      <c r="C61" s="1" t="s">
        <v>494</v>
      </c>
      <c r="F61" s="14"/>
      <c r="G61" s="14"/>
      <c r="H61" s="14"/>
      <c r="I61" s="11"/>
      <c r="J61" s="14"/>
      <c r="K61" s="16">
        <v>6</v>
      </c>
      <c r="L61" s="15">
        <v>3</v>
      </c>
      <c r="M61" s="14"/>
      <c r="N61" s="62" t="s">
        <v>1146</v>
      </c>
      <c r="O61" s="29" t="s">
        <v>1147</v>
      </c>
      <c r="P61" s="29" t="s">
        <v>1148</v>
      </c>
      <c r="Q61" s="14"/>
      <c r="R61" s="14"/>
    </row>
    <row r="62" spans="1:18" s="1" customFormat="1">
      <c r="B62" s="29" t="s">
        <v>1087</v>
      </c>
      <c r="C62" s="1" t="s">
        <v>493</v>
      </c>
      <c r="D62" s="1">
        <v>1</v>
      </c>
      <c r="F62" s="14"/>
      <c r="G62" s="14"/>
      <c r="H62" s="14"/>
      <c r="I62" s="11"/>
      <c r="J62" s="14"/>
      <c r="K62" s="16">
        <v>7</v>
      </c>
      <c r="L62" s="15">
        <v>3</v>
      </c>
      <c r="M62" s="14"/>
      <c r="P62" s="14"/>
      <c r="Q62" s="14"/>
      <c r="R62" s="14"/>
    </row>
    <row r="63" spans="1:18" s="1" customFormat="1">
      <c r="B63" s="29" t="s">
        <v>1156</v>
      </c>
      <c r="C63" s="1" t="s">
        <v>493</v>
      </c>
      <c r="D63" s="1">
        <v>1</v>
      </c>
      <c r="F63" s="14"/>
      <c r="G63" s="14"/>
      <c r="H63" s="14"/>
      <c r="I63" s="11"/>
      <c r="J63" s="14"/>
      <c r="K63" s="16">
        <v>8</v>
      </c>
      <c r="L63" s="15">
        <v>3</v>
      </c>
      <c r="M63" s="14"/>
      <c r="N63" s="23"/>
      <c r="O63" s="14"/>
      <c r="P63" s="14"/>
      <c r="Q63" s="14"/>
      <c r="R63" s="14"/>
    </row>
    <row r="64" spans="1:18" s="1" customFormat="1">
      <c r="B64" s="29" t="s">
        <v>1135</v>
      </c>
      <c r="C64" s="1" t="s">
        <v>494</v>
      </c>
      <c r="F64" s="14"/>
      <c r="G64" s="14"/>
      <c r="H64" s="14"/>
      <c r="I64" s="11"/>
      <c r="J64" s="14"/>
      <c r="K64" s="16">
        <v>9</v>
      </c>
      <c r="L64" s="15"/>
      <c r="M64" s="14"/>
      <c r="O64" s="23"/>
      <c r="P64" s="23"/>
      <c r="Q64" s="14"/>
      <c r="R64" s="14"/>
    </row>
    <row r="65" spans="1:18" s="1" customFormat="1">
      <c r="B65" s="29" t="s">
        <v>2519</v>
      </c>
      <c r="C65" s="62" t="s">
        <v>494</v>
      </c>
      <c r="F65" s="14"/>
      <c r="G65" s="14"/>
      <c r="H65" s="14"/>
      <c r="I65" s="11"/>
      <c r="J65" s="14"/>
      <c r="K65" s="16">
        <v>10</v>
      </c>
      <c r="L65" s="15">
        <v>3</v>
      </c>
      <c r="M65" s="14">
        <v>1</v>
      </c>
      <c r="N65" s="62" t="s">
        <v>956</v>
      </c>
      <c r="O65" s="23" t="s">
        <v>957</v>
      </c>
      <c r="P65" s="60" t="s">
        <v>958</v>
      </c>
      <c r="Q65" s="14"/>
      <c r="R65" s="14"/>
    </row>
    <row r="66" spans="1:18" s="1" customFormat="1">
      <c r="B66" s="67" t="s">
        <v>4081</v>
      </c>
      <c r="C66" s="70" t="s">
        <v>494</v>
      </c>
      <c r="F66" s="14"/>
      <c r="G66" s="14"/>
      <c r="H66" s="14"/>
      <c r="I66" s="11"/>
      <c r="J66" s="14"/>
      <c r="K66" s="16">
        <v>11</v>
      </c>
      <c r="L66" s="15">
        <v>3</v>
      </c>
      <c r="M66" s="14"/>
      <c r="N66" s="62" t="s">
        <v>4082</v>
      </c>
      <c r="O66" s="66" t="s">
        <v>3962</v>
      </c>
      <c r="P66" s="66" t="s">
        <v>4084</v>
      </c>
      <c r="Q66" s="14"/>
      <c r="R66" s="14"/>
    </row>
    <row r="67" spans="1:18" s="1" customFormat="1">
      <c r="B67" s="67" t="s">
        <v>4085</v>
      </c>
      <c r="C67" s="70" t="s">
        <v>493</v>
      </c>
      <c r="D67" s="1">
        <v>1</v>
      </c>
      <c r="F67" s="14"/>
      <c r="G67" s="14"/>
      <c r="H67" s="14"/>
      <c r="I67" s="11"/>
      <c r="J67" s="14"/>
      <c r="K67" s="16">
        <v>12</v>
      </c>
      <c r="L67" s="15">
        <v>3</v>
      </c>
      <c r="M67" s="14"/>
      <c r="N67" s="62"/>
      <c r="P67" s="60"/>
      <c r="Q67" s="14"/>
      <c r="R67" s="14"/>
    </row>
    <row r="68" spans="1:18" s="1" customFormat="1">
      <c r="B68" s="67" t="s">
        <v>4093</v>
      </c>
      <c r="C68" s="70" t="s">
        <v>494</v>
      </c>
      <c r="F68" s="14"/>
      <c r="G68" s="14"/>
      <c r="H68" s="14"/>
      <c r="I68" s="11"/>
      <c r="J68" s="14"/>
      <c r="K68" s="16">
        <v>13</v>
      </c>
      <c r="L68" s="15"/>
      <c r="M68" s="14"/>
      <c r="N68" s="62"/>
      <c r="O68" s="23"/>
      <c r="P68" s="60"/>
      <c r="Q68" s="14"/>
      <c r="R68" s="14"/>
    </row>
    <row r="69" spans="1:18" s="1" customFormat="1">
      <c r="B69" s="67" t="s">
        <v>6157</v>
      </c>
      <c r="C69" s="70" t="s">
        <v>494</v>
      </c>
      <c r="F69" s="14"/>
      <c r="G69" s="14"/>
      <c r="H69" s="14"/>
      <c r="I69" s="11"/>
      <c r="J69" s="14"/>
      <c r="K69" s="16">
        <v>14</v>
      </c>
      <c r="L69" s="15">
        <v>3</v>
      </c>
      <c r="M69" s="14"/>
      <c r="N69" s="62" t="s">
        <v>6154</v>
      </c>
      <c r="O69" s="60" t="s">
        <v>6156</v>
      </c>
      <c r="P69" s="60" t="s">
        <v>6155</v>
      </c>
      <c r="Q69" s="14"/>
      <c r="R69" s="14"/>
    </row>
    <row r="70" spans="1:18" s="1" customFormat="1">
      <c r="A70" s="62" t="s">
        <v>4241</v>
      </c>
      <c r="B70" s="66"/>
      <c r="C70" s="62"/>
      <c r="F70" s="14"/>
      <c r="G70" s="14"/>
      <c r="H70" s="14"/>
      <c r="I70" s="11"/>
      <c r="J70" s="14"/>
      <c r="K70" s="16"/>
      <c r="L70" s="15"/>
      <c r="M70" s="14"/>
      <c r="N70" s="62"/>
      <c r="O70" s="23"/>
      <c r="P70" s="60"/>
      <c r="Q70" s="14"/>
      <c r="R70" s="14"/>
    </row>
    <row r="71" spans="1:18" s="1" customFormat="1">
      <c r="A71" s="62" t="s">
        <v>4086</v>
      </c>
      <c r="B71" s="66" t="s">
        <v>4087</v>
      </c>
      <c r="C71" s="62" t="s">
        <v>494</v>
      </c>
      <c r="E71" s="62" t="s">
        <v>476</v>
      </c>
      <c r="F71" s="14">
        <v>17</v>
      </c>
      <c r="G71" s="14">
        <v>1759</v>
      </c>
      <c r="H71" s="47" t="s">
        <v>4094</v>
      </c>
      <c r="I71" s="11"/>
      <c r="J71" s="14">
        <v>2</v>
      </c>
      <c r="K71" s="16">
        <v>1</v>
      </c>
      <c r="L71" s="15"/>
      <c r="M71" s="14"/>
      <c r="N71" s="62"/>
      <c r="O71" s="23"/>
      <c r="P71" s="60"/>
      <c r="Q71" s="14"/>
      <c r="R71" s="14"/>
    </row>
    <row r="72" spans="1:18" s="1" customFormat="1">
      <c r="B72" s="66" t="s">
        <v>4088</v>
      </c>
      <c r="C72" s="62" t="s">
        <v>494</v>
      </c>
      <c r="E72" s="62" t="s">
        <v>476</v>
      </c>
      <c r="F72" s="14"/>
      <c r="G72" s="14"/>
      <c r="H72" s="14"/>
      <c r="I72" s="11"/>
      <c r="J72" s="14"/>
      <c r="K72" s="16">
        <v>2</v>
      </c>
      <c r="L72" s="15"/>
      <c r="M72" s="14"/>
      <c r="N72" s="62"/>
      <c r="O72" s="23"/>
      <c r="P72" s="60"/>
      <c r="Q72" s="14"/>
      <c r="R72" s="14"/>
    </row>
    <row r="73" spans="1:18" s="1" customFormat="1">
      <c r="B73" s="66" t="s">
        <v>4089</v>
      </c>
      <c r="C73" s="62" t="s">
        <v>494</v>
      </c>
      <c r="F73" s="14"/>
      <c r="G73" s="14"/>
      <c r="H73" s="14"/>
      <c r="I73" s="11"/>
      <c r="J73" s="14"/>
      <c r="K73" s="16">
        <v>3</v>
      </c>
      <c r="L73" s="15"/>
      <c r="M73" s="14"/>
      <c r="N73" s="62"/>
      <c r="O73" s="23"/>
      <c r="P73" s="60"/>
      <c r="Q73" s="14"/>
      <c r="R73" s="14"/>
    </row>
    <row r="74" spans="1:18" s="1" customFormat="1">
      <c r="B74" s="66" t="s">
        <v>4090</v>
      </c>
      <c r="C74" s="62" t="s">
        <v>493</v>
      </c>
      <c r="F74" s="14"/>
      <c r="G74" s="14"/>
      <c r="H74" s="14"/>
      <c r="I74" s="11"/>
      <c r="J74" s="14"/>
      <c r="K74" s="16">
        <v>4</v>
      </c>
      <c r="L74" s="15"/>
      <c r="M74" s="14"/>
      <c r="N74" s="62"/>
      <c r="O74" s="23"/>
      <c r="P74" s="60"/>
      <c r="Q74" s="14"/>
      <c r="R74" s="14"/>
    </row>
    <row r="75" spans="1:18" s="1" customFormat="1">
      <c r="B75" s="66" t="s">
        <v>4091</v>
      </c>
      <c r="C75" s="62" t="s">
        <v>494</v>
      </c>
      <c r="F75" s="14"/>
      <c r="G75" s="14"/>
      <c r="H75" s="14"/>
      <c r="I75" s="11"/>
      <c r="J75" s="14"/>
      <c r="K75" s="16">
        <v>5</v>
      </c>
      <c r="L75" s="15"/>
      <c r="M75" s="14"/>
      <c r="N75" s="62"/>
      <c r="O75" s="23"/>
      <c r="P75" s="60"/>
      <c r="Q75" s="14"/>
      <c r="R75" s="14"/>
    </row>
    <row r="76" spans="1:18" s="1" customFormat="1">
      <c r="B76" s="66" t="s">
        <v>4092</v>
      </c>
      <c r="C76" s="62" t="s">
        <v>520</v>
      </c>
      <c r="F76" s="14"/>
      <c r="G76" s="14"/>
      <c r="H76" s="14"/>
      <c r="I76" s="11"/>
      <c r="J76" s="14"/>
      <c r="K76" s="16">
        <v>6</v>
      </c>
      <c r="L76" s="15"/>
      <c r="M76" s="14"/>
      <c r="N76" s="62"/>
      <c r="O76" s="23"/>
      <c r="P76" s="60"/>
      <c r="Q76" s="14"/>
      <c r="R76" s="14"/>
    </row>
    <row r="77" spans="1:18" s="1" customFormat="1">
      <c r="B77" s="29"/>
      <c r="C77" s="62"/>
      <c r="F77" s="14"/>
      <c r="G77" s="14"/>
      <c r="H77" s="14"/>
      <c r="I77" s="11"/>
      <c r="J77" s="14"/>
      <c r="K77" s="16"/>
      <c r="L77" s="15"/>
      <c r="M77" s="14"/>
      <c r="N77" s="62"/>
      <c r="O77" s="23"/>
      <c r="P77" s="60"/>
      <c r="Q77" s="14"/>
      <c r="R77" s="14"/>
    </row>
    <row r="82" spans="1:18" s="1" customFormat="1">
      <c r="B82" s="29"/>
      <c r="C82" s="62"/>
      <c r="F82" s="14"/>
      <c r="G82" s="14"/>
      <c r="H82" s="14"/>
      <c r="I82" s="11"/>
      <c r="J82" s="14"/>
      <c r="K82" s="16"/>
      <c r="L82" s="15"/>
      <c r="M82" s="14"/>
      <c r="N82" s="62"/>
      <c r="O82" s="23"/>
      <c r="P82" s="60"/>
      <c r="Q82" s="14"/>
      <c r="R82" s="14"/>
    </row>
    <row r="83" spans="1:18" s="1" customFormat="1">
      <c r="B83" s="29"/>
      <c r="C83" s="62"/>
      <c r="F83" s="14"/>
      <c r="G83" s="14"/>
      <c r="H83" s="14"/>
      <c r="I83" s="11"/>
      <c r="J83" s="14"/>
      <c r="K83" s="16"/>
      <c r="L83" s="15"/>
      <c r="M83" s="14"/>
      <c r="N83" s="62"/>
      <c r="O83" s="23"/>
      <c r="P83" s="60"/>
      <c r="Q83" s="14"/>
      <c r="R83" s="14"/>
    </row>
    <row r="84" spans="1:18" s="1" customFormat="1">
      <c r="B84" s="29"/>
      <c r="C84" s="62"/>
      <c r="F84" s="14"/>
      <c r="G84" s="14"/>
      <c r="H84" s="14"/>
      <c r="I84" s="11"/>
      <c r="J84" s="14"/>
      <c r="K84" s="16"/>
      <c r="L84" s="15"/>
      <c r="M84" s="14"/>
      <c r="O84" s="23"/>
      <c r="P84" s="23"/>
      <c r="Q84" s="14"/>
      <c r="R84" s="14"/>
    </row>
    <row r="85" spans="1:18" s="1" customFormat="1">
      <c r="A85" s="62" t="s">
        <v>956</v>
      </c>
      <c r="B85" s="23" t="s">
        <v>959</v>
      </c>
      <c r="C85" s="1" t="s">
        <v>494</v>
      </c>
      <c r="E85" s="1" t="s">
        <v>476</v>
      </c>
      <c r="F85" s="14">
        <v>17</v>
      </c>
      <c r="G85" s="14">
        <v>1705</v>
      </c>
      <c r="H85" s="14" t="s">
        <v>1149</v>
      </c>
      <c r="I85" s="11" t="s">
        <v>1155</v>
      </c>
      <c r="J85" s="14">
        <v>1</v>
      </c>
      <c r="K85" s="16">
        <v>1</v>
      </c>
      <c r="L85" s="15">
        <v>6</v>
      </c>
      <c r="M85" s="14"/>
      <c r="N85" s="23"/>
      <c r="O85" s="14"/>
      <c r="P85" s="14"/>
      <c r="Q85" s="14"/>
      <c r="R85" s="14"/>
    </row>
    <row r="86" spans="1:18" s="1" customFormat="1">
      <c r="B86" s="23" t="s">
        <v>1119</v>
      </c>
      <c r="C86" s="1" t="s">
        <v>494</v>
      </c>
      <c r="E86" s="1" t="s">
        <v>476</v>
      </c>
      <c r="F86" s="14"/>
      <c r="G86" s="14"/>
      <c r="H86" s="14"/>
      <c r="I86" s="11"/>
      <c r="J86" s="14"/>
      <c r="K86" s="16">
        <v>2</v>
      </c>
      <c r="L86" s="15"/>
      <c r="M86" s="14"/>
      <c r="N86" s="23"/>
      <c r="O86" s="14"/>
      <c r="P86" s="14"/>
      <c r="Q86" s="14"/>
      <c r="R86" s="14"/>
    </row>
    <row r="87" spans="1:18" s="1" customFormat="1">
      <c r="B87" s="23" t="s">
        <v>957</v>
      </c>
      <c r="C87" s="1" t="s">
        <v>494</v>
      </c>
      <c r="F87" s="14"/>
      <c r="G87" s="14">
        <v>1705</v>
      </c>
      <c r="H87" s="14" t="s">
        <v>964</v>
      </c>
      <c r="I87" s="11" t="s">
        <v>965</v>
      </c>
      <c r="J87" s="14"/>
      <c r="K87" s="16">
        <v>3</v>
      </c>
      <c r="L87" s="15">
        <v>6</v>
      </c>
      <c r="M87" s="14"/>
      <c r="N87" s="23"/>
      <c r="O87" s="14"/>
      <c r="P87" s="14"/>
      <c r="Q87" s="14"/>
      <c r="R87" s="14"/>
    </row>
    <row r="88" spans="1:18" s="1" customFormat="1">
      <c r="B88" s="23" t="s">
        <v>1118</v>
      </c>
      <c r="C88" s="1" t="s">
        <v>493</v>
      </c>
      <c r="D88" s="1">
        <v>1</v>
      </c>
      <c r="F88" s="14"/>
      <c r="G88" s="14">
        <v>1718</v>
      </c>
      <c r="H88" s="14" t="s">
        <v>1149</v>
      </c>
      <c r="I88" s="11" t="s">
        <v>1155</v>
      </c>
      <c r="J88" s="14"/>
      <c r="K88" s="16">
        <v>4</v>
      </c>
      <c r="L88" s="15">
        <v>3</v>
      </c>
      <c r="M88" s="14"/>
      <c r="N88" s="23"/>
      <c r="O88" s="14"/>
      <c r="P88" s="14"/>
      <c r="Q88" s="14"/>
      <c r="R88" s="14"/>
    </row>
    <row r="89" spans="1:18" s="1" customFormat="1">
      <c r="B89" s="23" t="s">
        <v>958</v>
      </c>
      <c r="C89" s="1" t="s">
        <v>493</v>
      </c>
      <c r="D89" s="1">
        <v>100</v>
      </c>
      <c r="F89" s="14"/>
      <c r="G89" s="14"/>
      <c r="H89" s="14"/>
      <c r="I89" s="11"/>
      <c r="J89" s="14"/>
      <c r="K89" s="16">
        <v>5</v>
      </c>
      <c r="L89" s="15"/>
      <c r="M89" s="14"/>
      <c r="N89" s="23"/>
      <c r="O89" s="14"/>
      <c r="P89" s="14"/>
      <c r="Q89" s="14"/>
      <c r="R89" s="14"/>
    </row>
    <row r="90" spans="1:18" s="1" customFormat="1">
      <c r="B90" s="23" t="s">
        <v>960</v>
      </c>
      <c r="C90" s="1" t="s">
        <v>520</v>
      </c>
      <c r="F90" s="14"/>
      <c r="G90" s="14"/>
      <c r="H90" s="14"/>
      <c r="I90" s="11"/>
      <c r="J90" s="14"/>
      <c r="K90" s="16">
        <v>6</v>
      </c>
      <c r="L90" s="15"/>
      <c r="M90" s="14"/>
      <c r="N90" s="23"/>
      <c r="O90" s="14"/>
      <c r="P90" s="14"/>
      <c r="Q90" s="14"/>
      <c r="R90" s="14"/>
    </row>
    <row r="91" spans="1:18" s="1" customFormat="1">
      <c r="B91" s="23" t="s">
        <v>1120</v>
      </c>
      <c r="C91" s="1" t="s">
        <v>494</v>
      </c>
      <c r="F91" s="14"/>
      <c r="G91" s="14"/>
      <c r="H91" s="14"/>
      <c r="I91" s="11"/>
      <c r="J91" s="14"/>
      <c r="K91" s="16">
        <v>7</v>
      </c>
      <c r="L91" s="15"/>
      <c r="M91" s="14"/>
      <c r="N91" s="23"/>
      <c r="O91" s="14"/>
      <c r="P91" s="14"/>
      <c r="Q91" s="14"/>
      <c r="R91" s="14"/>
    </row>
    <row r="92" spans="1:18" s="1" customFormat="1">
      <c r="B92" s="66" t="s">
        <v>1123</v>
      </c>
      <c r="C92" s="1" t="s">
        <v>494</v>
      </c>
      <c r="F92" s="14"/>
      <c r="G92" s="14"/>
      <c r="H92" s="14"/>
      <c r="I92" s="11"/>
      <c r="J92" s="14"/>
      <c r="K92" s="16">
        <v>8</v>
      </c>
      <c r="L92" s="15">
        <v>3</v>
      </c>
      <c r="M92" s="14"/>
      <c r="N92" s="1" t="s">
        <v>1038</v>
      </c>
      <c r="O92" s="23" t="s">
        <v>1040</v>
      </c>
      <c r="P92" s="23" t="s">
        <v>1041</v>
      </c>
      <c r="Q92" s="14"/>
      <c r="R92" s="14"/>
    </row>
    <row r="93" spans="1:18" s="1" customFormat="1">
      <c r="B93" s="66" t="s">
        <v>70</v>
      </c>
      <c r="C93" s="1" t="s">
        <v>493</v>
      </c>
      <c r="D93" s="1">
        <v>2</v>
      </c>
      <c r="F93" s="14"/>
      <c r="G93" s="14"/>
      <c r="H93" s="14"/>
      <c r="I93" s="11"/>
      <c r="J93" s="14"/>
      <c r="K93" s="16">
        <v>9</v>
      </c>
      <c r="L93" s="15"/>
      <c r="M93" s="14"/>
      <c r="O93" s="23"/>
      <c r="P93" s="23"/>
      <c r="Q93" s="14"/>
      <c r="R93" s="14"/>
    </row>
    <row r="94" spans="1:18" s="1" customFormat="1">
      <c r="B94" s="66" t="s">
        <v>2514</v>
      </c>
      <c r="C94" s="62" t="s">
        <v>494</v>
      </c>
      <c r="F94" s="14"/>
      <c r="G94" s="14"/>
      <c r="H94" s="14"/>
      <c r="I94" s="11"/>
      <c r="J94" s="14"/>
      <c r="K94" s="16">
        <v>10</v>
      </c>
      <c r="L94" s="15">
        <v>3</v>
      </c>
      <c r="M94" s="14">
        <v>3</v>
      </c>
      <c r="N94" s="64" t="s">
        <v>506</v>
      </c>
      <c r="O94" s="64" t="s">
        <v>514</v>
      </c>
      <c r="P94" s="1" t="s">
        <v>515</v>
      </c>
      <c r="Q94" s="14"/>
      <c r="R94" s="14"/>
    </row>
    <row r="95" spans="1:18" s="1" customFormat="1">
      <c r="B95" s="23"/>
      <c r="F95" s="14"/>
      <c r="G95" s="14"/>
      <c r="H95" s="14"/>
      <c r="I95" s="11"/>
      <c r="J95" s="14"/>
      <c r="K95" s="16"/>
      <c r="L95" s="15"/>
      <c r="M95" s="14"/>
      <c r="N95" s="23"/>
      <c r="O95" s="14"/>
      <c r="P95" s="14"/>
      <c r="Q95" s="14"/>
      <c r="R95" s="14"/>
    </row>
    <row r="96" spans="1:18" s="1" customFormat="1">
      <c r="A96" s="62" t="s">
        <v>955</v>
      </c>
      <c r="B96" s="60" t="s">
        <v>944</v>
      </c>
      <c r="C96" s="1" t="s">
        <v>494</v>
      </c>
      <c r="E96" s="1" t="s">
        <v>476</v>
      </c>
      <c r="F96" s="14">
        <v>17</v>
      </c>
      <c r="G96" s="14">
        <v>1706</v>
      </c>
      <c r="H96" s="14" t="s">
        <v>985</v>
      </c>
      <c r="I96" s="11" t="s">
        <v>986</v>
      </c>
      <c r="J96" s="14">
        <v>1</v>
      </c>
      <c r="K96" s="16">
        <v>1</v>
      </c>
      <c r="L96" s="15">
        <v>52</v>
      </c>
      <c r="M96" s="14"/>
      <c r="N96" s="23">
        <v>1705</v>
      </c>
      <c r="O96" s="23" t="s">
        <v>957</v>
      </c>
      <c r="P96" s="14"/>
      <c r="Q96" s="14"/>
      <c r="R96" s="14"/>
    </row>
    <row r="97" spans="1:18" s="1" customFormat="1">
      <c r="B97" s="60" t="s">
        <v>966</v>
      </c>
      <c r="C97" s="1" t="s">
        <v>494</v>
      </c>
      <c r="E97" s="1" t="s">
        <v>476</v>
      </c>
      <c r="F97" s="14"/>
      <c r="G97" s="14"/>
      <c r="H97" s="14"/>
      <c r="I97" s="11"/>
      <c r="J97" s="14"/>
      <c r="K97" s="16">
        <v>2</v>
      </c>
      <c r="L97" s="15">
        <v>3</v>
      </c>
      <c r="M97" s="14"/>
      <c r="N97" s="62" t="s">
        <v>947</v>
      </c>
      <c r="O97" s="23" t="s">
        <v>938</v>
      </c>
      <c r="P97" s="23" t="s">
        <v>940</v>
      </c>
      <c r="Q97" s="14"/>
      <c r="R97" s="14"/>
    </row>
    <row r="98" spans="1:18" s="1" customFormat="1">
      <c r="B98" s="60" t="s">
        <v>967</v>
      </c>
      <c r="C98" s="1" t="s">
        <v>494</v>
      </c>
      <c r="E98" s="1" t="s">
        <v>476</v>
      </c>
      <c r="F98" s="14"/>
      <c r="G98" s="14"/>
      <c r="H98" s="14"/>
      <c r="I98" s="11"/>
      <c r="J98" s="14"/>
      <c r="K98" s="16">
        <v>3</v>
      </c>
      <c r="L98" s="15">
        <v>3</v>
      </c>
      <c r="M98" s="14"/>
      <c r="N98" s="1" t="s">
        <v>950</v>
      </c>
      <c r="O98" s="23" t="s">
        <v>941</v>
      </c>
      <c r="P98" s="23" t="s">
        <v>952</v>
      </c>
      <c r="Q98" s="14"/>
      <c r="R98" s="14"/>
    </row>
    <row r="99" spans="1:18" s="1" customFormat="1">
      <c r="B99" s="60" t="s">
        <v>968</v>
      </c>
      <c r="C99" s="1" t="s">
        <v>494</v>
      </c>
      <c r="E99" s="1" t="s">
        <v>476</v>
      </c>
      <c r="F99" s="14"/>
      <c r="G99" s="14"/>
      <c r="H99" s="14"/>
      <c r="I99" s="11"/>
      <c r="J99" s="14"/>
      <c r="K99" s="16">
        <v>4</v>
      </c>
      <c r="L99" s="15">
        <v>3</v>
      </c>
      <c r="M99" s="14"/>
      <c r="N99" s="62" t="s">
        <v>961</v>
      </c>
      <c r="O99" s="23" t="s">
        <v>942</v>
      </c>
      <c r="P99" s="23" t="s">
        <v>945</v>
      </c>
      <c r="Q99" s="14"/>
      <c r="R99" s="14"/>
    </row>
    <row r="100" spans="1:18" s="1" customFormat="1">
      <c r="B100" s="23" t="s">
        <v>943</v>
      </c>
      <c r="C100" s="1" t="s">
        <v>494</v>
      </c>
      <c r="F100" s="14"/>
      <c r="G100" s="14"/>
      <c r="H100" s="14"/>
      <c r="I100" s="11"/>
      <c r="J100" s="14"/>
      <c r="K100" s="16">
        <v>5</v>
      </c>
      <c r="L100" s="15">
        <v>6</v>
      </c>
      <c r="M100" s="14"/>
      <c r="N100" s="23"/>
      <c r="P100" s="14"/>
      <c r="Q100" s="14"/>
      <c r="R100" s="14"/>
    </row>
    <row r="101" spans="1:18" s="1" customFormat="1">
      <c r="B101" s="23" t="s">
        <v>969</v>
      </c>
      <c r="C101" s="1" t="s">
        <v>494</v>
      </c>
      <c r="F101" s="14"/>
      <c r="G101" s="14"/>
      <c r="H101" s="14"/>
      <c r="I101" s="11"/>
      <c r="J101" s="14"/>
      <c r="K101" s="16">
        <v>6</v>
      </c>
      <c r="L101" s="15"/>
      <c r="M101" s="14"/>
      <c r="N101" s="23"/>
      <c r="O101" s="14"/>
      <c r="P101" s="14"/>
      <c r="Q101" s="14"/>
      <c r="R101" s="14"/>
    </row>
    <row r="102" spans="1:18" s="1" customFormat="1">
      <c r="B102" s="23" t="s">
        <v>970</v>
      </c>
      <c r="C102" s="1" t="s">
        <v>494</v>
      </c>
      <c r="F102" s="14"/>
      <c r="G102" s="14"/>
      <c r="H102" s="14"/>
      <c r="I102" s="11"/>
      <c r="J102" s="14"/>
      <c r="K102" s="16">
        <v>7</v>
      </c>
      <c r="L102" s="15">
        <v>3</v>
      </c>
      <c r="M102" s="14">
        <v>31</v>
      </c>
      <c r="N102" s="23" t="s">
        <v>1091</v>
      </c>
      <c r="O102" s="14" t="s">
        <v>1096</v>
      </c>
      <c r="P102" s="14" t="s">
        <v>1096</v>
      </c>
      <c r="Q102" s="14" t="s">
        <v>1096</v>
      </c>
      <c r="R102" s="14">
        <v>2</v>
      </c>
    </row>
    <row r="103" spans="1:18" s="1" customFormat="1">
      <c r="B103" s="23" t="s">
        <v>971</v>
      </c>
      <c r="C103" s="1" t="s">
        <v>494</v>
      </c>
      <c r="F103" s="14"/>
      <c r="G103" s="14"/>
      <c r="H103" s="14"/>
      <c r="I103" s="11"/>
      <c r="J103" s="14"/>
      <c r="K103" s="16">
        <v>8</v>
      </c>
      <c r="L103" s="15"/>
      <c r="M103" s="14"/>
      <c r="N103" s="23"/>
      <c r="O103" s="14"/>
      <c r="P103" s="14"/>
      <c r="Q103" s="14"/>
      <c r="R103" s="14"/>
    </row>
    <row r="104" spans="1:18" s="1" customFormat="1">
      <c r="B104" s="23" t="s">
        <v>972</v>
      </c>
      <c r="C104" s="1" t="s">
        <v>494</v>
      </c>
      <c r="F104" s="14"/>
      <c r="G104" s="14"/>
      <c r="H104" s="14"/>
      <c r="I104" s="11"/>
      <c r="J104" s="14"/>
      <c r="K104" s="16">
        <v>9</v>
      </c>
      <c r="L104" s="15"/>
      <c r="M104" s="14"/>
      <c r="N104" s="23"/>
      <c r="O104" s="14"/>
      <c r="P104" s="14"/>
      <c r="Q104" s="14"/>
      <c r="R104" s="14"/>
    </row>
    <row r="105" spans="1:18" s="1" customFormat="1">
      <c r="B105" s="60" t="s">
        <v>973</v>
      </c>
      <c r="C105" s="1" t="s">
        <v>494</v>
      </c>
      <c r="F105" s="14"/>
      <c r="G105" s="14"/>
      <c r="H105" s="14"/>
      <c r="I105" s="11"/>
      <c r="J105" s="14"/>
      <c r="K105" s="16">
        <v>10</v>
      </c>
      <c r="L105" s="15"/>
      <c r="M105" s="14"/>
      <c r="N105" s="23"/>
      <c r="O105" s="14"/>
      <c r="P105" s="14"/>
      <c r="Q105" s="14"/>
      <c r="R105" s="14"/>
    </row>
    <row r="106" spans="1:18" s="1" customFormat="1">
      <c r="B106" s="29" t="s">
        <v>1122</v>
      </c>
      <c r="C106" s="1" t="s">
        <v>520</v>
      </c>
      <c r="F106" s="14"/>
      <c r="G106" s="14"/>
      <c r="H106" s="14"/>
      <c r="I106" s="11"/>
      <c r="J106" s="14"/>
      <c r="K106" s="16">
        <v>11</v>
      </c>
      <c r="L106" s="15"/>
      <c r="M106" s="14"/>
      <c r="N106" s="23"/>
      <c r="O106" s="14"/>
      <c r="P106" s="14"/>
      <c r="Q106" s="14"/>
      <c r="R106" s="14"/>
    </row>
    <row r="107" spans="1:18" s="1" customFormat="1">
      <c r="B107" s="29"/>
      <c r="F107" s="14"/>
      <c r="G107" s="14"/>
      <c r="H107" s="14"/>
      <c r="I107" s="11"/>
      <c r="J107" s="14"/>
      <c r="K107" s="16"/>
      <c r="L107" s="15"/>
      <c r="M107" s="14"/>
      <c r="N107" s="23"/>
      <c r="O107" s="14"/>
      <c r="P107" s="14"/>
      <c r="Q107" s="14"/>
      <c r="R107" s="14"/>
    </row>
    <row r="108" spans="1:18" s="1" customFormat="1">
      <c r="A108" s="62" t="s">
        <v>947</v>
      </c>
      <c r="B108" s="23" t="s">
        <v>939</v>
      </c>
      <c r="C108" s="1" t="s">
        <v>494</v>
      </c>
      <c r="E108" s="1" t="s">
        <v>476</v>
      </c>
      <c r="F108" s="14">
        <v>17</v>
      </c>
      <c r="G108" s="14">
        <v>1702</v>
      </c>
      <c r="H108" s="14" t="s">
        <v>948</v>
      </c>
      <c r="I108" s="11" t="s">
        <v>949</v>
      </c>
      <c r="J108" s="14">
        <v>2</v>
      </c>
      <c r="K108" s="16">
        <v>1</v>
      </c>
      <c r="L108" s="15">
        <v>6</v>
      </c>
      <c r="M108" s="14"/>
      <c r="N108" s="23"/>
      <c r="O108" s="14"/>
      <c r="P108" s="14"/>
      <c r="Q108" s="14"/>
      <c r="R108" s="14"/>
    </row>
    <row r="109" spans="1:18" s="1" customFormat="1">
      <c r="B109" s="23" t="s">
        <v>938</v>
      </c>
      <c r="C109" s="1" t="s">
        <v>494</v>
      </c>
      <c r="F109" s="14"/>
      <c r="G109" s="14"/>
      <c r="H109" s="14"/>
      <c r="I109" s="11"/>
      <c r="J109" s="14"/>
      <c r="K109" s="16">
        <v>2</v>
      </c>
      <c r="L109" s="15">
        <v>6</v>
      </c>
      <c r="M109" s="14"/>
      <c r="N109" s="23"/>
      <c r="O109" s="14"/>
      <c r="P109" s="14"/>
      <c r="Q109" s="14"/>
      <c r="R109" s="14"/>
    </row>
    <row r="110" spans="1:18" s="1" customFormat="1">
      <c r="B110" s="23" t="s">
        <v>940</v>
      </c>
      <c r="C110" s="1" t="s">
        <v>493</v>
      </c>
      <c r="D110" s="1">
        <v>100</v>
      </c>
      <c r="F110" s="14"/>
      <c r="G110" s="14"/>
      <c r="H110" s="14"/>
      <c r="I110" s="11"/>
      <c r="J110" s="14"/>
      <c r="K110" s="16">
        <v>3</v>
      </c>
      <c r="L110" s="15"/>
      <c r="M110" s="14"/>
      <c r="N110" s="23"/>
      <c r="O110" s="14"/>
      <c r="P110" s="14"/>
      <c r="Q110" s="14"/>
      <c r="R110" s="14"/>
    </row>
    <row r="111" spans="1:18" s="1" customFormat="1">
      <c r="B111" s="60" t="s">
        <v>1157</v>
      </c>
      <c r="C111" s="1" t="s">
        <v>494</v>
      </c>
      <c r="F111" s="14"/>
      <c r="G111" s="14"/>
      <c r="H111" s="14"/>
      <c r="I111" s="11"/>
      <c r="J111" s="14"/>
      <c r="K111" s="16">
        <v>4</v>
      </c>
      <c r="L111" s="15">
        <v>3</v>
      </c>
      <c r="M111" s="14"/>
      <c r="N111" s="62" t="s">
        <v>11</v>
      </c>
      <c r="O111" s="23" t="s">
        <v>12</v>
      </c>
      <c r="P111" s="23" t="s">
        <v>13</v>
      </c>
      <c r="Q111" s="14"/>
      <c r="R111" s="14"/>
    </row>
    <row r="112" spans="1:18" s="1" customFormat="1">
      <c r="B112" s="23" t="s">
        <v>1133</v>
      </c>
      <c r="C112" s="1" t="s">
        <v>494</v>
      </c>
      <c r="F112" s="14"/>
      <c r="G112" s="14"/>
      <c r="H112" s="14"/>
      <c r="I112" s="11"/>
      <c r="J112" s="14"/>
      <c r="K112" s="16">
        <v>5</v>
      </c>
      <c r="L112" s="15"/>
      <c r="M112" s="14"/>
      <c r="N112" s="1">
        <v>1718</v>
      </c>
      <c r="O112" s="23" t="s">
        <v>1040</v>
      </c>
      <c r="P112" s="23" t="s">
        <v>1041</v>
      </c>
      <c r="Q112" s="14"/>
      <c r="R112" s="14"/>
    </row>
    <row r="113" spans="1:18" s="1" customFormat="1">
      <c r="B113" s="66" t="s">
        <v>2520</v>
      </c>
      <c r="C113" s="62" t="s">
        <v>494</v>
      </c>
      <c r="F113" s="14"/>
      <c r="G113" s="14"/>
      <c r="H113" s="14"/>
      <c r="I113" s="11"/>
      <c r="J113" s="14"/>
      <c r="K113" s="16">
        <v>10</v>
      </c>
      <c r="L113" s="15">
        <v>52</v>
      </c>
      <c r="M113" s="14"/>
      <c r="N113" s="1">
        <v>1705</v>
      </c>
      <c r="O113" s="23" t="s">
        <v>957</v>
      </c>
      <c r="P113" s="23"/>
      <c r="Q113" s="14"/>
      <c r="R113" s="14"/>
    </row>
    <row r="114" spans="1:18" s="1" customFormat="1">
      <c r="B114" s="23"/>
      <c r="F114" s="14"/>
      <c r="G114" s="14"/>
      <c r="H114" s="14"/>
      <c r="I114" s="11"/>
      <c r="J114" s="14"/>
      <c r="K114" s="16"/>
      <c r="L114" s="15"/>
      <c r="M114" s="14"/>
      <c r="P114" s="14"/>
      <c r="Q114" s="14"/>
      <c r="R114" s="14"/>
    </row>
    <row r="115" spans="1:18" s="1" customFormat="1">
      <c r="A115" s="62" t="s">
        <v>950</v>
      </c>
      <c r="B115" s="23" t="s">
        <v>951</v>
      </c>
      <c r="C115" s="1" t="s">
        <v>494</v>
      </c>
      <c r="E115" s="1" t="s">
        <v>476</v>
      </c>
      <c r="F115" s="14">
        <v>17</v>
      </c>
      <c r="G115" s="14">
        <v>1703</v>
      </c>
      <c r="H115" s="47" t="s">
        <v>4118</v>
      </c>
      <c r="I115" s="11"/>
      <c r="J115" s="14">
        <v>2</v>
      </c>
      <c r="K115" s="16">
        <v>1</v>
      </c>
      <c r="L115" s="15">
        <v>6</v>
      </c>
      <c r="M115" s="14"/>
      <c r="N115" s="23"/>
      <c r="O115" s="14"/>
      <c r="P115" s="14"/>
      <c r="Q115" s="14"/>
      <c r="R115" s="14"/>
    </row>
    <row r="116" spans="1:18" s="1" customFormat="1">
      <c r="B116" s="60" t="s">
        <v>941</v>
      </c>
      <c r="C116" s="1" t="s">
        <v>494</v>
      </c>
      <c r="F116" s="14"/>
      <c r="G116" s="14"/>
      <c r="H116" s="14"/>
      <c r="I116" s="11"/>
      <c r="J116" s="14"/>
      <c r="K116" s="16">
        <v>2</v>
      </c>
      <c r="L116" s="15">
        <v>6</v>
      </c>
      <c r="M116" s="14"/>
      <c r="N116" s="23"/>
      <c r="O116" s="14"/>
      <c r="P116" s="14"/>
      <c r="Q116" s="14"/>
      <c r="R116" s="14"/>
    </row>
    <row r="117" spans="1:18" s="1" customFormat="1">
      <c r="B117" s="23" t="s">
        <v>952</v>
      </c>
      <c r="C117" s="1" t="s">
        <v>493</v>
      </c>
      <c r="D117" s="1">
        <v>100</v>
      </c>
      <c r="F117" s="14"/>
      <c r="G117" s="14"/>
      <c r="H117" s="14"/>
      <c r="I117" s="11"/>
      <c r="J117" s="14"/>
      <c r="K117" s="16">
        <v>3</v>
      </c>
      <c r="L117" s="15"/>
      <c r="M117" s="14"/>
      <c r="N117" s="23"/>
      <c r="O117" s="14"/>
      <c r="P117" s="14"/>
      <c r="Q117" s="14"/>
      <c r="R117" s="14"/>
    </row>
    <row r="118" spans="1:18" s="1" customFormat="1">
      <c r="B118" s="23" t="s">
        <v>1134</v>
      </c>
      <c r="C118" s="1" t="s">
        <v>494</v>
      </c>
      <c r="F118" s="14"/>
      <c r="G118" s="14"/>
      <c r="H118" s="14"/>
      <c r="I118" s="11"/>
      <c r="J118" s="14"/>
      <c r="K118" s="16">
        <v>4</v>
      </c>
      <c r="L118" s="15"/>
      <c r="M118" s="14"/>
      <c r="N118" s="1">
        <v>1718</v>
      </c>
      <c r="O118" s="23" t="s">
        <v>1040</v>
      </c>
      <c r="P118" s="23" t="s">
        <v>1041</v>
      </c>
      <c r="Q118" s="14"/>
      <c r="R118" s="14"/>
    </row>
    <row r="119" spans="1:18" s="1" customFormat="1">
      <c r="B119" s="29" t="s">
        <v>2521</v>
      </c>
      <c r="C119" s="62" t="s">
        <v>494</v>
      </c>
      <c r="F119" s="14"/>
      <c r="G119" s="14"/>
      <c r="H119" s="14"/>
      <c r="I119" s="11"/>
      <c r="J119" s="14"/>
      <c r="K119" s="16">
        <v>5</v>
      </c>
      <c r="L119" s="15">
        <v>52</v>
      </c>
      <c r="M119" s="14"/>
      <c r="N119" s="1">
        <v>1705</v>
      </c>
      <c r="O119" s="23" t="s">
        <v>957</v>
      </c>
      <c r="P119" s="23"/>
      <c r="Q119" s="14"/>
      <c r="R119" s="14"/>
    </row>
    <row r="120" spans="1:18" s="1" customFormat="1">
      <c r="B120" s="66" t="s">
        <v>4119</v>
      </c>
      <c r="C120" s="62" t="s">
        <v>494</v>
      </c>
      <c r="F120" s="14"/>
      <c r="G120" s="14"/>
      <c r="H120" s="14"/>
      <c r="I120" s="11"/>
      <c r="J120" s="14"/>
      <c r="K120" s="16">
        <v>6</v>
      </c>
      <c r="L120" s="15">
        <v>3</v>
      </c>
      <c r="M120" s="14"/>
      <c r="O120" s="23"/>
      <c r="P120" s="23"/>
      <c r="Q120" s="14"/>
      <c r="R120" s="14"/>
    </row>
    <row r="121" spans="1:18" s="1" customFormat="1">
      <c r="B121" s="23"/>
      <c r="F121" s="14"/>
      <c r="G121" s="14"/>
      <c r="H121" s="14"/>
      <c r="I121" s="11"/>
      <c r="J121" s="14"/>
      <c r="K121" s="16"/>
      <c r="L121" s="15"/>
      <c r="M121" s="14"/>
      <c r="N121" s="23"/>
      <c r="O121" s="14"/>
      <c r="P121" s="14"/>
      <c r="Q121" s="14"/>
      <c r="R121" s="14"/>
    </row>
    <row r="122" spans="1:18" s="1" customFormat="1">
      <c r="A122" s="70" t="s">
        <v>950</v>
      </c>
      <c r="B122" s="88" t="s">
        <v>951</v>
      </c>
      <c r="C122" s="39" t="s">
        <v>494</v>
      </c>
      <c r="E122" s="1" t="s">
        <v>476</v>
      </c>
      <c r="F122" s="14">
        <v>17</v>
      </c>
      <c r="G122" s="14">
        <v>1703</v>
      </c>
      <c r="H122" s="47" t="s">
        <v>4118</v>
      </c>
      <c r="I122" s="11" t="s">
        <v>953</v>
      </c>
      <c r="J122" s="14">
        <v>2</v>
      </c>
      <c r="K122" s="16">
        <v>1</v>
      </c>
      <c r="L122" s="15">
        <v>6</v>
      </c>
      <c r="M122" s="14"/>
      <c r="N122" s="23"/>
      <c r="O122" s="14"/>
      <c r="P122" s="14"/>
      <c r="Q122" s="14"/>
      <c r="R122" s="14"/>
    </row>
    <row r="123" spans="1:18" s="1" customFormat="1">
      <c r="A123" s="39"/>
      <c r="B123" s="67" t="s">
        <v>941</v>
      </c>
      <c r="C123" s="39" t="s">
        <v>494</v>
      </c>
      <c r="F123" s="14"/>
      <c r="G123" s="14"/>
      <c r="H123" s="14"/>
      <c r="I123" s="11"/>
      <c r="J123" s="14"/>
      <c r="K123" s="16">
        <v>2</v>
      </c>
      <c r="L123" s="15">
        <v>6</v>
      </c>
      <c r="M123" s="14"/>
      <c r="N123" s="23"/>
      <c r="O123" s="14"/>
      <c r="P123" s="14"/>
      <c r="Q123" s="14"/>
      <c r="R123" s="14"/>
    </row>
    <row r="124" spans="1:18" s="1" customFormat="1">
      <c r="A124" s="39"/>
      <c r="B124" s="88" t="s">
        <v>952</v>
      </c>
      <c r="C124" s="39" t="s">
        <v>493</v>
      </c>
      <c r="D124" s="1">
        <v>100</v>
      </c>
      <c r="F124" s="14"/>
      <c r="G124" s="14"/>
      <c r="H124" s="14"/>
      <c r="I124" s="11"/>
      <c r="J124" s="14"/>
      <c r="K124" s="16">
        <v>3</v>
      </c>
      <c r="L124" s="15"/>
      <c r="M124" s="14"/>
      <c r="N124" s="23"/>
      <c r="O124" s="14"/>
      <c r="P124" s="14"/>
      <c r="Q124" s="14"/>
      <c r="R124" s="14"/>
    </row>
    <row r="125" spans="1:18" s="1" customFormat="1">
      <c r="A125" s="39"/>
      <c r="B125" s="88" t="s">
        <v>1134</v>
      </c>
      <c r="C125" s="39" t="s">
        <v>494</v>
      </c>
      <c r="F125" s="14"/>
      <c r="G125" s="14"/>
      <c r="H125" s="14"/>
      <c r="I125" s="11"/>
      <c r="J125" s="14"/>
      <c r="K125" s="16">
        <v>4</v>
      </c>
      <c r="L125" s="15">
        <v>3</v>
      </c>
      <c r="M125" s="14">
        <v>1</v>
      </c>
      <c r="N125" s="62" t="s">
        <v>1038</v>
      </c>
      <c r="O125" s="23" t="s">
        <v>1040</v>
      </c>
      <c r="P125" s="23" t="s">
        <v>1041</v>
      </c>
      <c r="Q125" s="14"/>
      <c r="R125" s="14"/>
    </row>
    <row r="126" spans="1:18" s="1" customFormat="1">
      <c r="A126" s="39"/>
      <c r="B126" s="88" t="s">
        <v>2521</v>
      </c>
      <c r="C126" s="70" t="s">
        <v>494</v>
      </c>
      <c r="F126" s="14"/>
      <c r="G126" s="14"/>
      <c r="H126" s="14"/>
      <c r="I126" s="11"/>
      <c r="J126" s="14"/>
      <c r="K126" s="16">
        <v>5</v>
      </c>
      <c r="L126" s="15">
        <v>3</v>
      </c>
      <c r="M126" s="14">
        <v>1</v>
      </c>
      <c r="N126" s="62" t="s">
        <v>956</v>
      </c>
      <c r="O126" s="23" t="s">
        <v>957</v>
      </c>
      <c r="P126" s="23" t="s">
        <v>958</v>
      </c>
      <c r="Q126" s="14"/>
      <c r="R126" s="14"/>
    </row>
    <row r="127" spans="1:18" s="1" customFormat="1">
      <c r="A127" s="39"/>
      <c r="B127" s="67" t="s">
        <v>4119</v>
      </c>
      <c r="C127" s="70" t="s">
        <v>494</v>
      </c>
      <c r="F127" s="14"/>
      <c r="G127" s="14"/>
      <c r="H127" s="14"/>
      <c r="I127" s="11"/>
      <c r="J127" s="14"/>
      <c r="K127" s="16">
        <v>6</v>
      </c>
      <c r="L127" s="15">
        <v>3</v>
      </c>
      <c r="M127" s="14"/>
      <c r="O127" s="23"/>
      <c r="P127" s="23"/>
      <c r="Q127" s="14"/>
      <c r="R127" s="14"/>
    </row>
    <row r="128" spans="1:18" s="1" customFormat="1">
      <c r="B128" s="66"/>
      <c r="C128" s="62"/>
      <c r="F128" s="14"/>
      <c r="G128" s="14"/>
      <c r="H128" s="14"/>
      <c r="I128" s="11"/>
      <c r="J128" s="14"/>
      <c r="K128" s="16"/>
      <c r="L128" s="15"/>
      <c r="M128" s="14"/>
      <c r="O128" s="23"/>
      <c r="P128" s="23"/>
      <c r="Q128" s="14"/>
      <c r="R128" s="14"/>
    </row>
    <row r="129" spans="1:18" s="1" customFormat="1">
      <c r="A129" s="70" t="s">
        <v>975</v>
      </c>
      <c r="B129" s="67" t="s">
        <v>976</v>
      </c>
      <c r="C129" s="39" t="s">
        <v>494</v>
      </c>
      <c r="E129" s="1" t="s">
        <v>476</v>
      </c>
      <c r="F129" s="14">
        <v>17</v>
      </c>
      <c r="G129" s="14">
        <v>1707</v>
      </c>
      <c r="H129" s="47" t="s">
        <v>2291</v>
      </c>
      <c r="I129" s="48" t="s">
        <v>2223</v>
      </c>
      <c r="J129" s="14">
        <v>1701</v>
      </c>
      <c r="K129" s="16">
        <v>1</v>
      </c>
      <c r="L129" s="15">
        <v>3</v>
      </c>
      <c r="M129" s="14"/>
      <c r="N129" s="64" t="s">
        <v>506</v>
      </c>
      <c r="O129" s="64" t="s">
        <v>514</v>
      </c>
      <c r="P129" s="1" t="s">
        <v>515</v>
      </c>
      <c r="Q129" s="14"/>
      <c r="R129" s="14"/>
    </row>
    <row r="130" spans="1:18" s="1" customFormat="1">
      <c r="A130" s="39"/>
      <c r="B130" s="67" t="s">
        <v>977</v>
      </c>
      <c r="C130" s="39" t="s">
        <v>494</v>
      </c>
      <c r="E130" s="1" t="s">
        <v>476</v>
      </c>
      <c r="F130" s="14"/>
      <c r="G130" s="14"/>
      <c r="H130" s="14"/>
      <c r="I130" s="11"/>
      <c r="J130" s="14"/>
      <c r="K130" s="16">
        <v>2</v>
      </c>
      <c r="L130" s="15">
        <v>9</v>
      </c>
      <c r="M130" s="14"/>
      <c r="N130" s="1" t="s">
        <v>1038</v>
      </c>
      <c r="O130" s="23" t="s">
        <v>1040</v>
      </c>
      <c r="P130" s="23" t="s">
        <v>1041</v>
      </c>
      <c r="Q130" s="23" t="s">
        <v>1040</v>
      </c>
      <c r="R130" s="14">
        <v>140</v>
      </c>
    </row>
    <row r="131" spans="1:18" s="1" customFormat="1">
      <c r="A131" s="39"/>
      <c r="B131" s="67" t="s">
        <v>978</v>
      </c>
      <c r="C131" s="39" t="s">
        <v>494</v>
      </c>
      <c r="E131" s="1" t="s">
        <v>476</v>
      </c>
      <c r="F131" s="14"/>
      <c r="G131" s="14"/>
      <c r="H131" s="14"/>
      <c r="I131" s="11"/>
      <c r="J131" s="14"/>
      <c r="K131" s="16">
        <v>3</v>
      </c>
      <c r="L131" s="15">
        <v>3</v>
      </c>
      <c r="M131" s="14"/>
      <c r="N131" s="1" t="s">
        <v>379</v>
      </c>
      <c r="O131" s="62" t="s">
        <v>698</v>
      </c>
      <c r="P131" s="62" t="s">
        <v>699</v>
      </c>
      <c r="Q131" s="14"/>
      <c r="R131" s="14"/>
    </row>
    <row r="132" spans="1:18" s="1" customFormat="1">
      <c r="A132" s="39"/>
      <c r="B132" s="67" t="s">
        <v>979</v>
      </c>
      <c r="C132" s="39" t="s">
        <v>494</v>
      </c>
      <c r="F132" s="14"/>
      <c r="G132" s="14"/>
      <c r="H132" s="14"/>
      <c r="I132" s="11"/>
      <c r="J132" s="14"/>
      <c r="K132" s="16">
        <v>4</v>
      </c>
      <c r="L132" s="15">
        <v>6</v>
      </c>
      <c r="M132" s="14"/>
      <c r="P132" s="14"/>
      <c r="Q132" s="14"/>
      <c r="R132" s="14"/>
    </row>
    <row r="133" spans="1:18" s="1" customFormat="1">
      <c r="A133" s="39"/>
      <c r="B133" s="67" t="s">
        <v>280</v>
      </c>
      <c r="C133" s="39" t="s">
        <v>494</v>
      </c>
      <c r="F133" s="14"/>
      <c r="G133" s="14"/>
      <c r="H133" s="127"/>
      <c r="I133" s="48"/>
      <c r="J133" s="14"/>
      <c r="K133" s="16">
        <v>5</v>
      </c>
      <c r="L133" s="15">
        <v>3</v>
      </c>
      <c r="M133" s="14">
        <v>3</v>
      </c>
      <c r="N133" s="1" t="s">
        <v>3664</v>
      </c>
      <c r="O133" s="23" t="s">
        <v>3666</v>
      </c>
      <c r="P133" s="23" t="s">
        <v>3667</v>
      </c>
      <c r="Q133" s="14"/>
      <c r="R133" s="14"/>
    </row>
    <row r="134" spans="1:18" s="1" customFormat="1">
      <c r="A134" s="39"/>
      <c r="B134" s="67" t="s">
        <v>980</v>
      </c>
      <c r="C134" s="39" t="s">
        <v>494</v>
      </c>
      <c r="F134" s="14"/>
      <c r="G134" s="14"/>
      <c r="H134" s="127"/>
      <c r="I134" s="48"/>
      <c r="J134" s="14"/>
      <c r="K134" s="16">
        <v>6</v>
      </c>
      <c r="L134" s="15">
        <v>3</v>
      </c>
      <c r="M134" s="14">
        <v>1</v>
      </c>
      <c r="N134" s="62" t="s">
        <v>974</v>
      </c>
      <c r="O134" s="60" t="s">
        <v>954</v>
      </c>
      <c r="P134" s="23" t="s">
        <v>984</v>
      </c>
      <c r="Q134" s="14"/>
      <c r="R134" s="14"/>
    </row>
    <row r="135" spans="1:18" s="1" customFormat="1">
      <c r="B135" s="43" t="s">
        <v>296</v>
      </c>
      <c r="C135" s="1" t="s">
        <v>493</v>
      </c>
      <c r="D135" s="1">
        <v>10</v>
      </c>
      <c r="F135" s="14"/>
      <c r="G135" s="14"/>
      <c r="H135" s="127"/>
      <c r="I135" s="48"/>
      <c r="J135" s="14"/>
      <c r="K135" s="16">
        <v>7</v>
      </c>
      <c r="L135" s="15">
        <v>7</v>
      </c>
      <c r="M135" s="14">
        <v>1</v>
      </c>
      <c r="N135" s="23"/>
      <c r="O135" s="14"/>
      <c r="P135" s="14"/>
      <c r="Q135" s="14"/>
      <c r="R135" s="14"/>
    </row>
    <row r="136" spans="1:18" s="1" customFormat="1">
      <c r="B136" s="60" t="s">
        <v>297</v>
      </c>
      <c r="C136" s="1" t="s">
        <v>493</v>
      </c>
      <c r="D136" s="1">
        <v>10</v>
      </c>
      <c r="F136" s="14"/>
      <c r="G136" s="14"/>
      <c r="H136" s="128"/>
      <c r="I136" s="11"/>
      <c r="J136" s="14"/>
      <c r="K136" s="16">
        <v>8</v>
      </c>
      <c r="L136" s="15">
        <v>7</v>
      </c>
      <c r="M136" s="14">
        <v>1</v>
      </c>
      <c r="N136" s="23"/>
      <c r="O136" s="14"/>
      <c r="P136" s="14"/>
      <c r="Q136" s="14"/>
      <c r="R136" s="14">
        <v>-1</v>
      </c>
    </row>
    <row r="137" spans="1:18" s="1" customFormat="1">
      <c r="B137" s="60" t="s">
        <v>268</v>
      </c>
      <c r="C137" s="1" t="s">
        <v>494</v>
      </c>
      <c r="F137" s="14"/>
      <c r="G137" s="14"/>
      <c r="H137" s="14"/>
      <c r="I137" s="11"/>
      <c r="J137" s="14"/>
      <c r="K137" s="16">
        <v>9</v>
      </c>
      <c r="L137" s="15">
        <v>3</v>
      </c>
      <c r="M137" s="14">
        <v>1</v>
      </c>
      <c r="N137" s="62" t="s">
        <v>269</v>
      </c>
      <c r="O137" s="23" t="s">
        <v>270</v>
      </c>
      <c r="P137" s="23" t="s">
        <v>271</v>
      </c>
      <c r="Q137" s="14"/>
      <c r="R137" s="14"/>
    </row>
    <row r="138" spans="1:18" s="1" customFormat="1">
      <c r="B138" s="43" t="s">
        <v>77</v>
      </c>
      <c r="C138" s="1" t="s">
        <v>494</v>
      </c>
      <c r="F138" s="14"/>
      <c r="G138" s="14"/>
      <c r="H138" s="14"/>
      <c r="I138" s="11"/>
      <c r="J138" s="14"/>
      <c r="K138" s="16">
        <v>10</v>
      </c>
      <c r="L138" s="15">
        <v>3</v>
      </c>
      <c r="M138" s="14"/>
      <c r="N138" s="44" t="s">
        <v>1056</v>
      </c>
      <c r="O138" s="23" t="s">
        <v>1058</v>
      </c>
      <c r="P138" s="23" t="s">
        <v>1059</v>
      </c>
      <c r="Q138" s="14"/>
      <c r="R138" s="14"/>
    </row>
    <row r="139" spans="1:18" s="1" customFormat="1">
      <c r="B139" s="60" t="s">
        <v>206</v>
      </c>
      <c r="C139" s="1" t="s">
        <v>493</v>
      </c>
      <c r="D139" s="1">
        <v>1</v>
      </c>
      <c r="F139" s="14"/>
      <c r="G139" s="14"/>
      <c r="H139" s="14"/>
      <c r="I139" s="11"/>
      <c r="J139" s="14"/>
      <c r="K139" s="16">
        <v>11</v>
      </c>
      <c r="L139" s="15">
        <v>1</v>
      </c>
      <c r="M139" s="14"/>
      <c r="N139" s="64" t="s">
        <v>2013</v>
      </c>
      <c r="O139" s="66" t="s">
        <v>2014</v>
      </c>
      <c r="P139" s="60" t="s">
        <v>2015</v>
      </c>
      <c r="Q139" s="14"/>
      <c r="R139" s="14"/>
    </row>
    <row r="140" spans="1:18" s="1" customFormat="1">
      <c r="B140" s="63" t="s">
        <v>2024</v>
      </c>
      <c r="C140" s="78" t="s">
        <v>494</v>
      </c>
      <c r="D140" s="16"/>
      <c r="F140" s="14"/>
      <c r="G140" s="14"/>
      <c r="H140" s="47" t="s">
        <v>2025</v>
      </c>
      <c r="I140" s="11"/>
      <c r="J140" s="14"/>
      <c r="K140" s="16">
        <v>12</v>
      </c>
      <c r="L140" s="9">
        <v>3</v>
      </c>
      <c r="M140" s="62">
        <v>3</v>
      </c>
      <c r="N140" s="62" t="s">
        <v>2193</v>
      </c>
      <c r="O140" s="64" t="s">
        <v>2194</v>
      </c>
      <c r="P140" s="62" t="s">
        <v>2195</v>
      </c>
      <c r="Q140" s="14"/>
      <c r="R140" s="14"/>
    </row>
    <row r="141" spans="1:18">
      <c r="B141" s="62"/>
      <c r="C141" s="62"/>
      <c r="G141" s="62"/>
      <c r="K141" s="55"/>
    </row>
    <row r="142" spans="1:18" s="1" customFormat="1">
      <c r="A142" s="62" t="s">
        <v>975</v>
      </c>
      <c r="B142" s="60" t="s">
        <v>976</v>
      </c>
      <c r="C142" s="1" t="s">
        <v>494</v>
      </c>
      <c r="E142" s="1" t="s">
        <v>476</v>
      </c>
      <c r="F142" s="14">
        <v>17</v>
      </c>
      <c r="G142" s="14">
        <v>1707</v>
      </c>
      <c r="H142" s="14" t="s">
        <v>987</v>
      </c>
      <c r="I142" s="11" t="s">
        <v>988</v>
      </c>
      <c r="J142" s="14">
        <v>1701</v>
      </c>
      <c r="K142" s="16">
        <v>1</v>
      </c>
      <c r="L142" s="15">
        <v>3</v>
      </c>
      <c r="M142" s="14"/>
      <c r="N142" s="64" t="s">
        <v>506</v>
      </c>
      <c r="O142" s="64" t="s">
        <v>514</v>
      </c>
      <c r="P142" s="62" t="s">
        <v>515</v>
      </c>
      <c r="Q142" s="14"/>
      <c r="R142" s="14"/>
    </row>
    <row r="143" spans="1:18" s="1" customFormat="1">
      <c r="B143" s="60" t="s">
        <v>977</v>
      </c>
      <c r="C143" s="1" t="s">
        <v>494</v>
      </c>
      <c r="E143" s="1" t="s">
        <v>476</v>
      </c>
      <c r="F143" s="14"/>
      <c r="G143" s="14"/>
      <c r="H143" s="14"/>
      <c r="I143" s="11"/>
      <c r="J143" s="14"/>
      <c r="K143" s="16">
        <v>2</v>
      </c>
      <c r="L143" s="15">
        <v>9</v>
      </c>
      <c r="M143" s="14"/>
      <c r="N143" s="62" t="s">
        <v>1038</v>
      </c>
      <c r="O143" s="23" t="s">
        <v>1040</v>
      </c>
      <c r="P143" s="23" t="s">
        <v>1041</v>
      </c>
      <c r="Q143" s="23" t="s">
        <v>1040</v>
      </c>
      <c r="R143" s="14">
        <v>140</v>
      </c>
    </row>
    <row r="144" spans="1:18" s="1" customFormat="1">
      <c r="B144" s="60" t="s">
        <v>978</v>
      </c>
      <c r="C144" s="1" t="s">
        <v>494</v>
      </c>
      <c r="E144" s="1" t="s">
        <v>476</v>
      </c>
      <c r="F144" s="14"/>
      <c r="G144" s="14"/>
      <c r="H144" s="14"/>
      <c r="I144" s="11"/>
      <c r="J144" s="14"/>
      <c r="K144" s="16">
        <v>3</v>
      </c>
      <c r="L144" s="15">
        <v>3</v>
      </c>
      <c r="M144" s="14"/>
      <c r="N144" s="62" t="s">
        <v>379</v>
      </c>
      <c r="O144" s="62" t="s">
        <v>698</v>
      </c>
      <c r="P144" s="62" t="s">
        <v>699</v>
      </c>
      <c r="Q144" s="14"/>
      <c r="R144" s="14"/>
    </row>
    <row r="145" spans="2:18" s="1" customFormat="1">
      <c r="B145" s="60" t="s">
        <v>979</v>
      </c>
      <c r="C145" s="1" t="s">
        <v>494</v>
      </c>
      <c r="F145" s="14"/>
      <c r="G145" s="14"/>
      <c r="H145" s="14"/>
      <c r="I145" s="11"/>
      <c r="J145" s="14"/>
      <c r="K145" s="16">
        <v>4</v>
      </c>
      <c r="L145" s="15">
        <v>6</v>
      </c>
      <c r="M145" s="14"/>
      <c r="P145" s="14"/>
      <c r="Q145" s="14"/>
      <c r="R145" s="14"/>
    </row>
    <row r="146" spans="2:18" s="1" customFormat="1">
      <c r="B146" s="66" t="s">
        <v>280</v>
      </c>
      <c r="C146" s="1" t="s">
        <v>494</v>
      </c>
      <c r="F146" s="14"/>
      <c r="G146" s="14"/>
      <c r="H146" s="14"/>
      <c r="I146" s="11"/>
      <c r="J146" s="14"/>
      <c r="K146" s="16">
        <v>5</v>
      </c>
      <c r="L146" s="15">
        <v>3</v>
      </c>
      <c r="M146" s="14">
        <v>3</v>
      </c>
      <c r="N146" s="62" t="s">
        <v>3664</v>
      </c>
      <c r="O146" s="60" t="s">
        <v>3666</v>
      </c>
      <c r="P146" s="60" t="s">
        <v>3667</v>
      </c>
      <c r="Q146" s="14"/>
      <c r="R146" s="14"/>
    </row>
    <row r="147" spans="2:18" s="1" customFormat="1">
      <c r="B147" s="60" t="s">
        <v>980</v>
      </c>
      <c r="C147" s="1" t="s">
        <v>494</v>
      </c>
      <c r="F147" s="14"/>
      <c r="G147" s="14"/>
      <c r="H147" s="14"/>
      <c r="I147" s="11"/>
      <c r="J147" s="14"/>
      <c r="K147" s="16">
        <v>6</v>
      </c>
      <c r="L147" s="15">
        <v>3</v>
      </c>
      <c r="M147" s="14">
        <v>1</v>
      </c>
      <c r="N147" s="62" t="s">
        <v>974</v>
      </c>
      <c r="O147" s="60" t="s">
        <v>954</v>
      </c>
      <c r="P147" s="23" t="s">
        <v>984</v>
      </c>
      <c r="Q147" s="14"/>
      <c r="R147" s="14"/>
    </row>
    <row r="148" spans="2:18" s="1" customFormat="1">
      <c r="B148" s="60" t="s">
        <v>981</v>
      </c>
      <c r="C148" s="1" t="s">
        <v>494</v>
      </c>
      <c r="F148" s="14"/>
      <c r="G148" s="14"/>
      <c r="H148" s="14"/>
      <c r="I148" s="11"/>
      <c r="J148" s="14"/>
      <c r="K148" s="16">
        <v>7</v>
      </c>
      <c r="L148" s="15">
        <v>3</v>
      </c>
      <c r="M148" s="14"/>
      <c r="N148" s="1" t="s">
        <v>956</v>
      </c>
      <c r="O148" s="23" t="s">
        <v>957</v>
      </c>
      <c r="P148" s="23" t="s">
        <v>958</v>
      </c>
      <c r="Q148" s="14"/>
      <c r="R148" s="14"/>
    </row>
    <row r="149" spans="2:18" s="1" customFormat="1">
      <c r="B149" s="23" t="s">
        <v>982</v>
      </c>
      <c r="C149" s="1" t="s">
        <v>494</v>
      </c>
      <c r="F149" s="14"/>
      <c r="G149" s="14"/>
      <c r="H149" s="14"/>
      <c r="I149" s="11"/>
      <c r="J149" s="14"/>
      <c r="K149" s="16">
        <v>8</v>
      </c>
      <c r="L149" s="15"/>
      <c r="M149" s="14"/>
      <c r="N149" s="23"/>
      <c r="O149" s="14"/>
      <c r="P149" s="14"/>
      <c r="Q149" s="14"/>
      <c r="R149" s="14"/>
    </row>
    <row r="150" spans="2:18" s="1" customFormat="1">
      <c r="B150" s="60" t="s">
        <v>983</v>
      </c>
      <c r="C150" s="1" t="s">
        <v>494</v>
      </c>
      <c r="F150" s="14"/>
      <c r="G150" s="14"/>
      <c r="H150" s="14"/>
      <c r="I150" s="11"/>
      <c r="J150" s="14"/>
      <c r="K150" s="16">
        <v>9</v>
      </c>
      <c r="L150" s="15"/>
      <c r="M150" s="14"/>
      <c r="N150" s="23"/>
      <c r="P150" s="14"/>
      <c r="Q150" s="14"/>
      <c r="R150" s="14"/>
    </row>
    <row r="151" spans="2:18" s="1" customFormat="1">
      <c r="B151" s="66" t="s">
        <v>209</v>
      </c>
      <c r="C151" s="1" t="s">
        <v>494</v>
      </c>
      <c r="F151" s="14"/>
      <c r="G151" s="14"/>
      <c r="H151" s="14"/>
      <c r="I151" s="11"/>
      <c r="J151" s="14"/>
      <c r="K151" s="16">
        <v>10</v>
      </c>
      <c r="L151" s="15"/>
      <c r="M151" s="14"/>
      <c r="N151" s="23"/>
      <c r="O151" s="14"/>
      <c r="P151" s="14"/>
      <c r="Q151" s="14"/>
      <c r="R151" s="14"/>
    </row>
    <row r="152" spans="2:18" s="1" customFormat="1">
      <c r="B152" s="60" t="s">
        <v>296</v>
      </c>
      <c r="C152" s="1" t="s">
        <v>493</v>
      </c>
      <c r="D152" s="1">
        <v>10</v>
      </c>
      <c r="F152" s="14"/>
      <c r="G152" s="14"/>
      <c r="H152" s="14"/>
      <c r="I152" s="11"/>
      <c r="J152" s="14"/>
      <c r="K152" s="16">
        <v>11</v>
      </c>
      <c r="L152" s="15">
        <v>7</v>
      </c>
      <c r="M152" s="14">
        <v>1</v>
      </c>
      <c r="N152" s="23"/>
      <c r="O152" s="14"/>
      <c r="P152" s="14"/>
      <c r="Q152" s="14"/>
      <c r="R152" s="14"/>
    </row>
    <row r="153" spans="2:18" s="1" customFormat="1">
      <c r="B153" s="60" t="s">
        <v>297</v>
      </c>
      <c r="C153" s="1" t="s">
        <v>493</v>
      </c>
      <c r="D153" s="1">
        <v>10</v>
      </c>
      <c r="F153" s="14"/>
      <c r="G153" s="14"/>
      <c r="H153" s="14"/>
      <c r="I153" s="11"/>
      <c r="J153" s="14"/>
      <c r="K153" s="16">
        <v>12</v>
      </c>
      <c r="L153" s="15">
        <v>7</v>
      </c>
      <c r="M153" s="14">
        <v>1</v>
      </c>
      <c r="N153" s="23"/>
      <c r="O153" s="14"/>
      <c r="P153" s="14"/>
      <c r="Q153" s="14"/>
      <c r="R153" s="14">
        <v>-1</v>
      </c>
    </row>
    <row r="154" spans="2:18" s="1" customFormat="1">
      <c r="B154" s="60" t="s">
        <v>268</v>
      </c>
      <c r="C154" s="1" t="s">
        <v>494</v>
      </c>
      <c r="F154" s="14"/>
      <c r="G154" s="14"/>
      <c r="H154" s="14"/>
      <c r="I154" s="11"/>
      <c r="J154" s="14"/>
      <c r="K154" s="16">
        <v>13</v>
      </c>
      <c r="L154" s="15">
        <v>3</v>
      </c>
      <c r="M154" s="14">
        <v>1</v>
      </c>
      <c r="N154" s="62" t="s">
        <v>269</v>
      </c>
      <c r="O154" s="23" t="s">
        <v>270</v>
      </c>
      <c r="P154" s="60" t="s">
        <v>271</v>
      </c>
      <c r="Q154" s="14"/>
      <c r="R154" s="14"/>
    </row>
    <row r="155" spans="2:18" s="1" customFormat="1">
      <c r="B155" s="65" t="s">
        <v>1001</v>
      </c>
      <c r="C155" s="1" t="s">
        <v>494</v>
      </c>
      <c r="F155" s="14"/>
      <c r="G155" s="14"/>
      <c r="H155" s="14"/>
      <c r="I155" s="11"/>
      <c r="J155" s="14"/>
      <c r="K155" s="16">
        <v>14</v>
      </c>
      <c r="L155" s="15">
        <v>3</v>
      </c>
      <c r="M155" s="14"/>
      <c r="N155" s="62" t="s">
        <v>1002</v>
      </c>
      <c r="O155" s="23" t="s">
        <v>1004</v>
      </c>
      <c r="P155" s="60" t="s">
        <v>1023</v>
      </c>
      <c r="Q155" s="14"/>
      <c r="R155" s="14"/>
    </row>
    <row r="156" spans="2:18" s="1" customFormat="1">
      <c r="B156" s="28" t="s">
        <v>999</v>
      </c>
      <c r="C156" s="1" t="s">
        <v>493</v>
      </c>
      <c r="D156" s="1">
        <v>250</v>
      </c>
      <c r="F156" s="14"/>
      <c r="G156" s="14"/>
      <c r="H156" s="14"/>
      <c r="I156" s="11"/>
      <c r="J156" s="14"/>
      <c r="K156" s="16">
        <v>15</v>
      </c>
      <c r="L156" s="15"/>
      <c r="M156" s="14"/>
      <c r="N156" s="23"/>
      <c r="O156" s="14"/>
      <c r="Q156" s="14"/>
      <c r="R156" s="14"/>
    </row>
    <row r="157" spans="2:18" s="1" customFormat="1">
      <c r="B157" s="28" t="s">
        <v>1009</v>
      </c>
      <c r="C157" s="1" t="s">
        <v>493</v>
      </c>
      <c r="D157" s="1">
        <v>10</v>
      </c>
      <c r="F157" s="14"/>
      <c r="G157" s="14"/>
      <c r="H157" s="14"/>
      <c r="I157" s="11"/>
      <c r="J157" s="14"/>
      <c r="K157" s="16">
        <v>16</v>
      </c>
      <c r="L157" s="15">
        <v>7</v>
      </c>
      <c r="M157" s="14"/>
      <c r="O157" s="23"/>
      <c r="P157" s="23"/>
      <c r="Q157" s="14"/>
      <c r="R157" s="14"/>
    </row>
    <row r="158" spans="2:18" s="1" customFormat="1">
      <c r="B158" s="28" t="s">
        <v>1000</v>
      </c>
      <c r="C158" s="1" t="s">
        <v>493</v>
      </c>
      <c r="D158" s="1">
        <v>250</v>
      </c>
      <c r="F158" s="14"/>
      <c r="G158" s="14"/>
      <c r="H158" s="14"/>
      <c r="I158" s="11"/>
      <c r="J158" s="14"/>
      <c r="K158" s="16">
        <v>17</v>
      </c>
      <c r="L158" s="15"/>
      <c r="M158" s="14"/>
      <c r="N158" s="23"/>
      <c r="O158" s="14"/>
      <c r="P158" s="14"/>
      <c r="Q158" s="14"/>
      <c r="R158" s="14"/>
    </row>
    <row r="159" spans="2:18" s="1" customFormat="1">
      <c r="B159" s="65" t="s">
        <v>1005</v>
      </c>
      <c r="C159" s="1" t="s">
        <v>493</v>
      </c>
      <c r="D159" s="1">
        <v>10</v>
      </c>
      <c r="F159" s="14"/>
      <c r="G159" s="14"/>
      <c r="H159" s="14"/>
      <c r="I159" s="11"/>
      <c r="J159" s="14"/>
      <c r="K159" s="16">
        <v>18</v>
      </c>
      <c r="L159" s="15">
        <v>7</v>
      </c>
      <c r="M159" s="14"/>
      <c r="N159" s="23"/>
      <c r="O159" s="14"/>
      <c r="P159" s="14"/>
      <c r="Q159" s="14"/>
      <c r="R159" s="14"/>
    </row>
    <row r="160" spans="2:18" s="1" customFormat="1">
      <c r="B160" s="28" t="s">
        <v>1006</v>
      </c>
      <c r="C160" s="1" t="s">
        <v>494</v>
      </c>
      <c r="F160" s="14"/>
      <c r="G160" s="14"/>
      <c r="H160" s="14"/>
      <c r="I160" s="11"/>
      <c r="J160" s="14"/>
      <c r="K160" s="16">
        <v>19</v>
      </c>
      <c r="L160" s="15">
        <v>8</v>
      </c>
      <c r="M160" s="14"/>
      <c r="N160" s="23"/>
      <c r="O160" s="14"/>
      <c r="P160" s="14"/>
      <c r="Q160" s="14"/>
      <c r="R160" s="14"/>
    </row>
    <row r="161" spans="2:18" s="1" customFormat="1">
      <c r="B161" s="28" t="s">
        <v>1007</v>
      </c>
      <c r="C161" s="1" t="s">
        <v>493</v>
      </c>
      <c r="D161" s="1">
        <v>10</v>
      </c>
      <c r="F161" s="14"/>
      <c r="G161" s="14"/>
      <c r="H161" s="14"/>
      <c r="I161" s="11"/>
      <c r="J161" s="14"/>
      <c r="K161" s="16">
        <v>20</v>
      </c>
      <c r="L161" s="15">
        <v>7</v>
      </c>
      <c r="M161" s="14"/>
      <c r="N161" s="23"/>
      <c r="O161" s="14"/>
      <c r="P161" s="14"/>
      <c r="Q161" s="14"/>
      <c r="R161" s="14"/>
    </row>
    <row r="162" spans="2:18" s="1" customFormat="1">
      <c r="B162" s="28" t="s">
        <v>1008</v>
      </c>
      <c r="C162" s="1" t="s">
        <v>494</v>
      </c>
      <c r="F162" s="14"/>
      <c r="G162" s="14"/>
      <c r="H162" s="14"/>
      <c r="I162" s="11"/>
      <c r="J162" s="14"/>
      <c r="K162" s="16">
        <v>21</v>
      </c>
      <c r="L162" s="15">
        <v>8</v>
      </c>
      <c r="M162" s="14"/>
      <c r="N162" s="23"/>
      <c r="O162" s="14"/>
      <c r="P162" s="14"/>
      <c r="Q162" s="14"/>
      <c r="R162" s="14"/>
    </row>
    <row r="163" spans="2:18" s="1" customFormat="1">
      <c r="B163" s="28" t="s">
        <v>1017</v>
      </c>
      <c r="C163" s="1" t="s">
        <v>493</v>
      </c>
      <c r="D163" s="1">
        <v>10</v>
      </c>
      <c r="F163" s="14"/>
      <c r="G163" s="14"/>
      <c r="H163" s="14"/>
      <c r="I163" s="11"/>
      <c r="J163" s="14"/>
      <c r="K163" s="16">
        <v>22</v>
      </c>
      <c r="L163" s="15">
        <v>7</v>
      </c>
      <c r="M163" s="14"/>
      <c r="N163" s="23"/>
      <c r="O163" s="14"/>
      <c r="P163" s="14"/>
      <c r="Q163" s="14"/>
      <c r="R163" s="14"/>
    </row>
    <row r="164" spans="2:18" s="1" customFormat="1">
      <c r="B164" s="28" t="s">
        <v>1018</v>
      </c>
      <c r="C164" s="1" t="s">
        <v>494</v>
      </c>
      <c r="F164" s="14"/>
      <c r="G164" s="14"/>
      <c r="H164" s="14"/>
      <c r="I164" s="11"/>
      <c r="J164" s="14"/>
      <c r="K164" s="16">
        <v>23</v>
      </c>
      <c r="L164" s="15">
        <v>8</v>
      </c>
      <c r="M164" s="14"/>
      <c r="N164" s="23"/>
      <c r="O164" s="14"/>
      <c r="P164" s="14"/>
      <c r="Q164" s="14"/>
      <c r="R164" s="14"/>
    </row>
    <row r="165" spans="2:18" s="1" customFormat="1">
      <c r="B165" s="66" t="s">
        <v>1108</v>
      </c>
      <c r="C165" s="1" t="s">
        <v>493</v>
      </c>
      <c r="D165" s="1">
        <v>10</v>
      </c>
      <c r="F165" s="14"/>
      <c r="G165" s="14"/>
      <c r="H165" s="14"/>
      <c r="I165" s="11"/>
      <c r="J165" s="14"/>
      <c r="K165" s="16">
        <v>24</v>
      </c>
      <c r="L165" s="15">
        <v>7</v>
      </c>
      <c r="M165" s="14"/>
      <c r="N165" s="23"/>
      <c r="O165" s="14"/>
      <c r="P165" s="14"/>
      <c r="Q165" s="14"/>
      <c r="R165" s="14"/>
    </row>
    <row r="166" spans="2:18" s="1" customFormat="1">
      <c r="B166" s="66" t="s">
        <v>1109</v>
      </c>
      <c r="C166" s="1" t="s">
        <v>494</v>
      </c>
      <c r="F166" s="14"/>
      <c r="G166" s="14"/>
      <c r="H166" s="14"/>
      <c r="I166" s="11"/>
      <c r="J166" s="14"/>
      <c r="K166" s="16">
        <v>25</v>
      </c>
      <c r="L166" s="15">
        <v>8</v>
      </c>
      <c r="M166" s="14"/>
      <c r="N166" s="23"/>
      <c r="O166" s="14"/>
      <c r="P166" s="14"/>
      <c r="Q166" s="14"/>
      <c r="R166" s="14"/>
    </row>
    <row r="167" spans="2:18" s="1" customFormat="1">
      <c r="B167" s="29" t="s">
        <v>233</v>
      </c>
      <c r="C167" s="1" t="s">
        <v>494</v>
      </c>
      <c r="F167" s="14"/>
      <c r="G167" s="14"/>
      <c r="H167" s="14"/>
      <c r="I167" s="11"/>
      <c r="J167" s="14"/>
      <c r="K167" s="16">
        <v>26</v>
      </c>
      <c r="L167" s="15">
        <v>3</v>
      </c>
      <c r="M167" s="14">
        <v>3</v>
      </c>
      <c r="N167" s="10" t="s">
        <v>24</v>
      </c>
      <c r="O167" s="14" t="s">
        <v>26</v>
      </c>
      <c r="P167" s="14" t="s">
        <v>27</v>
      </c>
      <c r="Q167" s="14"/>
      <c r="R167" s="14"/>
    </row>
    <row r="168" spans="2:18" s="1" customFormat="1">
      <c r="B168" s="29" t="s">
        <v>232</v>
      </c>
      <c r="C168" s="1" t="s">
        <v>702</v>
      </c>
      <c r="F168" s="14"/>
      <c r="G168" s="14"/>
      <c r="H168" s="14"/>
      <c r="I168" s="11"/>
      <c r="J168" s="14"/>
      <c r="K168" s="16">
        <v>27</v>
      </c>
      <c r="L168" s="15"/>
      <c r="M168" s="14"/>
      <c r="N168" s="23"/>
      <c r="O168" s="14"/>
      <c r="P168" s="14"/>
      <c r="Q168" s="14"/>
      <c r="R168" s="14"/>
    </row>
    <row r="169" spans="2:18" s="1" customFormat="1">
      <c r="B169" s="29" t="s">
        <v>1150</v>
      </c>
      <c r="C169" s="1" t="s">
        <v>493</v>
      </c>
      <c r="D169" s="1">
        <v>1</v>
      </c>
      <c r="F169" s="14"/>
      <c r="G169" s="14"/>
      <c r="H169" s="14"/>
      <c r="I169" s="11"/>
      <c r="J169" s="14"/>
      <c r="K169" s="16">
        <v>28</v>
      </c>
      <c r="L169" s="15"/>
      <c r="M169" s="14"/>
      <c r="N169" s="23"/>
      <c r="O169" s="14"/>
      <c r="P169" s="14"/>
      <c r="Q169" s="14"/>
      <c r="R169" s="14"/>
    </row>
    <row r="170" spans="2:18" s="1" customFormat="1">
      <c r="B170" s="29" t="s">
        <v>715</v>
      </c>
      <c r="C170" s="1" t="s">
        <v>494</v>
      </c>
      <c r="F170" s="14"/>
      <c r="G170" s="14"/>
      <c r="H170" s="14"/>
      <c r="I170" s="11"/>
      <c r="J170" s="14"/>
      <c r="K170" s="16">
        <v>29</v>
      </c>
      <c r="L170" s="15">
        <v>1</v>
      </c>
      <c r="M170" s="14"/>
      <c r="N170" s="23"/>
      <c r="O170" s="14"/>
      <c r="P170" s="14"/>
      <c r="Q170" s="14"/>
      <c r="R170" s="14"/>
    </row>
    <row r="171" spans="2:18" s="1" customFormat="1">
      <c r="B171" s="67" t="s">
        <v>714</v>
      </c>
      <c r="C171" s="1" t="s">
        <v>494</v>
      </c>
      <c r="F171" s="14"/>
      <c r="G171" s="14"/>
      <c r="H171" s="14"/>
      <c r="I171" s="11"/>
      <c r="J171" s="14"/>
      <c r="K171" s="16">
        <v>30</v>
      </c>
      <c r="L171" s="15">
        <v>1</v>
      </c>
      <c r="M171" s="14"/>
      <c r="N171" s="23"/>
      <c r="O171" s="14"/>
      <c r="P171" s="14"/>
      <c r="Q171" s="14"/>
      <c r="R171" s="14"/>
    </row>
    <row r="172" spans="2:18" s="1" customFormat="1">
      <c r="B172" s="43" t="s">
        <v>77</v>
      </c>
      <c r="C172" s="1" t="s">
        <v>494</v>
      </c>
      <c r="F172" s="14"/>
      <c r="G172" s="14"/>
      <c r="H172" s="14"/>
      <c r="I172" s="11"/>
      <c r="J172" s="14"/>
      <c r="K172" s="16">
        <v>31</v>
      </c>
      <c r="L172" s="15">
        <v>3</v>
      </c>
      <c r="M172" s="14"/>
      <c r="N172" s="44" t="s">
        <v>1056</v>
      </c>
      <c r="O172" s="23" t="s">
        <v>1058</v>
      </c>
      <c r="P172" s="23" t="s">
        <v>1059</v>
      </c>
      <c r="Q172" s="14"/>
      <c r="R172" s="14"/>
    </row>
    <row r="173" spans="2:18" s="1" customFormat="1">
      <c r="B173" s="60" t="s">
        <v>206</v>
      </c>
      <c r="C173" s="1" t="s">
        <v>493</v>
      </c>
      <c r="D173" s="1">
        <v>1</v>
      </c>
      <c r="F173" s="14"/>
      <c r="G173" s="14"/>
      <c r="H173" s="14"/>
      <c r="I173" s="11"/>
      <c r="J173" s="14"/>
      <c r="K173" s="16">
        <v>32</v>
      </c>
      <c r="L173" s="15">
        <v>1</v>
      </c>
      <c r="M173" s="14"/>
      <c r="N173" s="64" t="s">
        <v>2013</v>
      </c>
      <c r="O173" s="66" t="s">
        <v>2014</v>
      </c>
      <c r="P173" s="60" t="s">
        <v>2015</v>
      </c>
      <c r="Q173" s="14"/>
      <c r="R173" s="14"/>
    </row>
    <row r="174" spans="2:18" s="1" customFormat="1">
      <c r="B174" s="23" t="s">
        <v>207</v>
      </c>
      <c r="C174" s="1" t="s">
        <v>493</v>
      </c>
      <c r="D174" s="16">
        <v>255</v>
      </c>
      <c r="F174" s="14"/>
      <c r="G174" s="14"/>
      <c r="H174" s="14"/>
      <c r="I174" s="11"/>
      <c r="J174" s="14"/>
      <c r="K174" s="16">
        <v>33</v>
      </c>
      <c r="L174" s="15"/>
      <c r="M174" s="14"/>
      <c r="O174" s="23"/>
      <c r="P174" s="23"/>
      <c r="Q174" s="14"/>
      <c r="R174" s="14"/>
    </row>
    <row r="175" spans="2:18" s="1" customFormat="1">
      <c r="B175" s="56" t="s">
        <v>1323</v>
      </c>
      <c r="C175" s="42" t="s">
        <v>494</v>
      </c>
      <c r="D175" s="16"/>
      <c r="F175" s="14"/>
      <c r="G175" s="14"/>
      <c r="H175" s="14"/>
      <c r="I175" s="11"/>
      <c r="J175" s="14"/>
      <c r="K175" s="16">
        <v>34</v>
      </c>
      <c r="L175" s="15">
        <v>3</v>
      </c>
      <c r="M175" s="14"/>
      <c r="N175" s="1" t="s">
        <v>1002</v>
      </c>
      <c r="O175" s="23" t="s">
        <v>1004</v>
      </c>
      <c r="P175" s="23" t="s">
        <v>1023</v>
      </c>
      <c r="Q175" s="14"/>
      <c r="R175" s="14"/>
    </row>
    <row r="176" spans="2:18" s="1" customFormat="1">
      <c r="B176" s="63" t="s">
        <v>1462</v>
      </c>
      <c r="C176" s="42" t="s">
        <v>493</v>
      </c>
      <c r="D176" s="16">
        <v>10</v>
      </c>
      <c r="F176" s="14"/>
      <c r="G176" s="14"/>
      <c r="H176" s="14"/>
      <c r="I176" s="11"/>
      <c r="J176" s="14"/>
      <c r="K176" s="16">
        <v>35</v>
      </c>
      <c r="L176" s="15">
        <v>7</v>
      </c>
      <c r="M176" s="14">
        <v>1</v>
      </c>
      <c r="O176" s="23"/>
      <c r="P176" s="23"/>
      <c r="Q176" s="14"/>
      <c r="R176" s="14"/>
    </row>
    <row r="177" spans="2:18" s="1" customFormat="1">
      <c r="B177" s="60" t="s">
        <v>1871</v>
      </c>
      <c r="C177" s="62" t="s">
        <v>520</v>
      </c>
      <c r="D177" s="16"/>
      <c r="F177" s="14"/>
      <c r="G177" s="14"/>
      <c r="H177" s="14"/>
      <c r="I177" s="11"/>
      <c r="J177" s="14"/>
      <c r="K177" s="16">
        <v>36</v>
      </c>
      <c r="L177" s="15"/>
      <c r="M177" s="14"/>
      <c r="O177" s="23"/>
      <c r="P177" s="23"/>
      <c r="Q177" s="14"/>
      <c r="R177" s="14"/>
    </row>
    <row r="178" spans="2:18" s="1" customFormat="1">
      <c r="B178" s="60" t="s">
        <v>1874</v>
      </c>
      <c r="C178" s="62" t="s">
        <v>494</v>
      </c>
      <c r="D178" s="16"/>
      <c r="F178" s="14"/>
      <c r="G178" s="14"/>
      <c r="H178" s="14"/>
      <c r="I178" s="11"/>
      <c r="J178" s="14"/>
      <c r="K178" s="16">
        <v>37</v>
      </c>
      <c r="L178" s="15"/>
      <c r="M178" s="14"/>
      <c r="O178" s="23"/>
      <c r="P178" s="23"/>
      <c r="Q178" s="14"/>
      <c r="R178" s="14"/>
    </row>
    <row r="179" spans="2:18" s="1" customFormat="1">
      <c r="B179" s="66" t="s">
        <v>2024</v>
      </c>
      <c r="C179" s="64" t="s">
        <v>494</v>
      </c>
      <c r="D179" s="16"/>
      <c r="F179" s="14"/>
      <c r="G179" s="14"/>
      <c r="H179" s="47" t="s">
        <v>2025</v>
      </c>
      <c r="I179" s="11"/>
      <c r="J179" s="14"/>
      <c r="K179" s="16">
        <v>38</v>
      </c>
      <c r="L179" s="9">
        <v>3</v>
      </c>
      <c r="M179" s="62">
        <v>3</v>
      </c>
      <c r="N179" s="62" t="s">
        <v>2193</v>
      </c>
      <c r="O179" s="64" t="s">
        <v>2194</v>
      </c>
      <c r="P179" s="62" t="s">
        <v>2195</v>
      </c>
      <c r="Q179" s="14"/>
      <c r="R179" s="14"/>
    </row>
    <row r="180" spans="2:18" s="1" customFormat="1">
      <c r="B180" s="63" t="s">
        <v>2445</v>
      </c>
      <c r="C180" s="78" t="s">
        <v>494</v>
      </c>
      <c r="D180" s="16"/>
      <c r="F180" s="14"/>
      <c r="G180" s="14"/>
      <c r="H180" s="47"/>
      <c r="I180" s="11"/>
      <c r="J180" s="14"/>
      <c r="K180" s="16">
        <v>39</v>
      </c>
      <c r="L180" s="55">
        <v>8</v>
      </c>
      <c r="M180" s="62"/>
      <c r="N180" s="62"/>
      <c r="O180" s="64"/>
      <c r="P180" s="62"/>
      <c r="Q180" s="14"/>
      <c r="R180" s="14"/>
    </row>
    <row r="181" spans="2:18" s="1" customFormat="1">
      <c r="B181" s="63" t="s">
        <v>2446</v>
      </c>
      <c r="C181" s="78" t="s">
        <v>493</v>
      </c>
      <c r="D181" s="16">
        <v>10</v>
      </c>
      <c r="F181" s="14"/>
      <c r="G181" s="14"/>
      <c r="H181" s="47"/>
      <c r="I181" s="11"/>
      <c r="J181" s="14"/>
      <c r="K181" s="16">
        <v>40</v>
      </c>
      <c r="L181" s="55">
        <v>7</v>
      </c>
      <c r="M181" s="62"/>
      <c r="N181" s="62"/>
      <c r="O181" s="64"/>
      <c r="P181" s="62"/>
      <c r="Q181" s="14"/>
      <c r="R181" s="14"/>
    </row>
    <row r="182" spans="2:18" s="1" customFormat="1">
      <c r="B182" s="63" t="s">
        <v>2447</v>
      </c>
      <c r="C182" s="78" t="s">
        <v>493</v>
      </c>
      <c r="D182" s="16">
        <v>250</v>
      </c>
      <c r="F182" s="14"/>
      <c r="G182" s="14"/>
      <c r="H182" s="47"/>
      <c r="I182" s="11"/>
      <c r="J182" s="14"/>
      <c r="K182" s="16">
        <v>41</v>
      </c>
      <c r="L182" s="9"/>
      <c r="M182" s="62"/>
      <c r="N182" s="62"/>
      <c r="O182" s="64"/>
      <c r="P182" s="62"/>
      <c r="Q182" s="14"/>
      <c r="R182" s="14"/>
    </row>
    <row r="183" spans="2:18" s="1" customFormat="1">
      <c r="B183" s="63" t="s">
        <v>2512</v>
      </c>
      <c r="C183" s="78" t="s">
        <v>494</v>
      </c>
      <c r="D183" s="16"/>
      <c r="F183" s="14"/>
      <c r="G183" s="14"/>
      <c r="H183" s="47"/>
      <c r="I183" s="11"/>
      <c r="J183" s="14"/>
      <c r="K183" s="16">
        <v>42</v>
      </c>
      <c r="L183" s="55">
        <v>8</v>
      </c>
      <c r="M183" s="62"/>
      <c r="N183" s="62"/>
      <c r="O183" s="64"/>
      <c r="P183" s="62"/>
      <c r="Q183" s="14"/>
      <c r="R183" s="14"/>
    </row>
    <row r="184" spans="2:18" s="1" customFormat="1">
      <c r="B184" s="67" t="s">
        <v>2753</v>
      </c>
      <c r="C184" s="70" t="s">
        <v>493</v>
      </c>
      <c r="D184" s="16">
        <v>1</v>
      </c>
      <c r="F184" s="14"/>
      <c r="G184" s="14"/>
      <c r="H184" s="47"/>
      <c r="I184" s="11"/>
      <c r="J184" s="14"/>
      <c r="K184" s="16">
        <v>43</v>
      </c>
      <c r="L184" s="55">
        <v>3</v>
      </c>
      <c r="M184" s="62"/>
      <c r="N184" s="62"/>
      <c r="O184" s="64"/>
      <c r="P184" s="62"/>
      <c r="Q184" s="14"/>
      <c r="R184" s="14"/>
    </row>
    <row r="185" spans="2:18" s="1" customFormat="1">
      <c r="B185" s="67" t="s">
        <v>2754</v>
      </c>
      <c r="C185" s="70" t="s">
        <v>494</v>
      </c>
      <c r="D185" s="16"/>
      <c r="F185" s="14"/>
      <c r="G185" s="14"/>
      <c r="H185" s="47"/>
      <c r="I185" s="11"/>
      <c r="J185" s="14"/>
      <c r="K185" s="16">
        <v>44</v>
      </c>
      <c r="L185" s="55"/>
      <c r="M185" s="62"/>
      <c r="N185" s="62"/>
      <c r="O185" s="64"/>
      <c r="P185" s="62"/>
      <c r="Q185" s="14"/>
      <c r="R185" s="14"/>
    </row>
    <row r="186" spans="2:18" s="1" customFormat="1">
      <c r="B186" s="67" t="s">
        <v>2755</v>
      </c>
      <c r="C186" s="70" t="s">
        <v>493</v>
      </c>
      <c r="D186" s="16">
        <v>1</v>
      </c>
      <c r="F186" s="14"/>
      <c r="G186" s="14"/>
      <c r="H186" s="47"/>
      <c r="I186" s="11"/>
      <c r="J186" s="14"/>
      <c r="K186" s="16">
        <v>45</v>
      </c>
      <c r="L186" s="55">
        <v>3</v>
      </c>
      <c r="M186" s="62"/>
      <c r="N186" s="62"/>
      <c r="O186" s="64"/>
      <c r="P186" s="62"/>
      <c r="Q186" s="14"/>
      <c r="R186" s="14"/>
    </row>
    <row r="187" spans="2:18" s="1" customFormat="1">
      <c r="B187" s="67" t="s">
        <v>2756</v>
      </c>
      <c r="C187" s="70" t="s">
        <v>494</v>
      </c>
      <c r="D187" s="16"/>
      <c r="F187" s="14"/>
      <c r="G187" s="14"/>
      <c r="H187" s="47"/>
      <c r="I187" s="11"/>
      <c r="J187" s="14"/>
      <c r="K187" s="16">
        <v>46</v>
      </c>
      <c r="L187" s="55"/>
      <c r="M187" s="62"/>
      <c r="N187" s="62"/>
      <c r="O187" s="64"/>
      <c r="P187" s="62"/>
      <c r="Q187" s="14"/>
      <c r="R187" s="14"/>
    </row>
    <row r="188" spans="2:18" s="1" customFormat="1">
      <c r="B188" s="63" t="s">
        <v>2839</v>
      </c>
      <c r="C188" s="78" t="s">
        <v>494</v>
      </c>
      <c r="D188" s="16"/>
      <c r="F188" s="14"/>
      <c r="G188" s="14"/>
      <c r="H188" s="47"/>
      <c r="I188" s="11"/>
      <c r="J188" s="14"/>
      <c r="K188" s="16">
        <v>47</v>
      </c>
      <c r="L188" s="55">
        <v>8</v>
      </c>
      <c r="M188" s="62"/>
      <c r="N188" s="62"/>
      <c r="O188" s="64"/>
      <c r="P188" s="62"/>
      <c r="Q188" s="14"/>
      <c r="R188" s="14"/>
    </row>
    <row r="189" spans="2:18" s="1" customFormat="1">
      <c r="B189" s="63" t="s">
        <v>2840</v>
      </c>
      <c r="C189" s="78" t="s">
        <v>493</v>
      </c>
      <c r="D189" s="16">
        <v>10</v>
      </c>
      <c r="F189" s="14"/>
      <c r="G189" s="14"/>
      <c r="H189" s="47"/>
      <c r="I189" s="11"/>
      <c r="J189" s="14"/>
      <c r="K189" s="16">
        <v>48</v>
      </c>
      <c r="L189" s="55">
        <v>7</v>
      </c>
      <c r="M189" s="62"/>
      <c r="N189" s="62"/>
      <c r="O189" s="64"/>
      <c r="P189" s="62"/>
      <c r="Q189" s="14"/>
      <c r="R189" s="14"/>
    </row>
    <row r="190" spans="2:18" s="1" customFormat="1">
      <c r="B190" s="63" t="s">
        <v>2841</v>
      </c>
      <c r="C190" s="78" t="s">
        <v>493</v>
      </c>
      <c r="D190" s="16">
        <v>250</v>
      </c>
      <c r="F190" s="14"/>
      <c r="G190" s="14"/>
      <c r="H190" s="47"/>
      <c r="I190" s="11"/>
      <c r="J190" s="14"/>
      <c r="K190" s="16">
        <v>49</v>
      </c>
    </row>
    <row r="191" spans="2:18" s="1" customFormat="1">
      <c r="B191" s="67" t="s">
        <v>2849</v>
      </c>
      <c r="C191" s="70" t="s">
        <v>494</v>
      </c>
      <c r="D191" s="16"/>
      <c r="F191" s="14"/>
      <c r="G191" s="14"/>
      <c r="H191" s="47"/>
      <c r="I191" s="11"/>
      <c r="J191" s="14"/>
      <c r="K191" s="16">
        <v>50</v>
      </c>
      <c r="L191" s="15">
        <v>3</v>
      </c>
      <c r="M191" s="10">
        <v>2</v>
      </c>
      <c r="N191" s="64" t="s">
        <v>3655</v>
      </c>
      <c r="O191" s="66" t="s">
        <v>3648</v>
      </c>
      <c r="P191" s="66" t="s">
        <v>3657</v>
      </c>
      <c r="Q191" s="14"/>
      <c r="R191" s="14">
        <v>147</v>
      </c>
    </row>
    <row r="192" spans="2:18" s="1" customFormat="1">
      <c r="B192" s="67" t="s">
        <v>2850</v>
      </c>
      <c r="C192" s="70" t="s">
        <v>493</v>
      </c>
      <c r="D192" s="16">
        <v>250</v>
      </c>
      <c r="F192" s="14"/>
      <c r="G192" s="14"/>
      <c r="H192" s="47"/>
      <c r="I192" s="11"/>
      <c r="J192" s="14"/>
      <c r="K192" s="16">
        <v>51</v>
      </c>
      <c r="L192" s="9"/>
      <c r="M192" s="62"/>
      <c r="N192" s="62"/>
      <c r="O192" s="64"/>
      <c r="P192" s="62"/>
      <c r="Q192" s="14"/>
      <c r="R192" s="14"/>
    </row>
    <row r="193" spans="2:18" s="1" customFormat="1">
      <c r="B193" s="67" t="s">
        <v>2898</v>
      </c>
      <c r="C193" s="70" t="s">
        <v>494</v>
      </c>
      <c r="D193" s="16"/>
      <c r="F193" s="14"/>
      <c r="G193" s="14"/>
      <c r="H193" s="47" t="s">
        <v>2899</v>
      </c>
      <c r="I193" s="11"/>
      <c r="J193" s="14"/>
      <c r="K193" s="16">
        <v>52</v>
      </c>
      <c r="L193" s="9"/>
      <c r="M193" s="62"/>
      <c r="N193" s="62"/>
      <c r="O193" s="64"/>
      <c r="P193" s="62"/>
      <c r="Q193" s="14"/>
      <c r="R193" s="14"/>
    </row>
    <row r="194" spans="2:18" s="1" customFormat="1">
      <c r="B194" s="66" t="s">
        <v>3071</v>
      </c>
      <c r="C194" s="64" t="s">
        <v>494</v>
      </c>
      <c r="D194" s="16"/>
      <c r="F194" s="14"/>
      <c r="G194" s="14"/>
      <c r="H194" s="47"/>
      <c r="I194" s="11"/>
      <c r="J194" s="14"/>
      <c r="K194" s="16">
        <v>53</v>
      </c>
      <c r="L194" s="9">
        <v>8</v>
      </c>
      <c r="M194" s="62"/>
      <c r="N194" s="62"/>
      <c r="O194" s="64"/>
      <c r="P194" s="62"/>
      <c r="Q194" s="14"/>
      <c r="R194" s="14"/>
    </row>
    <row r="195" spans="2:18" s="1" customFormat="1">
      <c r="B195" s="66" t="s">
        <v>3068</v>
      </c>
      <c r="C195" s="64" t="s">
        <v>494</v>
      </c>
      <c r="D195" s="16"/>
      <c r="F195" s="14"/>
      <c r="G195" s="14"/>
      <c r="H195" s="47"/>
      <c r="I195" s="11"/>
      <c r="J195" s="14"/>
      <c r="K195" s="16">
        <v>54</v>
      </c>
      <c r="L195" s="9">
        <v>8</v>
      </c>
      <c r="M195" s="62"/>
      <c r="N195" s="62"/>
      <c r="O195" s="64"/>
      <c r="P195" s="62"/>
      <c r="Q195" s="14"/>
      <c r="R195" s="14"/>
    </row>
    <row r="196" spans="2:18" s="1" customFormat="1">
      <c r="B196" s="66" t="s">
        <v>3069</v>
      </c>
      <c r="C196" s="64" t="s">
        <v>494</v>
      </c>
      <c r="D196" s="16"/>
      <c r="F196" s="14"/>
      <c r="G196" s="14"/>
      <c r="H196" s="47"/>
      <c r="I196" s="11"/>
      <c r="J196" s="14"/>
      <c r="K196" s="16">
        <v>55</v>
      </c>
      <c r="L196" s="32">
        <v>8</v>
      </c>
      <c r="M196" s="62"/>
      <c r="N196" s="62"/>
      <c r="O196" s="64"/>
      <c r="P196" s="62"/>
      <c r="Q196" s="14"/>
      <c r="R196" s="14"/>
    </row>
    <row r="197" spans="2:18" s="1" customFormat="1">
      <c r="B197" s="66" t="s">
        <v>3070</v>
      </c>
      <c r="C197" s="64" t="s">
        <v>494</v>
      </c>
      <c r="D197" s="16"/>
      <c r="F197" s="14"/>
      <c r="G197" s="14"/>
      <c r="H197" s="47"/>
      <c r="I197" s="11"/>
      <c r="J197" s="14"/>
      <c r="K197" s="16">
        <v>56</v>
      </c>
      <c r="L197" s="32">
        <v>8</v>
      </c>
      <c r="M197" s="62"/>
      <c r="N197" s="62"/>
      <c r="O197" s="64"/>
      <c r="P197" s="62"/>
      <c r="Q197" s="14"/>
      <c r="R197" s="14"/>
    </row>
    <row r="198" spans="2:18" s="1" customFormat="1">
      <c r="B198" s="66" t="s">
        <v>3074</v>
      </c>
      <c r="C198" s="64" t="s">
        <v>494</v>
      </c>
      <c r="D198" s="16"/>
      <c r="F198" s="14"/>
      <c r="G198" s="14"/>
      <c r="H198" s="47"/>
      <c r="I198" s="11"/>
      <c r="J198" s="14"/>
      <c r="K198" s="16">
        <v>57</v>
      </c>
      <c r="L198" s="32"/>
      <c r="M198" s="62">
        <v>1</v>
      </c>
      <c r="N198" s="62"/>
      <c r="O198" s="64"/>
      <c r="P198" s="62"/>
      <c r="Q198" s="14"/>
      <c r="R198" s="14"/>
    </row>
    <row r="199" spans="2:18" s="1" customFormat="1">
      <c r="B199" s="67" t="s">
        <v>3123</v>
      </c>
      <c r="C199" s="70" t="s">
        <v>494</v>
      </c>
      <c r="D199" s="16"/>
      <c r="F199" s="14"/>
      <c r="G199" s="14"/>
      <c r="H199" s="47"/>
      <c r="I199" s="11"/>
      <c r="J199" s="14"/>
      <c r="K199" s="16">
        <v>58</v>
      </c>
      <c r="L199" s="32">
        <v>3</v>
      </c>
      <c r="M199" s="62"/>
      <c r="N199" s="62"/>
      <c r="O199" s="64"/>
      <c r="P199" s="62"/>
      <c r="Q199" s="14"/>
      <c r="R199" s="14"/>
    </row>
    <row r="200" spans="2:18" s="1" customFormat="1">
      <c r="B200" s="67" t="s">
        <v>3125</v>
      </c>
      <c r="C200" s="70" t="s">
        <v>494</v>
      </c>
      <c r="D200" s="16"/>
      <c r="F200" s="14"/>
      <c r="G200" s="14"/>
      <c r="H200" s="47" t="s">
        <v>3132</v>
      </c>
      <c r="I200" s="11"/>
      <c r="J200" s="14"/>
      <c r="K200" s="16">
        <v>59</v>
      </c>
      <c r="L200" s="32">
        <v>3</v>
      </c>
      <c r="M200" s="62"/>
      <c r="N200" s="62"/>
      <c r="O200" s="64"/>
      <c r="P200" s="62"/>
      <c r="Q200" s="14"/>
      <c r="R200" s="14"/>
    </row>
    <row r="201" spans="2:18" s="1" customFormat="1">
      <c r="B201" s="67" t="s">
        <v>3124</v>
      </c>
      <c r="C201" s="70" t="s">
        <v>494</v>
      </c>
      <c r="D201" s="16"/>
      <c r="F201" s="14"/>
      <c r="G201" s="14"/>
      <c r="H201" s="47"/>
      <c r="I201" s="11"/>
      <c r="J201" s="14"/>
      <c r="K201" s="16">
        <v>60</v>
      </c>
      <c r="L201" s="32"/>
      <c r="M201" s="62"/>
      <c r="N201" s="62"/>
      <c r="O201" s="64"/>
      <c r="P201" s="62"/>
      <c r="Q201" s="14"/>
      <c r="R201" s="14"/>
    </row>
    <row r="202" spans="2:18" s="1" customFormat="1">
      <c r="B202" s="67" t="s">
        <v>3126</v>
      </c>
      <c r="C202" s="70" t="s">
        <v>494</v>
      </c>
      <c r="D202" s="16"/>
      <c r="F202" s="14"/>
      <c r="G202" s="14"/>
      <c r="H202" s="47"/>
      <c r="I202" s="11"/>
      <c r="J202" s="14"/>
      <c r="K202" s="16">
        <v>61</v>
      </c>
      <c r="L202" s="32"/>
      <c r="M202" s="62"/>
      <c r="N202" s="62"/>
      <c r="O202" s="64"/>
      <c r="P202" s="62"/>
      <c r="Q202" s="14"/>
      <c r="R202" s="14"/>
    </row>
    <row r="203" spans="2:18" s="1" customFormat="1">
      <c r="B203" s="67" t="s">
        <v>3204</v>
      </c>
      <c r="C203" s="70" t="s">
        <v>494</v>
      </c>
      <c r="D203" s="16"/>
      <c r="F203" s="14"/>
      <c r="G203" s="14"/>
      <c r="H203" s="47"/>
      <c r="I203" s="11"/>
      <c r="J203" s="14"/>
      <c r="K203" s="16">
        <v>62</v>
      </c>
      <c r="L203" s="32">
        <v>3</v>
      </c>
      <c r="M203" s="62">
        <v>31</v>
      </c>
      <c r="N203" s="62" t="s">
        <v>3196</v>
      </c>
      <c r="O203" s="64" t="s">
        <v>3199</v>
      </c>
      <c r="P203" s="62" t="s">
        <v>3198</v>
      </c>
      <c r="Q203" s="62" t="s">
        <v>3197</v>
      </c>
      <c r="R203" s="14">
        <v>1</v>
      </c>
    </row>
    <row r="204" spans="2:18" s="1" customFormat="1">
      <c r="B204" s="67" t="s">
        <v>3356</v>
      </c>
      <c r="C204" s="70" t="s">
        <v>493</v>
      </c>
      <c r="D204" s="16">
        <v>5</v>
      </c>
      <c r="F204" s="14"/>
      <c r="G204" s="14"/>
      <c r="H204" s="47"/>
      <c r="I204" s="11"/>
      <c r="J204" s="14"/>
      <c r="K204" s="16">
        <v>63</v>
      </c>
      <c r="L204" s="32">
        <v>3</v>
      </c>
      <c r="M204" s="62"/>
      <c r="N204" s="62"/>
      <c r="O204" s="64"/>
      <c r="P204" s="62"/>
      <c r="Q204" s="62"/>
      <c r="R204" s="14"/>
    </row>
    <row r="205" spans="2:18" s="1" customFormat="1">
      <c r="B205" s="67" t="s">
        <v>3892</v>
      </c>
      <c r="C205" s="70" t="s">
        <v>494</v>
      </c>
      <c r="D205" s="16"/>
      <c r="F205" s="14"/>
      <c r="G205" s="14"/>
      <c r="H205" s="47"/>
      <c r="I205" s="11"/>
      <c r="J205" s="14"/>
      <c r="K205" s="16">
        <v>64</v>
      </c>
      <c r="L205" s="32"/>
      <c r="M205" s="62">
        <v>2</v>
      </c>
      <c r="N205" s="62"/>
      <c r="O205" s="64"/>
      <c r="P205" s="62"/>
      <c r="Q205" s="62"/>
      <c r="R205" s="14"/>
    </row>
    <row r="206" spans="2:18" s="1" customFormat="1">
      <c r="B206" s="67" t="s">
        <v>3893</v>
      </c>
      <c r="C206" s="70" t="s">
        <v>494</v>
      </c>
      <c r="D206" s="16"/>
      <c r="F206" s="14"/>
      <c r="G206" s="14"/>
      <c r="H206" s="47"/>
      <c r="I206" s="11"/>
      <c r="J206" s="14"/>
      <c r="K206" s="16">
        <v>65</v>
      </c>
      <c r="L206" s="32"/>
      <c r="M206" s="62">
        <v>2</v>
      </c>
      <c r="N206" s="62"/>
      <c r="O206" s="64"/>
      <c r="P206" s="62"/>
      <c r="Q206" s="62"/>
      <c r="R206" s="14"/>
    </row>
    <row r="207" spans="2:18" s="1" customFormat="1">
      <c r="B207" s="66" t="s">
        <v>4146</v>
      </c>
      <c r="C207" s="64" t="s">
        <v>494</v>
      </c>
      <c r="D207" s="16"/>
      <c r="F207" s="14"/>
      <c r="G207" s="14"/>
      <c r="H207" s="47" t="s">
        <v>4147</v>
      </c>
      <c r="I207" s="11"/>
      <c r="J207" s="14"/>
      <c r="K207" s="16">
        <v>66</v>
      </c>
      <c r="L207" s="32"/>
      <c r="M207" s="62"/>
      <c r="N207" s="62"/>
      <c r="O207" s="64"/>
      <c r="P207" s="62"/>
      <c r="Q207" s="62"/>
      <c r="R207" s="14"/>
    </row>
    <row r="208" spans="2:18" s="1" customFormat="1">
      <c r="B208" s="66" t="s">
        <v>4137</v>
      </c>
      <c r="C208" s="64" t="s">
        <v>494</v>
      </c>
      <c r="D208" s="16"/>
      <c r="F208" s="14"/>
      <c r="G208" s="14"/>
      <c r="H208" s="47" t="s">
        <v>4148</v>
      </c>
      <c r="I208" s="11"/>
      <c r="J208" s="14"/>
      <c r="K208" s="16">
        <v>67</v>
      </c>
      <c r="L208" s="32"/>
      <c r="M208" s="62">
        <v>2</v>
      </c>
      <c r="N208" s="62"/>
      <c r="O208" s="64"/>
      <c r="P208" s="62"/>
      <c r="Q208" s="62"/>
      <c r="R208" s="14"/>
    </row>
    <row r="209" spans="2:18" s="1" customFormat="1">
      <c r="B209" s="66" t="s">
        <v>4136</v>
      </c>
      <c r="C209" s="64" t="s">
        <v>494</v>
      </c>
      <c r="D209" s="16"/>
      <c r="F209" s="14"/>
      <c r="G209" s="14"/>
      <c r="H209" s="47"/>
      <c r="I209" s="11"/>
      <c r="J209" s="14"/>
      <c r="K209" s="16">
        <v>68</v>
      </c>
      <c r="L209" s="32"/>
      <c r="M209" s="62">
        <v>2</v>
      </c>
      <c r="N209" s="62"/>
      <c r="O209" s="64"/>
      <c r="P209" s="62"/>
      <c r="Q209" s="62"/>
      <c r="R209" s="14"/>
    </row>
    <row r="210" spans="2:18" s="1" customFormat="1">
      <c r="B210" s="66" t="s">
        <v>4138</v>
      </c>
      <c r="C210" s="64" t="s">
        <v>494</v>
      </c>
      <c r="D210" s="16"/>
      <c r="F210" s="14"/>
      <c r="G210" s="14"/>
      <c r="H210" s="47" t="s">
        <v>4149</v>
      </c>
      <c r="I210" s="11"/>
      <c r="J210" s="14"/>
      <c r="K210" s="16">
        <v>69</v>
      </c>
      <c r="L210" s="32"/>
      <c r="M210" s="62">
        <v>2</v>
      </c>
      <c r="N210" s="62"/>
      <c r="O210" s="64"/>
      <c r="P210" s="62"/>
      <c r="Q210" s="62"/>
      <c r="R210" s="14"/>
    </row>
    <row r="211" spans="2:18" s="1" customFormat="1">
      <c r="B211" s="66" t="s">
        <v>4139</v>
      </c>
      <c r="C211" s="64" t="s">
        <v>494</v>
      </c>
      <c r="D211" s="16"/>
      <c r="F211" s="14"/>
      <c r="G211" s="14"/>
      <c r="H211" s="47"/>
      <c r="I211" s="11"/>
      <c r="J211" s="14"/>
      <c r="K211" s="16">
        <v>70</v>
      </c>
      <c r="L211" s="32"/>
      <c r="M211" s="62">
        <v>2</v>
      </c>
      <c r="N211" s="62"/>
      <c r="O211" s="64"/>
      <c r="P211" s="62"/>
      <c r="Q211" s="62"/>
      <c r="R211" s="14"/>
    </row>
    <row r="212" spans="2:18" s="1" customFormat="1">
      <c r="B212" s="66" t="s">
        <v>4140</v>
      </c>
      <c r="C212" s="64" t="s">
        <v>494</v>
      </c>
      <c r="D212" s="16"/>
      <c r="F212" s="14"/>
      <c r="G212" s="14"/>
      <c r="H212" s="47" t="s">
        <v>4150</v>
      </c>
      <c r="I212" s="11"/>
      <c r="J212" s="14"/>
      <c r="K212" s="16">
        <v>71</v>
      </c>
      <c r="L212" s="32"/>
      <c r="M212" s="62">
        <v>2</v>
      </c>
      <c r="N212" s="62"/>
      <c r="O212" s="64"/>
      <c r="P212" s="62"/>
      <c r="Q212" s="62"/>
      <c r="R212" s="14"/>
    </row>
    <row r="213" spans="2:18" s="1" customFormat="1">
      <c r="B213" s="66" t="s">
        <v>4141</v>
      </c>
      <c r="C213" s="64" t="s">
        <v>494</v>
      </c>
      <c r="D213" s="16"/>
      <c r="F213" s="14"/>
      <c r="G213" s="14"/>
      <c r="H213" s="47"/>
      <c r="I213" s="11"/>
      <c r="J213" s="14"/>
      <c r="K213" s="16">
        <v>72</v>
      </c>
      <c r="L213" s="32"/>
      <c r="M213" s="62">
        <v>2</v>
      </c>
      <c r="N213" s="62"/>
      <c r="O213" s="64"/>
      <c r="P213" s="62"/>
      <c r="Q213" s="62"/>
      <c r="R213" s="14"/>
    </row>
    <row r="214" spans="2:18" s="1" customFormat="1">
      <c r="B214" s="66" t="s">
        <v>4142</v>
      </c>
      <c r="C214" s="64" t="s">
        <v>494</v>
      </c>
      <c r="D214" s="16"/>
      <c r="F214" s="14"/>
      <c r="G214" s="14"/>
      <c r="H214" s="47" t="s">
        <v>4151</v>
      </c>
      <c r="I214" s="11"/>
      <c r="J214" s="14"/>
      <c r="K214" s="16">
        <v>73</v>
      </c>
      <c r="L214" s="32"/>
      <c r="M214" s="62">
        <v>2</v>
      </c>
      <c r="N214" s="62"/>
      <c r="O214" s="64"/>
      <c r="P214" s="62"/>
      <c r="Q214" s="62"/>
      <c r="R214" s="14"/>
    </row>
    <row r="215" spans="2:18" s="1" customFormat="1">
      <c r="B215" s="66" t="s">
        <v>4143</v>
      </c>
      <c r="C215" s="64" t="s">
        <v>494</v>
      </c>
      <c r="D215" s="16"/>
      <c r="F215" s="14"/>
      <c r="G215" s="14"/>
      <c r="H215" s="47"/>
      <c r="I215" s="11"/>
      <c r="J215" s="14"/>
      <c r="K215" s="16">
        <v>74</v>
      </c>
      <c r="L215" s="32"/>
      <c r="M215" s="62">
        <v>2</v>
      </c>
      <c r="N215" s="62"/>
      <c r="O215" s="64"/>
      <c r="P215" s="62"/>
      <c r="Q215" s="62"/>
      <c r="R215" s="14"/>
    </row>
    <row r="216" spans="2:18" s="1" customFormat="1">
      <c r="B216" s="66" t="s">
        <v>4144</v>
      </c>
      <c r="C216" s="64" t="s">
        <v>494</v>
      </c>
      <c r="D216" s="16"/>
      <c r="F216" s="14"/>
      <c r="G216" s="14"/>
      <c r="H216" s="47" t="s">
        <v>4152</v>
      </c>
      <c r="I216" s="11"/>
      <c r="J216" s="14"/>
      <c r="K216" s="16">
        <v>75</v>
      </c>
      <c r="L216" s="32"/>
      <c r="M216" s="62">
        <v>2</v>
      </c>
      <c r="N216" s="62"/>
      <c r="O216" s="64"/>
      <c r="P216" s="62"/>
      <c r="Q216" s="62"/>
      <c r="R216" s="14"/>
    </row>
    <row r="217" spans="2:18" s="1" customFormat="1">
      <c r="B217" s="66" t="s">
        <v>4145</v>
      </c>
      <c r="C217" s="64" t="s">
        <v>494</v>
      </c>
      <c r="D217" s="16"/>
      <c r="F217" s="14"/>
      <c r="G217" s="14"/>
      <c r="H217" s="47"/>
      <c r="I217" s="11"/>
      <c r="J217" s="14"/>
      <c r="K217" s="16">
        <v>76</v>
      </c>
      <c r="L217" s="32"/>
      <c r="M217" s="62">
        <v>2</v>
      </c>
      <c r="N217" s="62"/>
      <c r="O217" s="64"/>
      <c r="P217" s="62"/>
      <c r="Q217" s="62"/>
      <c r="R217" s="14"/>
    </row>
    <row r="218" spans="2:18" s="1" customFormat="1">
      <c r="B218" s="67" t="s">
        <v>4233</v>
      </c>
      <c r="C218" s="70" t="s">
        <v>494</v>
      </c>
      <c r="D218" s="16"/>
      <c r="F218" s="14"/>
      <c r="G218" s="14"/>
      <c r="H218" s="47"/>
      <c r="I218" s="11"/>
      <c r="J218" s="14"/>
      <c r="K218" s="16">
        <v>77</v>
      </c>
      <c r="L218" s="32">
        <v>3</v>
      </c>
      <c r="M218" s="62"/>
      <c r="N218" s="62"/>
      <c r="O218" s="64"/>
      <c r="P218" s="62"/>
      <c r="Q218" s="62"/>
      <c r="R218" s="14"/>
    </row>
    <row r="219" spans="2:18" s="1" customFormat="1">
      <c r="B219" s="67" t="s">
        <v>4232</v>
      </c>
      <c r="C219" s="70" t="s">
        <v>494</v>
      </c>
      <c r="D219" s="16"/>
      <c r="F219" s="14"/>
      <c r="G219" s="14"/>
      <c r="H219" s="47"/>
      <c r="I219" s="11"/>
      <c r="J219" s="14"/>
      <c r="K219" s="16">
        <v>78</v>
      </c>
      <c r="L219" s="32">
        <v>3</v>
      </c>
      <c r="M219" s="62"/>
      <c r="N219" s="62" t="s">
        <v>4226</v>
      </c>
      <c r="O219" s="62" t="s">
        <v>4089</v>
      </c>
      <c r="P219" s="62" t="s">
        <v>4088</v>
      </c>
      <c r="Q219" s="62"/>
      <c r="R219" s="14"/>
    </row>
    <row r="220" spans="2:18" s="1" customFormat="1">
      <c r="B220" s="67" t="s">
        <v>4234</v>
      </c>
      <c r="C220" s="70" t="s">
        <v>494</v>
      </c>
      <c r="D220" s="16"/>
      <c r="F220" s="14"/>
      <c r="G220" s="14"/>
      <c r="H220" s="47"/>
      <c r="I220" s="11"/>
      <c r="J220" s="14"/>
      <c r="K220" s="16">
        <v>79</v>
      </c>
      <c r="L220" s="32"/>
      <c r="M220" s="62">
        <v>1</v>
      </c>
      <c r="N220" s="62"/>
      <c r="O220" s="62"/>
      <c r="P220" s="62"/>
      <c r="Q220" s="62"/>
      <c r="R220" s="14"/>
    </row>
    <row r="221" spans="2:18" s="1" customFormat="1">
      <c r="B221" s="67" t="s">
        <v>4235</v>
      </c>
      <c r="C221" s="70" t="s">
        <v>494</v>
      </c>
      <c r="D221" s="16"/>
      <c r="F221" s="14"/>
      <c r="G221" s="14"/>
      <c r="H221" s="47"/>
      <c r="I221" s="11"/>
      <c r="J221" s="14"/>
      <c r="K221" s="16">
        <v>80</v>
      </c>
      <c r="L221" s="32"/>
      <c r="M221" s="62">
        <v>1</v>
      </c>
      <c r="N221" s="62"/>
      <c r="O221" s="62"/>
      <c r="P221" s="62"/>
      <c r="Q221" s="62"/>
      <c r="R221" s="14"/>
    </row>
    <row r="222" spans="2:18" s="1" customFormat="1">
      <c r="B222" s="66" t="s">
        <v>4244</v>
      </c>
      <c r="C222" s="70" t="s">
        <v>494</v>
      </c>
      <c r="D222" s="16"/>
      <c r="F222" s="14"/>
      <c r="G222" s="14"/>
      <c r="H222" s="47"/>
      <c r="I222" s="11"/>
      <c r="J222" s="14"/>
      <c r="K222" s="16">
        <v>81</v>
      </c>
      <c r="L222" s="32"/>
      <c r="M222" s="62">
        <v>2</v>
      </c>
      <c r="N222" s="62"/>
      <c r="O222" s="62"/>
      <c r="P222" s="62"/>
      <c r="Q222" s="62"/>
      <c r="R222" s="14"/>
    </row>
    <row r="223" spans="2:18" s="1" customFormat="1">
      <c r="B223" s="66" t="s">
        <v>4270</v>
      </c>
      <c r="C223" s="64" t="s">
        <v>494</v>
      </c>
      <c r="D223" s="16"/>
      <c r="F223" s="14"/>
      <c r="G223" s="14"/>
      <c r="H223" s="47"/>
      <c r="I223" s="11"/>
      <c r="J223" s="14"/>
      <c r="K223" s="16">
        <v>82</v>
      </c>
      <c r="L223" s="32">
        <v>3</v>
      </c>
      <c r="M223" s="62"/>
      <c r="N223" s="62"/>
      <c r="O223" s="62"/>
      <c r="P223" s="62"/>
      <c r="Q223" s="62"/>
      <c r="R223" s="14"/>
    </row>
    <row r="224" spans="2:18" s="1" customFormat="1">
      <c r="B224" s="66" t="s">
        <v>4271</v>
      </c>
      <c r="C224" s="64" t="s">
        <v>494</v>
      </c>
      <c r="D224" s="16"/>
      <c r="F224" s="14"/>
      <c r="G224" s="14"/>
      <c r="H224" s="47"/>
      <c r="I224" s="11"/>
      <c r="J224" s="14"/>
      <c r="K224" s="16">
        <v>83</v>
      </c>
      <c r="L224" s="32">
        <v>3</v>
      </c>
      <c r="M224" s="62"/>
      <c r="N224" s="62"/>
      <c r="O224" s="62"/>
      <c r="P224" s="62"/>
      <c r="Q224" s="62"/>
      <c r="R224" s="14"/>
    </row>
    <row r="225" spans="1:22" s="1" customFormat="1">
      <c r="B225" s="66" t="s">
        <v>4272</v>
      </c>
      <c r="C225" s="64" t="s">
        <v>702</v>
      </c>
      <c r="D225" s="16"/>
      <c r="F225" s="14"/>
      <c r="G225" s="14"/>
      <c r="H225" s="47"/>
      <c r="I225" s="11"/>
      <c r="J225" s="14"/>
      <c r="K225" s="16">
        <v>84</v>
      </c>
      <c r="L225" s="32"/>
      <c r="M225" s="62"/>
      <c r="N225" s="62"/>
      <c r="O225" s="62"/>
      <c r="P225" s="62"/>
      <c r="Q225" s="62"/>
      <c r="R225" s="14"/>
    </row>
    <row r="226" spans="1:22" s="1" customFormat="1">
      <c r="B226" s="66" t="s">
        <v>4273</v>
      </c>
      <c r="C226" s="64" t="s">
        <v>702</v>
      </c>
      <c r="D226" s="16"/>
      <c r="F226" s="14"/>
      <c r="G226" s="14"/>
      <c r="H226" s="47"/>
      <c r="I226" s="11"/>
      <c r="J226" s="14"/>
      <c r="K226" s="16">
        <v>85</v>
      </c>
      <c r="L226" s="32"/>
      <c r="M226" s="62"/>
      <c r="N226" s="62"/>
      <c r="O226" s="62"/>
      <c r="P226" s="62"/>
      <c r="Q226" s="62"/>
      <c r="R226" s="14"/>
    </row>
    <row r="227" spans="1:22" s="1" customFormat="1">
      <c r="B227" s="66" t="s">
        <v>4274</v>
      </c>
      <c r="C227" s="64" t="s">
        <v>702</v>
      </c>
      <c r="D227" s="16"/>
      <c r="F227" s="14"/>
      <c r="G227" s="14"/>
      <c r="H227" s="47"/>
      <c r="I227" s="11"/>
      <c r="J227" s="14"/>
      <c r="K227" s="16">
        <v>86</v>
      </c>
      <c r="L227" s="32"/>
      <c r="M227" s="62"/>
      <c r="N227" s="62"/>
      <c r="O227" s="62"/>
      <c r="P227" s="62"/>
      <c r="Q227" s="62"/>
      <c r="R227" s="14"/>
    </row>
    <row r="228" spans="1:22" s="1" customFormat="1">
      <c r="B228" s="66" t="s">
        <v>4275</v>
      </c>
      <c r="C228" s="64" t="s">
        <v>702</v>
      </c>
      <c r="D228" s="16"/>
      <c r="F228" s="14"/>
      <c r="G228" s="14"/>
      <c r="H228" s="47"/>
      <c r="I228" s="11"/>
      <c r="J228" s="14"/>
      <c r="K228" s="16">
        <v>87</v>
      </c>
      <c r="L228" s="32"/>
      <c r="M228" s="62"/>
      <c r="N228" s="62"/>
      <c r="O228" s="62"/>
      <c r="P228" s="62"/>
      <c r="Q228" s="62"/>
      <c r="R228" s="14"/>
    </row>
    <row r="229" spans="1:22" s="1" customFormat="1">
      <c r="B229" s="66" t="s">
        <v>4688</v>
      </c>
      <c r="C229" s="64" t="s">
        <v>494</v>
      </c>
      <c r="D229" s="16"/>
      <c r="F229" s="14"/>
      <c r="G229" s="14"/>
      <c r="H229" s="47"/>
      <c r="I229" s="11"/>
      <c r="J229" s="14"/>
      <c r="K229" s="16">
        <v>88</v>
      </c>
      <c r="L229" s="32">
        <v>8</v>
      </c>
      <c r="M229" s="62">
        <v>1</v>
      </c>
      <c r="N229" s="62"/>
      <c r="O229" s="62"/>
      <c r="P229" s="62"/>
      <c r="Q229" s="62"/>
      <c r="R229" s="14"/>
    </row>
    <row r="230" spans="1:22" s="1" customFormat="1">
      <c r="B230" s="66" t="s">
        <v>5074</v>
      </c>
      <c r="C230" s="64" t="s">
        <v>494</v>
      </c>
      <c r="D230" s="16"/>
      <c r="F230" s="14"/>
      <c r="G230" s="14"/>
      <c r="H230" s="47"/>
      <c r="I230" s="11"/>
      <c r="J230" s="14"/>
      <c r="K230" s="16">
        <v>89</v>
      </c>
      <c r="L230" s="32"/>
      <c r="M230" s="62">
        <v>2</v>
      </c>
      <c r="N230" s="62"/>
      <c r="O230" s="62"/>
      <c r="P230" s="62"/>
      <c r="Q230" s="62"/>
      <c r="R230" s="14"/>
    </row>
    <row r="231" spans="1:22" s="1" customFormat="1">
      <c r="B231" s="66" t="s">
        <v>5075</v>
      </c>
      <c r="C231" s="64" t="s">
        <v>494</v>
      </c>
      <c r="D231" s="16"/>
      <c r="F231" s="14"/>
      <c r="G231" s="14"/>
      <c r="H231" s="47"/>
      <c r="I231" s="11"/>
      <c r="J231" s="14"/>
      <c r="K231" s="16">
        <v>90</v>
      </c>
      <c r="L231" s="32"/>
      <c r="M231" s="32">
        <v>2</v>
      </c>
      <c r="N231" s="62"/>
      <c r="O231" s="62"/>
      <c r="P231" s="62"/>
      <c r="Q231" s="62"/>
      <c r="R231" s="14"/>
    </row>
    <row r="232" spans="1:22" s="1" customFormat="1">
      <c r="B232" s="66" t="s">
        <v>5076</v>
      </c>
      <c r="C232" s="64" t="s">
        <v>494</v>
      </c>
      <c r="D232" s="16"/>
      <c r="F232" s="14"/>
      <c r="G232" s="14"/>
      <c r="H232" s="47"/>
      <c r="I232" s="11"/>
      <c r="J232" s="14"/>
      <c r="K232" s="16">
        <v>91</v>
      </c>
      <c r="L232" s="32"/>
      <c r="M232" s="32">
        <v>2</v>
      </c>
      <c r="N232" s="62"/>
      <c r="O232" s="62"/>
      <c r="P232" s="62"/>
      <c r="Q232" s="62"/>
      <c r="R232" s="14"/>
    </row>
    <row r="233" spans="1:22" s="1" customFormat="1">
      <c r="B233" s="66" t="s">
        <v>5077</v>
      </c>
      <c r="C233" s="64" t="s">
        <v>494</v>
      </c>
      <c r="D233" s="16"/>
      <c r="F233" s="14"/>
      <c r="G233" s="14"/>
      <c r="H233" s="47"/>
      <c r="I233" s="11"/>
      <c r="J233" s="14"/>
      <c r="K233" s="16">
        <v>92</v>
      </c>
      <c r="L233" s="32"/>
      <c r="M233" s="32">
        <v>2</v>
      </c>
      <c r="N233" s="62"/>
      <c r="O233" s="62"/>
      <c r="P233" s="62"/>
      <c r="Q233" s="62"/>
      <c r="R233" s="14"/>
    </row>
    <row r="234" spans="1:22" s="1" customFormat="1">
      <c r="B234" s="67" t="s">
        <v>6832</v>
      </c>
      <c r="C234" s="70" t="s">
        <v>493</v>
      </c>
      <c r="D234" s="16">
        <v>1</v>
      </c>
      <c r="F234" s="14"/>
      <c r="G234" s="14"/>
      <c r="H234" s="47"/>
      <c r="I234" s="11"/>
      <c r="J234" s="14"/>
      <c r="K234" s="16">
        <v>93</v>
      </c>
      <c r="L234" s="55">
        <v>3</v>
      </c>
      <c r="M234" s="62"/>
      <c r="N234" s="62"/>
      <c r="O234" s="64"/>
      <c r="P234" s="62"/>
      <c r="Q234" s="14"/>
      <c r="R234" s="14"/>
    </row>
    <row r="235" spans="1:22" s="1" customFormat="1">
      <c r="B235" s="66"/>
      <c r="C235" s="64"/>
      <c r="D235" s="16"/>
      <c r="F235" s="14"/>
      <c r="G235" s="14"/>
      <c r="H235" s="47"/>
      <c r="I235" s="11"/>
      <c r="J235" s="14"/>
      <c r="K235" s="16"/>
      <c r="L235" s="15"/>
      <c r="M235" s="14"/>
      <c r="N235" s="62"/>
      <c r="O235" s="62"/>
      <c r="P235" s="23"/>
      <c r="Q235" s="14"/>
      <c r="R235" s="14"/>
    </row>
    <row r="236" spans="1:22" s="1" customFormat="1">
      <c r="A236" s="70" t="s">
        <v>288</v>
      </c>
      <c r="B236" s="67" t="s">
        <v>289</v>
      </c>
      <c r="C236" s="1" t="s">
        <v>494</v>
      </c>
      <c r="E236" s="1" t="s">
        <v>476</v>
      </c>
      <c r="F236" s="14">
        <v>17</v>
      </c>
      <c r="G236" s="14">
        <v>1711</v>
      </c>
      <c r="H236" s="14" t="s">
        <v>994</v>
      </c>
      <c r="I236" s="11" t="s">
        <v>295</v>
      </c>
      <c r="J236" s="14">
        <v>1701</v>
      </c>
      <c r="K236" s="16">
        <v>1</v>
      </c>
      <c r="L236" s="15">
        <v>52</v>
      </c>
      <c r="M236" s="14"/>
      <c r="N236" s="64">
        <v>1707</v>
      </c>
      <c r="O236" s="60" t="s">
        <v>976</v>
      </c>
      <c r="Q236" s="64"/>
      <c r="R236" s="64"/>
      <c r="T236" s="64" t="s">
        <v>506</v>
      </c>
      <c r="U236" s="64" t="s">
        <v>514</v>
      </c>
      <c r="V236" s="1" t="s">
        <v>515</v>
      </c>
    </row>
    <row r="237" spans="1:22" s="1" customFormat="1">
      <c r="A237" s="39"/>
      <c r="B237" s="87" t="s">
        <v>279</v>
      </c>
      <c r="C237" s="1" t="s">
        <v>494</v>
      </c>
      <c r="E237" s="1" t="s">
        <v>476</v>
      </c>
      <c r="F237" s="14"/>
      <c r="G237" s="14"/>
      <c r="H237" s="14"/>
      <c r="I237" s="11"/>
      <c r="J237" s="14"/>
      <c r="K237" s="16">
        <v>2</v>
      </c>
      <c r="L237" s="15">
        <v>3</v>
      </c>
      <c r="M237" s="14"/>
      <c r="N237" s="1" t="s">
        <v>3664</v>
      </c>
      <c r="O237" s="23" t="s">
        <v>3666</v>
      </c>
      <c r="P237" s="23" t="s">
        <v>3667</v>
      </c>
      <c r="Q237" s="14"/>
      <c r="R237" s="14"/>
    </row>
    <row r="238" spans="1:22" s="1" customFormat="1">
      <c r="A238" s="39"/>
      <c r="B238" s="67" t="s">
        <v>290</v>
      </c>
      <c r="C238" s="1" t="s">
        <v>494</v>
      </c>
      <c r="E238" s="1" t="s">
        <v>476</v>
      </c>
      <c r="F238" s="14"/>
      <c r="G238" s="14"/>
      <c r="H238" s="14"/>
      <c r="I238" s="11"/>
      <c r="J238" s="14"/>
      <c r="K238" s="16">
        <v>3</v>
      </c>
      <c r="L238" s="15">
        <v>9</v>
      </c>
      <c r="M238" s="14"/>
      <c r="N238" s="1" t="s">
        <v>1038</v>
      </c>
      <c r="O238" s="23" t="s">
        <v>1040</v>
      </c>
      <c r="P238" s="23" t="s">
        <v>1041</v>
      </c>
      <c r="Q238" s="23" t="s">
        <v>1040</v>
      </c>
      <c r="R238" s="14">
        <v>140</v>
      </c>
    </row>
    <row r="239" spans="1:22" s="1" customFormat="1">
      <c r="A239" s="39"/>
      <c r="B239" s="67" t="s">
        <v>291</v>
      </c>
      <c r="C239" s="1" t="s">
        <v>494</v>
      </c>
      <c r="E239" s="1" t="s">
        <v>476</v>
      </c>
      <c r="F239" s="14"/>
      <c r="G239" s="14"/>
      <c r="H239" s="14"/>
      <c r="I239" s="11"/>
      <c r="J239" s="14"/>
      <c r="K239" s="16">
        <v>4</v>
      </c>
      <c r="L239" s="15">
        <v>3</v>
      </c>
      <c r="M239" s="14"/>
      <c r="N239" s="62" t="s">
        <v>285</v>
      </c>
      <c r="O239" s="60" t="s">
        <v>992</v>
      </c>
      <c r="P239" s="60" t="s">
        <v>993</v>
      </c>
      <c r="Q239" s="14"/>
      <c r="R239" s="14">
        <v>1710</v>
      </c>
    </row>
    <row r="240" spans="1:22" s="1" customFormat="1">
      <c r="A240" s="39"/>
      <c r="B240" s="88" t="s">
        <v>292</v>
      </c>
      <c r="C240" s="1" t="s">
        <v>494</v>
      </c>
      <c r="F240" s="14"/>
      <c r="G240" s="14"/>
      <c r="H240" s="14"/>
      <c r="I240" s="11"/>
      <c r="J240" s="14"/>
      <c r="K240" s="16">
        <v>5</v>
      </c>
      <c r="L240" s="15">
        <v>6</v>
      </c>
      <c r="M240" s="14"/>
      <c r="P240" s="23"/>
      <c r="Q240" s="14"/>
      <c r="R240" s="14"/>
    </row>
    <row r="241" spans="1:18" s="1" customFormat="1">
      <c r="A241" s="39"/>
      <c r="B241" s="67" t="s">
        <v>293</v>
      </c>
      <c r="C241" s="1" t="s">
        <v>494</v>
      </c>
      <c r="F241" s="14"/>
      <c r="G241" s="14"/>
      <c r="H241" s="14"/>
      <c r="I241" s="11"/>
      <c r="J241" s="14"/>
      <c r="K241" s="16">
        <v>6</v>
      </c>
      <c r="L241" s="15">
        <v>8</v>
      </c>
      <c r="M241" s="14"/>
      <c r="P241" s="14"/>
      <c r="Q241" s="14"/>
      <c r="R241" s="14"/>
    </row>
    <row r="242" spans="1:18" s="1" customFormat="1">
      <c r="A242" s="39"/>
      <c r="B242" s="88" t="s">
        <v>294</v>
      </c>
      <c r="C242" s="1" t="s">
        <v>520</v>
      </c>
      <c r="F242" s="14"/>
      <c r="G242" s="14"/>
      <c r="H242" s="14"/>
      <c r="I242" s="11"/>
      <c r="J242" s="14"/>
      <c r="K242" s="16">
        <v>7</v>
      </c>
      <c r="L242" s="15"/>
      <c r="M242" s="14"/>
      <c r="P242" s="14"/>
      <c r="Q242" s="14"/>
      <c r="R242" s="14"/>
    </row>
    <row r="243" spans="1:18" s="1" customFormat="1">
      <c r="A243" s="39"/>
      <c r="B243" s="88" t="s">
        <v>1110</v>
      </c>
      <c r="C243" s="1" t="s">
        <v>493</v>
      </c>
      <c r="D243" s="1">
        <v>10</v>
      </c>
      <c r="F243" s="14"/>
      <c r="G243" s="14"/>
      <c r="H243" s="14"/>
      <c r="I243" s="11"/>
      <c r="J243" s="14"/>
      <c r="K243" s="16">
        <v>8</v>
      </c>
      <c r="L243" s="15">
        <v>7</v>
      </c>
      <c r="M243" s="14">
        <v>2</v>
      </c>
      <c r="P243" s="14"/>
      <c r="Q243" s="14"/>
      <c r="R243" s="14"/>
    </row>
    <row r="244" spans="1:18" s="1" customFormat="1">
      <c r="A244" s="39"/>
      <c r="B244" s="67" t="s">
        <v>2846</v>
      </c>
      <c r="C244" s="1" t="s">
        <v>493</v>
      </c>
      <c r="D244" s="1">
        <v>10</v>
      </c>
      <c r="F244" s="14"/>
      <c r="G244" s="14"/>
      <c r="H244" s="14"/>
      <c r="I244" s="11"/>
      <c r="J244" s="14"/>
      <c r="K244" s="16">
        <v>9</v>
      </c>
      <c r="L244" s="15">
        <v>7</v>
      </c>
      <c r="M244" s="14">
        <v>2</v>
      </c>
      <c r="P244" s="14"/>
      <c r="Q244" s="14"/>
      <c r="R244" s="14"/>
    </row>
    <row r="245" spans="1:18" s="1" customFormat="1">
      <c r="B245" s="66"/>
      <c r="F245" s="14"/>
      <c r="G245" s="14"/>
      <c r="H245" s="14"/>
      <c r="I245" s="11"/>
      <c r="J245" s="14"/>
      <c r="K245" s="16"/>
      <c r="L245" s="15"/>
      <c r="M245" s="14"/>
      <c r="P245" s="14"/>
      <c r="Q245" s="14"/>
      <c r="R245" s="14"/>
    </row>
    <row r="246" spans="1:18" s="1" customFormat="1">
      <c r="A246" s="1" t="s">
        <v>298</v>
      </c>
      <c r="B246" s="23" t="s">
        <v>299</v>
      </c>
      <c r="C246" s="1" t="s">
        <v>494</v>
      </c>
      <c r="E246" s="1" t="s">
        <v>476</v>
      </c>
      <c r="F246" s="14">
        <v>17</v>
      </c>
      <c r="G246" s="14">
        <v>1712</v>
      </c>
      <c r="H246" s="14" t="s">
        <v>305</v>
      </c>
      <c r="I246" s="11"/>
      <c r="J246" s="14">
        <v>1701</v>
      </c>
      <c r="K246" s="16">
        <v>1</v>
      </c>
      <c r="L246" s="15">
        <v>52</v>
      </c>
      <c r="M246" s="14"/>
      <c r="N246" s="14">
        <v>1707</v>
      </c>
      <c r="O246" s="23" t="s">
        <v>979</v>
      </c>
      <c r="P246" s="14"/>
      <c r="Q246" s="14"/>
      <c r="R246" s="14"/>
    </row>
    <row r="247" spans="1:18" s="1" customFormat="1">
      <c r="B247" s="23" t="s">
        <v>300</v>
      </c>
      <c r="C247" s="1" t="s">
        <v>494</v>
      </c>
      <c r="E247" s="1" t="s">
        <v>476</v>
      </c>
      <c r="F247" s="14"/>
      <c r="G247" s="14"/>
      <c r="H247" s="14"/>
      <c r="I247" s="11"/>
      <c r="J247" s="14"/>
      <c r="K247" s="16">
        <v>2</v>
      </c>
      <c r="L247" s="15">
        <v>6</v>
      </c>
      <c r="M247" s="14"/>
      <c r="P247" s="14"/>
      <c r="Q247" s="14"/>
      <c r="R247" s="14"/>
    </row>
    <row r="248" spans="1:18" s="1" customFormat="1">
      <c r="B248" s="23" t="s">
        <v>301</v>
      </c>
      <c r="C248" s="1" t="s">
        <v>494</v>
      </c>
      <c r="F248" s="14"/>
      <c r="G248" s="14"/>
      <c r="H248" s="14" t="s">
        <v>304</v>
      </c>
      <c r="I248" s="11"/>
      <c r="J248" s="14"/>
      <c r="K248" s="16">
        <v>3</v>
      </c>
      <c r="L248" s="15">
        <v>6</v>
      </c>
      <c r="M248" s="14"/>
      <c r="P248" s="14"/>
      <c r="Q248" s="14"/>
      <c r="R248" s="14"/>
    </row>
    <row r="249" spans="1:18" s="1" customFormat="1">
      <c r="B249" s="23" t="s">
        <v>302</v>
      </c>
      <c r="C249" s="1" t="s">
        <v>493</v>
      </c>
      <c r="D249" s="1">
        <v>10</v>
      </c>
      <c r="F249" s="14"/>
      <c r="G249" s="14"/>
      <c r="H249" s="14"/>
      <c r="I249" s="11"/>
      <c r="J249" s="14"/>
      <c r="K249" s="16">
        <v>4</v>
      </c>
      <c r="L249" s="15">
        <v>7</v>
      </c>
      <c r="M249" s="14"/>
      <c r="P249" s="14"/>
      <c r="Q249" s="14"/>
      <c r="R249" s="14"/>
    </row>
    <row r="250" spans="1:18" s="1" customFormat="1">
      <c r="B250" s="23" t="s">
        <v>303</v>
      </c>
      <c r="C250" s="1" t="s">
        <v>493</v>
      </c>
      <c r="D250" s="1">
        <v>10</v>
      </c>
      <c r="F250" s="14"/>
      <c r="G250" s="14"/>
      <c r="H250" s="14"/>
      <c r="I250" s="11"/>
      <c r="J250" s="14"/>
      <c r="K250" s="16">
        <v>5</v>
      </c>
      <c r="L250" s="15">
        <v>7</v>
      </c>
      <c r="M250" s="14"/>
      <c r="P250" s="14"/>
      <c r="Q250" s="14"/>
      <c r="R250" s="14"/>
    </row>
    <row r="251" spans="1:18" s="1" customFormat="1">
      <c r="B251" s="23" t="s">
        <v>306</v>
      </c>
      <c r="C251" s="1" t="s">
        <v>494</v>
      </c>
      <c r="F251" s="14"/>
      <c r="G251" s="14"/>
      <c r="H251" s="14"/>
      <c r="I251" s="11"/>
      <c r="J251" s="14"/>
      <c r="K251" s="16">
        <v>6</v>
      </c>
      <c r="L251" s="15">
        <v>8</v>
      </c>
      <c r="M251" s="14"/>
      <c r="P251" s="14"/>
      <c r="Q251" s="14"/>
      <c r="R251" s="14"/>
    </row>
    <row r="252" spans="1:18" s="1" customFormat="1">
      <c r="B252" s="23"/>
      <c r="F252" s="14"/>
      <c r="G252" s="14"/>
      <c r="H252" s="14"/>
      <c r="I252" s="11"/>
      <c r="J252" s="14"/>
      <c r="K252" s="16"/>
      <c r="L252" s="15"/>
      <c r="M252" s="14"/>
      <c r="P252" s="14"/>
      <c r="Q252" s="14"/>
      <c r="R252" s="14"/>
    </row>
    <row r="253" spans="1:18" s="1" customFormat="1">
      <c r="A253" s="10" t="s">
        <v>1019</v>
      </c>
      <c r="B253" s="29" t="s">
        <v>1010</v>
      </c>
      <c r="C253" s="1" t="s">
        <v>494</v>
      </c>
      <c r="E253" s="1" t="s">
        <v>476</v>
      </c>
      <c r="F253" s="14">
        <v>17</v>
      </c>
      <c r="G253" s="14">
        <v>1713</v>
      </c>
      <c r="H253" s="14" t="s">
        <v>521</v>
      </c>
      <c r="I253" s="11"/>
      <c r="J253" s="14">
        <v>1701</v>
      </c>
      <c r="K253" s="16">
        <v>1</v>
      </c>
      <c r="L253" s="15">
        <v>52</v>
      </c>
      <c r="M253" s="14"/>
      <c r="N253" s="14">
        <v>1707</v>
      </c>
      <c r="O253" s="23" t="s">
        <v>979</v>
      </c>
      <c r="P253" s="14"/>
      <c r="Q253" s="14"/>
      <c r="R253" s="14"/>
    </row>
    <row r="254" spans="1:18" s="1" customFormat="1">
      <c r="A254" s="10"/>
      <c r="B254" s="29" t="s">
        <v>1011</v>
      </c>
      <c r="C254" s="1" t="s">
        <v>494</v>
      </c>
      <c r="E254" s="1" t="s">
        <v>476</v>
      </c>
      <c r="F254" s="14"/>
      <c r="G254" s="14"/>
      <c r="H254" s="14"/>
      <c r="I254" s="11"/>
      <c r="J254" s="14"/>
      <c r="K254" s="16">
        <v>2</v>
      </c>
      <c r="L254" s="15">
        <v>6</v>
      </c>
      <c r="M254" s="14"/>
      <c r="P254" s="14"/>
      <c r="Q254" s="14"/>
      <c r="R254" s="14"/>
    </row>
    <row r="255" spans="1:18" s="1" customFormat="1">
      <c r="A255" s="10"/>
      <c r="B255" s="29" t="s">
        <v>1012</v>
      </c>
      <c r="C255" s="1" t="s">
        <v>494</v>
      </c>
      <c r="F255" s="14"/>
      <c r="G255" s="14"/>
      <c r="H255" s="14"/>
      <c r="I255" s="11"/>
      <c r="J255" s="14"/>
      <c r="K255" s="16">
        <v>3</v>
      </c>
      <c r="L255" s="15">
        <v>6</v>
      </c>
      <c r="M255" s="14"/>
      <c r="P255" s="14"/>
      <c r="Q255" s="14"/>
      <c r="R255" s="14"/>
    </row>
    <row r="256" spans="1:18" s="1" customFormat="1">
      <c r="A256" s="10"/>
      <c r="B256" s="29" t="s">
        <v>1015</v>
      </c>
      <c r="C256" s="1" t="s">
        <v>493</v>
      </c>
      <c r="D256" s="1">
        <v>10</v>
      </c>
      <c r="F256" s="14"/>
      <c r="G256" s="14"/>
      <c r="H256" s="14"/>
      <c r="I256" s="11"/>
      <c r="J256" s="14"/>
      <c r="K256" s="16">
        <v>4</v>
      </c>
      <c r="L256" s="15">
        <v>7</v>
      </c>
      <c r="M256" s="14"/>
      <c r="P256" s="14"/>
      <c r="Q256" s="14"/>
      <c r="R256" s="14"/>
    </row>
    <row r="257" spans="1:18" s="1" customFormat="1">
      <c r="A257" s="10"/>
      <c r="B257" s="29" t="s">
        <v>1014</v>
      </c>
      <c r="C257" s="1" t="s">
        <v>494</v>
      </c>
      <c r="F257" s="14"/>
      <c r="G257" s="14"/>
      <c r="H257" s="14"/>
      <c r="I257" s="11"/>
      <c r="J257" s="14"/>
      <c r="K257" s="16">
        <v>5</v>
      </c>
      <c r="L257" s="15"/>
      <c r="M257" s="14">
        <v>71</v>
      </c>
      <c r="P257" s="14"/>
      <c r="Q257" s="14"/>
      <c r="R257" s="14"/>
    </row>
    <row r="258" spans="1:18" s="1" customFormat="1">
      <c r="A258" s="10"/>
      <c r="B258" s="29" t="s">
        <v>1016</v>
      </c>
      <c r="C258" s="1" t="s">
        <v>494</v>
      </c>
      <c r="F258" s="14"/>
      <c r="G258" s="14"/>
      <c r="H258" s="14"/>
      <c r="I258" s="11"/>
      <c r="J258" s="14"/>
      <c r="K258" s="16">
        <v>6</v>
      </c>
      <c r="L258" s="15"/>
      <c r="M258" s="14">
        <v>72</v>
      </c>
      <c r="P258" s="14"/>
      <c r="Q258" s="14"/>
      <c r="R258" s="14"/>
    </row>
    <row r="259" spans="1:18" s="1" customFormat="1">
      <c r="A259" s="10"/>
      <c r="B259" s="29" t="s">
        <v>1013</v>
      </c>
      <c r="C259" s="1" t="s">
        <v>494</v>
      </c>
      <c r="F259" s="14"/>
      <c r="G259" s="14"/>
      <c r="H259" s="14"/>
      <c r="I259" s="11"/>
      <c r="J259" s="14"/>
      <c r="K259" s="16">
        <v>7</v>
      </c>
      <c r="L259" s="15">
        <v>8</v>
      </c>
      <c r="M259" s="14"/>
      <c r="P259" s="14"/>
      <c r="Q259" s="14"/>
      <c r="R259" s="14"/>
    </row>
    <row r="260" spans="1:18" s="1" customFormat="1">
      <c r="A260" s="10"/>
      <c r="B260" s="29" t="s">
        <v>1020</v>
      </c>
      <c r="C260" s="1" t="s">
        <v>520</v>
      </c>
      <c r="F260" s="14"/>
      <c r="G260" s="14"/>
      <c r="H260" s="14"/>
      <c r="I260" s="11"/>
      <c r="J260" s="14"/>
      <c r="K260" s="16">
        <v>8</v>
      </c>
      <c r="L260" s="15"/>
      <c r="M260" s="14"/>
      <c r="P260" s="14"/>
      <c r="Q260" s="14"/>
      <c r="R260" s="14"/>
    </row>
    <row r="261" spans="1:18" s="1" customFormat="1">
      <c r="A261" s="10"/>
      <c r="B261" s="29" t="s">
        <v>1151</v>
      </c>
      <c r="C261" s="1" t="s">
        <v>493</v>
      </c>
      <c r="D261" s="1">
        <v>1</v>
      </c>
      <c r="F261" s="14"/>
      <c r="G261" s="14"/>
      <c r="H261" s="14"/>
      <c r="I261" s="11"/>
      <c r="J261" s="14"/>
      <c r="K261" s="16">
        <v>9</v>
      </c>
      <c r="L261" s="15">
        <v>3</v>
      </c>
      <c r="M261" s="14"/>
      <c r="P261" s="14"/>
      <c r="Q261" s="14"/>
      <c r="R261" s="14"/>
    </row>
    <row r="262" spans="1:18" s="1" customFormat="1">
      <c r="A262" s="10"/>
      <c r="B262" s="29" t="s">
        <v>1152</v>
      </c>
      <c r="C262" s="1" t="s">
        <v>493</v>
      </c>
      <c r="D262" s="1">
        <v>10</v>
      </c>
      <c r="F262" s="14"/>
      <c r="G262" s="14"/>
      <c r="H262" s="14"/>
      <c r="I262" s="11"/>
      <c r="J262" s="14"/>
      <c r="K262" s="16">
        <v>10</v>
      </c>
      <c r="L262" s="15">
        <v>7</v>
      </c>
      <c r="M262" s="14"/>
      <c r="P262" s="14"/>
      <c r="Q262" s="14"/>
      <c r="R262" s="14"/>
    </row>
    <row r="263" spans="1:18" s="1" customFormat="1">
      <c r="A263" s="10"/>
      <c r="B263" s="29" t="s">
        <v>1153</v>
      </c>
      <c r="C263" s="1" t="s">
        <v>494</v>
      </c>
      <c r="F263" s="14"/>
      <c r="G263" s="14"/>
      <c r="H263" s="14"/>
      <c r="I263" s="11"/>
      <c r="J263" s="14"/>
      <c r="K263" s="16">
        <v>11</v>
      </c>
      <c r="L263" s="15">
        <v>8</v>
      </c>
      <c r="M263" s="14"/>
      <c r="P263" s="14"/>
      <c r="Q263" s="14"/>
      <c r="R263" s="14"/>
    </row>
    <row r="264" spans="1:18" s="1" customFormat="1">
      <c r="A264" s="10"/>
      <c r="B264" s="29" t="s">
        <v>1154</v>
      </c>
      <c r="C264" s="1" t="s">
        <v>520</v>
      </c>
      <c r="F264" s="14"/>
      <c r="G264" s="14"/>
      <c r="H264" s="14"/>
      <c r="I264" s="11"/>
      <c r="J264" s="14"/>
      <c r="K264" s="16">
        <v>12</v>
      </c>
      <c r="L264" s="15"/>
      <c r="M264" s="14"/>
      <c r="P264" s="14"/>
      <c r="Q264" s="14"/>
      <c r="R264" s="14"/>
    </row>
    <row r="265" spans="1:18" s="1" customFormat="1">
      <c r="A265" s="10"/>
      <c r="B265" s="29" t="s">
        <v>308</v>
      </c>
      <c r="C265" s="1" t="s">
        <v>494</v>
      </c>
      <c r="F265" s="14"/>
      <c r="G265" s="14"/>
      <c r="H265" s="14"/>
      <c r="I265" s="11"/>
      <c r="J265" s="14"/>
      <c r="K265" s="16">
        <v>13</v>
      </c>
      <c r="L265" s="15">
        <v>3</v>
      </c>
      <c r="M265" s="14"/>
      <c r="N265" s="1" t="s">
        <v>309</v>
      </c>
      <c r="O265" s="29" t="s">
        <v>310</v>
      </c>
      <c r="P265" s="29" t="s">
        <v>311</v>
      </c>
      <c r="Q265" s="14"/>
      <c r="R265" s="14"/>
    </row>
    <row r="266" spans="1:18" s="1" customFormat="1">
      <c r="B266" s="29"/>
      <c r="F266" s="14"/>
      <c r="G266" s="14"/>
      <c r="H266" s="14"/>
      <c r="I266" s="11"/>
      <c r="J266" s="14"/>
      <c r="K266" s="16"/>
      <c r="L266" s="15"/>
      <c r="M266" s="14"/>
      <c r="P266" s="23"/>
      <c r="Q266" s="14"/>
      <c r="R266" s="14"/>
    </row>
    <row r="267" spans="1:18" s="1" customFormat="1">
      <c r="A267" s="62" t="s">
        <v>39</v>
      </c>
      <c r="B267" s="29" t="s">
        <v>40</v>
      </c>
      <c r="C267" s="1" t="s">
        <v>494</v>
      </c>
      <c r="E267" s="1" t="s">
        <v>476</v>
      </c>
      <c r="F267" s="14">
        <v>17</v>
      </c>
      <c r="G267" s="14">
        <v>1730</v>
      </c>
      <c r="H267" s="14" t="s">
        <v>50</v>
      </c>
      <c r="I267" s="11"/>
      <c r="J267" s="14">
        <v>1701</v>
      </c>
      <c r="K267" s="16">
        <v>1</v>
      </c>
      <c r="L267" s="15">
        <v>52</v>
      </c>
      <c r="M267" s="14"/>
      <c r="N267" s="14">
        <v>1707</v>
      </c>
      <c r="O267" s="23" t="s">
        <v>979</v>
      </c>
      <c r="P267" s="23"/>
      <c r="Q267" s="14"/>
      <c r="R267" s="14"/>
    </row>
    <row r="268" spans="1:18" s="1" customFormat="1">
      <c r="B268" s="29" t="s">
        <v>41</v>
      </c>
      <c r="C268" s="1" t="s">
        <v>494</v>
      </c>
      <c r="E268" s="1" t="s">
        <v>476</v>
      </c>
      <c r="F268" s="14"/>
      <c r="G268" s="14"/>
      <c r="H268" s="14"/>
      <c r="I268" s="11"/>
      <c r="J268" s="14"/>
      <c r="K268" s="16">
        <v>2</v>
      </c>
      <c r="L268" s="15">
        <v>6</v>
      </c>
      <c r="M268" s="14"/>
      <c r="O268" s="23"/>
      <c r="P268" s="23"/>
      <c r="Q268" s="14"/>
      <c r="R268" s="14"/>
    </row>
    <row r="269" spans="1:18" s="1" customFormat="1">
      <c r="B269" s="29" t="s">
        <v>42</v>
      </c>
      <c r="C269" s="1" t="s">
        <v>494</v>
      </c>
      <c r="F269" s="14"/>
      <c r="G269" s="14"/>
      <c r="H269" s="14"/>
      <c r="I269" s="11"/>
      <c r="J269" s="14"/>
      <c r="K269" s="16">
        <v>3</v>
      </c>
      <c r="L269" s="15">
        <v>6</v>
      </c>
      <c r="M269" s="14"/>
      <c r="O269" s="23"/>
      <c r="P269" s="23"/>
      <c r="Q269" s="14"/>
      <c r="R269" s="14"/>
    </row>
    <row r="270" spans="1:18" s="1" customFormat="1">
      <c r="B270" s="29" t="s">
        <v>43</v>
      </c>
      <c r="C270" s="1" t="s">
        <v>493</v>
      </c>
      <c r="D270" s="1">
        <v>10</v>
      </c>
      <c r="F270" s="14"/>
      <c r="G270" s="14"/>
      <c r="H270" s="14"/>
      <c r="I270" s="11"/>
      <c r="J270" s="14"/>
      <c r="K270" s="16">
        <v>4</v>
      </c>
      <c r="L270" s="15">
        <v>7</v>
      </c>
      <c r="M270" s="14"/>
      <c r="O270" s="23"/>
      <c r="P270" s="23"/>
      <c r="Q270" s="14"/>
      <c r="R270" s="14"/>
    </row>
    <row r="271" spans="1:18" s="1" customFormat="1">
      <c r="B271" s="29" t="s">
        <v>45</v>
      </c>
      <c r="C271" s="1" t="s">
        <v>494</v>
      </c>
      <c r="F271" s="14"/>
      <c r="G271" s="14"/>
      <c r="H271" s="14"/>
      <c r="I271" s="11"/>
      <c r="J271" s="14"/>
      <c r="K271" s="16">
        <v>5</v>
      </c>
      <c r="L271" s="15"/>
      <c r="M271" s="14">
        <v>71</v>
      </c>
      <c r="O271" s="23"/>
      <c r="P271" s="23"/>
      <c r="Q271" s="14"/>
      <c r="R271" s="14"/>
    </row>
    <row r="272" spans="1:18" s="1" customFormat="1">
      <c r="B272" s="29" t="s">
        <v>44</v>
      </c>
      <c r="C272" s="1" t="s">
        <v>494</v>
      </c>
      <c r="F272" s="14"/>
      <c r="G272" s="14"/>
      <c r="H272" s="14"/>
      <c r="I272" s="11"/>
      <c r="J272" s="14"/>
      <c r="K272" s="16">
        <v>6</v>
      </c>
      <c r="L272" s="15"/>
      <c r="M272" s="14">
        <v>72</v>
      </c>
      <c r="O272" s="23"/>
      <c r="P272" s="23"/>
      <c r="Q272" s="14"/>
      <c r="R272" s="14"/>
    </row>
    <row r="273" spans="1:18" s="1" customFormat="1">
      <c r="B273" s="29" t="s">
        <v>46</v>
      </c>
      <c r="C273" s="1" t="s">
        <v>494</v>
      </c>
      <c r="F273" s="14"/>
      <c r="G273" s="14"/>
      <c r="H273" s="14"/>
      <c r="I273" s="11"/>
      <c r="J273" s="14"/>
      <c r="K273" s="16">
        <v>7</v>
      </c>
      <c r="L273" s="15">
        <v>8</v>
      </c>
      <c r="M273" s="14"/>
      <c r="O273" s="23"/>
      <c r="P273" s="23"/>
      <c r="Q273" s="14"/>
      <c r="R273" s="14"/>
    </row>
    <row r="274" spans="1:18" s="1" customFormat="1">
      <c r="B274" s="66" t="s">
        <v>47</v>
      </c>
      <c r="C274" s="1" t="s">
        <v>494</v>
      </c>
      <c r="F274" s="14"/>
      <c r="G274" s="14"/>
      <c r="H274" s="14"/>
      <c r="I274" s="11"/>
      <c r="J274" s="14"/>
      <c r="K274" s="16">
        <v>8</v>
      </c>
      <c r="L274" s="15">
        <v>3</v>
      </c>
      <c r="M274" s="14"/>
      <c r="N274" s="1" t="s">
        <v>269</v>
      </c>
      <c r="O274" s="23" t="s">
        <v>270</v>
      </c>
      <c r="P274" s="23" t="s">
        <v>271</v>
      </c>
      <c r="Q274" s="14"/>
      <c r="R274" s="14"/>
    </row>
    <row r="275" spans="1:18" s="1" customFormat="1">
      <c r="B275" s="29" t="s">
        <v>48</v>
      </c>
      <c r="C275" s="1" t="s">
        <v>494</v>
      </c>
      <c r="F275" s="14"/>
      <c r="G275" s="14"/>
      <c r="H275" s="14"/>
      <c r="I275" s="11"/>
      <c r="J275" s="14"/>
      <c r="K275" s="16">
        <v>9</v>
      </c>
      <c r="L275" s="15">
        <v>3</v>
      </c>
      <c r="M275" s="14"/>
      <c r="N275" s="1" t="s">
        <v>269</v>
      </c>
      <c r="O275" s="23" t="s">
        <v>270</v>
      </c>
      <c r="P275" s="23" t="s">
        <v>271</v>
      </c>
      <c r="Q275" s="14"/>
      <c r="R275" s="14"/>
    </row>
    <row r="276" spans="1:18" s="1" customFormat="1">
      <c r="B276" s="29" t="s">
        <v>49</v>
      </c>
      <c r="C276" s="1" t="s">
        <v>520</v>
      </c>
      <c r="F276" s="14"/>
      <c r="G276" s="14"/>
      <c r="H276" s="14"/>
      <c r="I276" s="11"/>
      <c r="J276" s="14"/>
      <c r="K276" s="16">
        <v>10</v>
      </c>
      <c r="L276" s="15"/>
      <c r="M276" s="14"/>
      <c r="O276" s="23"/>
      <c r="P276" s="23"/>
      <c r="Q276" s="14"/>
      <c r="R276" s="14"/>
    </row>
    <row r="277" spans="1:18" s="1" customFormat="1">
      <c r="B277" s="29"/>
      <c r="F277" s="14"/>
      <c r="G277" s="14"/>
      <c r="H277" s="14"/>
      <c r="I277" s="11"/>
      <c r="J277" s="14"/>
      <c r="K277" s="16"/>
      <c r="L277" s="15"/>
      <c r="M277" s="14"/>
      <c r="O277" s="23"/>
      <c r="P277" s="23"/>
      <c r="Q277" s="14"/>
      <c r="R277" s="14"/>
    </row>
    <row r="278" spans="1:18" s="1" customFormat="1">
      <c r="B278" s="29"/>
      <c r="F278" s="14"/>
      <c r="G278" s="14"/>
      <c r="H278" s="14"/>
      <c r="I278" s="11"/>
      <c r="J278" s="14"/>
      <c r="K278" s="16"/>
      <c r="L278" s="15"/>
      <c r="M278" s="14"/>
      <c r="O278" s="23"/>
      <c r="P278" s="23"/>
      <c r="Q278" s="14"/>
      <c r="R278" s="14"/>
    </row>
    <row r="279" spans="1:18" s="1" customFormat="1">
      <c r="A279" s="62" t="s">
        <v>269</v>
      </c>
      <c r="B279" s="60" t="s">
        <v>270</v>
      </c>
      <c r="C279" s="25" t="s">
        <v>494</v>
      </c>
      <c r="E279" s="1" t="s">
        <v>476</v>
      </c>
      <c r="F279" s="14">
        <v>17</v>
      </c>
      <c r="G279" s="14">
        <v>9915</v>
      </c>
      <c r="H279" s="47" t="s">
        <v>1761</v>
      </c>
      <c r="I279" s="48" t="s">
        <v>1762</v>
      </c>
      <c r="J279" s="14">
        <v>99</v>
      </c>
      <c r="K279" s="16">
        <v>1</v>
      </c>
      <c r="L279" s="15"/>
      <c r="M279" s="14"/>
      <c r="N279" s="23"/>
      <c r="O279" s="14"/>
      <c r="P279" s="14"/>
      <c r="Q279" s="14"/>
      <c r="R279" s="14"/>
    </row>
    <row r="280" spans="1:18" s="1" customFormat="1">
      <c r="B280" s="60" t="s">
        <v>271</v>
      </c>
      <c r="C280" s="25" t="s">
        <v>493</v>
      </c>
      <c r="D280" s="1">
        <v>100</v>
      </c>
      <c r="F280" s="14"/>
      <c r="G280" s="14"/>
      <c r="H280" s="14"/>
      <c r="I280" s="11"/>
      <c r="J280" s="14"/>
      <c r="K280" s="16">
        <v>2</v>
      </c>
      <c r="L280" s="15"/>
      <c r="M280" s="14"/>
      <c r="N280" s="23"/>
      <c r="O280" s="14"/>
      <c r="P280" s="14"/>
      <c r="Q280" s="14"/>
      <c r="R280" s="14"/>
    </row>
    <row r="281" spans="1:18" s="1" customFormat="1">
      <c r="B281" s="60" t="s">
        <v>1759</v>
      </c>
      <c r="C281" s="60" t="s">
        <v>494</v>
      </c>
      <c r="F281" s="14"/>
      <c r="G281" s="14"/>
      <c r="H281" s="14"/>
      <c r="I281" s="11"/>
      <c r="J281" s="14"/>
      <c r="K281" s="16">
        <v>3</v>
      </c>
      <c r="L281" s="15"/>
      <c r="M281" s="14"/>
      <c r="N281" s="23"/>
      <c r="O281" s="14"/>
      <c r="P281" s="14"/>
      <c r="Q281" s="14"/>
      <c r="R281" s="14"/>
    </row>
    <row r="282" spans="1:18" s="1" customFormat="1">
      <c r="B282" s="60" t="s">
        <v>1760</v>
      </c>
      <c r="C282" s="60" t="s">
        <v>493</v>
      </c>
      <c r="D282" s="1">
        <v>10</v>
      </c>
      <c r="F282" s="14"/>
      <c r="G282" s="14"/>
      <c r="H282" s="14"/>
      <c r="I282" s="11"/>
      <c r="J282" s="14"/>
      <c r="K282" s="16">
        <v>4</v>
      </c>
      <c r="L282" s="15"/>
      <c r="M282" s="14"/>
      <c r="N282" s="23"/>
      <c r="O282" s="14"/>
      <c r="P282" s="14"/>
      <c r="Q282" s="14"/>
      <c r="R282" s="14"/>
    </row>
    <row r="283" spans="1:18" s="1" customFormat="1">
      <c r="B283" s="60" t="s">
        <v>1818</v>
      </c>
      <c r="C283" s="25" t="s">
        <v>493</v>
      </c>
      <c r="D283" s="1">
        <v>100</v>
      </c>
      <c r="F283" s="14"/>
      <c r="G283" s="14"/>
      <c r="H283" s="14"/>
      <c r="I283" s="11"/>
      <c r="J283" s="14"/>
      <c r="K283" s="16"/>
      <c r="L283" s="15"/>
      <c r="M283" s="14"/>
      <c r="N283" s="23"/>
      <c r="O283" s="14"/>
      <c r="P283" s="14"/>
      <c r="Q283" s="14"/>
      <c r="R283" s="14"/>
    </row>
    <row r="284" spans="1:18" s="1" customFormat="1">
      <c r="B284" s="60" t="s">
        <v>1820</v>
      </c>
      <c r="C284" s="60" t="s">
        <v>494</v>
      </c>
      <c r="F284" s="14"/>
      <c r="G284" s="14"/>
      <c r="H284" s="14"/>
      <c r="I284" s="11"/>
      <c r="J284" s="14"/>
      <c r="K284" s="16"/>
      <c r="L284" s="15"/>
      <c r="M284" s="14"/>
      <c r="N284" s="23"/>
      <c r="O284" s="14"/>
      <c r="P284" s="14"/>
      <c r="Q284" s="14"/>
      <c r="R284" s="14"/>
    </row>
    <row r="285" spans="1:18" s="44" customFormat="1">
      <c r="B285" s="44" t="s">
        <v>1819</v>
      </c>
      <c r="C285" s="60" t="s">
        <v>493</v>
      </c>
      <c r="D285" s="1">
        <v>10</v>
      </c>
      <c r="I285" s="58"/>
      <c r="K285" s="59"/>
      <c r="L285" s="59"/>
    </row>
    <row r="286" spans="1:18" s="44" customFormat="1">
      <c r="I286" s="58"/>
      <c r="K286" s="59"/>
      <c r="L286" s="59"/>
    </row>
    <row r="287" spans="1:18" s="1" customFormat="1">
      <c r="A287" s="64" t="s">
        <v>242</v>
      </c>
      <c r="B287" s="10" t="s">
        <v>243</v>
      </c>
      <c r="C287" s="10" t="s">
        <v>494</v>
      </c>
      <c r="D287" s="10"/>
      <c r="E287" s="10" t="s">
        <v>476</v>
      </c>
      <c r="F287" s="10">
        <v>17</v>
      </c>
      <c r="G287" s="10">
        <v>1717</v>
      </c>
      <c r="H287" s="10" t="s">
        <v>262</v>
      </c>
      <c r="I287" s="10" t="s">
        <v>263</v>
      </c>
      <c r="J287" s="10">
        <v>1702</v>
      </c>
      <c r="K287" s="16">
        <v>1</v>
      </c>
      <c r="L287" s="31"/>
      <c r="M287" s="10"/>
      <c r="N287" s="64" t="s">
        <v>506</v>
      </c>
      <c r="O287" s="64" t="s">
        <v>514</v>
      </c>
      <c r="P287" s="1" t="s">
        <v>516</v>
      </c>
      <c r="Q287" s="10"/>
      <c r="R287" s="10"/>
    </row>
    <row r="288" spans="1:18" s="1" customFormat="1">
      <c r="A288" s="10"/>
      <c r="B288" s="10" t="s">
        <v>244</v>
      </c>
      <c r="C288" s="10" t="s">
        <v>494</v>
      </c>
      <c r="D288" s="10"/>
      <c r="E288" s="10" t="s">
        <v>476</v>
      </c>
      <c r="F288" s="10"/>
      <c r="G288" s="10"/>
      <c r="H288" s="10"/>
      <c r="I288" s="10"/>
      <c r="J288" s="10"/>
      <c r="K288" s="16">
        <v>2</v>
      </c>
      <c r="L288" s="31"/>
      <c r="M288" s="10"/>
      <c r="N288" s="10"/>
      <c r="O288" s="10"/>
      <c r="P288" s="10"/>
      <c r="Q288" s="10"/>
      <c r="R288" s="10"/>
    </row>
    <row r="289" spans="1:18" s="1" customFormat="1">
      <c r="A289" s="10"/>
      <c r="B289" s="10" t="s">
        <v>255</v>
      </c>
      <c r="C289" s="10" t="s">
        <v>494</v>
      </c>
      <c r="D289" s="10"/>
      <c r="E289" s="10" t="s">
        <v>476</v>
      </c>
      <c r="F289" s="10"/>
      <c r="G289" s="10"/>
      <c r="H289" s="10" t="s">
        <v>256</v>
      </c>
      <c r="I289" s="10"/>
      <c r="J289" s="10"/>
      <c r="K289" s="16">
        <v>3</v>
      </c>
      <c r="L289" s="31"/>
      <c r="M289" s="10"/>
      <c r="N289" s="10"/>
      <c r="O289" s="10"/>
      <c r="P289" s="10"/>
      <c r="Q289" s="10"/>
      <c r="R289" s="10"/>
    </row>
    <row r="290" spans="1:18" s="1" customFormat="1">
      <c r="A290" s="10"/>
      <c r="B290" s="10" t="s">
        <v>245</v>
      </c>
      <c r="C290" s="10" t="s">
        <v>494</v>
      </c>
      <c r="D290" s="10"/>
      <c r="E290" s="10"/>
      <c r="F290" s="10"/>
      <c r="G290" s="10"/>
      <c r="H290" s="10"/>
      <c r="I290" s="10"/>
      <c r="J290" s="10"/>
      <c r="K290" s="16">
        <v>4</v>
      </c>
      <c r="L290" s="31"/>
      <c r="M290" s="10"/>
      <c r="N290" s="10"/>
      <c r="O290" s="10"/>
      <c r="P290" s="10"/>
      <c r="Q290" s="10"/>
      <c r="R290" s="10"/>
    </row>
    <row r="291" spans="1:18" s="1" customFormat="1">
      <c r="A291" s="10"/>
      <c r="B291" s="10" t="s">
        <v>246</v>
      </c>
      <c r="C291" s="10" t="s">
        <v>494</v>
      </c>
      <c r="D291" s="10"/>
      <c r="E291" s="10"/>
      <c r="F291" s="10"/>
      <c r="G291" s="10"/>
      <c r="H291" s="10"/>
      <c r="I291" s="10"/>
      <c r="J291" s="10"/>
      <c r="K291" s="16">
        <v>5</v>
      </c>
      <c r="L291" s="31"/>
      <c r="M291" s="10"/>
      <c r="N291" s="10"/>
      <c r="O291" s="10"/>
      <c r="P291" s="10"/>
      <c r="Q291" s="10"/>
      <c r="R291" s="10"/>
    </row>
    <row r="292" spans="1:18" s="1" customFormat="1">
      <c r="A292" s="10"/>
      <c r="B292" s="10" t="s">
        <v>251</v>
      </c>
      <c r="C292" s="10" t="s">
        <v>494</v>
      </c>
      <c r="D292" s="10"/>
      <c r="E292" s="10"/>
      <c r="F292" s="10"/>
      <c r="G292" s="10"/>
      <c r="H292" s="10"/>
      <c r="I292" s="10"/>
      <c r="J292" s="10"/>
      <c r="K292" s="16">
        <v>6</v>
      </c>
      <c r="L292" s="31"/>
      <c r="M292" s="10"/>
      <c r="N292" s="10"/>
      <c r="O292" s="10"/>
      <c r="P292" s="10"/>
      <c r="Q292" s="10"/>
      <c r="R292" s="10"/>
    </row>
    <row r="293" spans="1:18" s="1" customFormat="1">
      <c r="A293" s="10"/>
      <c r="B293" s="10" t="s">
        <v>258</v>
      </c>
      <c r="C293" s="10" t="s">
        <v>494</v>
      </c>
      <c r="D293" s="10"/>
      <c r="E293" s="10"/>
      <c r="F293" s="10"/>
      <c r="G293" s="10"/>
      <c r="H293" s="10"/>
      <c r="I293" s="10"/>
      <c r="J293" s="10"/>
      <c r="K293" s="16">
        <v>7</v>
      </c>
      <c r="L293" s="31"/>
      <c r="M293" s="10"/>
      <c r="N293" s="10"/>
      <c r="O293" s="10"/>
      <c r="P293" s="10"/>
      <c r="Q293" s="10"/>
      <c r="R293" s="10"/>
    </row>
    <row r="294" spans="1:18" s="1" customFormat="1">
      <c r="A294" s="10"/>
      <c r="B294" s="10"/>
      <c r="C294" s="10"/>
      <c r="D294" s="10"/>
      <c r="E294" s="10"/>
      <c r="F294" s="10"/>
      <c r="G294" s="10"/>
      <c r="H294" s="10"/>
      <c r="I294" s="10"/>
      <c r="J294" s="10"/>
      <c r="K294" s="16"/>
      <c r="L294" s="31"/>
      <c r="M294" s="10"/>
      <c r="N294" s="10"/>
      <c r="O294" s="10"/>
      <c r="P294" s="10"/>
      <c r="Q294" s="10"/>
      <c r="R294" s="10"/>
    </row>
    <row r="295" spans="1:18" s="1" customFormat="1" ht="13.5" customHeight="1">
      <c r="A295" s="64" t="s">
        <v>247</v>
      </c>
      <c r="B295" s="64" t="s">
        <v>248</v>
      </c>
      <c r="C295" s="10" t="s">
        <v>494</v>
      </c>
      <c r="D295" s="10"/>
      <c r="E295" s="10" t="s">
        <v>476</v>
      </c>
      <c r="F295" s="10">
        <v>17</v>
      </c>
      <c r="G295" s="10">
        <v>1718</v>
      </c>
      <c r="H295" s="64" t="s">
        <v>4115</v>
      </c>
      <c r="I295" s="64"/>
      <c r="J295" s="10">
        <v>1</v>
      </c>
      <c r="K295" s="16">
        <v>1</v>
      </c>
      <c r="L295" s="80">
        <v>3</v>
      </c>
      <c r="M295" s="10"/>
      <c r="N295" s="64" t="s">
        <v>506</v>
      </c>
      <c r="O295" s="64" t="s">
        <v>514</v>
      </c>
      <c r="P295" s="1" t="s">
        <v>516</v>
      </c>
      <c r="Q295" s="10"/>
      <c r="R295" s="10"/>
    </row>
    <row r="296" spans="1:18" s="1" customFormat="1">
      <c r="A296" s="10"/>
      <c r="B296" s="64" t="s">
        <v>249</v>
      </c>
      <c r="C296" s="10" t="s">
        <v>494</v>
      </c>
      <c r="D296" s="10"/>
      <c r="E296" s="10" t="s">
        <v>476</v>
      </c>
      <c r="F296" s="10"/>
      <c r="G296" s="10"/>
      <c r="H296" s="10"/>
      <c r="I296" s="10"/>
      <c r="J296" s="10"/>
      <c r="K296" s="16">
        <v>2</v>
      </c>
      <c r="L296" s="31">
        <v>3</v>
      </c>
      <c r="M296" s="10"/>
      <c r="N296" s="62" t="s">
        <v>1038</v>
      </c>
      <c r="O296" s="23" t="s">
        <v>1040</v>
      </c>
      <c r="P296" s="23" t="s">
        <v>1041</v>
      </c>
      <c r="Q296" s="10"/>
      <c r="R296" s="10"/>
    </row>
    <row r="297" spans="1:18" s="1" customFormat="1">
      <c r="A297" s="10"/>
      <c r="B297" s="64" t="s">
        <v>257</v>
      </c>
      <c r="C297" s="10" t="s">
        <v>494</v>
      </c>
      <c r="D297" s="10"/>
      <c r="E297" s="10" t="s">
        <v>476</v>
      </c>
      <c r="F297" s="10"/>
      <c r="G297" s="10"/>
      <c r="H297" s="10"/>
      <c r="I297" s="10"/>
      <c r="J297" s="10"/>
      <c r="K297" s="16">
        <v>3</v>
      </c>
      <c r="L297" s="31">
        <v>3</v>
      </c>
      <c r="M297" s="10"/>
      <c r="N297" s="10"/>
      <c r="O297" s="10"/>
      <c r="P297" s="10"/>
      <c r="Q297" s="10"/>
      <c r="R297" s="10"/>
    </row>
    <row r="298" spans="1:18" s="1" customFormat="1">
      <c r="A298" s="64"/>
      <c r="B298" s="64" t="s">
        <v>1098</v>
      </c>
      <c r="C298" s="10" t="s">
        <v>494</v>
      </c>
      <c r="D298" s="10"/>
      <c r="E298" s="10" t="s">
        <v>476</v>
      </c>
      <c r="F298" s="10"/>
      <c r="G298" s="10"/>
      <c r="H298" s="10"/>
      <c r="I298" s="10"/>
      <c r="J298" s="10"/>
      <c r="K298" s="16">
        <v>4</v>
      </c>
      <c r="L298" s="31"/>
      <c r="M298" s="10"/>
      <c r="N298" s="62" t="s">
        <v>947</v>
      </c>
      <c r="O298" s="10"/>
      <c r="P298" s="10"/>
      <c r="Q298" s="10"/>
      <c r="R298" s="10"/>
    </row>
    <row r="299" spans="1:18" s="1" customFormat="1">
      <c r="A299" s="10"/>
      <c r="B299" s="64" t="s">
        <v>1097</v>
      </c>
      <c r="C299" s="10" t="s">
        <v>494</v>
      </c>
      <c r="D299" s="10"/>
      <c r="E299" s="10" t="s">
        <v>476</v>
      </c>
      <c r="F299" s="10"/>
      <c r="G299" s="10"/>
      <c r="H299" s="10"/>
      <c r="I299" s="10"/>
      <c r="J299" s="10"/>
      <c r="K299" s="16">
        <v>5</v>
      </c>
      <c r="L299" s="80">
        <v>3</v>
      </c>
      <c r="M299" s="10"/>
      <c r="N299" s="62" t="s">
        <v>950</v>
      </c>
      <c r="O299" s="10"/>
      <c r="P299" s="10"/>
      <c r="Q299" s="10"/>
      <c r="R299" s="10"/>
    </row>
    <row r="300" spans="1:18" s="1" customFormat="1">
      <c r="A300" s="10"/>
      <c r="B300" s="64" t="s">
        <v>250</v>
      </c>
      <c r="C300" s="10" t="s">
        <v>494</v>
      </c>
      <c r="D300" s="10"/>
      <c r="E300" s="10" t="s">
        <v>476</v>
      </c>
      <c r="F300" s="10"/>
      <c r="G300" s="10"/>
      <c r="H300" s="10"/>
      <c r="I300" s="10"/>
      <c r="J300" s="10"/>
      <c r="K300" s="16">
        <v>6</v>
      </c>
      <c r="L300" s="31">
        <v>3</v>
      </c>
      <c r="M300" s="10"/>
      <c r="N300" s="1" t="s">
        <v>955</v>
      </c>
      <c r="O300" s="10"/>
      <c r="P300" s="10"/>
      <c r="Q300" s="10"/>
      <c r="R300" s="10"/>
    </row>
    <row r="301" spans="1:18" s="1" customFormat="1">
      <c r="A301" s="10"/>
      <c r="B301" s="64" t="s">
        <v>259</v>
      </c>
      <c r="C301" s="10" t="s">
        <v>494</v>
      </c>
      <c r="D301" s="10"/>
      <c r="E301" s="10"/>
      <c r="F301" s="10"/>
      <c r="G301" s="10"/>
      <c r="H301" s="10"/>
      <c r="I301" s="10"/>
      <c r="J301" s="10"/>
      <c r="K301" s="16">
        <v>7</v>
      </c>
      <c r="L301" s="31"/>
      <c r="M301" s="10"/>
      <c r="N301" s="10"/>
      <c r="O301" s="10"/>
      <c r="P301" s="10"/>
      <c r="Q301" s="10"/>
      <c r="R301" s="10"/>
    </row>
    <row r="302" spans="1:18" s="1" customFormat="1">
      <c r="A302" s="10"/>
      <c r="B302" s="10" t="s">
        <v>252</v>
      </c>
      <c r="C302" s="10" t="s">
        <v>493</v>
      </c>
      <c r="D302" s="10">
        <v>10</v>
      </c>
      <c r="E302" s="10"/>
      <c r="F302" s="10"/>
      <c r="G302" s="10"/>
      <c r="H302" s="10"/>
      <c r="I302" s="10"/>
      <c r="J302" s="10"/>
      <c r="K302" s="16">
        <v>8</v>
      </c>
      <c r="L302" s="31"/>
      <c r="M302" s="10"/>
      <c r="N302" s="10"/>
      <c r="O302" s="10"/>
      <c r="P302" s="10"/>
      <c r="Q302" s="10"/>
      <c r="R302" s="10"/>
    </row>
    <row r="303" spans="1:18" s="1" customFormat="1">
      <c r="A303" s="10"/>
      <c r="B303" s="10" t="s">
        <v>260</v>
      </c>
      <c r="C303" s="10" t="s">
        <v>494</v>
      </c>
      <c r="D303" s="10"/>
      <c r="E303" s="10"/>
      <c r="F303" s="10"/>
      <c r="G303" s="10"/>
      <c r="H303" s="10"/>
      <c r="I303" s="10"/>
      <c r="J303" s="10"/>
      <c r="K303" s="16">
        <v>9</v>
      </c>
      <c r="L303" s="31"/>
      <c r="M303" s="10"/>
      <c r="N303" s="10"/>
      <c r="O303" s="10"/>
      <c r="P303" s="10"/>
      <c r="Q303" s="10"/>
      <c r="R303" s="10"/>
    </row>
    <row r="304" spans="1:18" s="1" customFormat="1">
      <c r="A304" s="10"/>
      <c r="B304" s="10" t="s">
        <v>253</v>
      </c>
      <c r="C304" s="10" t="s">
        <v>493</v>
      </c>
      <c r="D304" s="10">
        <v>10</v>
      </c>
      <c r="E304" s="10"/>
      <c r="F304" s="10"/>
      <c r="G304" s="10"/>
      <c r="H304" s="10"/>
      <c r="I304" s="10"/>
      <c r="J304" s="10"/>
      <c r="K304" s="16">
        <v>10</v>
      </c>
      <c r="L304" s="31"/>
      <c r="M304" s="10"/>
      <c r="N304" s="10"/>
      <c r="O304" s="10"/>
      <c r="P304" s="10"/>
      <c r="Q304" s="10"/>
      <c r="R304" s="10"/>
    </row>
    <row r="305" spans="1:18" s="1" customFormat="1">
      <c r="A305" s="10"/>
      <c r="B305" s="10" t="s">
        <v>261</v>
      </c>
      <c r="C305" s="10" t="s">
        <v>494</v>
      </c>
      <c r="D305" s="10"/>
      <c r="E305" s="10"/>
      <c r="F305" s="10"/>
      <c r="G305" s="10"/>
      <c r="H305" s="10"/>
      <c r="I305" s="10"/>
      <c r="J305" s="10"/>
      <c r="K305" s="16">
        <v>11</v>
      </c>
      <c r="L305" s="31"/>
      <c r="M305" s="10"/>
      <c r="N305" s="10"/>
      <c r="O305" s="10"/>
      <c r="P305" s="10"/>
      <c r="Q305" s="10"/>
      <c r="R305" s="10"/>
    </row>
    <row r="306" spans="1:18" s="1" customFormat="1">
      <c r="A306" s="10"/>
      <c r="B306" s="64" t="s">
        <v>254</v>
      </c>
      <c r="C306" s="10" t="s">
        <v>493</v>
      </c>
      <c r="D306" s="10">
        <v>10</v>
      </c>
      <c r="E306" s="10"/>
      <c r="F306" s="10"/>
      <c r="G306" s="10"/>
      <c r="H306" s="10"/>
      <c r="I306" s="10"/>
      <c r="J306" s="10"/>
      <c r="K306" s="16">
        <v>12</v>
      </c>
      <c r="L306" s="31"/>
      <c r="M306" s="10"/>
      <c r="N306" s="10"/>
      <c r="O306" s="10"/>
      <c r="P306" s="10"/>
      <c r="Q306" s="10"/>
      <c r="R306" s="10"/>
    </row>
    <row r="307" spans="1:18" s="1" customFormat="1">
      <c r="A307" s="10"/>
      <c r="B307" s="10" t="s">
        <v>1117</v>
      </c>
      <c r="C307" s="10" t="s">
        <v>494</v>
      </c>
      <c r="D307" s="10"/>
      <c r="E307" s="10"/>
      <c r="F307" s="10"/>
      <c r="G307" s="10"/>
      <c r="H307" s="10"/>
      <c r="I307" s="10"/>
      <c r="J307" s="10"/>
      <c r="K307" s="16">
        <v>13</v>
      </c>
      <c r="L307" s="31"/>
      <c r="M307" s="10"/>
      <c r="N307" s="10"/>
      <c r="O307" s="10"/>
      <c r="P307" s="10"/>
      <c r="Q307" s="10"/>
      <c r="R307" s="10"/>
    </row>
    <row r="308" spans="1:18" s="1" customFormat="1">
      <c r="A308" s="10"/>
      <c r="B308" s="64" t="s">
        <v>1116</v>
      </c>
      <c r="C308" s="10" t="s">
        <v>494</v>
      </c>
      <c r="D308" s="10"/>
      <c r="E308" s="10"/>
      <c r="F308" s="10"/>
      <c r="G308" s="10"/>
      <c r="H308" s="10"/>
      <c r="I308" s="10"/>
      <c r="J308" s="10"/>
      <c r="K308" s="16">
        <v>14</v>
      </c>
      <c r="L308" s="31"/>
      <c r="M308" s="10"/>
      <c r="N308" s="10"/>
      <c r="O308" s="10"/>
      <c r="P308" s="10"/>
      <c r="Q308" s="10"/>
      <c r="R308" s="10"/>
    </row>
    <row r="309" spans="1:18" s="1" customFormat="1">
      <c r="A309" s="10"/>
      <c r="B309" s="69" t="s">
        <v>1121</v>
      </c>
      <c r="C309" s="10" t="s">
        <v>520</v>
      </c>
      <c r="D309" s="10"/>
      <c r="E309" s="10"/>
      <c r="F309" s="10"/>
      <c r="G309" s="10"/>
      <c r="H309" s="10"/>
      <c r="I309" s="10"/>
      <c r="J309" s="10"/>
      <c r="K309" s="16">
        <v>15</v>
      </c>
      <c r="L309" s="31"/>
      <c r="M309" s="10"/>
      <c r="N309" s="10"/>
      <c r="O309" s="10"/>
      <c r="P309" s="10"/>
      <c r="Q309" s="10"/>
      <c r="R309" s="10"/>
    </row>
    <row r="310" spans="1:18" s="1" customFormat="1">
      <c r="B310" s="66" t="s">
        <v>4114</v>
      </c>
      <c r="C310" s="62" t="s">
        <v>494</v>
      </c>
      <c r="F310" s="14"/>
      <c r="G310" s="14"/>
      <c r="H310" s="14"/>
      <c r="I310" s="11"/>
      <c r="J310" s="14"/>
      <c r="K310" s="16">
        <v>16</v>
      </c>
      <c r="L310" s="15">
        <v>3</v>
      </c>
      <c r="M310" s="14"/>
      <c r="N310" s="62" t="s">
        <v>4082</v>
      </c>
      <c r="O310" s="66" t="s">
        <v>3962</v>
      </c>
      <c r="P310" s="66" t="s">
        <v>4084</v>
      </c>
      <c r="Q310" s="14"/>
      <c r="R310" s="14"/>
    </row>
    <row r="311" spans="1:18" s="1" customFormat="1">
      <c r="A311" s="10"/>
      <c r="B311" s="69" t="s">
        <v>4112</v>
      </c>
      <c r="C311" s="64" t="s">
        <v>493</v>
      </c>
      <c r="D311" s="10">
        <v>200</v>
      </c>
      <c r="E311" s="10"/>
      <c r="F311" s="10"/>
      <c r="G311" s="10"/>
      <c r="H311" s="10"/>
      <c r="I311" s="10"/>
      <c r="J311" s="10"/>
      <c r="K311" s="16">
        <v>17</v>
      </c>
      <c r="L311" s="31"/>
      <c r="M311" s="10"/>
      <c r="N311" s="10"/>
      <c r="O311" s="10"/>
      <c r="P311" s="10"/>
      <c r="Q311" s="10"/>
      <c r="R311" s="10"/>
    </row>
    <row r="312" spans="1:18" s="1" customFormat="1">
      <c r="A312" s="10"/>
      <c r="B312" s="10"/>
      <c r="C312" s="10"/>
      <c r="D312" s="10"/>
      <c r="E312" s="10"/>
      <c r="F312" s="10"/>
      <c r="G312" s="10"/>
      <c r="H312" s="10"/>
      <c r="I312" s="10"/>
      <c r="J312" s="10"/>
      <c r="K312" s="16"/>
      <c r="L312" s="31"/>
      <c r="M312" s="10"/>
      <c r="N312" s="10"/>
      <c r="O312" s="10"/>
      <c r="P312" s="10"/>
      <c r="Q312" s="10"/>
      <c r="R312" s="10"/>
    </row>
    <row r="313" spans="1:18" s="1" customFormat="1">
      <c r="A313" s="10" t="s">
        <v>1101</v>
      </c>
      <c r="B313" s="10" t="s">
        <v>1104</v>
      </c>
      <c r="C313" s="10" t="s">
        <v>494</v>
      </c>
      <c r="D313" s="10"/>
      <c r="E313" s="10" t="s">
        <v>476</v>
      </c>
      <c r="F313" s="10">
        <v>17</v>
      </c>
      <c r="G313" s="10">
        <v>1723</v>
      </c>
      <c r="H313" s="34" t="s">
        <v>20</v>
      </c>
      <c r="I313" s="10" t="s">
        <v>21</v>
      </c>
      <c r="J313" s="10">
        <v>1</v>
      </c>
      <c r="K313" s="16">
        <v>1</v>
      </c>
      <c r="L313" s="31">
        <v>6</v>
      </c>
      <c r="M313" s="10"/>
      <c r="N313" s="10"/>
      <c r="O313" s="10"/>
      <c r="P313" s="10"/>
      <c r="Q313" s="10"/>
      <c r="R313" s="10"/>
    </row>
    <row r="314" spans="1:18" s="1" customFormat="1">
      <c r="A314" s="10"/>
      <c r="B314" s="10" t="s">
        <v>1105</v>
      </c>
      <c r="C314" s="10" t="s">
        <v>494</v>
      </c>
      <c r="D314" s="10"/>
      <c r="E314" s="10"/>
      <c r="F314" s="10"/>
      <c r="G314" s="10"/>
      <c r="H314" s="10" t="s">
        <v>1102</v>
      </c>
      <c r="I314" s="10"/>
      <c r="J314" s="10"/>
      <c r="K314" s="16">
        <v>2</v>
      </c>
      <c r="L314" s="31">
        <v>6</v>
      </c>
      <c r="M314" s="10"/>
      <c r="N314" s="10"/>
      <c r="O314" s="10"/>
      <c r="P314" s="10"/>
      <c r="Q314" s="10"/>
      <c r="R314" s="10"/>
    </row>
    <row r="315" spans="1:18" s="1" customFormat="1">
      <c r="A315" s="10"/>
      <c r="B315" s="64" t="s">
        <v>1106</v>
      </c>
      <c r="C315" s="10" t="s">
        <v>494</v>
      </c>
      <c r="D315" s="10"/>
      <c r="E315" s="10"/>
      <c r="F315" s="10"/>
      <c r="G315" s="10"/>
      <c r="H315" s="10"/>
      <c r="I315" s="10"/>
      <c r="J315" s="10"/>
      <c r="K315" s="16">
        <v>3</v>
      </c>
      <c r="L315" s="31">
        <v>3</v>
      </c>
      <c r="M315" s="10"/>
      <c r="N315" s="64" t="s">
        <v>1099</v>
      </c>
      <c r="O315" s="64" t="s">
        <v>238</v>
      </c>
      <c r="P315" s="64" t="s">
        <v>239</v>
      </c>
      <c r="Q315" s="10"/>
      <c r="R315" s="10"/>
    </row>
    <row r="316" spans="1:18" s="1" customFormat="1">
      <c r="A316" s="10"/>
      <c r="B316" s="10" t="s">
        <v>22</v>
      </c>
      <c r="C316" s="10" t="s">
        <v>494</v>
      </c>
      <c r="D316" s="10"/>
      <c r="E316" s="10"/>
      <c r="F316" s="10"/>
      <c r="G316" s="10"/>
      <c r="H316" s="10" t="s">
        <v>23</v>
      </c>
      <c r="I316" s="10"/>
      <c r="J316" s="10"/>
      <c r="K316" s="16">
        <v>4</v>
      </c>
      <c r="L316" s="31">
        <v>3</v>
      </c>
      <c r="M316" s="10"/>
      <c r="N316" s="10"/>
      <c r="O316" s="10">
        <v>1723</v>
      </c>
      <c r="P316" s="10">
        <v>1</v>
      </c>
      <c r="Q316" s="10"/>
      <c r="R316" s="10"/>
    </row>
    <row r="317" spans="1:18" s="1" customFormat="1">
      <c r="A317" s="10"/>
      <c r="B317" s="10" t="s">
        <v>1115</v>
      </c>
      <c r="C317" s="10" t="s">
        <v>494</v>
      </c>
      <c r="D317" s="10"/>
      <c r="E317" s="10"/>
      <c r="F317" s="10"/>
      <c r="G317" s="10"/>
      <c r="H317" s="10"/>
      <c r="I317" s="10"/>
      <c r="J317" s="10"/>
      <c r="K317" s="16">
        <v>5</v>
      </c>
      <c r="L317" s="31"/>
      <c r="M317" s="10"/>
      <c r="N317" s="10"/>
      <c r="O317" s="10"/>
      <c r="P317" s="10"/>
      <c r="Q317" s="10"/>
      <c r="R317" s="10"/>
    </row>
    <row r="318" spans="1:18" s="1" customFormat="1">
      <c r="A318" s="10"/>
      <c r="B318" s="64" t="s">
        <v>1107</v>
      </c>
      <c r="C318" s="10" t="s">
        <v>493</v>
      </c>
      <c r="D318" s="10">
        <v>200</v>
      </c>
      <c r="E318" s="10"/>
      <c r="F318" s="10"/>
      <c r="G318" s="10"/>
      <c r="H318" s="10"/>
      <c r="I318" s="10"/>
      <c r="J318" s="10"/>
      <c r="K318" s="16">
        <v>6</v>
      </c>
      <c r="L318" s="31"/>
      <c r="M318" s="10"/>
      <c r="N318" s="10"/>
      <c r="P318" s="10"/>
      <c r="Q318" s="10"/>
      <c r="R318" s="10"/>
    </row>
    <row r="319" spans="1:18" s="1" customFormat="1">
      <c r="A319" s="10"/>
      <c r="B319" s="10" t="s">
        <v>1112</v>
      </c>
      <c r="C319" s="10" t="s">
        <v>520</v>
      </c>
      <c r="D319" s="10"/>
      <c r="E319" s="10"/>
      <c r="F319" s="10"/>
      <c r="G319" s="10"/>
      <c r="H319" s="10"/>
      <c r="I319" s="10"/>
      <c r="J319" s="10"/>
      <c r="K319" s="16">
        <v>8</v>
      </c>
      <c r="L319" s="31"/>
      <c r="M319" s="10"/>
      <c r="N319" s="10"/>
      <c r="O319" s="10"/>
      <c r="P319" s="10"/>
      <c r="Q319" s="10"/>
      <c r="R319" s="10"/>
    </row>
    <row r="320" spans="1:18" s="1" customFormat="1">
      <c r="A320" s="10"/>
      <c r="B320" s="10" t="s">
        <v>1113</v>
      </c>
      <c r="C320" s="10" t="s">
        <v>520</v>
      </c>
      <c r="D320" s="10"/>
      <c r="E320" s="10"/>
      <c r="F320" s="10"/>
      <c r="G320" s="10"/>
      <c r="H320" s="10"/>
      <c r="I320" s="10"/>
      <c r="J320" s="10"/>
      <c r="K320" s="16">
        <v>9</v>
      </c>
      <c r="L320" s="31"/>
      <c r="M320" s="10"/>
      <c r="N320" s="10"/>
      <c r="O320" s="10"/>
      <c r="P320" s="10"/>
      <c r="Q320" s="10"/>
      <c r="R320" s="10"/>
    </row>
    <row r="321" spans="1:18" s="1" customFormat="1">
      <c r="A321" s="10"/>
      <c r="B321" s="45" t="s">
        <v>1381</v>
      </c>
      <c r="C321" s="45" t="s">
        <v>493</v>
      </c>
      <c r="D321" s="10">
        <v>1</v>
      </c>
      <c r="E321" s="10"/>
      <c r="F321" s="10"/>
      <c r="G321" s="10"/>
      <c r="H321" s="10"/>
      <c r="I321" s="10"/>
      <c r="J321" s="10"/>
      <c r="K321" s="16">
        <v>10</v>
      </c>
      <c r="L321" s="31">
        <v>3</v>
      </c>
      <c r="M321" s="10"/>
      <c r="N321" s="10"/>
      <c r="O321" s="10"/>
      <c r="P321" s="10"/>
      <c r="Q321" s="10"/>
      <c r="R321" s="10"/>
    </row>
    <row r="322" spans="1:18" s="1" customFormat="1">
      <c r="B322" s="43" t="s">
        <v>1382</v>
      </c>
      <c r="C322" s="45" t="s">
        <v>493</v>
      </c>
      <c r="D322" s="10">
        <v>1</v>
      </c>
      <c r="F322" s="14"/>
      <c r="G322" s="14"/>
      <c r="H322" s="14"/>
      <c r="I322" s="11"/>
      <c r="J322" s="14"/>
      <c r="K322" s="16">
        <v>11</v>
      </c>
      <c r="L322" s="15">
        <v>3</v>
      </c>
      <c r="M322" s="14"/>
      <c r="N322" s="14"/>
      <c r="O322" s="14"/>
      <c r="P322" s="14"/>
      <c r="Q322" s="14"/>
      <c r="R322" s="14"/>
    </row>
    <row r="323" spans="1:18" s="1" customFormat="1">
      <c r="B323" s="60" t="s">
        <v>4059</v>
      </c>
      <c r="C323" s="64" t="s">
        <v>494</v>
      </c>
      <c r="D323" s="10"/>
      <c r="F323" s="14"/>
      <c r="G323" s="14"/>
      <c r="H323" s="14"/>
      <c r="I323" s="11"/>
      <c r="J323" s="14"/>
      <c r="K323" s="16">
        <v>12</v>
      </c>
      <c r="L323" s="15">
        <v>3</v>
      </c>
      <c r="M323" s="14"/>
      <c r="N323" s="14"/>
      <c r="O323" s="14"/>
      <c r="P323" s="14"/>
      <c r="Q323" s="14"/>
      <c r="R323" s="14"/>
    </row>
    <row r="324" spans="1:18" s="1" customFormat="1">
      <c r="B324" s="43"/>
      <c r="C324" s="45"/>
      <c r="D324" s="10"/>
      <c r="F324" s="14"/>
      <c r="G324" s="14"/>
      <c r="H324" s="14"/>
      <c r="I324" s="11"/>
      <c r="J324" s="14"/>
      <c r="K324" s="16"/>
      <c r="L324" s="15"/>
      <c r="M324" s="14"/>
      <c r="N324" s="14"/>
      <c r="O324" s="14"/>
      <c r="P324" s="14"/>
      <c r="Q324" s="14"/>
      <c r="R324" s="14"/>
    </row>
    <row r="325" spans="1:18" s="1" customFormat="1">
      <c r="A325" s="70" t="s">
        <v>31</v>
      </c>
      <c r="B325" s="70" t="s">
        <v>32</v>
      </c>
      <c r="C325" s="39" t="s">
        <v>494</v>
      </c>
      <c r="D325" s="10"/>
      <c r="E325" s="10" t="s">
        <v>476</v>
      </c>
      <c r="F325" s="10">
        <v>17</v>
      </c>
      <c r="G325" s="10">
        <v>1725</v>
      </c>
      <c r="H325" s="64" t="s">
        <v>4060</v>
      </c>
      <c r="I325" s="10"/>
      <c r="J325" s="10">
        <v>1</v>
      </c>
      <c r="K325" s="16">
        <v>1</v>
      </c>
      <c r="L325" s="31">
        <v>3</v>
      </c>
      <c r="M325" s="10"/>
      <c r="N325" s="10" t="s">
        <v>24</v>
      </c>
      <c r="O325" s="10" t="s">
        <v>26</v>
      </c>
      <c r="P325" s="10" t="s">
        <v>28</v>
      </c>
      <c r="Q325" s="10"/>
      <c r="R325" s="10"/>
    </row>
    <row r="326" spans="1:18" s="1" customFormat="1">
      <c r="A326" s="39"/>
      <c r="B326" s="70" t="s">
        <v>33</v>
      </c>
      <c r="C326" s="39" t="s">
        <v>494</v>
      </c>
      <c r="D326" s="10"/>
      <c r="E326" s="10" t="s">
        <v>476</v>
      </c>
      <c r="F326" s="10"/>
      <c r="G326" s="10"/>
      <c r="H326" s="10"/>
      <c r="I326" s="10"/>
      <c r="J326" s="10"/>
      <c r="K326" s="16">
        <v>2</v>
      </c>
      <c r="L326" s="31">
        <v>52</v>
      </c>
      <c r="M326" s="10"/>
      <c r="N326" s="10">
        <v>1723</v>
      </c>
      <c r="O326" s="10" t="s">
        <v>1105</v>
      </c>
      <c r="P326" s="10"/>
      <c r="Q326" s="10"/>
      <c r="R326" s="10"/>
    </row>
    <row r="327" spans="1:18" s="1" customFormat="1">
      <c r="A327" s="39"/>
      <c r="B327" s="39" t="s">
        <v>34</v>
      </c>
      <c r="C327" s="39" t="s">
        <v>494</v>
      </c>
      <c r="D327" s="10"/>
      <c r="E327" s="10"/>
      <c r="F327" s="10"/>
      <c r="G327" s="10"/>
      <c r="H327" s="10"/>
      <c r="I327" s="10"/>
      <c r="J327" s="10"/>
      <c r="K327" s="16">
        <v>3</v>
      </c>
      <c r="L327" s="31">
        <v>6</v>
      </c>
      <c r="M327" s="10"/>
      <c r="N327" s="10"/>
      <c r="O327" s="10"/>
      <c r="P327" s="10"/>
      <c r="Q327" s="10"/>
      <c r="R327" s="10"/>
    </row>
    <row r="328" spans="1:18" s="1" customFormat="1">
      <c r="A328" s="39"/>
      <c r="B328" s="88" t="s">
        <v>35</v>
      </c>
      <c r="C328" s="39" t="s">
        <v>494</v>
      </c>
      <c r="F328" s="14"/>
      <c r="G328" s="14"/>
      <c r="H328" s="14"/>
      <c r="I328" s="11"/>
      <c r="J328" s="14"/>
      <c r="K328" s="16">
        <v>4</v>
      </c>
      <c r="L328" s="15"/>
      <c r="M328" s="14"/>
      <c r="N328" s="23"/>
      <c r="O328" s="14"/>
      <c r="P328" s="14"/>
      <c r="Q328" s="14"/>
      <c r="R328" s="14"/>
    </row>
    <row r="329" spans="1:18" s="1" customFormat="1">
      <c r="A329" s="10"/>
      <c r="B329" s="10"/>
      <c r="C329" s="10"/>
      <c r="D329" s="10"/>
      <c r="E329" s="10"/>
      <c r="F329" s="10"/>
      <c r="G329" s="10"/>
      <c r="H329" s="10"/>
      <c r="I329" s="10"/>
      <c r="J329" s="10"/>
      <c r="K329" s="16"/>
      <c r="L329" s="31"/>
      <c r="M329" s="10"/>
      <c r="N329" s="10"/>
      <c r="O329" s="10"/>
      <c r="P329" s="10"/>
      <c r="Q329" s="10"/>
      <c r="R329" s="10"/>
    </row>
    <row r="330" spans="1:18" s="1" customFormat="1">
      <c r="A330" s="10" t="s">
        <v>24</v>
      </c>
      <c r="B330" s="64" t="s">
        <v>25</v>
      </c>
      <c r="C330" s="10" t="s">
        <v>494</v>
      </c>
      <c r="D330" s="10"/>
      <c r="E330" s="10" t="s">
        <v>476</v>
      </c>
      <c r="F330" s="10">
        <v>17</v>
      </c>
      <c r="G330" s="10">
        <v>1724</v>
      </c>
      <c r="H330" s="10" t="s">
        <v>29</v>
      </c>
      <c r="I330" s="10" t="s">
        <v>30</v>
      </c>
      <c r="J330" s="10">
        <v>1</v>
      </c>
      <c r="K330" s="16">
        <v>1</v>
      </c>
      <c r="L330" s="31">
        <v>6</v>
      </c>
      <c r="M330" s="10"/>
      <c r="N330" s="10"/>
      <c r="O330" s="10"/>
      <c r="P330" s="10"/>
      <c r="Q330" s="10"/>
      <c r="R330" s="10"/>
    </row>
    <row r="331" spans="1:18" s="1" customFormat="1">
      <c r="A331" s="10"/>
      <c r="B331" s="10" t="s">
        <v>26</v>
      </c>
      <c r="C331" s="10" t="s">
        <v>494</v>
      </c>
      <c r="D331" s="10"/>
      <c r="E331" s="10"/>
      <c r="F331" s="10"/>
      <c r="G331" s="10"/>
      <c r="H331" s="10"/>
      <c r="I331" s="10"/>
      <c r="J331" s="10"/>
      <c r="K331" s="16">
        <v>2</v>
      </c>
      <c r="L331" s="31">
        <v>6</v>
      </c>
      <c r="M331" s="10"/>
      <c r="N331" s="10"/>
      <c r="O331" s="10"/>
      <c r="P331" s="10"/>
      <c r="Q331" s="10"/>
      <c r="R331" s="10"/>
    </row>
    <row r="332" spans="1:18" s="1" customFormat="1">
      <c r="A332" s="10"/>
      <c r="B332" s="10" t="s">
        <v>28</v>
      </c>
      <c r="C332" s="10" t="s">
        <v>493</v>
      </c>
      <c r="D332" s="10">
        <v>1</v>
      </c>
      <c r="E332" s="10"/>
      <c r="F332" s="10"/>
      <c r="G332" s="10"/>
      <c r="H332" s="10"/>
      <c r="I332" s="10"/>
      <c r="J332" s="10"/>
      <c r="K332" s="16">
        <v>3</v>
      </c>
      <c r="L332" s="31">
        <v>3</v>
      </c>
      <c r="M332" s="10"/>
      <c r="N332" s="10"/>
      <c r="O332" s="10"/>
      <c r="P332" s="10"/>
      <c r="Q332" s="10"/>
      <c r="R332" s="10"/>
    </row>
    <row r="333" spans="1:18" s="1" customFormat="1">
      <c r="A333" s="10"/>
      <c r="B333" s="64" t="s">
        <v>27</v>
      </c>
      <c r="C333" s="10" t="s">
        <v>493</v>
      </c>
      <c r="D333" s="10">
        <v>100</v>
      </c>
      <c r="E333" s="10"/>
      <c r="F333" s="10"/>
      <c r="G333" s="10"/>
      <c r="H333" s="10"/>
      <c r="I333" s="10"/>
      <c r="J333" s="10"/>
      <c r="K333" s="16">
        <v>4</v>
      </c>
      <c r="L333" s="31"/>
      <c r="M333" s="10"/>
      <c r="N333" s="10"/>
      <c r="O333" s="10"/>
      <c r="P333" s="10"/>
      <c r="Q333" s="10"/>
      <c r="R333" s="10"/>
    </row>
    <row r="334" spans="1:18" s="1" customFormat="1">
      <c r="A334" s="10"/>
      <c r="B334" s="64" t="s">
        <v>1114</v>
      </c>
      <c r="C334" s="10" t="s">
        <v>494</v>
      </c>
      <c r="D334" s="10"/>
      <c r="E334" s="10"/>
      <c r="F334" s="10"/>
      <c r="G334" s="10"/>
      <c r="H334" s="10"/>
      <c r="I334" s="10"/>
      <c r="J334" s="10"/>
      <c r="K334" s="16">
        <v>5</v>
      </c>
      <c r="L334" s="15">
        <v>3</v>
      </c>
      <c r="M334" s="14"/>
      <c r="N334" s="1" t="s">
        <v>1056</v>
      </c>
      <c r="O334" s="23" t="s">
        <v>1058</v>
      </c>
      <c r="P334" s="23" t="s">
        <v>1059</v>
      </c>
      <c r="Q334" s="10"/>
      <c r="R334" s="10"/>
    </row>
    <row r="335" spans="1:18" s="1" customFormat="1">
      <c r="A335" s="10"/>
      <c r="B335" s="10" t="s">
        <v>853</v>
      </c>
      <c r="C335" s="10" t="s">
        <v>494</v>
      </c>
      <c r="D335" s="10"/>
      <c r="E335" s="10"/>
      <c r="F335" s="10"/>
      <c r="G335" s="10"/>
      <c r="H335" s="10"/>
      <c r="I335" s="10"/>
      <c r="J335" s="10"/>
      <c r="K335" s="16">
        <v>6</v>
      </c>
      <c r="L335" s="15"/>
      <c r="M335" s="14"/>
      <c r="O335" s="23"/>
      <c r="P335" s="23"/>
      <c r="Q335" s="10"/>
      <c r="R335" s="10"/>
    </row>
    <row r="336" spans="1:18" s="1" customFormat="1">
      <c r="A336" s="10"/>
      <c r="B336" s="10"/>
      <c r="C336" s="10"/>
      <c r="D336" s="10"/>
      <c r="E336" s="10"/>
      <c r="F336" s="10"/>
      <c r="G336" s="10"/>
      <c r="H336" s="10"/>
      <c r="I336" s="10"/>
      <c r="J336" s="10"/>
      <c r="K336" s="16"/>
      <c r="L336" s="31"/>
      <c r="M336" s="10"/>
      <c r="N336" s="10"/>
      <c r="O336" s="10"/>
      <c r="P336" s="10"/>
      <c r="Q336" s="10"/>
      <c r="R336" s="10"/>
    </row>
    <row r="337" spans="1:18" s="1" customFormat="1">
      <c r="A337" s="10" t="s">
        <v>31</v>
      </c>
      <c r="B337" s="10" t="s">
        <v>32</v>
      </c>
      <c r="C337" s="10" t="s">
        <v>494</v>
      </c>
      <c r="D337" s="10"/>
      <c r="E337" s="10" t="s">
        <v>476</v>
      </c>
      <c r="F337" s="10">
        <v>17</v>
      </c>
      <c r="G337" s="10">
        <v>1725</v>
      </c>
      <c r="H337" s="10" t="s">
        <v>36</v>
      </c>
      <c r="I337" s="10" t="s">
        <v>37</v>
      </c>
      <c r="J337" s="10">
        <v>1</v>
      </c>
      <c r="K337" s="16">
        <v>1</v>
      </c>
      <c r="L337" s="31">
        <v>52</v>
      </c>
      <c r="M337" s="10"/>
      <c r="N337" s="10">
        <v>1724</v>
      </c>
      <c r="O337" s="10" t="s">
        <v>26</v>
      </c>
      <c r="P337" s="10"/>
      <c r="Q337" s="10"/>
      <c r="R337" s="10"/>
    </row>
    <row r="338" spans="1:18" s="1" customFormat="1">
      <c r="A338" s="10"/>
      <c r="B338" s="10" t="s">
        <v>33</v>
      </c>
      <c r="C338" s="10" t="s">
        <v>494</v>
      </c>
      <c r="D338" s="10"/>
      <c r="E338" s="10" t="s">
        <v>476</v>
      </c>
      <c r="F338" s="10"/>
      <c r="G338" s="10"/>
      <c r="H338" s="10"/>
      <c r="I338" s="10"/>
      <c r="J338" s="10"/>
      <c r="K338" s="16">
        <v>2</v>
      </c>
      <c r="L338" s="31">
        <v>3</v>
      </c>
      <c r="M338" s="10"/>
      <c r="N338" s="10" t="s">
        <v>1101</v>
      </c>
      <c r="O338" s="10" t="s">
        <v>1105</v>
      </c>
      <c r="P338" s="10" t="s">
        <v>1107</v>
      </c>
      <c r="Q338" s="10"/>
      <c r="R338" s="10"/>
    </row>
    <row r="339" spans="1:18" s="1" customFormat="1">
      <c r="A339" s="10"/>
      <c r="B339" s="10" t="s">
        <v>34</v>
      </c>
      <c r="C339" s="10" t="s">
        <v>494</v>
      </c>
      <c r="D339" s="10"/>
      <c r="E339" s="10"/>
      <c r="F339" s="10"/>
      <c r="G339" s="10"/>
      <c r="H339" s="10"/>
      <c r="I339" s="10"/>
      <c r="J339" s="10"/>
      <c r="K339" s="16">
        <v>3</v>
      </c>
      <c r="L339" s="31">
        <v>6</v>
      </c>
      <c r="M339" s="10"/>
      <c r="N339" s="10"/>
      <c r="O339" s="10"/>
      <c r="P339" s="10"/>
      <c r="Q339" s="10"/>
      <c r="R339" s="10"/>
    </row>
    <row r="340" spans="1:18" s="1" customFormat="1">
      <c r="B340" s="23" t="s">
        <v>35</v>
      </c>
      <c r="C340" s="10" t="s">
        <v>494</v>
      </c>
      <c r="F340" s="14"/>
      <c r="G340" s="14"/>
      <c r="H340" s="14"/>
      <c r="I340" s="11"/>
      <c r="J340" s="14"/>
      <c r="K340" s="16">
        <v>4</v>
      </c>
      <c r="L340" s="15"/>
      <c r="M340" s="14"/>
      <c r="N340" s="23"/>
      <c r="O340" s="14"/>
      <c r="P340" s="14"/>
      <c r="Q340" s="14"/>
      <c r="R340" s="14"/>
    </row>
    <row r="341" spans="1:18" s="1" customFormat="1">
      <c r="A341" s="10"/>
      <c r="B341" s="10"/>
      <c r="C341" s="10"/>
      <c r="D341" s="10"/>
      <c r="E341" s="10"/>
      <c r="F341" s="10"/>
      <c r="G341" s="10"/>
      <c r="H341" s="10"/>
      <c r="I341" s="10"/>
      <c r="J341" s="10"/>
      <c r="K341" s="16"/>
      <c r="L341" s="31"/>
      <c r="M341" s="10"/>
      <c r="N341" s="10"/>
      <c r="O341" s="10"/>
      <c r="P341" s="10"/>
      <c r="Q341" s="10"/>
      <c r="R341" s="10"/>
    </row>
    <row r="342" spans="1:18" s="1" customFormat="1">
      <c r="A342" s="64" t="s">
        <v>38</v>
      </c>
      <c r="B342" s="64" t="s">
        <v>214</v>
      </c>
      <c r="C342" s="10" t="s">
        <v>494</v>
      </c>
      <c r="D342" s="10"/>
      <c r="E342" s="10" t="s">
        <v>476</v>
      </c>
      <c r="F342" s="10">
        <v>17</v>
      </c>
      <c r="G342" s="10">
        <v>1726</v>
      </c>
      <c r="H342" s="10" t="s">
        <v>222</v>
      </c>
      <c r="I342" s="10" t="s">
        <v>223</v>
      </c>
      <c r="J342" s="10">
        <v>1703</v>
      </c>
      <c r="K342" s="16">
        <v>1</v>
      </c>
      <c r="L342" s="31">
        <v>3</v>
      </c>
      <c r="M342" s="10"/>
      <c r="N342" s="1" t="s">
        <v>1038</v>
      </c>
      <c r="O342" s="23" t="s">
        <v>1040</v>
      </c>
      <c r="P342" s="23" t="s">
        <v>1041</v>
      </c>
      <c r="Q342" s="10"/>
      <c r="R342" s="10"/>
    </row>
    <row r="343" spans="1:18" s="1" customFormat="1">
      <c r="A343" s="10"/>
      <c r="B343" s="45" t="s">
        <v>212</v>
      </c>
      <c r="C343" s="10" t="s">
        <v>494</v>
      </c>
      <c r="D343" s="10"/>
      <c r="E343" s="10" t="s">
        <v>476</v>
      </c>
      <c r="F343" s="10"/>
      <c r="G343" s="10"/>
      <c r="H343" s="10"/>
      <c r="I343" s="10"/>
      <c r="J343" s="10"/>
      <c r="K343" s="16">
        <v>2</v>
      </c>
      <c r="L343" s="31">
        <v>6</v>
      </c>
      <c r="M343" s="10"/>
      <c r="N343" s="10"/>
      <c r="O343" s="10"/>
      <c r="P343" s="10"/>
      <c r="Q343" s="10"/>
      <c r="R343" s="10"/>
    </row>
    <row r="344" spans="1:18" s="1" customFormat="1">
      <c r="A344" s="10"/>
      <c r="B344" s="45" t="s">
        <v>213</v>
      </c>
      <c r="C344" s="10" t="s">
        <v>494</v>
      </c>
      <c r="D344" s="10"/>
      <c r="E344" s="10"/>
      <c r="F344" s="10"/>
      <c r="G344" s="10"/>
      <c r="H344" s="10"/>
      <c r="I344" s="10"/>
      <c r="J344" s="10"/>
      <c r="K344" s="16">
        <v>3</v>
      </c>
      <c r="L344" s="31">
        <v>6</v>
      </c>
      <c r="M344" s="10"/>
      <c r="N344" s="10"/>
      <c r="O344" s="10"/>
      <c r="P344" s="10"/>
      <c r="Q344" s="10"/>
      <c r="R344" s="10"/>
    </row>
    <row r="345" spans="1:18" s="1" customFormat="1">
      <c r="A345" s="10"/>
      <c r="B345" s="64" t="s">
        <v>215</v>
      </c>
      <c r="C345" s="10" t="s">
        <v>494</v>
      </c>
      <c r="D345" s="10"/>
      <c r="E345" s="10"/>
      <c r="F345" s="10"/>
      <c r="G345" s="10"/>
      <c r="H345" s="10"/>
      <c r="I345" s="10"/>
      <c r="J345" s="10"/>
      <c r="K345" s="16">
        <v>4</v>
      </c>
      <c r="L345" s="31">
        <v>3</v>
      </c>
      <c r="M345" s="10"/>
      <c r="N345" s="10" t="s">
        <v>24</v>
      </c>
      <c r="O345" s="10" t="s">
        <v>26</v>
      </c>
      <c r="P345" s="10" t="s">
        <v>27</v>
      </c>
      <c r="Q345" s="10"/>
      <c r="R345" s="10"/>
    </row>
    <row r="346" spans="1:18" s="1" customFormat="1">
      <c r="A346" s="10"/>
      <c r="B346" s="70" t="s">
        <v>216</v>
      </c>
      <c r="C346" s="10" t="s">
        <v>494</v>
      </c>
      <c r="D346" s="10"/>
      <c r="E346" s="10"/>
      <c r="F346" s="10"/>
      <c r="G346" s="10"/>
      <c r="H346" s="10"/>
      <c r="I346" s="10"/>
      <c r="J346" s="10"/>
      <c r="K346" s="16">
        <v>5</v>
      </c>
      <c r="L346" s="31">
        <v>3</v>
      </c>
      <c r="M346" s="10"/>
      <c r="N346" s="10" t="s">
        <v>506</v>
      </c>
      <c r="O346" s="10" t="s">
        <v>514</v>
      </c>
      <c r="P346" s="1" t="s">
        <v>515</v>
      </c>
      <c r="Q346" s="10"/>
      <c r="R346" s="10"/>
    </row>
    <row r="347" spans="1:18" s="1" customFormat="1">
      <c r="A347" s="10"/>
      <c r="B347" s="64" t="s">
        <v>217</v>
      </c>
      <c r="C347" s="10" t="s">
        <v>493</v>
      </c>
      <c r="D347" s="10">
        <v>10</v>
      </c>
      <c r="E347" s="10"/>
      <c r="F347" s="10"/>
      <c r="G347" s="10"/>
      <c r="H347" s="10"/>
      <c r="I347" s="10"/>
      <c r="J347" s="10"/>
      <c r="K347" s="16">
        <v>6</v>
      </c>
      <c r="L347" s="31">
        <v>7</v>
      </c>
      <c r="M347" s="10"/>
      <c r="N347" s="10"/>
      <c r="O347" s="10"/>
      <c r="P347" s="10"/>
      <c r="Q347" s="10"/>
      <c r="R347" s="10"/>
    </row>
    <row r="348" spans="1:18" s="1" customFormat="1">
      <c r="A348" s="10"/>
      <c r="B348" s="10" t="s">
        <v>218</v>
      </c>
      <c r="C348" s="10" t="s">
        <v>494</v>
      </c>
      <c r="D348" s="10"/>
      <c r="E348" s="10"/>
      <c r="F348" s="10"/>
      <c r="G348" s="10"/>
      <c r="H348" s="10"/>
      <c r="I348" s="10"/>
      <c r="J348" s="10"/>
      <c r="K348" s="16">
        <v>7</v>
      </c>
      <c r="L348" s="31">
        <v>8</v>
      </c>
      <c r="M348" s="10"/>
      <c r="N348" s="10"/>
      <c r="O348" s="10"/>
      <c r="P348" s="10"/>
      <c r="Q348" s="10"/>
      <c r="R348" s="10"/>
    </row>
    <row r="349" spans="1:18" s="1" customFormat="1">
      <c r="A349" s="10"/>
      <c r="B349" s="10" t="s">
        <v>219</v>
      </c>
      <c r="C349" s="10" t="s">
        <v>494</v>
      </c>
      <c r="D349" s="10"/>
      <c r="E349" s="10"/>
      <c r="F349" s="10"/>
      <c r="G349" s="10"/>
      <c r="H349" s="10"/>
      <c r="I349" s="10"/>
      <c r="J349" s="10"/>
      <c r="K349" s="16">
        <v>8</v>
      </c>
      <c r="L349" s="31"/>
      <c r="M349" s="10"/>
      <c r="N349" s="10"/>
      <c r="O349" s="10"/>
      <c r="P349" s="10"/>
      <c r="Q349" s="10"/>
      <c r="R349" s="10"/>
    </row>
    <row r="350" spans="1:18" s="1" customFormat="1">
      <c r="A350" s="10"/>
      <c r="B350" s="10" t="s">
        <v>221</v>
      </c>
      <c r="C350" s="10" t="s">
        <v>494</v>
      </c>
      <c r="D350" s="10"/>
      <c r="E350" s="10"/>
      <c r="F350" s="10"/>
      <c r="G350" s="10"/>
      <c r="H350" s="10"/>
      <c r="I350" s="10"/>
      <c r="J350" s="10"/>
      <c r="K350" s="16">
        <v>9</v>
      </c>
      <c r="L350" s="31"/>
      <c r="M350" s="10"/>
      <c r="N350" s="10"/>
      <c r="O350" s="10"/>
      <c r="P350" s="10"/>
      <c r="Q350" s="10"/>
      <c r="R350" s="10"/>
    </row>
    <row r="351" spans="1:18" s="1" customFormat="1">
      <c r="A351" s="10"/>
      <c r="B351" s="45" t="s">
        <v>220</v>
      </c>
      <c r="C351" s="10" t="s">
        <v>702</v>
      </c>
      <c r="D351" s="10"/>
      <c r="E351" s="10"/>
      <c r="F351" s="10"/>
      <c r="G351" s="10"/>
      <c r="H351" s="10"/>
      <c r="I351" s="10"/>
      <c r="J351" s="10"/>
      <c r="K351" s="16">
        <v>10</v>
      </c>
      <c r="L351" s="31"/>
      <c r="M351" s="10"/>
      <c r="N351" s="10"/>
      <c r="O351" s="10"/>
      <c r="P351" s="10"/>
      <c r="Q351" s="10"/>
      <c r="R351" s="10"/>
    </row>
    <row r="352" spans="1:18" s="1" customFormat="1">
      <c r="A352" s="10"/>
      <c r="B352" s="64" t="s">
        <v>234</v>
      </c>
      <c r="C352" s="10" t="s">
        <v>493</v>
      </c>
      <c r="D352" s="10">
        <v>1</v>
      </c>
      <c r="E352" s="10"/>
      <c r="F352" s="10"/>
      <c r="G352" s="10"/>
      <c r="H352" s="10"/>
      <c r="I352" s="10"/>
      <c r="J352" s="10"/>
      <c r="K352" s="16">
        <v>11</v>
      </c>
      <c r="L352" s="31">
        <v>3</v>
      </c>
      <c r="M352" s="10"/>
      <c r="N352" s="10"/>
      <c r="O352" s="10"/>
      <c r="P352" s="10"/>
      <c r="Q352" s="10"/>
      <c r="R352" s="10"/>
    </row>
    <row r="353" spans="1:18" s="1" customFormat="1">
      <c r="A353" s="10"/>
      <c r="B353" s="46" t="s">
        <v>851</v>
      </c>
      <c r="C353" s="10" t="s">
        <v>493</v>
      </c>
      <c r="D353" s="10">
        <v>10</v>
      </c>
      <c r="E353" s="10"/>
      <c r="F353" s="10"/>
      <c r="G353" s="10"/>
      <c r="H353" s="10"/>
      <c r="I353" s="10"/>
      <c r="J353" s="10"/>
      <c r="K353" s="16">
        <v>12</v>
      </c>
      <c r="L353" s="31">
        <v>7</v>
      </c>
      <c r="M353" s="10"/>
      <c r="N353" s="10"/>
      <c r="O353" s="10"/>
      <c r="P353" s="10"/>
      <c r="Q353" s="10"/>
      <c r="R353" s="10"/>
    </row>
    <row r="354" spans="1:18" s="1" customFormat="1">
      <c r="A354" s="10"/>
      <c r="B354" s="46" t="s">
        <v>845</v>
      </c>
      <c r="C354" s="10" t="s">
        <v>494</v>
      </c>
      <c r="D354" s="10"/>
      <c r="E354" s="10"/>
      <c r="F354" s="10"/>
      <c r="G354" s="10"/>
      <c r="H354" s="10"/>
      <c r="I354" s="10"/>
      <c r="J354" s="10"/>
      <c r="K354" s="16">
        <v>13</v>
      </c>
      <c r="L354" s="31">
        <v>8</v>
      </c>
      <c r="M354" s="10"/>
      <c r="N354" s="10"/>
      <c r="O354" s="10"/>
      <c r="P354" s="10"/>
      <c r="Q354" s="10"/>
      <c r="R354" s="10"/>
    </row>
    <row r="355" spans="1:18" s="1" customFormat="1">
      <c r="A355" s="10"/>
      <c r="B355" s="46" t="s">
        <v>846</v>
      </c>
      <c r="C355" s="10" t="s">
        <v>702</v>
      </c>
      <c r="D355" s="10"/>
      <c r="E355" s="10"/>
      <c r="F355" s="10"/>
      <c r="G355" s="10"/>
      <c r="H355" s="10"/>
      <c r="I355" s="10"/>
      <c r="J355" s="10"/>
      <c r="K355" s="16">
        <v>14</v>
      </c>
      <c r="L355" s="31"/>
      <c r="M355" s="10"/>
      <c r="N355" s="10"/>
      <c r="O355" s="10"/>
      <c r="P355" s="10"/>
      <c r="Q355" s="10"/>
      <c r="R355" s="10"/>
    </row>
    <row r="356" spans="1:18" s="1" customFormat="1">
      <c r="A356" s="10"/>
      <c r="B356" s="69" t="s">
        <v>847</v>
      </c>
      <c r="C356" s="10" t="s">
        <v>493</v>
      </c>
      <c r="D356" s="10">
        <v>1</v>
      </c>
      <c r="E356" s="10"/>
      <c r="F356" s="10"/>
      <c r="G356" s="10"/>
      <c r="H356" s="10"/>
      <c r="I356" s="10"/>
      <c r="J356" s="10"/>
      <c r="K356" s="16">
        <v>15</v>
      </c>
      <c r="L356" s="31">
        <v>3</v>
      </c>
      <c r="M356" s="10"/>
      <c r="N356" s="10"/>
      <c r="O356" s="10"/>
      <c r="P356" s="10"/>
      <c r="Q356" s="10"/>
      <c r="R356" s="10"/>
    </row>
    <row r="357" spans="1:18" s="1" customFormat="1">
      <c r="A357" s="10"/>
      <c r="B357" s="46" t="s">
        <v>852</v>
      </c>
      <c r="C357" s="10" t="s">
        <v>494</v>
      </c>
      <c r="D357" s="10"/>
      <c r="E357" s="10"/>
      <c r="F357" s="10"/>
      <c r="G357" s="10"/>
      <c r="H357" s="10"/>
      <c r="I357" s="10"/>
      <c r="J357" s="10"/>
      <c r="K357" s="16">
        <v>16</v>
      </c>
      <c r="L357" s="31"/>
      <c r="M357" s="10"/>
      <c r="N357" s="10"/>
      <c r="O357" s="10"/>
      <c r="P357" s="10"/>
      <c r="Q357" s="10"/>
      <c r="R357" s="10"/>
    </row>
    <row r="358" spans="1:18" s="1" customFormat="1">
      <c r="A358" s="10"/>
      <c r="B358" s="46" t="s">
        <v>1414</v>
      </c>
      <c r="C358" s="45" t="s">
        <v>494</v>
      </c>
      <c r="D358" s="10"/>
      <c r="E358" s="10"/>
      <c r="F358" s="10"/>
      <c r="G358" s="10"/>
      <c r="H358" s="10"/>
      <c r="I358" s="10"/>
      <c r="J358" s="10"/>
      <c r="K358" s="16">
        <v>17</v>
      </c>
      <c r="L358" s="31"/>
      <c r="M358" s="10">
        <v>1</v>
      </c>
      <c r="N358" s="10"/>
      <c r="O358" s="10"/>
      <c r="P358" s="10"/>
      <c r="Q358" s="10"/>
      <c r="R358" s="10"/>
    </row>
    <row r="359" spans="1:18" s="1" customFormat="1">
      <c r="A359" s="10"/>
      <c r="B359" s="69" t="s">
        <v>2900</v>
      </c>
      <c r="C359" s="64" t="s">
        <v>494</v>
      </c>
      <c r="D359" s="10"/>
      <c r="E359" s="10"/>
      <c r="F359" s="10"/>
      <c r="G359" s="10"/>
      <c r="H359" s="10"/>
      <c r="I359" s="10"/>
      <c r="J359" s="10"/>
      <c r="K359" s="16">
        <v>18</v>
      </c>
      <c r="L359" s="31">
        <v>3</v>
      </c>
      <c r="M359" s="10">
        <v>1</v>
      </c>
      <c r="N359" s="62" t="s">
        <v>2901</v>
      </c>
      <c r="O359" s="60" t="s">
        <v>2902</v>
      </c>
      <c r="P359" s="60" t="s">
        <v>2903</v>
      </c>
      <c r="Q359" s="10"/>
      <c r="R359" s="10"/>
    </row>
    <row r="360" spans="1:18" s="1" customFormat="1">
      <c r="A360" s="10"/>
      <c r="B360" s="10"/>
      <c r="C360" s="10"/>
      <c r="D360" s="10"/>
      <c r="E360" s="10"/>
      <c r="F360" s="10"/>
      <c r="G360" s="10"/>
      <c r="H360" s="10"/>
      <c r="I360" s="10"/>
      <c r="J360" s="10"/>
      <c r="K360" s="16"/>
      <c r="L360" s="31"/>
      <c r="M360" s="10"/>
      <c r="P360" s="10"/>
      <c r="Q360" s="10"/>
      <c r="R360" s="10"/>
    </row>
    <row r="361" spans="1:18" s="1" customFormat="1">
      <c r="A361" s="64" t="s">
        <v>224</v>
      </c>
      <c r="B361" s="64" t="s">
        <v>225</v>
      </c>
      <c r="C361" s="10" t="s">
        <v>494</v>
      </c>
      <c r="D361" s="10"/>
      <c r="E361" s="10" t="s">
        <v>476</v>
      </c>
      <c r="F361" s="10">
        <v>17</v>
      </c>
      <c r="G361" s="10">
        <v>1727</v>
      </c>
      <c r="H361" s="10" t="s">
        <v>230</v>
      </c>
      <c r="I361" s="10" t="s">
        <v>231</v>
      </c>
      <c r="J361" s="10">
        <v>1703</v>
      </c>
      <c r="K361" s="16">
        <v>1</v>
      </c>
      <c r="L361" s="31">
        <v>52</v>
      </c>
      <c r="M361" s="10"/>
      <c r="N361" s="10">
        <v>1726</v>
      </c>
      <c r="O361" s="10" t="s">
        <v>213</v>
      </c>
      <c r="P361" s="10"/>
      <c r="Q361" s="10"/>
      <c r="R361" s="10"/>
    </row>
    <row r="362" spans="1:18" s="1" customFormat="1">
      <c r="A362" s="10"/>
      <c r="B362" s="64" t="s">
        <v>226</v>
      </c>
      <c r="C362" s="10" t="s">
        <v>494</v>
      </c>
      <c r="D362" s="10"/>
      <c r="E362" s="10" t="s">
        <v>476</v>
      </c>
      <c r="F362" s="10"/>
      <c r="G362" s="10"/>
      <c r="H362" s="10"/>
      <c r="I362" s="10"/>
      <c r="J362" s="10"/>
      <c r="K362" s="16">
        <v>2</v>
      </c>
      <c r="L362" s="31">
        <v>3</v>
      </c>
      <c r="M362" s="10"/>
      <c r="N362" s="10" t="s">
        <v>1101</v>
      </c>
      <c r="O362" s="10" t="s">
        <v>1105</v>
      </c>
      <c r="P362" s="10" t="s">
        <v>1107</v>
      </c>
      <c r="Q362" s="10"/>
      <c r="R362" s="10"/>
    </row>
    <row r="363" spans="1:18" s="1" customFormat="1">
      <c r="A363" s="10"/>
      <c r="B363" s="10" t="s">
        <v>227</v>
      </c>
      <c r="C363" s="10" t="s">
        <v>494</v>
      </c>
      <c r="D363" s="10"/>
      <c r="E363" s="10"/>
      <c r="F363" s="10"/>
      <c r="G363" s="10"/>
      <c r="H363" s="10"/>
      <c r="I363" s="10"/>
      <c r="J363" s="10"/>
      <c r="K363" s="16">
        <v>3</v>
      </c>
      <c r="L363" s="31">
        <v>6</v>
      </c>
      <c r="M363" s="10"/>
      <c r="N363" s="10"/>
      <c r="O363" s="10"/>
      <c r="P363" s="10"/>
      <c r="Q363" s="10"/>
      <c r="R363" s="10"/>
    </row>
    <row r="364" spans="1:18" s="1" customFormat="1">
      <c r="A364" s="10"/>
      <c r="B364" s="10" t="s">
        <v>228</v>
      </c>
      <c r="C364" s="10" t="s">
        <v>494</v>
      </c>
      <c r="D364" s="10"/>
      <c r="E364" s="10"/>
      <c r="F364" s="10"/>
      <c r="G364" s="10"/>
      <c r="H364" s="10"/>
      <c r="I364" s="10"/>
      <c r="J364" s="10"/>
      <c r="K364" s="16">
        <v>4</v>
      </c>
      <c r="L364" s="31"/>
      <c r="M364" s="10"/>
      <c r="N364" s="10"/>
      <c r="O364" s="10"/>
      <c r="P364" s="10"/>
      <c r="Q364" s="10"/>
      <c r="R364" s="10"/>
    </row>
    <row r="365" spans="1:18" s="1" customFormat="1">
      <c r="A365" s="10"/>
      <c r="B365" s="64" t="s">
        <v>229</v>
      </c>
      <c r="C365" s="10" t="s">
        <v>494</v>
      </c>
      <c r="D365" s="10"/>
      <c r="E365" s="10"/>
      <c r="F365" s="10"/>
      <c r="G365" s="10"/>
      <c r="H365" s="10"/>
      <c r="I365" s="10"/>
      <c r="J365" s="10"/>
      <c r="K365" s="16">
        <v>5</v>
      </c>
      <c r="L365" s="31"/>
      <c r="M365" s="10"/>
      <c r="N365" s="10"/>
      <c r="O365" s="10"/>
      <c r="P365" s="10"/>
      <c r="Q365" s="10"/>
      <c r="R365" s="10"/>
    </row>
    <row r="366" spans="1:18" s="1" customFormat="1">
      <c r="A366" s="10"/>
      <c r="B366" s="64" t="s">
        <v>1132</v>
      </c>
      <c r="C366" s="10" t="s">
        <v>520</v>
      </c>
      <c r="D366" s="10"/>
      <c r="E366" s="10"/>
      <c r="F366" s="10"/>
      <c r="G366" s="10"/>
      <c r="H366" s="10"/>
      <c r="I366" s="10"/>
      <c r="J366" s="10"/>
      <c r="K366" s="16">
        <v>6</v>
      </c>
      <c r="L366" s="31"/>
      <c r="M366" s="10"/>
      <c r="N366" s="10"/>
      <c r="O366" s="10"/>
      <c r="P366" s="10"/>
      <c r="Q366" s="10"/>
      <c r="R366" s="10"/>
    </row>
    <row r="367" spans="1:18" s="1" customFormat="1">
      <c r="A367" s="10"/>
      <c r="B367" s="69" t="s">
        <v>848</v>
      </c>
      <c r="C367" s="10" t="s">
        <v>494</v>
      </c>
      <c r="D367" s="10"/>
      <c r="E367" s="10"/>
      <c r="F367" s="10"/>
      <c r="G367" s="10"/>
      <c r="H367" s="10"/>
      <c r="I367" s="10"/>
      <c r="J367" s="10"/>
      <c r="K367" s="16">
        <v>7</v>
      </c>
      <c r="L367" s="31"/>
      <c r="M367" s="10"/>
      <c r="N367" s="10"/>
      <c r="O367" s="10"/>
      <c r="P367" s="10"/>
      <c r="Q367" s="10"/>
      <c r="R367" s="10"/>
    </row>
    <row r="368" spans="1:18" s="1" customFormat="1">
      <c r="A368" s="10"/>
      <c r="B368" s="69" t="s">
        <v>849</v>
      </c>
      <c r="C368" s="10" t="s">
        <v>520</v>
      </c>
      <c r="D368" s="10"/>
      <c r="E368" s="10"/>
      <c r="F368" s="10"/>
      <c r="G368" s="10"/>
      <c r="H368" s="10"/>
      <c r="I368" s="10"/>
      <c r="J368" s="10"/>
      <c r="K368" s="16">
        <v>8</v>
      </c>
      <c r="L368" s="31"/>
      <c r="M368" s="10"/>
      <c r="N368" s="10"/>
      <c r="O368" s="10"/>
      <c r="P368" s="10"/>
      <c r="Q368" s="10"/>
      <c r="R368" s="10"/>
    </row>
    <row r="369" spans="1:18" s="1" customFormat="1">
      <c r="A369" s="10"/>
      <c r="B369" s="10" t="s">
        <v>850</v>
      </c>
      <c r="C369" s="10" t="s">
        <v>494</v>
      </c>
      <c r="D369" s="10"/>
      <c r="E369" s="10"/>
      <c r="F369" s="10"/>
      <c r="G369" s="10"/>
      <c r="H369" s="10"/>
      <c r="I369" s="10"/>
      <c r="J369" s="10"/>
      <c r="K369" s="16">
        <v>9</v>
      </c>
      <c r="L369" s="31"/>
      <c r="M369" s="10"/>
      <c r="N369" s="10"/>
      <c r="O369" s="10"/>
      <c r="P369" s="10"/>
      <c r="Q369" s="10"/>
      <c r="R369" s="10"/>
    </row>
    <row r="370" spans="1:18" s="1" customFormat="1">
      <c r="A370" s="10"/>
      <c r="B370" s="64" t="s">
        <v>1383</v>
      </c>
      <c r="C370" s="45" t="s">
        <v>493</v>
      </c>
      <c r="D370" s="10">
        <v>1</v>
      </c>
      <c r="E370" s="10"/>
      <c r="F370" s="10"/>
      <c r="G370" s="10"/>
      <c r="H370" s="10"/>
      <c r="I370" s="10"/>
      <c r="J370" s="10"/>
      <c r="K370" s="16">
        <v>10</v>
      </c>
      <c r="L370" s="31">
        <v>3</v>
      </c>
      <c r="M370" s="10"/>
      <c r="N370" s="10"/>
      <c r="O370" s="10"/>
      <c r="P370" s="10"/>
      <c r="Q370" s="10"/>
      <c r="R370" s="10"/>
    </row>
    <row r="371" spans="1:18" s="1" customFormat="1">
      <c r="B371" s="43" t="s">
        <v>1384</v>
      </c>
      <c r="C371" s="45" t="s">
        <v>493</v>
      </c>
      <c r="D371" s="10">
        <v>1</v>
      </c>
      <c r="F371" s="14"/>
      <c r="G371" s="14"/>
      <c r="H371" s="14"/>
      <c r="I371" s="11"/>
      <c r="J371" s="14"/>
      <c r="K371" s="16">
        <v>11</v>
      </c>
      <c r="L371" s="15">
        <v>3</v>
      </c>
      <c r="M371" s="14"/>
      <c r="N371" s="14"/>
      <c r="O371" s="14"/>
      <c r="P371" s="14"/>
      <c r="Q371" s="14"/>
      <c r="R371" s="14"/>
    </row>
    <row r="372" spans="1:18" s="1" customFormat="1">
      <c r="B372" s="43"/>
      <c r="C372" s="45"/>
      <c r="D372" s="10"/>
      <c r="F372" s="14"/>
      <c r="G372" s="14"/>
      <c r="H372" s="14"/>
      <c r="I372" s="11"/>
      <c r="J372" s="14"/>
      <c r="K372" s="16"/>
      <c r="L372" s="15"/>
      <c r="M372" s="14"/>
      <c r="N372" s="14"/>
      <c r="O372" s="14"/>
      <c r="P372" s="14"/>
      <c r="Q372" s="14"/>
      <c r="R372" s="14"/>
    </row>
    <row r="373" spans="1:18" s="1" customFormat="1">
      <c r="A373" s="70" t="s">
        <v>975</v>
      </c>
      <c r="B373" s="67" t="s">
        <v>976</v>
      </c>
      <c r="C373" s="1" t="s">
        <v>494</v>
      </c>
      <c r="E373" s="1" t="s">
        <v>476</v>
      </c>
      <c r="F373" s="14">
        <v>17</v>
      </c>
      <c r="G373" s="14">
        <v>1728</v>
      </c>
      <c r="H373" s="47" t="s">
        <v>4153</v>
      </c>
      <c r="I373" s="48" t="s">
        <v>4154</v>
      </c>
      <c r="J373" s="14">
        <v>11</v>
      </c>
      <c r="K373" s="16">
        <v>1</v>
      </c>
      <c r="L373" s="15">
        <v>3</v>
      </c>
      <c r="M373" s="14"/>
      <c r="N373" s="64" t="s">
        <v>506</v>
      </c>
      <c r="O373" s="64" t="s">
        <v>514</v>
      </c>
      <c r="P373" s="62" t="s">
        <v>515</v>
      </c>
      <c r="Q373" s="14"/>
      <c r="R373" s="14"/>
    </row>
    <row r="374" spans="1:18" s="1" customFormat="1">
      <c r="A374" s="39"/>
      <c r="B374" s="67" t="s">
        <v>977</v>
      </c>
      <c r="C374" s="1" t="s">
        <v>494</v>
      </c>
      <c r="E374" s="1" t="s">
        <v>476</v>
      </c>
      <c r="F374" s="14"/>
      <c r="G374" s="14"/>
      <c r="H374" s="14"/>
      <c r="I374" s="11"/>
      <c r="J374" s="14"/>
      <c r="K374" s="16">
        <v>2</v>
      </c>
      <c r="L374" s="15">
        <v>9</v>
      </c>
      <c r="M374" s="14"/>
      <c r="N374" s="62" t="s">
        <v>1038</v>
      </c>
      <c r="O374" s="23" t="s">
        <v>1040</v>
      </c>
      <c r="P374" s="23" t="s">
        <v>1041</v>
      </c>
      <c r="Q374" s="23" t="s">
        <v>1040</v>
      </c>
      <c r="R374" s="14">
        <v>140</v>
      </c>
    </row>
    <row r="375" spans="1:18" s="1" customFormat="1">
      <c r="A375" s="39"/>
      <c r="B375" s="67" t="s">
        <v>978</v>
      </c>
      <c r="C375" s="1" t="s">
        <v>494</v>
      </c>
      <c r="E375" s="1" t="s">
        <v>476</v>
      </c>
      <c r="F375" s="14"/>
      <c r="G375" s="14"/>
      <c r="H375" s="14"/>
      <c r="I375" s="11"/>
      <c r="J375" s="14"/>
      <c r="K375" s="16">
        <v>3</v>
      </c>
      <c r="L375" s="15">
        <v>3</v>
      </c>
      <c r="M375" s="14"/>
      <c r="N375" s="1" t="s">
        <v>379</v>
      </c>
      <c r="O375" s="62" t="s">
        <v>698</v>
      </c>
      <c r="P375" s="62" t="s">
        <v>699</v>
      </c>
      <c r="Q375" s="14"/>
      <c r="R375" s="14"/>
    </row>
    <row r="376" spans="1:18" s="1" customFormat="1">
      <c r="A376" s="39"/>
      <c r="B376" s="67" t="s">
        <v>979</v>
      </c>
      <c r="C376" s="1" t="s">
        <v>494</v>
      </c>
      <c r="F376" s="14"/>
      <c r="G376" s="14"/>
      <c r="H376" s="14"/>
      <c r="I376" s="11"/>
      <c r="J376" s="14"/>
      <c r="K376" s="16">
        <v>4</v>
      </c>
      <c r="L376" s="15">
        <v>6</v>
      </c>
      <c r="M376" s="14"/>
      <c r="P376" s="14"/>
      <c r="Q376" s="14"/>
      <c r="R376" s="14"/>
    </row>
    <row r="377" spans="1:18" s="1" customFormat="1">
      <c r="A377" s="39"/>
      <c r="B377" s="67" t="s">
        <v>280</v>
      </c>
      <c r="C377" s="1" t="s">
        <v>494</v>
      </c>
      <c r="F377" s="14"/>
      <c r="G377" s="14"/>
      <c r="H377" s="14"/>
      <c r="I377" s="11"/>
      <c r="J377" s="14"/>
      <c r="K377" s="16">
        <v>5</v>
      </c>
      <c r="L377" s="15">
        <v>3</v>
      </c>
      <c r="M377" s="14">
        <v>3</v>
      </c>
      <c r="N377" s="62" t="s">
        <v>3664</v>
      </c>
      <c r="O377" s="60" t="s">
        <v>3666</v>
      </c>
      <c r="P377" s="60" t="s">
        <v>3667</v>
      </c>
      <c r="Q377" s="14"/>
      <c r="R377" s="14"/>
    </row>
    <row r="378" spans="1:18" s="1" customFormat="1">
      <c r="A378" s="39"/>
      <c r="B378" s="67" t="s">
        <v>980</v>
      </c>
      <c r="C378" s="1" t="s">
        <v>494</v>
      </c>
      <c r="F378" s="14"/>
      <c r="G378" s="14"/>
      <c r="H378" s="14"/>
      <c r="I378" s="11"/>
      <c r="J378" s="14"/>
      <c r="K378" s="16">
        <v>6</v>
      </c>
      <c r="L378" s="15">
        <v>3</v>
      </c>
      <c r="M378" s="14">
        <v>1</v>
      </c>
      <c r="N378" s="62" t="s">
        <v>974</v>
      </c>
      <c r="O378" s="60" t="s">
        <v>954</v>
      </c>
      <c r="P378" s="23" t="s">
        <v>984</v>
      </c>
      <c r="Q378" s="14"/>
      <c r="R378" s="14"/>
    </row>
    <row r="379" spans="1:18" s="1" customFormat="1">
      <c r="A379" s="39"/>
      <c r="B379" s="67" t="s">
        <v>268</v>
      </c>
      <c r="C379" s="1" t="s">
        <v>494</v>
      </c>
      <c r="F379" s="14"/>
      <c r="G379" s="14"/>
      <c r="H379" s="14"/>
      <c r="I379" s="11"/>
      <c r="J379" s="14"/>
      <c r="K379" s="16">
        <v>7</v>
      </c>
      <c r="L379" s="15">
        <v>3</v>
      </c>
      <c r="M379" s="14">
        <v>1</v>
      </c>
      <c r="N379" s="62" t="s">
        <v>269</v>
      </c>
      <c r="O379" s="23" t="s">
        <v>270</v>
      </c>
      <c r="P379" s="23" t="s">
        <v>271</v>
      </c>
      <c r="Q379" s="14"/>
      <c r="R379" s="14"/>
    </row>
    <row r="380" spans="1:18" s="1" customFormat="1">
      <c r="A380" s="39"/>
      <c r="B380" s="67" t="s">
        <v>3204</v>
      </c>
      <c r="C380" s="70" t="s">
        <v>494</v>
      </c>
      <c r="D380" s="16"/>
      <c r="F380" s="14"/>
      <c r="G380" s="14"/>
      <c r="H380" s="47"/>
      <c r="I380" s="11"/>
      <c r="J380" s="14"/>
      <c r="K380" s="16">
        <v>8</v>
      </c>
      <c r="L380" s="32">
        <v>3</v>
      </c>
      <c r="M380" s="62">
        <v>31</v>
      </c>
      <c r="N380" s="62" t="s">
        <v>3196</v>
      </c>
      <c r="O380" s="64" t="s">
        <v>3199</v>
      </c>
      <c r="P380" s="62" t="s">
        <v>3198</v>
      </c>
      <c r="Q380" s="62" t="s">
        <v>3197</v>
      </c>
      <c r="R380" s="14">
        <v>1</v>
      </c>
    </row>
    <row r="381" spans="1:18" s="1" customFormat="1">
      <c r="A381" s="39"/>
      <c r="B381" s="67" t="s">
        <v>4146</v>
      </c>
      <c r="C381" s="64" t="s">
        <v>494</v>
      </c>
      <c r="D381" s="16"/>
      <c r="F381" s="14"/>
      <c r="G381" s="14"/>
      <c r="H381" s="47" t="s">
        <v>4147</v>
      </c>
      <c r="I381" s="11"/>
      <c r="J381" s="14"/>
      <c r="K381" s="16">
        <v>9</v>
      </c>
      <c r="L381" s="32"/>
      <c r="M381" s="62"/>
      <c r="N381" s="62"/>
      <c r="O381" s="64"/>
      <c r="P381" s="62"/>
      <c r="Q381" s="62"/>
      <c r="R381" s="14"/>
    </row>
    <row r="382" spans="1:18" s="1" customFormat="1">
      <c r="A382" s="39"/>
      <c r="B382" s="67" t="s">
        <v>4137</v>
      </c>
      <c r="C382" s="64" t="s">
        <v>494</v>
      </c>
      <c r="D382" s="16"/>
      <c r="F382" s="14"/>
      <c r="G382" s="14"/>
      <c r="H382" s="47"/>
      <c r="I382" s="11"/>
      <c r="J382" s="14"/>
      <c r="K382" s="16">
        <v>10</v>
      </c>
      <c r="L382" s="55">
        <v>7</v>
      </c>
      <c r="M382" s="62"/>
      <c r="N382" s="62"/>
      <c r="O382" s="64"/>
      <c r="P382" s="62"/>
      <c r="Q382" s="62"/>
      <c r="R382" s="14"/>
    </row>
    <row r="383" spans="1:18" s="1" customFormat="1">
      <c r="A383" s="39"/>
      <c r="B383" s="67" t="s">
        <v>4136</v>
      </c>
      <c r="C383" s="64" t="s">
        <v>494</v>
      </c>
      <c r="D383" s="16"/>
      <c r="F383" s="14"/>
      <c r="G383" s="14"/>
      <c r="H383" s="47"/>
      <c r="I383" s="11"/>
      <c r="J383" s="14"/>
      <c r="K383" s="16">
        <v>11</v>
      </c>
      <c r="L383" s="32"/>
      <c r="M383" s="62"/>
      <c r="N383" s="62"/>
      <c r="O383" s="64"/>
      <c r="P383" s="62"/>
      <c r="Q383" s="62"/>
      <c r="R383" s="14"/>
    </row>
    <row r="384" spans="1:18" s="1" customFormat="1">
      <c r="A384" s="39"/>
      <c r="B384" s="67" t="s">
        <v>4138</v>
      </c>
      <c r="C384" s="64" t="s">
        <v>494</v>
      </c>
      <c r="D384" s="16"/>
      <c r="F384" s="14"/>
      <c r="G384" s="14"/>
      <c r="H384" s="47"/>
      <c r="I384" s="11"/>
      <c r="J384" s="14"/>
      <c r="K384" s="16">
        <v>12</v>
      </c>
      <c r="L384" s="32">
        <v>7</v>
      </c>
      <c r="M384" s="62"/>
      <c r="N384" s="62"/>
      <c r="O384" s="64"/>
      <c r="P384" s="62"/>
      <c r="Q384" s="62"/>
      <c r="R384" s="14"/>
    </row>
    <row r="385" spans="1:18" s="1" customFormat="1">
      <c r="A385" s="39"/>
      <c r="B385" s="67" t="s">
        <v>4139</v>
      </c>
      <c r="C385" s="64" t="s">
        <v>494</v>
      </c>
      <c r="D385" s="16"/>
      <c r="F385" s="14"/>
      <c r="G385" s="14"/>
      <c r="H385" s="47"/>
      <c r="I385" s="11"/>
      <c r="J385" s="14"/>
      <c r="K385" s="16">
        <v>13</v>
      </c>
      <c r="L385" s="32"/>
      <c r="M385" s="62"/>
      <c r="N385" s="62"/>
      <c r="O385" s="64"/>
      <c r="P385" s="62"/>
      <c r="Q385" s="62"/>
      <c r="R385" s="14"/>
    </row>
    <row r="386" spans="1:18" s="1" customFormat="1">
      <c r="A386" s="39"/>
      <c r="B386" s="67" t="s">
        <v>4140</v>
      </c>
      <c r="C386" s="64" t="s">
        <v>494</v>
      </c>
      <c r="D386" s="16"/>
      <c r="F386" s="14"/>
      <c r="G386" s="14"/>
      <c r="H386" s="47"/>
      <c r="I386" s="11"/>
      <c r="J386" s="14"/>
      <c r="K386" s="16">
        <v>14</v>
      </c>
      <c r="L386" s="32">
        <v>7</v>
      </c>
      <c r="M386" s="62"/>
      <c r="N386" s="62"/>
      <c r="O386" s="64"/>
      <c r="P386" s="62"/>
      <c r="Q386" s="62"/>
      <c r="R386" s="14"/>
    </row>
    <row r="387" spans="1:18" s="1" customFormat="1">
      <c r="A387" s="39"/>
      <c r="B387" s="67" t="s">
        <v>4141</v>
      </c>
      <c r="C387" s="64" t="s">
        <v>494</v>
      </c>
      <c r="D387" s="16"/>
      <c r="F387" s="14"/>
      <c r="G387" s="14"/>
      <c r="H387" s="47"/>
      <c r="I387" s="11"/>
      <c r="J387" s="14"/>
      <c r="K387" s="16">
        <v>15</v>
      </c>
      <c r="L387" s="32"/>
      <c r="M387" s="62"/>
      <c r="N387" s="62"/>
      <c r="O387" s="64"/>
      <c r="P387" s="62"/>
      <c r="Q387" s="62"/>
      <c r="R387" s="14"/>
    </row>
    <row r="388" spans="1:18" s="1" customFormat="1">
      <c r="A388" s="39"/>
      <c r="B388" s="67" t="s">
        <v>4142</v>
      </c>
      <c r="C388" s="64" t="s">
        <v>494</v>
      </c>
      <c r="D388" s="16"/>
      <c r="F388" s="14"/>
      <c r="G388" s="14"/>
      <c r="H388" s="47"/>
      <c r="I388" s="11"/>
      <c r="J388" s="14"/>
      <c r="K388" s="16">
        <v>16</v>
      </c>
      <c r="L388" s="32">
        <v>7</v>
      </c>
      <c r="M388" s="62"/>
      <c r="N388" s="62"/>
      <c r="O388" s="64"/>
      <c r="P388" s="62"/>
      <c r="Q388" s="62"/>
      <c r="R388" s="14"/>
    </row>
    <row r="389" spans="1:18" s="1" customFormat="1">
      <c r="A389" s="39"/>
      <c r="B389" s="67" t="s">
        <v>4143</v>
      </c>
      <c r="C389" s="64" t="s">
        <v>494</v>
      </c>
      <c r="D389" s="16"/>
      <c r="F389" s="14"/>
      <c r="G389" s="14"/>
      <c r="H389" s="47"/>
      <c r="I389" s="11"/>
      <c r="J389" s="14"/>
      <c r="K389" s="16">
        <v>17</v>
      </c>
      <c r="L389" s="32"/>
      <c r="M389" s="62"/>
      <c r="N389" s="62"/>
      <c r="O389" s="64"/>
      <c r="P389" s="62"/>
      <c r="Q389" s="62"/>
      <c r="R389" s="14"/>
    </row>
    <row r="390" spans="1:18" s="1" customFormat="1">
      <c r="A390" s="39"/>
      <c r="B390" s="67" t="s">
        <v>4144</v>
      </c>
      <c r="C390" s="64" t="s">
        <v>494</v>
      </c>
      <c r="D390" s="16"/>
      <c r="F390" s="14"/>
      <c r="G390" s="14"/>
      <c r="H390" s="47"/>
      <c r="I390" s="11"/>
      <c r="J390" s="14"/>
      <c r="K390" s="16">
        <v>18</v>
      </c>
      <c r="L390" s="32">
        <v>7</v>
      </c>
      <c r="M390" s="62"/>
      <c r="N390" s="62"/>
      <c r="O390" s="64"/>
      <c r="P390" s="62"/>
      <c r="Q390" s="62"/>
      <c r="R390" s="14"/>
    </row>
    <row r="391" spans="1:18" s="1" customFormat="1">
      <c r="A391" s="39"/>
      <c r="B391" s="67" t="s">
        <v>4145</v>
      </c>
      <c r="C391" s="64" t="s">
        <v>494</v>
      </c>
      <c r="D391" s="16"/>
      <c r="F391" s="14"/>
      <c r="G391" s="14"/>
      <c r="H391" s="47"/>
      <c r="I391" s="11"/>
      <c r="J391" s="14"/>
      <c r="K391" s="16">
        <v>19</v>
      </c>
      <c r="L391" s="32"/>
      <c r="M391" s="62"/>
      <c r="N391" s="62"/>
      <c r="O391" s="64"/>
      <c r="P391" s="62"/>
      <c r="Q391" s="62"/>
      <c r="R391" s="14"/>
    </row>
    <row r="393" spans="1:18">
      <c r="A393" s="62" t="s">
        <v>4219</v>
      </c>
      <c r="B393" s="67" t="s">
        <v>4220</v>
      </c>
      <c r="C393" s="62" t="s">
        <v>494</v>
      </c>
      <c r="F393">
        <v>17</v>
      </c>
      <c r="G393">
        <v>1729</v>
      </c>
      <c r="H393" s="62" t="s">
        <v>4221</v>
      </c>
      <c r="I393" s="62" t="s">
        <v>4222</v>
      </c>
      <c r="J393">
        <v>7</v>
      </c>
      <c r="K393" s="57">
        <v>1</v>
      </c>
      <c r="L393">
        <v>3</v>
      </c>
      <c r="N393" s="64" t="s">
        <v>506</v>
      </c>
      <c r="O393" s="64" t="s">
        <v>514</v>
      </c>
      <c r="P393" s="62" t="s">
        <v>515</v>
      </c>
    </row>
    <row r="395" spans="1:18" s="1" customFormat="1">
      <c r="A395" s="62" t="s">
        <v>2211</v>
      </c>
      <c r="B395" s="66" t="s">
        <v>2212</v>
      </c>
      <c r="C395" s="64" t="s">
        <v>494</v>
      </c>
      <c r="D395" s="16"/>
      <c r="E395" s="62" t="s">
        <v>476</v>
      </c>
      <c r="F395" s="14">
        <v>17</v>
      </c>
      <c r="G395" s="14">
        <v>1738</v>
      </c>
      <c r="H395" s="47" t="s">
        <v>2222</v>
      </c>
      <c r="I395" s="48"/>
      <c r="J395" s="14">
        <v>1701</v>
      </c>
      <c r="K395" s="16">
        <v>1</v>
      </c>
      <c r="L395" s="15">
        <v>52</v>
      </c>
      <c r="M395" s="14"/>
      <c r="N395" s="1">
        <v>1707</v>
      </c>
      <c r="O395" s="60" t="s">
        <v>979</v>
      </c>
      <c r="P395" s="23"/>
      <c r="Q395" s="14"/>
      <c r="R395" s="14"/>
    </row>
    <row r="396" spans="1:18" s="1" customFormat="1">
      <c r="B396" s="66" t="s">
        <v>2213</v>
      </c>
      <c r="C396" s="64" t="s">
        <v>494</v>
      </c>
      <c r="D396" s="16"/>
      <c r="E396" s="62" t="s">
        <v>476</v>
      </c>
      <c r="F396" s="14"/>
      <c r="G396" s="14"/>
      <c r="H396" s="47"/>
      <c r="I396" s="11"/>
      <c r="J396" s="14"/>
      <c r="K396" s="16">
        <v>2</v>
      </c>
      <c r="L396" s="15">
        <v>8</v>
      </c>
      <c r="M396" s="14"/>
      <c r="O396" s="23"/>
      <c r="P396" s="23"/>
      <c r="Q396" s="14"/>
      <c r="R396" s="14"/>
    </row>
    <row r="397" spans="1:18" s="1" customFormat="1">
      <c r="B397" s="66" t="s">
        <v>2214</v>
      </c>
      <c r="C397" s="64" t="s">
        <v>494</v>
      </c>
      <c r="D397" s="16"/>
      <c r="E397" s="62" t="s">
        <v>476</v>
      </c>
      <c r="F397" s="14"/>
      <c r="G397" s="14"/>
      <c r="H397" s="47"/>
      <c r="I397" s="11"/>
      <c r="J397" s="14"/>
      <c r="K397" s="16">
        <v>3</v>
      </c>
      <c r="L397" s="15">
        <v>3</v>
      </c>
      <c r="M397" s="14"/>
      <c r="N397" s="64" t="s">
        <v>1814</v>
      </c>
      <c r="O397" s="66" t="s">
        <v>1815</v>
      </c>
      <c r="P397" s="66" t="s">
        <v>1816</v>
      </c>
      <c r="Q397" s="14"/>
      <c r="R397" s="14"/>
    </row>
    <row r="398" spans="1:18" s="1" customFormat="1">
      <c r="B398" s="66" t="s">
        <v>2632</v>
      </c>
      <c r="C398" s="64" t="s">
        <v>494</v>
      </c>
      <c r="D398" s="16"/>
      <c r="E398" s="62" t="s">
        <v>476</v>
      </c>
      <c r="F398" s="14"/>
      <c r="G398" s="14"/>
      <c r="H398" s="47"/>
      <c r="I398" s="11"/>
      <c r="J398" s="14"/>
      <c r="K398" s="16">
        <v>4</v>
      </c>
      <c r="L398" s="15">
        <v>9</v>
      </c>
      <c r="M398" s="14"/>
      <c r="N398" s="62" t="s">
        <v>2886</v>
      </c>
      <c r="O398" s="62" t="s">
        <v>2887</v>
      </c>
      <c r="P398" s="62" t="s">
        <v>2887</v>
      </c>
      <c r="Q398" s="62" t="s">
        <v>2888</v>
      </c>
      <c r="R398" s="14">
        <v>1741</v>
      </c>
    </row>
    <row r="399" spans="1:18" s="1" customFormat="1">
      <c r="B399" s="67" t="s">
        <v>2661</v>
      </c>
      <c r="C399" s="64" t="s">
        <v>494</v>
      </c>
      <c r="D399" s="16"/>
      <c r="E399" s="62" t="s">
        <v>476</v>
      </c>
      <c r="F399" s="14"/>
      <c r="G399" s="14"/>
      <c r="H399" s="47" t="s">
        <v>2662</v>
      </c>
      <c r="I399" s="11"/>
      <c r="J399" s="14"/>
      <c r="K399" s="16">
        <v>5</v>
      </c>
      <c r="L399" s="15"/>
      <c r="M399" s="14">
        <v>2</v>
      </c>
    </row>
    <row r="400" spans="1:18" s="1" customFormat="1">
      <c r="B400" s="66" t="s">
        <v>2215</v>
      </c>
      <c r="C400" s="64" t="s">
        <v>494</v>
      </c>
      <c r="D400" s="16"/>
      <c r="F400" s="14"/>
      <c r="G400" s="14"/>
      <c r="H400" s="47"/>
      <c r="I400" s="11"/>
      <c r="J400" s="14"/>
      <c r="K400" s="16">
        <v>6</v>
      </c>
      <c r="L400" s="15">
        <v>6</v>
      </c>
      <c r="M400" s="14"/>
      <c r="O400" s="23"/>
      <c r="P400" s="23"/>
      <c r="Q400" s="14"/>
      <c r="R400" s="14"/>
    </row>
    <row r="401" spans="1:18" s="1" customFormat="1">
      <c r="B401" s="66" t="s">
        <v>2220</v>
      </c>
      <c r="C401" s="64" t="s">
        <v>493</v>
      </c>
      <c r="D401" s="16">
        <v>1</v>
      </c>
      <c r="F401" s="14"/>
      <c r="G401" s="14"/>
      <c r="H401" s="47"/>
      <c r="I401" s="11"/>
      <c r="J401" s="14"/>
      <c r="K401" s="16">
        <v>7</v>
      </c>
      <c r="L401" s="15">
        <v>3</v>
      </c>
      <c r="M401" s="14"/>
      <c r="O401" s="23"/>
      <c r="P401" s="23"/>
      <c r="Q401" s="14"/>
      <c r="R401" s="14"/>
    </row>
    <row r="402" spans="1:18" s="1" customFormat="1">
      <c r="B402" s="66" t="s">
        <v>2221</v>
      </c>
      <c r="C402" s="64" t="s">
        <v>520</v>
      </c>
      <c r="D402" s="16"/>
      <c r="F402" s="14"/>
      <c r="G402" s="14"/>
      <c r="H402" s="47"/>
      <c r="I402" s="11"/>
      <c r="J402" s="14"/>
      <c r="K402" s="16">
        <v>8</v>
      </c>
      <c r="L402" s="15"/>
      <c r="M402" s="14"/>
      <c r="O402" s="23"/>
      <c r="P402" s="23"/>
      <c r="Q402" s="14"/>
      <c r="R402" s="14"/>
    </row>
    <row r="403" spans="1:18" s="1" customFormat="1">
      <c r="B403" s="66" t="s">
        <v>2219</v>
      </c>
      <c r="C403" s="64" t="s">
        <v>494</v>
      </c>
      <c r="D403" s="16"/>
      <c r="F403" s="14"/>
      <c r="G403" s="14"/>
      <c r="H403" s="47"/>
      <c r="I403" s="11"/>
      <c r="J403" s="14"/>
      <c r="K403" s="16">
        <v>9</v>
      </c>
      <c r="L403" s="15">
        <v>8</v>
      </c>
      <c r="M403" s="14">
        <v>1</v>
      </c>
      <c r="O403" s="23"/>
      <c r="P403" s="23"/>
      <c r="Q403" s="14"/>
      <c r="R403" s="14"/>
    </row>
    <row r="404" spans="1:18" s="1" customFormat="1">
      <c r="B404" s="66" t="s">
        <v>2216</v>
      </c>
      <c r="C404" s="64" t="s">
        <v>493</v>
      </c>
      <c r="D404" s="16">
        <v>10</v>
      </c>
      <c r="F404" s="14"/>
      <c r="G404" s="14"/>
      <c r="H404" s="47"/>
      <c r="I404" s="11"/>
      <c r="J404" s="14"/>
      <c r="K404" s="16">
        <v>10</v>
      </c>
      <c r="L404" s="15">
        <v>7</v>
      </c>
      <c r="M404" s="14">
        <v>1</v>
      </c>
      <c r="O404" s="23"/>
      <c r="P404" s="23"/>
      <c r="Q404" s="14"/>
      <c r="R404" s="14"/>
    </row>
    <row r="405" spans="1:18" s="1" customFormat="1">
      <c r="B405" s="66" t="s">
        <v>2217</v>
      </c>
      <c r="C405" s="64" t="s">
        <v>494</v>
      </c>
      <c r="D405" s="16"/>
      <c r="F405" s="14"/>
      <c r="G405" s="14"/>
      <c r="H405" s="47"/>
      <c r="I405" s="11"/>
      <c r="J405" s="14"/>
      <c r="K405" s="16">
        <v>11</v>
      </c>
      <c r="L405" s="15"/>
      <c r="M405" s="14">
        <v>73</v>
      </c>
      <c r="O405" s="23"/>
      <c r="P405" s="23"/>
      <c r="Q405" s="14"/>
      <c r="R405" s="14"/>
    </row>
    <row r="406" spans="1:18" s="1" customFormat="1">
      <c r="B406" s="66" t="s">
        <v>2218</v>
      </c>
      <c r="C406" s="64" t="s">
        <v>494</v>
      </c>
      <c r="D406" s="16"/>
      <c r="F406" s="14"/>
      <c r="G406" s="14"/>
      <c r="H406" s="47"/>
      <c r="I406" s="11"/>
      <c r="J406" s="14"/>
      <c r="K406" s="16">
        <v>12</v>
      </c>
      <c r="L406" s="15"/>
      <c r="M406" s="14">
        <v>74</v>
      </c>
      <c r="O406" s="23"/>
      <c r="P406" s="23"/>
      <c r="Q406" s="14"/>
      <c r="R406" s="14"/>
    </row>
    <row r="407" spans="1:18" s="1" customFormat="1">
      <c r="B407" s="66" t="s">
        <v>2937</v>
      </c>
      <c r="C407" s="64" t="s">
        <v>493</v>
      </c>
      <c r="D407" s="16">
        <v>50</v>
      </c>
      <c r="F407" s="14"/>
      <c r="G407" s="14"/>
      <c r="H407" s="47"/>
      <c r="I407" s="11"/>
      <c r="J407" s="14"/>
      <c r="K407" s="16">
        <v>13</v>
      </c>
      <c r="L407" s="15"/>
      <c r="M407" s="14">
        <v>2</v>
      </c>
      <c r="O407" s="23"/>
      <c r="P407" s="23"/>
      <c r="Q407" s="14"/>
      <c r="R407" s="14"/>
    </row>
    <row r="408" spans="1:18" s="1" customFormat="1">
      <c r="B408" s="66"/>
      <c r="C408" s="64"/>
      <c r="D408" s="16"/>
      <c r="F408" s="14"/>
      <c r="G408" s="14"/>
      <c r="H408" s="47"/>
      <c r="I408" s="11"/>
      <c r="J408" s="14"/>
      <c r="K408" s="16"/>
      <c r="L408" s="15"/>
      <c r="M408" s="14"/>
      <c r="O408" s="23"/>
      <c r="P408" s="23"/>
      <c r="Q408" s="14"/>
      <c r="R408" s="14"/>
    </row>
    <row r="409" spans="1:18" s="1" customFormat="1">
      <c r="A409" s="62" t="s">
        <v>2901</v>
      </c>
      <c r="B409" s="60" t="s">
        <v>2902</v>
      </c>
      <c r="C409" s="64" t="s">
        <v>494</v>
      </c>
      <c r="D409" s="10"/>
      <c r="E409" s="64" t="s">
        <v>476</v>
      </c>
      <c r="F409" s="14"/>
      <c r="G409" s="14"/>
      <c r="H409" s="14"/>
      <c r="I409" s="11"/>
      <c r="J409" s="14"/>
      <c r="K409" s="16"/>
      <c r="L409" s="15"/>
      <c r="M409" s="14"/>
      <c r="N409" s="14"/>
      <c r="O409" s="14"/>
      <c r="P409" s="14"/>
      <c r="Q409" s="14"/>
      <c r="R409" s="14"/>
    </row>
    <row r="410" spans="1:18" s="1" customFormat="1">
      <c r="B410" s="60" t="s">
        <v>2903</v>
      </c>
      <c r="C410" s="64" t="s">
        <v>493</v>
      </c>
      <c r="D410" s="10">
        <v>50</v>
      </c>
      <c r="F410" s="14"/>
      <c r="G410" s="14"/>
      <c r="H410" s="14"/>
      <c r="I410" s="11"/>
      <c r="J410" s="14"/>
      <c r="K410" s="16"/>
      <c r="L410" s="15"/>
      <c r="M410" s="14"/>
      <c r="N410" s="14"/>
      <c r="O410" s="14"/>
      <c r="P410" s="14"/>
      <c r="Q410" s="14"/>
      <c r="R410" s="14"/>
    </row>
    <row r="411" spans="1:18" s="1" customFormat="1">
      <c r="B411" s="60"/>
      <c r="C411" s="64"/>
      <c r="D411" s="10"/>
      <c r="F411" s="14"/>
      <c r="G411" s="14"/>
      <c r="H411" s="14"/>
      <c r="I411" s="11"/>
      <c r="J411" s="14"/>
      <c r="K411" s="16"/>
      <c r="L411" s="15"/>
      <c r="M411" s="14"/>
      <c r="N411" s="14"/>
      <c r="O411" s="14"/>
      <c r="P411" s="14"/>
      <c r="Q411" s="14"/>
      <c r="R411" s="14"/>
    </row>
    <row r="412" spans="1:18" s="1" customFormat="1">
      <c r="A412" s="62" t="s">
        <v>3814</v>
      </c>
      <c r="B412" s="60" t="s">
        <v>3815</v>
      </c>
      <c r="C412" s="64" t="s">
        <v>494</v>
      </c>
      <c r="D412" s="10"/>
      <c r="E412" s="64" t="s">
        <v>476</v>
      </c>
      <c r="F412" s="14">
        <v>17</v>
      </c>
      <c r="G412" s="14">
        <v>1743</v>
      </c>
      <c r="H412" s="47" t="s">
        <v>3816</v>
      </c>
      <c r="I412" s="48" t="s">
        <v>3817</v>
      </c>
      <c r="J412" s="14">
        <v>11</v>
      </c>
      <c r="K412" s="16">
        <v>1</v>
      </c>
      <c r="L412" s="15">
        <v>8</v>
      </c>
      <c r="M412" s="14"/>
      <c r="N412" s="14"/>
      <c r="O412" s="14"/>
      <c r="P412" s="14"/>
      <c r="Q412" s="14"/>
      <c r="R412" s="14"/>
    </row>
    <row r="413" spans="1:18" s="1" customFormat="1">
      <c r="B413" s="60"/>
      <c r="C413" s="64"/>
      <c r="D413" s="10"/>
      <c r="F413" s="14"/>
      <c r="G413" s="14"/>
      <c r="H413" s="14"/>
      <c r="I413" s="11"/>
      <c r="J413" s="14"/>
      <c r="K413" s="16"/>
      <c r="L413" s="15"/>
      <c r="M413" s="14"/>
      <c r="N413" s="14"/>
      <c r="O413" s="14"/>
      <c r="P413" s="14"/>
      <c r="Q413" s="14"/>
      <c r="R413" s="14"/>
    </row>
    <row r="414" spans="1:18" s="3" customFormat="1">
      <c r="A414" s="62" t="s">
        <v>3009</v>
      </c>
      <c r="B414" s="62" t="s">
        <v>3010</v>
      </c>
      <c r="C414" s="62" t="s">
        <v>494</v>
      </c>
      <c r="D414" s="62"/>
      <c r="E414" s="62" t="s">
        <v>476</v>
      </c>
      <c r="F414" s="62">
        <v>17</v>
      </c>
      <c r="G414" s="62">
        <v>1745</v>
      </c>
      <c r="H414" s="62" t="s">
        <v>3012</v>
      </c>
      <c r="I414" s="62" t="s">
        <v>3013</v>
      </c>
      <c r="J414" s="62">
        <v>1</v>
      </c>
      <c r="K414" s="76">
        <v>1</v>
      </c>
      <c r="L414" s="62"/>
      <c r="M414" s="62"/>
      <c r="N414" s="62"/>
      <c r="O414" s="62"/>
      <c r="P414" s="62"/>
      <c r="Q414" s="12"/>
      <c r="R414" s="12"/>
    </row>
    <row r="415" spans="1:18" s="3" customFormat="1">
      <c r="A415" s="62"/>
      <c r="B415" s="62" t="s">
        <v>3011</v>
      </c>
      <c r="C415" s="62" t="s">
        <v>494</v>
      </c>
      <c r="D415" s="62"/>
      <c r="E415" s="62"/>
      <c r="F415" s="62"/>
      <c r="G415" s="62"/>
      <c r="H415" s="62"/>
      <c r="I415" s="62"/>
      <c r="J415" s="62"/>
      <c r="K415" s="76">
        <v>2</v>
      </c>
      <c r="L415" s="62">
        <v>3</v>
      </c>
      <c r="M415" s="62"/>
      <c r="N415" s="62"/>
      <c r="O415" s="62"/>
      <c r="P415" s="62"/>
      <c r="Q415" s="12"/>
      <c r="R415" s="12"/>
    </row>
    <row r="416" spans="1:18" s="3" customFormat="1">
      <c r="A416" s="62"/>
      <c r="B416" s="62"/>
      <c r="C416" s="62"/>
      <c r="D416" s="62"/>
      <c r="E416" s="62"/>
      <c r="F416" s="62"/>
      <c r="G416" s="62"/>
      <c r="H416" s="62"/>
      <c r="I416" s="62"/>
      <c r="J416" s="62"/>
      <c r="K416" s="76"/>
      <c r="L416" s="62"/>
      <c r="M416" s="62"/>
      <c r="N416" s="62"/>
      <c r="O416" s="62"/>
      <c r="P416" s="62"/>
      <c r="Q416" s="12"/>
      <c r="R416" s="12"/>
    </row>
    <row r="417" spans="1:18" s="3" customFormat="1">
      <c r="A417" s="62" t="s">
        <v>6154</v>
      </c>
      <c r="B417" s="62" t="s">
        <v>6156</v>
      </c>
      <c r="C417" s="62" t="s">
        <v>494</v>
      </c>
      <c r="D417" s="62"/>
      <c r="E417" s="62" t="s">
        <v>476</v>
      </c>
      <c r="F417" s="62"/>
      <c r="G417" s="62"/>
      <c r="H417" s="62"/>
      <c r="I417" s="62"/>
      <c r="J417" s="62"/>
      <c r="K417" s="76"/>
      <c r="L417" s="62"/>
      <c r="M417" s="62"/>
      <c r="N417" s="62"/>
      <c r="O417" s="62"/>
      <c r="P417" s="62"/>
      <c r="Q417" s="12"/>
      <c r="R417" s="12"/>
    </row>
    <row r="418" spans="1:18" s="3" customFormat="1">
      <c r="A418" s="62"/>
      <c r="B418" s="62" t="s">
        <v>6155</v>
      </c>
      <c r="C418" s="62" t="s">
        <v>493</v>
      </c>
      <c r="D418" s="62">
        <v>50</v>
      </c>
      <c r="E418" s="62"/>
      <c r="F418" s="62"/>
      <c r="G418" s="62"/>
      <c r="H418" s="62"/>
      <c r="I418" s="62"/>
      <c r="J418" s="62"/>
      <c r="K418" s="76"/>
      <c r="L418" s="62"/>
      <c r="M418" s="62"/>
      <c r="N418" s="62"/>
      <c r="O418" s="62"/>
      <c r="P418" s="62"/>
      <c r="Q418" s="12"/>
      <c r="R418" s="12"/>
    </row>
    <row r="419" spans="1:18" s="3" customFormat="1">
      <c r="A419" s="62"/>
      <c r="B419" s="62"/>
      <c r="C419" s="62"/>
      <c r="D419" s="62"/>
      <c r="E419" s="62"/>
      <c r="F419" s="62"/>
      <c r="G419" s="62"/>
      <c r="H419" s="62"/>
      <c r="I419" s="62"/>
      <c r="J419" s="62"/>
      <c r="K419" s="76"/>
      <c r="L419" s="62"/>
      <c r="M419" s="62"/>
      <c r="N419" s="62"/>
      <c r="O419" s="62"/>
      <c r="P419" s="62"/>
      <c r="Q419" s="12"/>
      <c r="R419" s="12"/>
    </row>
    <row r="420" spans="1:18">
      <c r="A420" s="62" t="s">
        <v>3127</v>
      </c>
      <c r="B420" s="62" t="s">
        <v>3128</v>
      </c>
      <c r="C420" s="62" t="s">
        <v>494</v>
      </c>
      <c r="E420" s="62" t="s">
        <v>476</v>
      </c>
      <c r="F420">
        <v>17</v>
      </c>
      <c r="K420" s="76">
        <v>1</v>
      </c>
    </row>
    <row r="421" spans="1:18">
      <c r="B421" s="62" t="s">
        <v>3129</v>
      </c>
      <c r="C421" s="62" t="s">
        <v>493</v>
      </c>
      <c r="D421">
        <v>50</v>
      </c>
      <c r="K421" s="76">
        <v>2</v>
      </c>
    </row>
    <row r="423" spans="1:18" s="1" customFormat="1">
      <c r="A423" s="70" t="s">
        <v>975</v>
      </c>
      <c r="B423" s="67" t="s">
        <v>976</v>
      </c>
      <c r="C423" s="39" t="s">
        <v>494</v>
      </c>
      <c r="E423" s="1" t="s">
        <v>476</v>
      </c>
      <c r="F423" s="14">
        <v>17</v>
      </c>
      <c r="G423" s="14">
        <v>1749</v>
      </c>
      <c r="H423" s="47" t="s">
        <v>2006</v>
      </c>
      <c r="I423" s="48" t="s">
        <v>4072</v>
      </c>
      <c r="J423" s="14">
        <v>1701</v>
      </c>
      <c r="K423" s="16">
        <v>1</v>
      </c>
      <c r="L423" s="15">
        <v>3</v>
      </c>
      <c r="M423" s="14"/>
      <c r="N423" s="64" t="s">
        <v>506</v>
      </c>
      <c r="O423" s="64" t="s">
        <v>514</v>
      </c>
      <c r="P423" s="62" t="s">
        <v>515</v>
      </c>
      <c r="Q423" s="14"/>
      <c r="R423" s="14"/>
    </row>
    <row r="424" spans="1:18" s="1" customFormat="1">
      <c r="A424" s="39"/>
      <c r="B424" s="67" t="s">
        <v>977</v>
      </c>
      <c r="C424" s="39" t="s">
        <v>494</v>
      </c>
      <c r="E424" s="1" t="s">
        <v>476</v>
      </c>
      <c r="F424" s="14"/>
      <c r="G424" s="14"/>
      <c r="H424" s="14"/>
      <c r="I424" s="11"/>
      <c r="J424" s="14"/>
      <c r="K424" s="16">
        <v>2</v>
      </c>
      <c r="L424" s="15">
        <v>9</v>
      </c>
      <c r="M424" s="14"/>
      <c r="N424" s="62" t="s">
        <v>1038</v>
      </c>
      <c r="O424" s="23" t="s">
        <v>1040</v>
      </c>
      <c r="P424" s="23" t="s">
        <v>1041</v>
      </c>
      <c r="Q424" s="23" t="s">
        <v>1040</v>
      </c>
      <c r="R424" s="14">
        <v>140</v>
      </c>
    </row>
    <row r="425" spans="1:18" s="1" customFormat="1">
      <c r="A425" s="39"/>
      <c r="B425" s="67" t="s">
        <v>978</v>
      </c>
      <c r="C425" s="39" t="s">
        <v>494</v>
      </c>
      <c r="E425" s="1" t="s">
        <v>476</v>
      </c>
      <c r="F425" s="14"/>
      <c r="G425" s="14"/>
      <c r="H425" s="14"/>
      <c r="I425" s="11"/>
      <c r="J425" s="14"/>
      <c r="K425" s="16">
        <v>3</v>
      </c>
      <c r="L425" s="15">
        <v>3</v>
      </c>
      <c r="M425" s="14"/>
      <c r="N425" s="1" t="s">
        <v>379</v>
      </c>
      <c r="O425" s="62" t="s">
        <v>698</v>
      </c>
      <c r="P425" s="62" t="s">
        <v>699</v>
      </c>
      <c r="Q425" s="14"/>
      <c r="R425" s="14"/>
    </row>
    <row r="426" spans="1:18" s="1" customFormat="1">
      <c r="A426" s="39"/>
      <c r="B426" s="67" t="s">
        <v>979</v>
      </c>
      <c r="C426" s="39" t="s">
        <v>494</v>
      </c>
      <c r="F426" s="14"/>
      <c r="G426" s="14"/>
      <c r="H426" s="14"/>
      <c r="I426" s="11"/>
      <c r="J426" s="14"/>
      <c r="K426" s="16">
        <v>4</v>
      </c>
      <c r="L426" s="15">
        <v>6</v>
      </c>
      <c r="M426" s="14"/>
      <c r="P426" s="14"/>
      <c r="Q426" s="14"/>
      <c r="R426" s="14"/>
    </row>
    <row r="427" spans="1:18" s="1" customFormat="1">
      <c r="A427" s="39"/>
      <c r="B427" s="67" t="s">
        <v>280</v>
      </c>
      <c r="C427" s="39" t="s">
        <v>494</v>
      </c>
      <c r="F427" s="14"/>
      <c r="G427" s="14"/>
      <c r="H427" s="14"/>
      <c r="I427" s="11"/>
      <c r="J427" s="14"/>
      <c r="K427" s="16">
        <v>5</v>
      </c>
      <c r="L427" s="15">
        <v>3</v>
      </c>
      <c r="M427" s="14">
        <v>3</v>
      </c>
      <c r="N427" s="62" t="s">
        <v>3664</v>
      </c>
      <c r="O427" s="60" t="s">
        <v>3666</v>
      </c>
      <c r="P427" s="60" t="s">
        <v>3667</v>
      </c>
      <c r="Q427" s="14"/>
      <c r="R427" s="14"/>
    </row>
    <row r="428" spans="1:18" s="1" customFormat="1">
      <c r="B428" s="66"/>
      <c r="F428" s="14"/>
      <c r="G428" s="14"/>
      <c r="H428" s="14"/>
      <c r="I428" s="11"/>
      <c r="J428" s="14"/>
      <c r="K428" s="16"/>
      <c r="L428" s="15"/>
      <c r="M428" s="14"/>
      <c r="N428" s="62"/>
      <c r="O428" s="60"/>
      <c r="P428" s="60"/>
      <c r="Q428" s="14"/>
      <c r="R428" s="14"/>
    </row>
    <row r="429" spans="1:18" s="1" customFormat="1">
      <c r="A429" s="70" t="s">
        <v>975</v>
      </c>
      <c r="B429" s="67" t="s">
        <v>976</v>
      </c>
      <c r="C429" s="39" t="s">
        <v>494</v>
      </c>
      <c r="E429" s="1" t="s">
        <v>476</v>
      </c>
      <c r="F429" s="14">
        <v>17</v>
      </c>
      <c r="G429" s="14">
        <v>1751</v>
      </c>
      <c r="H429" s="47" t="s">
        <v>4074</v>
      </c>
      <c r="I429" s="48" t="s">
        <v>4073</v>
      </c>
      <c r="J429" s="14">
        <v>1701</v>
      </c>
      <c r="K429" s="16">
        <v>1</v>
      </c>
      <c r="L429" s="15">
        <v>3</v>
      </c>
      <c r="M429" s="14"/>
      <c r="N429" s="64" t="s">
        <v>506</v>
      </c>
      <c r="O429" s="64" t="s">
        <v>514</v>
      </c>
      <c r="P429" s="62" t="s">
        <v>515</v>
      </c>
      <c r="Q429" s="14"/>
      <c r="R429" s="14"/>
    </row>
    <row r="430" spans="1:18" s="1" customFormat="1">
      <c r="A430" s="39"/>
      <c r="B430" s="67" t="s">
        <v>977</v>
      </c>
      <c r="C430" s="39" t="s">
        <v>494</v>
      </c>
      <c r="E430" s="1" t="s">
        <v>476</v>
      </c>
      <c r="F430" s="14"/>
      <c r="G430" s="14"/>
      <c r="H430" s="14"/>
      <c r="I430" s="11"/>
      <c r="J430" s="14"/>
      <c r="K430" s="16">
        <v>2</v>
      </c>
      <c r="L430" s="15">
        <v>9</v>
      </c>
      <c r="M430" s="14"/>
      <c r="N430" s="62" t="s">
        <v>1038</v>
      </c>
      <c r="O430" s="23" t="s">
        <v>1040</v>
      </c>
      <c r="P430" s="23" t="s">
        <v>1041</v>
      </c>
      <c r="Q430" s="23" t="s">
        <v>1040</v>
      </c>
      <c r="R430" s="14">
        <v>140</v>
      </c>
    </row>
    <row r="431" spans="1:18" s="1" customFormat="1">
      <c r="A431" s="39"/>
      <c r="B431" s="67" t="s">
        <v>978</v>
      </c>
      <c r="C431" s="39" t="s">
        <v>494</v>
      </c>
      <c r="E431" s="1" t="s">
        <v>476</v>
      </c>
      <c r="F431" s="14"/>
      <c r="G431" s="14"/>
      <c r="H431" s="14"/>
      <c r="I431" s="11"/>
      <c r="J431" s="14"/>
      <c r="K431" s="16">
        <v>3</v>
      </c>
      <c r="L431" s="15">
        <v>3</v>
      </c>
      <c r="M431" s="14"/>
      <c r="N431" s="1" t="s">
        <v>379</v>
      </c>
      <c r="O431" s="62" t="s">
        <v>698</v>
      </c>
      <c r="P431" s="62" t="s">
        <v>699</v>
      </c>
      <c r="Q431" s="14"/>
      <c r="R431" s="14"/>
    </row>
    <row r="432" spans="1:18" s="1" customFormat="1">
      <c r="A432" s="39"/>
      <c r="B432" s="67" t="s">
        <v>979</v>
      </c>
      <c r="C432" s="39" t="s">
        <v>494</v>
      </c>
      <c r="F432" s="14"/>
      <c r="G432" s="14"/>
      <c r="H432" s="14"/>
      <c r="I432" s="11"/>
      <c r="J432" s="14"/>
      <c r="K432" s="16">
        <v>4</v>
      </c>
      <c r="L432" s="15">
        <v>6</v>
      </c>
      <c r="M432" s="14"/>
      <c r="P432" s="14"/>
      <c r="Q432" s="14"/>
      <c r="R432" s="14"/>
    </row>
    <row r="433" spans="1:18" s="1" customFormat="1">
      <c r="A433" s="39"/>
      <c r="B433" s="67" t="s">
        <v>280</v>
      </c>
      <c r="C433" s="39" t="s">
        <v>494</v>
      </c>
      <c r="F433" s="14"/>
      <c r="G433" s="14"/>
      <c r="H433" s="14"/>
      <c r="I433" s="11"/>
      <c r="J433" s="14"/>
      <c r="K433" s="16">
        <v>5</v>
      </c>
      <c r="L433" s="15">
        <v>3</v>
      </c>
      <c r="M433" s="14">
        <v>3</v>
      </c>
      <c r="N433" s="62" t="s">
        <v>3664</v>
      </c>
      <c r="O433" s="60" t="s">
        <v>3666</v>
      </c>
      <c r="P433" s="60" t="s">
        <v>3667</v>
      </c>
      <c r="Q433" s="14"/>
      <c r="R433" s="14"/>
    </row>
    <row r="434" spans="1:18" s="1" customFormat="1">
      <c r="B434" s="66"/>
      <c r="F434" s="14"/>
      <c r="G434" s="14"/>
      <c r="H434" s="14"/>
      <c r="I434" s="11"/>
      <c r="J434" s="14"/>
      <c r="K434" s="16"/>
      <c r="L434" s="15"/>
      <c r="M434" s="14"/>
      <c r="N434" s="62"/>
      <c r="O434" s="60"/>
      <c r="P434" s="60"/>
      <c r="Q434" s="14"/>
      <c r="R434" s="14"/>
    </row>
    <row r="435" spans="1:18" s="1" customFormat="1">
      <c r="A435" s="62" t="s">
        <v>3196</v>
      </c>
      <c r="B435" s="62" t="s">
        <v>3197</v>
      </c>
      <c r="C435" s="62" t="s">
        <v>494</v>
      </c>
      <c r="E435" s="62" t="s">
        <v>476</v>
      </c>
      <c r="F435" s="1">
        <v>17</v>
      </c>
      <c r="G435" s="1">
        <v>1752</v>
      </c>
      <c r="H435" s="62" t="s">
        <v>3195</v>
      </c>
      <c r="I435" s="22" t="s">
        <v>3194</v>
      </c>
      <c r="J435" s="1">
        <v>1701</v>
      </c>
      <c r="K435" s="82">
        <v>1</v>
      </c>
      <c r="L435" s="32">
        <v>3</v>
      </c>
      <c r="N435" s="64" t="s">
        <v>506</v>
      </c>
      <c r="O435" s="64" t="s">
        <v>514</v>
      </c>
      <c r="P435" s="1" t="s">
        <v>515</v>
      </c>
    </row>
    <row r="436" spans="1:18" s="1" customFormat="1">
      <c r="B436" s="62" t="s">
        <v>3198</v>
      </c>
      <c r="C436" s="62" t="s">
        <v>494</v>
      </c>
      <c r="E436" s="62" t="s">
        <v>476</v>
      </c>
      <c r="I436" s="2"/>
      <c r="K436" s="82">
        <v>2</v>
      </c>
      <c r="L436" s="32">
        <v>6</v>
      </c>
    </row>
    <row r="437" spans="1:18" s="1" customFormat="1">
      <c r="B437" s="62" t="s">
        <v>3199</v>
      </c>
      <c r="C437" s="62" t="s">
        <v>494</v>
      </c>
      <c r="I437" s="2"/>
      <c r="K437" s="82">
        <v>3</v>
      </c>
      <c r="L437" s="32">
        <v>6</v>
      </c>
    </row>
    <row r="438" spans="1:18" s="1" customFormat="1">
      <c r="B438" s="62" t="s">
        <v>3200</v>
      </c>
      <c r="C438" s="62" t="s">
        <v>494</v>
      </c>
      <c r="I438" s="2"/>
      <c r="K438" s="82">
        <v>4</v>
      </c>
      <c r="L438" s="32">
        <v>7</v>
      </c>
    </row>
    <row r="439" spans="1:18" s="1" customFormat="1">
      <c r="B439" s="62" t="s">
        <v>3201</v>
      </c>
      <c r="C439" s="62" t="s">
        <v>494</v>
      </c>
      <c r="I439" s="2"/>
      <c r="K439" s="82">
        <v>5</v>
      </c>
      <c r="L439" s="32">
        <v>7</v>
      </c>
    </row>
    <row r="440" spans="1:18" s="1" customFormat="1">
      <c r="B440" s="62" t="s">
        <v>3202</v>
      </c>
      <c r="C440" s="62" t="s">
        <v>494</v>
      </c>
      <c r="I440" s="2"/>
      <c r="K440" s="82">
        <v>6</v>
      </c>
      <c r="L440" s="32">
        <v>7</v>
      </c>
    </row>
    <row r="441" spans="1:18" s="1" customFormat="1">
      <c r="B441" s="62" t="s">
        <v>3203</v>
      </c>
      <c r="C441" s="62" t="s">
        <v>494</v>
      </c>
      <c r="F441" s="14"/>
      <c r="G441" s="14"/>
      <c r="H441" s="14"/>
      <c r="I441" s="11"/>
      <c r="J441" s="14"/>
      <c r="K441" s="82">
        <v>7</v>
      </c>
      <c r="L441" s="15">
        <v>7</v>
      </c>
      <c r="M441" s="14"/>
      <c r="O441" s="23"/>
      <c r="P441" s="23"/>
      <c r="Q441" s="14"/>
      <c r="R441" s="14"/>
    </row>
    <row r="442" spans="1:18" s="1" customFormat="1">
      <c r="B442" s="62" t="s">
        <v>6681</v>
      </c>
      <c r="C442" s="62" t="s">
        <v>494</v>
      </c>
      <c r="F442" s="14"/>
      <c r="G442" s="14"/>
      <c r="H442" s="14"/>
      <c r="I442" s="11"/>
      <c r="J442" s="14"/>
      <c r="K442" s="82">
        <v>8</v>
      </c>
      <c r="L442" s="15"/>
      <c r="M442" s="14"/>
      <c r="O442" s="23"/>
      <c r="P442" s="23"/>
      <c r="Q442" s="14"/>
      <c r="R442" s="14"/>
    </row>
    <row r="443" spans="1:18" s="1" customFormat="1">
      <c r="B443" s="62"/>
      <c r="C443" s="62"/>
      <c r="F443" s="14"/>
      <c r="G443" s="14"/>
      <c r="H443" s="14"/>
      <c r="I443" s="11"/>
      <c r="J443" s="14"/>
      <c r="K443" s="82"/>
      <c r="L443" s="15"/>
      <c r="M443" s="14"/>
      <c r="O443" s="23"/>
      <c r="P443" s="23"/>
      <c r="Q443" s="14"/>
      <c r="R443" s="14"/>
    </row>
    <row r="444" spans="1:18" s="1" customFormat="1">
      <c r="A444" s="62" t="s">
        <v>3729</v>
      </c>
      <c r="B444" s="62" t="s">
        <v>3730</v>
      </c>
      <c r="C444" s="62" t="s">
        <v>494</v>
      </c>
      <c r="E444" s="62" t="s">
        <v>476</v>
      </c>
      <c r="F444" s="14">
        <v>17</v>
      </c>
      <c r="G444" s="14">
        <v>1753</v>
      </c>
      <c r="H444" s="47" t="s">
        <v>3767</v>
      </c>
      <c r="I444" s="48" t="s">
        <v>3768</v>
      </c>
      <c r="J444" s="14">
        <v>1704</v>
      </c>
      <c r="K444" s="82">
        <v>1</v>
      </c>
      <c r="L444" s="15">
        <v>6</v>
      </c>
      <c r="M444" s="14"/>
      <c r="O444" s="23"/>
      <c r="P444" s="23"/>
      <c r="Q444" s="14"/>
      <c r="R444" s="14"/>
    </row>
    <row r="445" spans="1:18" s="1" customFormat="1">
      <c r="B445" s="62" t="s">
        <v>3731</v>
      </c>
      <c r="C445" s="62" t="s">
        <v>494</v>
      </c>
      <c r="F445" s="14"/>
      <c r="G445" s="14"/>
      <c r="H445" s="14"/>
      <c r="I445" s="11"/>
      <c r="J445" s="14"/>
      <c r="K445" s="82">
        <v>2</v>
      </c>
      <c r="L445" s="15">
        <v>6</v>
      </c>
      <c r="M445" s="14"/>
      <c r="O445" s="23"/>
      <c r="P445" s="23"/>
      <c r="Q445" s="14"/>
      <c r="R445" s="14"/>
    </row>
    <row r="446" spans="1:18" s="1" customFormat="1">
      <c r="B446" s="62" t="s">
        <v>3734</v>
      </c>
      <c r="C446" s="62" t="s">
        <v>493</v>
      </c>
      <c r="D446" s="1">
        <v>1</v>
      </c>
      <c r="F446" s="14"/>
      <c r="G446" s="14"/>
      <c r="H446" s="14"/>
      <c r="I446" s="11"/>
      <c r="J446" s="14"/>
      <c r="K446" s="82">
        <v>3</v>
      </c>
      <c r="L446" s="15">
        <v>30</v>
      </c>
      <c r="M446" s="14"/>
      <c r="O446" s="23"/>
      <c r="P446" s="23"/>
      <c r="Q446" s="14"/>
      <c r="R446" s="14"/>
    </row>
    <row r="447" spans="1:18" s="1" customFormat="1">
      <c r="B447" s="62" t="s">
        <v>3732</v>
      </c>
      <c r="C447" s="62" t="s">
        <v>494</v>
      </c>
      <c r="F447" s="14"/>
      <c r="G447" s="14"/>
      <c r="H447" s="14"/>
      <c r="I447" s="11"/>
      <c r="J447" s="14"/>
      <c r="K447" s="82">
        <v>4</v>
      </c>
      <c r="L447" s="15">
        <v>3</v>
      </c>
      <c r="M447" s="14">
        <v>3</v>
      </c>
      <c r="N447" s="64" t="s">
        <v>506</v>
      </c>
      <c r="O447" s="64" t="s">
        <v>514</v>
      </c>
      <c r="P447" s="1" t="s">
        <v>515</v>
      </c>
      <c r="Q447" s="14"/>
      <c r="R447" s="14"/>
    </row>
    <row r="448" spans="1:18" s="1" customFormat="1">
      <c r="B448" s="62" t="s">
        <v>3733</v>
      </c>
      <c r="C448" s="62" t="s">
        <v>494</v>
      </c>
      <c r="F448" s="14"/>
      <c r="G448" s="14"/>
      <c r="H448" s="14"/>
      <c r="I448" s="11"/>
      <c r="J448" s="14"/>
      <c r="K448" s="82">
        <v>5</v>
      </c>
      <c r="L448" s="15">
        <v>8</v>
      </c>
      <c r="M448" s="14"/>
      <c r="O448" s="23"/>
      <c r="P448" s="23"/>
      <c r="Q448" s="14"/>
      <c r="R448" s="14"/>
    </row>
    <row r="449" spans="1:18" s="1" customFormat="1">
      <c r="B449" s="62" t="s">
        <v>3735</v>
      </c>
      <c r="C449" s="62" t="s">
        <v>494</v>
      </c>
      <c r="F449" s="14"/>
      <c r="G449" s="14"/>
      <c r="H449" s="14"/>
      <c r="I449" s="11"/>
      <c r="J449" s="14"/>
      <c r="K449" s="82">
        <v>6</v>
      </c>
      <c r="L449" s="15">
        <v>7</v>
      </c>
      <c r="M449" s="14"/>
      <c r="O449" s="23"/>
      <c r="P449" s="23"/>
      <c r="Q449" s="14"/>
      <c r="R449" s="14"/>
    </row>
    <row r="450" spans="1:18" s="1" customFormat="1">
      <c r="B450" s="62" t="s">
        <v>3736</v>
      </c>
      <c r="C450" s="62" t="s">
        <v>494</v>
      </c>
      <c r="F450" s="14"/>
      <c r="G450" s="14"/>
      <c r="H450" s="14"/>
      <c r="I450" s="11"/>
      <c r="J450" s="14"/>
      <c r="K450" s="82">
        <v>7</v>
      </c>
      <c r="L450" s="15"/>
      <c r="M450" s="14">
        <v>1</v>
      </c>
      <c r="O450" s="23"/>
      <c r="P450" s="23"/>
      <c r="Q450" s="14"/>
      <c r="R450" s="14"/>
    </row>
    <row r="451" spans="1:18" s="1" customFormat="1">
      <c r="B451" s="62" t="s">
        <v>3737</v>
      </c>
      <c r="C451" s="62" t="s">
        <v>494</v>
      </c>
      <c r="F451" s="14"/>
      <c r="G451" s="14"/>
      <c r="H451" s="14"/>
      <c r="I451" s="11"/>
      <c r="J451" s="14"/>
      <c r="K451" s="82">
        <v>8</v>
      </c>
      <c r="L451" s="15"/>
      <c r="M451" s="14">
        <v>1</v>
      </c>
      <c r="O451" s="23"/>
      <c r="P451" s="23"/>
      <c r="Q451" s="14"/>
      <c r="R451" s="14"/>
    </row>
    <row r="452" spans="1:18" s="1" customFormat="1">
      <c r="B452" s="62" t="s">
        <v>3738</v>
      </c>
      <c r="C452" s="62" t="s">
        <v>494</v>
      </c>
      <c r="F452" s="14"/>
      <c r="G452" s="14"/>
      <c r="H452" s="14"/>
      <c r="I452" s="11"/>
      <c r="J452" s="14"/>
      <c r="K452" s="82">
        <v>9</v>
      </c>
      <c r="L452" s="15"/>
      <c r="M452" s="14">
        <v>1</v>
      </c>
      <c r="O452" s="23"/>
      <c r="P452" s="23"/>
      <c r="Q452" s="14"/>
      <c r="R452" s="14"/>
    </row>
    <row r="453" spans="1:18" s="1" customFormat="1">
      <c r="B453" s="62" t="s">
        <v>3739</v>
      </c>
      <c r="C453" s="62" t="s">
        <v>494</v>
      </c>
      <c r="F453" s="14"/>
      <c r="G453" s="14"/>
      <c r="H453" s="14"/>
      <c r="I453" s="11"/>
      <c r="J453" s="14"/>
      <c r="K453" s="82">
        <v>10</v>
      </c>
      <c r="L453" s="15"/>
      <c r="M453" s="14">
        <v>1</v>
      </c>
      <c r="O453" s="23"/>
      <c r="P453" s="23"/>
      <c r="Q453" s="14"/>
      <c r="R453" s="14"/>
    </row>
    <row r="454" spans="1:18" s="1" customFormat="1">
      <c r="B454" s="62" t="s">
        <v>6025</v>
      </c>
      <c r="C454" s="62" t="s">
        <v>494</v>
      </c>
      <c r="F454" s="14"/>
      <c r="G454" s="14"/>
      <c r="H454" s="14"/>
      <c r="I454" s="11"/>
      <c r="J454" s="14"/>
      <c r="K454" s="82">
        <v>11</v>
      </c>
      <c r="L454" s="15">
        <v>3</v>
      </c>
      <c r="M454" s="14"/>
      <c r="N454" s="62" t="s">
        <v>3664</v>
      </c>
      <c r="O454" s="60" t="s">
        <v>3666</v>
      </c>
      <c r="P454" s="60" t="s">
        <v>3667</v>
      </c>
      <c r="Q454" s="14"/>
      <c r="R454" s="14"/>
    </row>
    <row r="455" spans="1:18" s="1" customFormat="1">
      <c r="B455" s="62"/>
      <c r="C455" s="62"/>
      <c r="F455" s="14"/>
      <c r="G455" s="14"/>
      <c r="H455" s="14"/>
      <c r="I455" s="11"/>
      <c r="J455" s="14"/>
      <c r="K455" s="82"/>
      <c r="L455" s="15"/>
      <c r="M455" s="14"/>
      <c r="N455" s="62"/>
      <c r="O455" s="60"/>
      <c r="P455" s="60"/>
      <c r="Q455" s="14"/>
      <c r="R455" s="14"/>
    </row>
    <row r="456" spans="1:18" s="1" customFormat="1">
      <c r="A456" s="70" t="s">
        <v>3740</v>
      </c>
      <c r="B456" s="70" t="s">
        <v>3741</v>
      </c>
      <c r="C456" s="70" t="s">
        <v>494</v>
      </c>
      <c r="E456" s="62" t="s">
        <v>476</v>
      </c>
      <c r="F456" s="14">
        <v>17</v>
      </c>
      <c r="G456" s="14">
        <v>1790</v>
      </c>
      <c r="H456" s="47" t="s">
        <v>6229</v>
      </c>
      <c r="I456" s="48" t="s">
        <v>6230</v>
      </c>
      <c r="J456" s="14">
        <v>1704</v>
      </c>
      <c r="K456" s="82">
        <v>1</v>
      </c>
      <c r="L456" s="15">
        <v>52</v>
      </c>
      <c r="M456" s="14"/>
      <c r="N456" s="1">
        <v>1753</v>
      </c>
      <c r="O456" s="62" t="s">
        <v>3731</v>
      </c>
      <c r="P456" s="23"/>
      <c r="Q456" s="14"/>
      <c r="R456" s="14"/>
    </row>
    <row r="457" spans="1:18" s="1" customFormat="1">
      <c r="A457" s="39"/>
      <c r="B457" s="70" t="s">
        <v>3742</v>
      </c>
      <c r="C457" s="70" t="s">
        <v>494</v>
      </c>
      <c r="E457" s="62" t="s">
        <v>476</v>
      </c>
      <c r="F457" s="14"/>
      <c r="G457" s="14"/>
      <c r="H457" s="14"/>
      <c r="I457" s="11"/>
      <c r="J457" s="14"/>
      <c r="K457" s="82">
        <v>2</v>
      </c>
      <c r="L457" s="15">
        <v>9</v>
      </c>
      <c r="M457" s="14"/>
      <c r="N457" s="62" t="s">
        <v>3655</v>
      </c>
      <c r="O457" s="66" t="s">
        <v>3656</v>
      </c>
      <c r="P457" s="66" t="s">
        <v>3657</v>
      </c>
      <c r="Q457" s="66" t="s">
        <v>3648</v>
      </c>
      <c r="R457">
        <v>2209</v>
      </c>
    </row>
    <row r="458" spans="1:18" s="1" customFormat="1">
      <c r="A458" s="39"/>
      <c r="B458" s="70" t="s">
        <v>3764</v>
      </c>
      <c r="C458" s="70" t="s">
        <v>494</v>
      </c>
      <c r="E458" s="62" t="s">
        <v>476</v>
      </c>
      <c r="F458" s="14"/>
      <c r="G458" s="14"/>
      <c r="H458" s="14"/>
      <c r="I458" s="11"/>
      <c r="J458" s="14"/>
      <c r="K458" s="82">
        <v>3</v>
      </c>
      <c r="L458" s="15">
        <v>3</v>
      </c>
      <c r="M458" s="14">
        <v>31</v>
      </c>
      <c r="N458" s="62" t="s">
        <v>3649</v>
      </c>
      <c r="O458" s="66" t="s">
        <v>3652</v>
      </c>
      <c r="P458" s="66" t="s">
        <v>3651</v>
      </c>
      <c r="Q458" s="66" t="s">
        <v>3650</v>
      </c>
      <c r="R458" s="14">
        <v>2</v>
      </c>
    </row>
    <row r="459" spans="1:18" s="1" customFormat="1">
      <c r="A459" s="39"/>
      <c r="B459" s="70" t="s">
        <v>3743</v>
      </c>
      <c r="C459" s="70" t="s">
        <v>494</v>
      </c>
      <c r="F459" s="14"/>
      <c r="G459" s="14"/>
      <c r="H459" s="14"/>
      <c r="I459" s="11"/>
      <c r="J459" s="14"/>
      <c r="K459" s="82">
        <v>4</v>
      </c>
      <c r="L459" s="15">
        <v>6</v>
      </c>
      <c r="M459" s="14"/>
      <c r="O459" s="23"/>
      <c r="P459" s="23"/>
      <c r="Q459" s="14"/>
      <c r="R459" s="14"/>
    </row>
    <row r="460" spans="1:18" s="1" customFormat="1">
      <c r="A460" s="39"/>
      <c r="B460" s="70" t="s">
        <v>3744</v>
      </c>
      <c r="C460" s="70" t="s">
        <v>494</v>
      </c>
      <c r="F460" s="14"/>
      <c r="G460" s="14"/>
      <c r="H460" s="14"/>
      <c r="I460" s="11"/>
      <c r="J460" s="14"/>
      <c r="K460" s="82">
        <v>5</v>
      </c>
      <c r="L460" s="15">
        <v>3</v>
      </c>
      <c r="M460" s="14">
        <v>1</v>
      </c>
      <c r="N460" s="62" t="s">
        <v>3769</v>
      </c>
      <c r="O460" s="62" t="s">
        <v>3770</v>
      </c>
      <c r="P460" s="62" t="s">
        <v>3771</v>
      </c>
      <c r="Q460" s="14"/>
      <c r="R460" s="14"/>
    </row>
    <row r="461" spans="1:18" s="1" customFormat="1">
      <c r="A461" s="39"/>
      <c r="B461" s="70" t="s">
        <v>3745</v>
      </c>
      <c r="C461" s="70" t="s">
        <v>494</v>
      </c>
      <c r="F461" s="14"/>
      <c r="G461" s="14"/>
      <c r="H461" s="14"/>
      <c r="I461" s="11"/>
      <c r="J461" s="14"/>
      <c r="K461" s="82">
        <v>6</v>
      </c>
      <c r="L461" s="15"/>
      <c r="M461" s="14"/>
      <c r="P461" s="23"/>
      <c r="Q461" s="14"/>
      <c r="R461" s="14"/>
    </row>
    <row r="462" spans="1:18" s="1" customFormat="1">
      <c r="A462" s="39"/>
      <c r="B462" s="70" t="s">
        <v>3746</v>
      </c>
      <c r="C462" s="70" t="s">
        <v>494</v>
      </c>
      <c r="F462" s="14"/>
      <c r="G462" s="14"/>
      <c r="H462" s="14"/>
      <c r="I462" s="11"/>
      <c r="J462" s="14"/>
      <c r="K462" s="82">
        <v>7</v>
      </c>
      <c r="L462" s="15">
        <v>3</v>
      </c>
      <c r="M462" s="14">
        <v>31</v>
      </c>
      <c r="N462" s="1" t="s">
        <v>3671</v>
      </c>
      <c r="O462" s="23" t="s">
        <v>3687</v>
      </c>
      <c r="P462" s="23" t="s">
        <v>3687</v>
      </c>
      <c r="Q462" s="14" t="s">
        <v>3672</v>
      </c>
      <c r="R462" s="14">
        <v>3</v>
      </c>
    </row>
    <row r="463" spans="1:18" s="1" customFormat="1">
      <c r="A463" s="39"/>
      <c r="B463" s="70" t="s">
        <v>3765</v>
      </c>
      <c r="C463" s="70" t="s">
        <v>520</v>
      </c>
      <c r="F463" s="14"/>
      <c r="G463" s="14"/>
      <c r="H463" s="14"/>
      <c r="I463" s="11"/>
      <c r="J463" s="14"/>
      <c r="K463" s="82">
        <v>8</v>
      </c>
      <c r="L463" s="15"/>
      <c r="M463" s="14"/>
      <c r="O463" s="23"/>
      <c r="P463" s="23"/>
      <c r="Q463" s="14"/>
      <c r="R463" s="14"/>
    </row>
    <row r="464" spans="1:18" s="1" customFormat="1">
      <c r="B464" s="62"/>
      <c r="C464" s="62"/>
      <c r="F464" s="14"/>
      <c r="G464" s="14"/>
      <c r="H464" s="14"/>
      <c r="I464" s="11"/>
      <c r="J464" s="14"/>
      <c r="K464" s="82"/>
      <c r="L464" s="15"/>
      <c r="M464" s="14"/>
      <c r="O464" s="23"/>
      <c r="P464" s="23"/>
      <c r="Q464" s="14"/>
      <c r="R464" s="14"/>
    </row>
    <row r="465" spans="1:18" s="1" customFormat="1">
      <c r="A465" s="70" t="s">
        <v>3747</v>
      </c>
      <c r="B465" s="70" t="s">
        <v>3749</v>
      </c>
      <c r="C465" s="70" t="s">
        <v>494</v>
      </c>
      <c r="E465" s="62" t="s">
        <v>476</v>
      </c>
      <c r="F465" s="14">
        <v>17</v>
      </c>
      <c r="G465" s="14">
        <v>1789</v>
      </c>
      <c r="H465" s="47" t="s">
        <v>1042</v>
      </c>
      <c r="I465" s="48"/>
      <c r="J465" s="14">
        <v>1704</v>
      </c>
      <c r="K465" s="82">
        <v>1</v>
      </c>
      <c r="L465" s="15">
        <v>52</v>
      </c>
      <c r="M465" s="14"/>
      <c r="N465" s="1">
        <v>1790</v>
      </c>
      <c r="O465" s="23" t="s">
        <v>3743</v>
      </c>
      <c r="P465" s="23"/>
      <c r="Q465" s="14"/>
      <c r="R465" s="14"/>
    </row>
    <row r="466" spans="1:18" s="1" customFormat="1">
      <c r="A466" s="39"/>
      <c r="B466" s="70" t="s">
        <v>3750</v>
      </c>
      <c r="C466" s="70" t="s">
        <v>494</v>
      </c>
      <c r="E466" s="62" t="s">
        <v>476</v>
      </c>
      <c r="F466" s="14"/>
      <c r="G466" s="14"/>
      <c r="H466" s="14"/>
      <c r="I466" s="11"/>
      <c r="J466" s="14"/>
      <c r="K466" s="82">
        <v>2</v>
      </c>
      <c r="L466" s="15">
        <v>9</v>
      </c>
      <c r="M466" s="14"/>
      <c r="N466" s="62" t="s">
        <v>1038</v>
      </c>
      <c r="O466" s="60" t="s">
        <v>1040</v>
      </c>
      <c r="P466" s="60" t="s">
        <v>1041</v>
      </c>
      <c r="Q466" s="23" t="s">
        <v>1040</v>
      </c>
      <c r="R466" s="14">
        <v>140</v>
      </c>
    </row>
    <row r="467" spans="1:18" s="1" customFormat="1">
      <c r="A467" s="39"/>
      <c r="B467" s="94" t="s">
        <v>3751</v>
      </c>
      <c r="C467" s="70" t="s">
        <v>494</v>
      </c>
      <c r="E467" s="62"/>
      <c r="F467" s="14"/>
      <c r="G467" s="14"/>
      <c r="H467" s="14"/>
      <c r="I467" s="11"/>
      <c r="J467" s="14"/>
      <c r="K467" s="82">
        <v>3</v>
      </c>
      <c r="L467" s="15">
        <v>6</v>
      </c>
      <c r="M467" s="14"/>
      <c r="N467" s="62"/>
      <c r="O467" s="60"/>
      <c r="P467" s="60"/>
      <c r="Q467" s="23"/>
      <c r="R467" s="14"/>
    </row>
    <row r="468" spans="1:18" s="1" customFormat="1">
      <c r="A468" s="39"/>
      <c r="B468" s="94" t="s">
        <v>3748</v>
      </c>
      <c r="C468" s="70" t="s">
        <v>494</v>
      </c>
      <c r="F468" s="14"/>
      <c r="G468" s="14"/>
      <c r="H468" s="14"/>
      <c r="I468" s="11"/>
      <c r="J468" s="14"/>
      <c r="K468" s="82">
        <v>4</v>
      </c>
      <c r="L468" s="15"/>
      <c r="M468" s="14">
        <v>1</v>
      </c>
      <c r="O468" s="23"/>
      <c r="P468" s="23"/>
      <c r="Q468" s="14"/>
      <c r="R468" s="14"/>
    </row>
    <row r="469" spans="1:18" s="1" customFormat="1">
      <c r="A469" s="39"/>
      <c r="B469" s="70" t="s">
        <v>6158</v>
      </c>
      <c r="C469" s="70" t="s">
        <v>494</v>
      </c>
      <c r="F469" s="14"/>
      <c r="G469" s="14"/>
      <c r="H469" s="14"/>
      <c r="I469" s="11"/>
      <c r="J469" s="14"/>
      <c r="K469" s="82">
        <v>5</v>
      </c>
      <c r="L469" s="15"/>
      <c r="M469" s="14">
        <v>1</v>
      </c>
      <c r="N469" s="62"/>
      <c r="O469" s="62"/>
      <c r="P469" s="62"/>
      <c r="Q469" s="14"/>
      <c r="R469" s="14"/>
    </row>
    <row r="470" spans="1:18" s="1" customFormat="1">
      <c r="A470" s="39"/>
      <c r="B470" s="94" t="s">
        <v>3766</v>
      </c>
      <c r="C470" s="70" t="s">
        <v>494</v>
      </c>
      <c r="F470" s="14"/>
      <c r="G470" s="14"/>
      <c r="H470" s="14"/>
      <c r="I470" s="11"/>
      <c r="J470" s="14"/>
      <c r="K470" s="82">
        <v>6</v>
      </c>
      <c r="L470" s="15"/>
      <c r="M470" s="14">
        <v>1</v>
      </c>
      <c r="N470" s="62"/>
      <c r="O470" s="62"/>
      <c r="P470" s="62"/>
      <c r="Q470" s="14"/>
      <c r="R470" s="14"/>
    </row>
    <row r="471" spans="1:18" s="1" customFormat="1">
      <c r="A471" s="39"/>
      <c r="B471" s="94" t="s">
        <v>6159</v>
      </c>
      <c r="C471" s="70" t="s">
        <v>494</v>
      </c>
      <c r="F471" s="14"/>
      <c r="G471" s="14"/>
      <c r="H471" s="14"/>
      <c r="I471" s="11"/>
      <c r="J471" s="14"/>
      <c r="K471" s="82">
        <v>7</v>
      </c>
      <c r="L471" s="15"/>
      <c r="M471" s="14">
        <v>1</v>
      </c>
      <c r="N471" s="62"/>
      <c r="O471" s="62"/>
      <c r="P471" s="62"/>
      <c r="Q471" s="14"/>
      <c r="R471" s="14"/>
    </row>
    <row r="472" spans="1:18" s="1" customFormat="1">
      <c r="A472" s="39"/>
      <c r="B472" s="94" t="s">
        <v>3752</v>
      </c>
      <c r="C472" s="70" t="s">
        <v>494</v>
      </c>
      <c r="F472" s="14"/>
      <c r="G472" s="14"/>
      <c r="H472" s="14"/>
      <c r="I472" s="11"/>
      <c r="J472" s="14"/>
      <c r="K472" s="82">
        <v>8</v>
      </c>
      <c r="L472" s="15">
        <v>3</v>
      </c>
      <c r="M472" s="14">
        <v>1</v>
      </c>
      <c r="N472" s="62" t="s">
        <v>3761</v>
      </c>
      <c r="O472" s="62" t="s">
        <v>3762</v>
      </c>
      <c r="P472" s="62" t="s">
        <v>3763</v>
      </c>
      <c r="Q472" s="14"/>
      <c r="R472" s="14"/>
    </row>
    <row r="473" spans="1:18" s="1" customFormat="1">
      <c r="A473" s="39"/>
      <c r="B473" s="94" t="s">
        <v>3753</v>
      </c>
      <c r="C473" s="70" t="s">
        <v>494</v>
      </c>
      <c r="F473" s="14"/>
      <c r="G473" s="14"/>
      <c r="H473" s="14"/>
      <c r="I473" s="11"/>
      <c r="J473" s="14"/>
      <c r="K473" s="82">
        <v>9</v>
      </c>
      <c r="L473" s="15"/>
      <c r="M473" s="14"/>
      <c r="N473" s="62"/>
      <c r="O473" s="62"/>
      <c r="P473" s="62"/>
      <c r="Q473" s="14"/>
      <c r="R473" s="14"/>
    </row>
    <row r="474" spans="1:18" s="1" customFormat="1">
      <c r="A474" s="39"/>
      <c r="B474" s="94" t="s">
        <v>3754</v>
      </c>
      <c r="C474" s="70" t="s">
        <v>494</v>
      </c>
      <c r="F474" s="14"/>
      <c r="G474" s="14"/>
      <c r="H474" s="14"/>
      <c r="I474" s="11"/>
      <c r="J474" s="14"/>
      <c r="K474" s="82">
        <v>10</v>
      </c>
      <c r="L474" s="15"/>
      <c r="M474" s="14"/>
      <c r="N474" s="62"/>
      <c r="O474" s="62"/>
      <c r="P474" s="62"/>
      <c r="Q474" s="14"/>
      <c r="R474" s="14"/>
    </row>
    <row r="475" spans="1:18" s="1" customFormat="1">
      <c r="A475" s="39"/>
      <c r="B475" s="94" t="s">
        <v>3755</v>
      </c>
      <c r="C475" s="70" t="s">
        <v>520</v>
      </c>
      <c r="F475" s="14"/>
      <c r="G475" s="14"/>
      <c r="H475" s="14"/>
      <c r="I475" s="11"/>
      <c r="J475" s="14"/>
      <c r="K475" s="82">
        <v>11</v>
      </c>
      <c r="L475" s="15"/>
      <c r="M475" s="14"/>
      <c r="N475" s="62"/>
      <c r="O475" s="62"/>
      <c r="P475" s="62"/>
      <c r="Q475" s="14"/>
      <c r="R475" s="14"/>
    </row>
    <row r="476" spans="1:18" s="1" customFormat="1">
      <c r="A476" s="39"/>
      <c r="B476" s="94" t="s">
        <v>6160</v>
      </c>
      <c r="C476" s="70" t="s">
        <v>494</v>
      </c>
      <c r="F476" s="14"/>
      <c r="G476" s="14"/>
      <c r="H476" s="14"/>
      <c r="I476" s="11"/>
      <c r="J476" s="14"/>
      <c r="K476" s="82">
        <v>12</v>
      </c>
      <c r="L476" s="15"/>
      <c r="M476" s="14">
        <v>1</v>
      </c>
      <c r="N476" s="62"/>
      <c r="O476" s="62"/>
      <c r="P476" s="62"/>
      <c r="Q476" s="14"/>
      <c r="R476" s="14"/>
    </row>
    <row r="477" spans="1:18" s="1" customFormat="1">
      <c r="A477" s="39"/>
      <c r="B477" s="94" t="s">
        <v>3772</v>
      </c>
      <c r="C477" s="70" t="s">
        <v>494</v>
      </c>
      <c r="F477" s="14"/>
      <c r="G477" s="14"/>
      <c r="H477" s="14"/>
      <c r="I477" s="11"/>
      <c r="J477" s="14"/>
      <c r="K477" s="82">
        <v>13</v>
      </c>
      <c r="L477" s="15"/>
      <c r="M477" s="14">
        <v>1</v>
      </c>
      <c r="N477" s="62"/>
      <c r="O477" s="62"/>
      <c r="P477" s="62"/>
      <c r="Q477" s="14"/>
      <c r="R477" s="14"/>
    </row>
    <row r="478" spans="1:18" s="1" customFormat="1">
      <c r="A478" s="39"/>
      <c r="B478" s="70" t="s">
        <v>3773</v>
      </c>
      <c r="C478" s="70" t="s">
        <v>494</v>
      </c>
      <c r="F478" s="14"/>
      <c r="G478" s="14"/>
      <c r="H478" s="14"/>
      <c r="I478" s="11"/>
      <c r="J478" s="14"/>
      <c r="K478" s="82">
        <v>14</v>
      </c>
      <c r="L478" s="15"/>
      <c r="M478" s="14">
        <v>1</v>
      </c>
      <c r="N478" s="62"/>
      <c r="O478" s="62"/>
      <c r="P478" s="62"/>
      <c r="Q478" s="14"/>
      <c r="R478" s="14"/>
    </row>
    <row r="479" spans="1:18" s="1" customFormat="1">
      <c r="A479" s="39"/>
      <c r="B479" s="94" t="s">
        <v>6161</v>
      </c>
      <c r="C479" s="70" t="s">
        <v>494</v>
      </c>
      <c r="F479" s="14"/>
      <c r="G479" s="14"/>
      <c r="H479" s="14"/>
      <c r="I479" s="11"/>
      <c r="J479" s="14"/>
      <c r="K479" s="82">
        <v>15</v>
      </c>
      <c r="L479" s="15"/>
      <c r="M479" s="14">
        <v>1</v>
      </c>
      <c r="N479" s="62"/>
      <c r="O479" s="62"/>
      <c r="P479" s="62"/>
      <c r="Q479" s="14"/>
      <c r="R479" s="14"/>
    </row>
    <row r="480" spans="1:18" s="1" customFormat="1">
      <c r="A480" s="39"/>
      <c r="B480" s="70" t="s">
        <v>6231</v>
      </c>
      <c r="C480" s="70" t="s">
        <v>494</v>
      </c>
      <c r="F480" s="14"/>
      <c r="G480" s="14"/>
      <c r="H480" s="14"/>
      <c r="I480" s="11"/>
      <c r="J480" s="14"/>
      <c r="K480" s="82">
        <v>16</v>
      </c>
      <c r="L480" s="15"/>
      <c r="M480" s="14">
        <v>1</v>
      </c>
      <c r="N480" s="62"/>
      <c r="O480" s="62"/>
      <c r="P480" s="62"/>
      <c r="Q480" s="14"/>
      <c r="R480" s="14"/>
    </row>
    <row r="481" spans="1:18" s="1" customFormat="1">
      <c r="B481" s="62"/>
      <c r="C481" s="62"/>
      <c r="F481" s="14"/>
      <c r="G481" s="14"/>
      <c r="H481" s="14"/>
      <c r="I481" s="11"/>
      <c r="J481" s="14"/>
      <c r="K481" s="82"/>
      <c r="L481" s="15"/>
      <c r="M481" s="14"/>
      <c r="O481" s="23"/>
      <c r="P481" s="23"/>
      <c r="Q481" s="14"/>
      <c r="R481" s="14"/>
    </row>
    <row r="482" spans="1:18" s="1" customFormat="1">
      <c r="A482" s="62" t="s">
        <v>3740</v>
      </c>
      <c r="B482" s="62" t="s">
        <v>3741</v>
      </c>
      <c r="C482" s="62" t="s">
        <v>494</v>
      </c>
      <c r="E482" s="62" t="s">
        <v>476</v>
      </c>
      <c r="F482" s="14">
        <v>17</v>
      </c>
      <c r="G482" s="14">
        <v>1754</v>
      </c>
      <c r="H482" s="47" t="s">
        <v>60</v>
      </c>
      <c r="I482" s="11"/>
      <c r="J482" s="14">
        <v>1704</v>
      </c>
      <c r="K482" s="82">
        <v>1</v>
      </c>
      <c r="L482" s="15">
        <v>52</v>
      </c>
      <c r="M482" s="14"/>
      <c r="N482" s="1">
        <v>1753</v>
      </c>
      <c r="O482" s="62" t="s">
        <v>3731</v>
      </c>
      <c r="P482" s="23"/>
      <c r="Q482" s="14"/>
      <c r="R482" s="14"/>
    </row>
    <row r="483" spans="1:18" s="1" customFormat="1">
      <c r="B483" s="62" t="s">
        <v>3742</v>
      </c>
      <c r="C483" s="62" t="s">
        <v>494</v>
      </c>
      <c r="E483" s="62" t="s">
        <v>476</v>
      </c>
      <c r="F483" s="14"/>
      <c r="G483" s="14"/>
      <c r="H483" s="14"/>
      <c r="I483" s="11"/>
      <c r="J483" s="14"/>
      <c r="K483" s="82">
        <v>2</v>
      </c>
      <c r="L483" s="15">
        <v>9</v>
      </c>
      <c r="M483" s="14"/>
      <c r="N483" s="62" t="s">
        <v>3655</v>
      </c>
      <c r="O483" s="66" t="s">
        <v>3656</v>
      </c>
      <c r="P483" s="66" t="s">
        <v>3657</v>
      </c>
      <c r="Q483" s="66" t="s">
        <v>3648</v>
      </c>
      <c r="R483">
        <v>2209</v>
      </c>
    </row>
    <row r="484" spans="1:18" s="1" customFormat="1">
      <c r="B484" s="62" t="s">
        <v>3764</v>
      </c>
      <c r="C484" s="62" t="s">
        <v>494</v>
      </c>
      <c r="E484" s="62" t="s">
        <v>476</v>
      </c>
      <c r="F484" s="14"/>
      <c r="G484" s="14"/>
      <c r="H484" s="14"/>
      <c r="I484" s="11"/>
      <c r="J484" s="14"/>
      <c r="K484" s="82">
        <v>3</v>
      </c>
      <c r="L484" s="15">
        <v>3</v>
      </c>
      <c r="M484" s="14">
        <v>31</v>
      </c>
      <c r="N484" s="62" t="s">
        <v>3649</v>
      </c>
      <c r="O484" s="66" t="s">
        <v>3652</v>
      </c>
      <c r="P484" s="66" t="s">
        <v>3651</v>
      </c>
      <c r="Q484" s="66" t="s">
        <v>3650</v>
      </c>
      <c r="R484" s="14">
        <v>2</v>
      </c>
    </row>
    <row r="485" spans="1:18" s="1" customFormat="1">
      <c r="B485" s="62" t="s">
        <v>3743</v>
      </c>
      <c r="C485" s="62" t="s">
        <v>494</v>
      </c>
      <c r="F485" s="14"/>
      <c r="G485" s="14"/>
      <c r="H485" s="14"/>
      <c r="I485" s="11"/>
      <c r="J485" s="14"/>
      <c r="K485" s="82">
        <v>4</v>
      </c>
      <c r="L485" s="15">
        <v>6</v>
      </c>
      <c r="M485" s="14"/>
      <c r="O485" s="23"/>
      <c r="P485" s="23"/>
      <c r="Q485" s="14"/>
      <c r="R485" s="14"/>
    </row>
    <row r="486" spans="1:18" s="1" customFormat="1">
      <c r="B486" s="62" t="s">
        <v>3744</v>
      </c>
      <c r="C486" s="62" t="s">
        <v>494</v>
      </c>
      <c r="F486" s="14"/>
      <c r="G486" s="14"/>
      <c r="H486" s="14"/>
      <c r="I486" s="11"/>
      <c r="J486" s="14"/>
      <c r="K486" s="82">
        <v>5</v>
      </c>
      <c r="L486" s="15">
        <v>3</v>
      </c>
      <c r="M486" s="14">
        <v>1</v>
      </c>
      <c r="N486" s="62" t="s">
        <v>3769</v>
      </c>
      <c r="O486" s="62" t="s">
        <v>3770</v>
      </c>
      <c r="P486" s="62" t="s">
        <v>3771</v>
      </c>
      <c r="Q486" s="14"/>
      <c r="R486" s="14"/>
    </row>
    <row r="487" spans="1:18" s="1" customFormat="1">
      <c r="B487" s="62" t="s">
        <v>3745</v>
      </c>
      <c r="C487" s="62" t="s">
        <v>494</v>
      </c>
      <c r="F487" s="14"/>
      <c r="G487" s="14"/>
      <c r="H487" s="14"/>
      <c r="I487" s="11"/>
      <c r="J487" s="14"/>
      <c r="K487" s="82">
        <v>6</v>
      </c>
      <c r="L487" s="15"/>
      <c r="M487" s="14"/>
      <c r="P487" s="23"/>
      <c r="Q487" s="14"/>
      <c r="R487" s="14"/>
    </row>
    <row r="488" spans="1:18" s="1" customFormat="1">
      <c r="B488" s="62" t="s">
        <v>3746</v>
      </c>
      <c r="C488" s="62" t="s">
        <v>494</v>
      </c>
      <c r="F488" s="14"/>
      <c r="G488" s="14"/>
      <c r="H488" s="14"/>
      <c r="I488" s="11"/>
      <c r="J488" s="14"/>
      <c r="K488" s="82">
        <v>7</v>
      </c>
      <c r="L488" s="15">
        <v>3</v>
      </c>
      <c r="M488" s="14">
        <v>31</v>
      </c>
      <c r="N488" s="1" t="s">
        <v>3671</v>
      </c>
      <c r="O488" s="23" t="s">
        <v>3687</v>
      </c>
      <c r="P488" s="23" t="s">
        <v>3687</v>
      </c>
      <c r="Q488" s="14" t="s">
        <v>3672</v>
      </c>
      <c r="R488" s="14">
        <v>3</v>
      </c>
    </row>
    <row r="489" spans="1:18" s="1" customFormat="1">
      <c r="B489" s="62" t="s">
        <v>3765</v>
      </c>
      <c r="C489" s="62" t="s">
        <v>520</v>
      </c>
      <c r="F489" s="14"/>
      <c r="G489" s="14"/>
      <c r="H489" s="14"/>
      <c r="I489" s="11"/>
      <c r="J489" s="14"/>
      <c r="K489" s="82">
        <v>8</v>
      </c>
      <c r="L489" s="15"/>
      <c r="M489" s="14"/>
      <c r="O489" s="23"/>
      <c r="P489" s="23"/>
      <c r="Q489" s="14"/>
      <c r="R489" s="14"/>
    </row>
    <row r="490" spans="1:18" s="1" customFormat="1">
      <c r="B490" s="62"/>
      <c r="C490" s="62"/>
      <c r="F490" s="14"/>
      <c r="G490" s="14"/>
      <c r="H490" s="14"/>
      <c r="I490" s="11"/>
      <c r="J490" s="14"/>
      <c r="K490" s="82"/>
      <c r="L490" s="15"/>
      <c r="M490" s="14"/>
      <c r="O490" s="23"/>
      <c r="P490" s="23"/>
      <c r="Q490" s="14"/>
      <c r="R490" s="14"/>
    </row>
    <row r="491" spans="1:18" s="1" customFormat="1">
      <c r="A491" s="62" t="s">
        <v>3761</v>
      </c>
      <c r="B491" s="62" t="s">
        <v>3762</v>
      </c>
      <c r="C491" s="62" t="s">
        <v>494</v>
      </c>
      <c r="E491" s="62" t="s">
        <v>476</v>
      </c>
      <c r="F491" s="14"/>
      <c r="G491" s="14"/>
      <c r="H491" s="14"/>
      <c r="I491" s="11"/>
      <c r="J491" s="14"/>
      <c r="K491" s="82">
        <v>1</v>
      </c>
      <c r="L491" s="15"/>
      <c r="M491" s="14"/>
      <c r="O491" s="23"/>
      <c r="P491" s="23"/>
      <c r="Q491" s="14"/>
      <c r="R491" s="14"/>
    </row>
    <row r="492" spans="1:18" s="1" customFormat="1">
      <c r="B492" s="62" t="s">
        <v>3763</v>
      </c>
      <c r="C492" s="62" t="s">
        <v>493</v>
      </c>
      <c r="D492" s="1">
        <v>50</v>
      </c>
      <c r="F492" s="14"/>
      <c r="G492" s="14"/>
      <c r="H492" s="14"/>
      <c r="I492" s="11"/>
      <c r="J492" s="14"/>
      <c r="K492" s="82">
        <v>2</v>
      </c>
      <c r="L492" s="15"/>
      <c r="M492" s="14"/>
      <c r="O492" s="23"/>
      <c r="P492" s="23"/>
      <c r="Q492" s="14"/>
      <c r="R492" s="14"/>
    </row>
    <row r="493" spans="1:18" s="1" customFormat="1">
      <c r="B493" s="62"/>
      <c r="C493" s="62"/>
      <c r="F493" s="14"/>
      <c r="G493" s="14"/>
      <c r="H493" s="14"/>
      <c r="I493" s="11"/>
      <c r="J493" s="14"/>
      <c r="K493" s="82"/>
      <c r="L493" s="15"/>
      <c r="M493" s="14"/>
      <c r="O493" s="23"/>
      <c r="P493" s="23"/>
      <c r="Q493" s="14"/>
      <c r="R493" s="14"/>
    </row>
    <row r="494" spans="1:18" s="1" customFormat="1">
      <c r="A494" s="62" t="s">
        <v>3769</v>
      </c>
      <c r="B494" s="62" t="s">
        <v>3770</v>
      </c>
      <c r="C494" s="62" t="s">
        <v>494</v>
      </c>
      <c r="E494" s="62" t="s">
        <v>476</v>
      </c>
      <c r="F494" s="14"/>
      <c r="G494" s="14"/>
      <c r="H494" s="14"/>
      <c r="I494" s="11"/>
      <c r="J494" s="14"/>
      <c r="K494" s="82">
        <v>1</v>
      </c>
      <c r="L494" s="15"/>
      <c r="M494" s="14"/>
      <c r="O494" s="23"/>
      <c r="P494" s="23"/>
      <c r="Q494" s="14"/>
      <c r="R494" s="14"/>
    </row>
    <row r="495" spans="1:18" s="1" customFormat="1">
      <c r="B495" s="62" t="s">
        <v>3771</v>
      </c>
      <c r="C495" s="62" t="s">
        <v>493</v>
      </c>
      <c r="D495" s="1">
        <v>50</v>
      </c>
      <c r="F495" s="14"/>
      <c r="G495" s="14"/>
      <c r="H495" s="14"/>
      <c r="I495" s="11"/>
      <c r="J495" s="14"/>
      <c r="K495" s="82">
        <v>2</v>
      </c>
      <c r="L495" s="15"/>
      <c r="M495" s="14"/>
      <c r="O495" s="23"/>
      <c r="P495" s="23"/>
      <c r="Q495" s="14"/>
      <c r="R495" s="14"/>
    </row>
    <row r="496" spans="1:18" s="1" customFormat="1">
      <c r="B496" s="62"/>
      <c r="C496" s="62"/>
      <c r="F496" s="14"/>
      <c r="G496" s="14"/>
      <c r="H496" s="14"/>
      <c r="I496" s="11"/>
      <c r="J496" s="14"/>
      <c r="K496" s="82"/>
      <c r="L496" s="15"/>
      <c r="M496" s="14"/>
      <c r="O496" s="23"/>
      <c r="P496" s="23"/>
      <c r="Q496" s="14"/>
      <c r="R496" s="14"/>
    </row>
    <row r="497" spans="1:18" s="1" customFormat="1">
      <c r="A497" s="64" t="s">
        <v>3747</v>
      </c>
      <c r="B497" t="s">
        <v>3749</v>
      </c>
      <c r="C497" s="62" t="s">
        <v>494</v>
      </c>
      <c r="E497" s="62" t="s">
        <v>476</v>
      </c>
      <c r="F497" s="14">
        <v>17</v>
      </c>
      <c r="G497" s="14">
        <v>1756</v>
      </c>
      <c r="H497" s="47" t="s">
        <v>3774</v>
      </c>
      <c r="I497" s="48" t="s">
        <v>3776</v>
      </c>
      <c r="J497" s="14">
        <v>1704</v>
      </c>
      <c r="K497" s="82">
        <v>1</v>
      </c>
      <c r="L497" s="15"/>
      <c r="M497" s="14"/>
      <c r="O497" s="62"/>
      <c r="P497" s="23"/>
      <c r="Q497" s="14"/>
      <c r="R497" s="14"/>
    </row>
    <row r="498" spans="1:18" s="1" customFormat="1">
      <c r="A498" s="10"/>
      <c r="B498" t="s">
        <v>3750</v>
      </c>
      <c r="C498" s="62" t="s">
        <v>494</v>
      </c>
      <c r="E498" s="62" t="s">
        <v>476</v>
      </c>
      <c r="F498" s="14"/>
      <c r="G498" s="14"/>
      <c r="H498" s="14"/>
      <c r="I498" s="11"/>
      <c r="J498" s="14"/>
      <c r="K498" s="82">
        <v>2</v>
      </c>
      <c r="L498" s="15"/>
      <c r="M498" s="14"/>
      <c r="O498" s="23"/>
      <c r="P498" s="23"/>
      <c r="Q498" s="14"/>
      <c r="R498" s="14"/>
    </row>
    <row r="499" spans="1:18" s="1" customFormat="1">
      <c r="A499" s="10"/>
      <c r="B499" t="s">
        <v>3751</v>
      </c>
      <c r="C499" s="62" t="s">
        <v>494</v>
      </c>
      <c r="E499" s="62" t="s">
        <v>476</v>
      </c>
      <c r="F499" s="14"/>
      <c r="G499" s="14"/>
      <c r="H499" s="14"/>
      <c r="I499" s="11"/>
      <c r="J499" s="14"/>
      <c r="K499" s="82">
        <v>3</v>
      </c>
      <c r="L499" s="15">
        <v>9</v>
      </c>
      <c r="M499" s="14"/>
      <c r="N499" s="62" t="s">
        <v>1038</v>
      </c>
      <c r="O499" s="60" t="s">
        <v>1040</v>
      </c>
      <c r="P499" s="60" t="s">
        <v>1041</v>
      </c>
      <c r="Q499" s="23" t="s">
        <v>1040</v>
      </c>
      <c r="R499" s="14">
        <v>140</v>
      </c>
    </row>
    <row r="500" spans="1:18" s="1" customFormat="1">
      <c r="A500" s="10"/>
      <c r="B500" t="s">
        <v>3748</v>
      </c>
      <c r="C500" s="62" t="s">
        <v>494</v>
      </c>
      <c r="F500" s="14"/>
      <c r="G500" s="14"/>
      <c r="H500" s="14"/>
      <c r="I500" s="11"/>
      <c r="J500" s="14"/>
      <c r="K500" s="82">
        <v>4</v>
      </c>
      <c r="L500" s="15">
        <v>6</v>
      </c>
      <c r="M500" s="14"/>
      <c r="O500" s="23"/>
      <c r="P500" s="23"/>
      <c r="Q500" s="14"/>
      <c r="R500" s="14"/>
    </row>
    <row r="501" spans="1:18" s="1" customFormat="1">
      <c r="A501" s="10"/>
      <c r="B501" t="s">
        <v>6158</v>
      </c>
      <c r="C501" s="62" t="s">
        <v>494</v>
      </c>
      <c r="F501" s="14"/>
      <c r="G501" s="14"/>
      <c r="H501" s="14"/>
      <c r="I501" s="11"/>
      <c r="J501" s="14"/>
      <c r="K501" s="82">
        <v>5</v>
      </c>
      <c r="L501" s="15">
        <v>3</v>
      </c>
      <c r="M501" s="14"/>
      <c r="N501" s="62" t="s">
        <v>3761</v>
      </c>
      <c r="O501" s="62" t="s">
        <v>3762</v>
      </c>
      <c r="P501" s="62" t="s">
        <v>3763</v>
      </c>
      <c r="Q501" s="14"/>
      <c r="R501" s="14"/>
    </row>
    <row r="502" spans="1:18" s="1" customFormat="1">
      <c r="A502" s="10"/>
      <c r="B502" s="62" t="s">
        <v>3766</v>
      </c>
      <c r="C502" s="62" t="s">
        <v>494</v>
      </c>
      <c r="F502" s="14"/>
      <c r="G502" s="14"/>
      <c r="H502" s="14"/>
      <c r="I502" s="11"/>
      <c r="J502" s="14"/>
      <c r="K502" s="82">
        <v>6</v>
      </c>
      <c r="L502" s="15"/>
      <c r="M502" s="14"/>
      <c r="N502" s="62"/>
      <c r="O502" s="62"/>
      <c r="P502" s="62"/>
      <c r="Q502" s="14"/>
      <c r="R502" s="14"/>
    </row>
    <row r="503" spans="1:18" s="1" customFormat="1">
      <c r="A503" s="10"/>
      <c r="B503" t="s">
        <v>6159</v>
      </c>
      <c r="C503" s="62" t="s">
        <v>494</v>
      </c>
      <c r="F503" s="14"/>
      <c r="G503" s="14"/>
      <c r="H503" s="14"/>
      <c r="I503" s="11"/>
      <c r="J503" s="14"/>
      <c r="K503" s="82">
        <v>7</v>
      </c>
      <c r="L503" s="15"/>
      <c r="M503" s="14"/>
      <c r="N503" s="62"/>
      <c r="O503" s="62"/>
      <c r="P503" s="62"/>
      <c r="Q503" s="14"/>
      <c r="R503" s="14"/>
    </row>
    <row r="504" spans="1:18" s="1" customFormat="1">
      <c r="A504" s="10"/>
      <c r="B504" t="s">
        <v>3752</v>
      </c>
      <c r="C504" s="62" t="s">
        <v>494</v>
      </c>
      <c r="F504" s="14"/>
      <c r="G504" s="14"/>
      <c r="H504" s="47" t="s">
        <v>6654</v>
      </c>
      <c r="I504" s="11"/>
      <c r="J504" s="14"/>
      <c r="K504" s="82">
        <v>8</v>
      </c>
      <c r="L504" s="15">
        <v>3</v>
      </c>
      <c r="M504" s="14"/>
      <c r="N504" s="62"/>
      <c r="O504" s="62"/>
      <c r="P504" s="62"/>
      <c r="Q504" s="14"/>
      <c r="R504" s="14"/>
    </row>
    <row r="505" spans="1:18" s="1" customFormat="1">
      <c r="A505" s="10"/>
      <c r="B505" t="s">
        <v>3753</v>
      </c>
      <c r="C505" s="62" t="s">
        <v>494</v>
      </c>
      <c r="F505" s="14"/>
      <c r="G505" s="14"/>
      <c r="H505" s="14"/>
      <c r="I505" s="11"/>
      <c r="J505" s="14"/>
      <c r="K505" s="82">
        <v>9</v>
      </c>
      <c r="L505" s="15"/>
      <c r="M505" s="14"/>
      <c r="O505" s="62"/>
      <c r="P505" s="62"/>
      <c r="Q505" s="14"/>
      <c r="R505" s="14"/>
    </row>
    <row r="506" spans="1:18" s="1" customFormat="1">
      <c r="A506" s="10"/>
      <c r="B506" t="s">
        <v>3754</v>
      </c>
      <c r="C506" s="62" t="s">
        <v>494</v>
      </c>
      <c r="F506" s="14"/>
      <c r="G506" s="14"/>
      <c r="H506" s="14"/>
      <c r="I506" s="11"/>
      <c r="J506" s="14"/>
      <c r="K506" s="82">
        <v>10</v>
      </c>
      <c r="L506" s="15"/>
      <c r="M506" s="14"/>
      <c r="N506" s="62"/>
      <c r="O506" s="62"/>
      <c r="P506" s="62"/>
      <c r="Q506" s="14"/>
      <c r="R506" s="14"/>
    </row>
    <row r="507" spans="1:18" s="1" customFormat="1">
      <c r="A507" s="10"/>
      <c r="B507" t="s">
        <v>3755</v>
      </c>
      <c r="C507" s="62" t="s">
        <v>520</v>
      </c>
      <c r="F507" s="14"/>
      <c r="G507" s="14"/>
      <c r="H507" s="14"/>
      <c r="I507" s="11"/>
      <c r="J507" s="14"/>
      <c r="K507" s="82">
        <v>11</v>
      </c>
      <c r="L507" s="15"/>
      <c r="M507" s="14"/>
      <c r="N507" s="62"/>
      <c r="O507" s="62"/>
      <c r="P507" s="62"/>
      <c r="Q507" s="14"/>
      <c r="R507" s="14"/>
    </row>
    <row r="508" spans="1:18" s="1" customFormat="1">
      <c r="A508" s="10"/>
      <c r="B508" t="s">
        <v>6160</v>
      </c>
      <c r="C508" s="62" t="s">
        <v>494</v>
      </c>
      <c r="F508" s="14"/>
      <c r="G508" s="14"/>
      <c r="H508" s="14"/>
      <c r="I508" s="11"/>
      <c r="J508" s="14"/>
      <c r="K508" s="82">
        <v>12</v>
      </c>
      <c r="L508" s="15"/>
      <c r="M508" s="14"/>
      <c r="N508" s="62"/>
      <c r="O508" s="62"/>
      <c r="P508" s="62"/>
      <c r="Q508" s="14"/>
      <c r="R508" s="14"/>
    </row>
    <row r="509" spans="1:18" s="1" customFormat="1">
      <c r="A509" s="10"/>
      <c r="B509" t="s">
        <v>3772</v>
      </c>
      <c r="C509" s="62" t="s">
        <v>494</v>
      </c>
      <c r="F509" s="14"/>
      <c r="G509" s="14"/>
      <c r="H509" s="14"/>
      <c r="I509" s="11"/>
      <c r="J509" s="14"/>
      <c r="K509" s="82">
        <v>13</v>
      </c>
      <c r="L509" s="15"/>
      <c r="M509" s="14"/>
      <c r="N509" s="62"/>
      <c r="O509" s="62"/>
      <c r="P509" s="62"/>
      <c r="Q509" s="14"/>
      <c r="R509" s="14"/>
    </row>
    <row r="510" spans="1:18" s="1" customFormat="1">
      <c r="A510" s="10"/>
      <c r="B510" t="s">
        <v>3773</v>
      </c>
      <c r="C510" s="62" t="s">
        <v>494</v>
      </c>
      <c r="F510" s="14"/>
      <c r="G510" s="14"/>
      <c r="H510" s="14"/>
      <c r="I510" s="11"/>
      <c r="J510" s="14"/>
      <c r="K510" s="82">
        <v>14</v>
      </c>
      <c r="L510" s="15"/>
      <c r="M510" s="14"/>
      <c r="N510" s="62"/>
      <c r="O510" s="62"/>
      <c r="P510" s="62"/>
      <c r="Q510" s="14"/>
      <c r="R510" s="14"/>
    </row>
    <row r="511" spans="1:18" s="1" customFormat="1">
      <c r="A511" s="10"/>
      <c r="B511" t="s">
        <v>6161</v>
      </c>
      <c r="C511" s="62" t="s">
        <v>494</v>
      </c>
      <c r="F511" s="14"/>
      <c r="G511" s="14"/>
      <c r="H511" s="14"/>
      <c r="I511" s="11"/>
      <c r="J511" s="14"/>
      <c r="K511" s="82">
        <v>15</v>
      </c>
      <c r="L511" s="15"/>
      <c r="M511" s="14"/>
      <c r="N511" s="62"/>
      <c r="O511" s="62"/>
      <c r="P511" s="62"/>
      <c r="Q511" s="14"/>
      <c r="R511" s="14"/>
    </row>
    <row r="512" spans="1:18" s="1" customFormat="1">
      <c r="A512" s="10"/>
      <c r="B512" s="62" t="s">
        <v>6231</v>
      </c>
      <c r="C512" s="62" t="s">
        <v>494</v>
      </c>
      <c r="F512" s="14"/>
      <c r="G512" s="14"/>
      <c r="H512" s="14"/>
      <c r="I512" s="11"/>
      <c r="J512" s="14"/>
      <c r="K512" s="82">
        <v>16</v>
      </c>
      <c r="L512" s="15"/>
      <c r="M512" s="14">
        <v>1</v>
      </c>
      <c r="N512" s="62"/>
      <c r="O512" s="62"/>
      <c r="P512" s="62"/>
      <c r="Q512" s="14"/>
      <c r="R512" s="14"/>
    </row>
    <row r="513" spans="1:18" s="1" customFormat="1">
      <c r="A513" s="10"/>
      <c r="B513" s="62" t="s">
        <v>6751</v>
      </c>
      <c r="C513" s="62" t="s">
        <v>494</v>
      </c>
      <c r="F513" s="14"/>
      <c r="G513" s="14"/>
      <c r="H513" s="14"/>
      <c r="I513" s="11"/>
      <c r="J513" s="14"/>
      <c r="K513" s="82">
        <v>17</v>
      </c>
      <c r="L513" s="15"/>
      <c r="M513" s="14"/>
      <c r="N513" s="62"/>
      <c r="O513" s="62"/>
      <c r="P513" s="62"/>
      <c r="Q513" s="14"/>
      <c r="R513" s="14"/>
    </row>
    <row r="514" spans="1:18">
      <c r="B514" s="66" t="s">
        <v>6890</v>
      </c>
      <c r="C514" s="62" t="s">
        <v>494</v>
      </c>
      <c r="K514">
        <v>18</v>
      </c>
      <c r="L514">
        <v>3</v>
      </c>
      <c r="M514">
        <v>2</v>
      </c>
      <c r="N514" s="62" t="s">
        <v>3677</v>
      </c>
      <c r="O514" s="62" t="s">
        <v>3678</v>
      </c>
      <c r="P514" s="62" t="s">
        <v>3679</v>
      </c>
    </row>
    <row r="515" spans="1:18" s="1" customFormat="1">
      <c r="B515" s="62"/>
      <c r="C515" s="62"/>
      <c r="F515" s="14"/>
      <c r="G515" s="14"/>
      <c r="H515" s="14"/>
      <c r="I515" s="11"/>
      <c r="J515" s="14"/>
      <c r="K515" s="82"/>
      <c r="L515" s="15"/>
      <c r="M515" s="14"/>
      <c r="O515" s="23"/>
      <c r="P515" s="23"/>
      <c r="Q515" s="14"/>
      <c r="R515" s="14"/>
    </row>
    <row r="516" spans="1:18" s="1" customFormat="1">
      <c r="A516" s="70" t="s">
        <v>6162</v>
      </c>
      <c r="B516" s="94" t="s">
        <v>6163</v>
      </c>
      <c r="C516" s="62" t="s">
        <v>494</v>
      </c>
      <c r="E516" s="62"/>
      <c r="F516" s="14">
        <v>17</v>
      </c>
      <c r="G516" s="14">
        <v>1757</v>
      </c>
      <c r="H516" s="47" t="s">
        <v>3775</v>
      </c>
      <c r="I516" s="48" t="s">
        <v>3777</v>
      </c>
      <c r="J516" s="14">
        <v>1704</v>
      </c>
      <c r="K516" s="82">
        <v>1</v>
      </c>
      <c r="L516" s="15">
        <v>3</v>
      </c>
      <c r="M516" s="14"/>
      <c r="N516" s="64" t="s">
        <v>506</v>
      </c>
      <c r="O516" s="64" t="s">
        <v>514</v>
      </c>
      <c r="P516" s="62" t="s">
        <v>515</v>
      </c>
      <c r="Q516" s="14"/>
      <c r="R516" s="14"/>
    </row>
    <row r="517" spans="1:18" s="1" customFormat="1">
      <c r="A517" s="39"/>
      <c r="B517" s="94" t="s">
        <v>6166</v>
      </c>
      <c r="C517" s="62" t="s">
        <v>494</v>
      </c>
      <c r="E517" s="62"/>
      <c r="F517" s="14"/>
      <c r="G517" s="14"/>
      <c r="H517" s="14"/>
      <c r="I517" s="11"/>
      <c r="J517" s="14"/>
      <c r="K517" s="82">
        <v>2</v>
      </c>
      <c r="L517" s="80">
        <v>3</v>
      </c>
      <c r="M517" s="14"/>
      <c r="N517" s="62" t="s">
        <v>3664</v>
      </c>
      <c r="O517" s="60" t="s">
        <v>3666</v>
      </c>
      <c r="P517" s="60" t="s">
        <v>3667</v>
      </c>
      <c r="Q517" s="14"/>
      <c r="R517" s="14"/>
    </row>
    <row r="518" spans="1:18" s="1" customFormat="1">
      <c r="A518" s="39"/>
      <c r="B518" s="94" t="s">
        <v>6167</v>
      </c>
      <c r="C518" s="62" t="s">
        <v>494</v>
      </c>
      <c r="E518" s="62"/>
      <c r="F518" s="14"/>
      <c r="G518" s="14"/>
      <c r="H518" s="14"/>
      <c r="I518" s="11"/>
      <c r="J518" s="14"/>
      <c r="K518" s="82">
        <v>3</v>
      </c>
      <c r="L518" s="80">
        <v>3</v>
      </c>
      <c r="M518" s="10">
        <v>31</v>
      </c>
      <c r="N518" s="64" t="s">
        <v>3655</v>
      </c>
      <c r="O518" s="66" t="s">
        <v>3648</v>
      </c>
      <c r="P518" s="66" t="s">
        <v>3657</v>
      </c>
      <c r="Q518" s="47" t="s">
        <v>3658</v>
      </c>
      <c r="R518" s="14">
        <v>2</v>
      </c>
    </row>
    <row r="519" spans="1:18" s="1" customFormat="1">
      <c r="A519" s="39"/>
      <c r="B519" s="70" t="s">
        <v>6169</v>
      </c>
      <c r="C519" s="64" t="s">
        <v>494</v>
      </c>
      <c r="D519" s="10"/>
      <c r="E519" s="10"/>
      <c r="F519" s="10"/>
      <c r="G519" s="10"/>
      <c r="H519" s="10"/>
      <c r="I519" s="10"/>
      <c r="J519" s="10"/>
      <c r="K519" s="82">
        <v>4</v>
      </c>
      <c r="L519" s="80">
        <v>3</v>
      </c>
      <c r="M519" s="10"/>
      <c r="N519" s="64" t="s">
        <v>3761</v>
      </c>
      <c r="O519" s="64" t="s">
        <v>3762</v>
      </c>
      <c r="P519" s="10" t="s">
        <v>3763</v>
      </c>
      <c r="Q519" s="10"/>
      <c r="R519" s="14"/>
    </row>
    <row r="520" spans="1:18" s="1" customFormat="1">
      <c r="A520" s="39"/>
      <c r="B520" s="94" t="s">
        <v>6171</v>
      </c>
      <c r="C520" s="64" t="s">
        <v>494</v>
      </c>
      <c r="D520" s="10"/>
      <c r="E520" s="10"/>
      <c r="F520" s="10"/>
      <c r="G520" s="10"/>
      <c r="H520" s="10"/>
      <c r="I520" s="10"/>
      <c r="J520" s="10"/>
      <c r="K520" s="82">
        <v>5</v>
      </c>
      <c r="L520" s="80">
        <v>3</v>
      </c>
      <c r="M520" s="10">
        <v>31</v>
      </c>
      <c r="N520" s="62" t="s">
        <v>3196</v>
      </c>
      <c r="O520" s="64" t="s">
        <v>3199</v>
      </c>
      <c r="P520" s="62" t="s">
        <v>3198</v>
      </c>
      <c r="Q520" s="62" t="s">
        <v>3197</v>
      </c>
      <c r="R520" s="14">
        <v>1</v>
      </c>
    </row>
    <row r="521" spans="1:18" s="1" customFormat="1">
      <c r="B521"/>
      <c r="C521" s="64"/>
      <c r="D521" s="10"/>
      <c r="E521" s="10"/>
      <c r="F521" s="10"/>
      <c r="G521" s="10"/>
      <c r="H521" s="10"/>
      <c r="I521" s="10"/>
      <c r="J521" s="10"/>
      <c r="K521" s="16"/>
      <c r="L521" s="80"/>
      <c r="M521" s="10"/>
      <c r="N521" s="62"/>
      <c r="O521" s="64"/>
      <c r="P521" s="62"/>
      <c r="Q521" s="62"/>
      <c r="R521" s="14"/>
    </row>
    <row r="522" spans="1:18" s="1" customFormat="1">
      <c r="A522" s="62" t="s">
        <v>3961</v>
      </c>
      <c r="B522" s="64" t="s">
        <v>3962</v>
      </c>
      <c r="C522" s="62" t="s">
        <v>494</v>
      </c>
      <c r="F522" s="14">
        <v>17</v>
      </c>
      <c r="G522" s="14">
        <v>1758</v>
      </c>
      <c r="H522" s="47" t="s">
        <v>3909</v>
      </c>
      <c r="I522" s="62" t="s">
        <v>3910</v>
      </c>
      <c r="J522" s="14">
        <v>7</v>
      </c>
      <c r="K522" s="82">
        <v>1</v>
      </c>
      <c r="L522" s="15"/>
      <c r="M522" s="14"/>
      <c r="O522" s="23"/>
      <c r="P522" s="23"/>
      <c r="Q522" s="14"/>
      <c r="R522" s="14"/>
    </row>
    <row r="523" spans="1:18" s="1" customFormat="1">
      <c r="B523" s="62"/>
      <c r="C523" s="62"/>
      <c r="F523" s="14"/>
      <c r="G523" s="14"/>
      <c r="H523" s="14"/>
      <c r="I523" s="11"/>
      <c r="J523" s="14"/>
      <c r="K523" s="82"/>
      <c r="L523" s="15"/>
      <c r="M523" s="14"/>
      <c r="O523" s="23"/>
      <c r="P523" s="23"/>
      <c r="Q523" s="14"/>
      <c r="R523" s="14"/>
    </row>
    <row r="524" spans="1:18" s="1" customFormat="1">
      <c r="A524" s="62" t="s">
        <v>4226</v>
      </c>
      <c r="B524" s="62" t="s">
        <v>4088</v>
      </c>
      <c r="C524" s="62" t="s">
        <v>494</v>
      </c>
      <c r="E524" s="62" t="s">
        <v>476</v>
      </c>
      <c r="F524" s="14">
        <v>17</v>
      </c>
      <c r="G524" s="14">
        <v>1759</v>
      </c>
      <c r="H524" s="47" t="s">
        <v>4230</v>
      </c>
      <c r="I524" s="48" t="s">
        <v>4231</v>
      </c>
      <c r="J524" s="14">
        <v>2</v>
      </c>
      <c r="K524" s="82">
        <v>1</v>
      </c>
      <c r="L524" s="15">
        <v>6</v>
      </c>
      <c r="M524" s="14"/>
      <c r="O524" s="23"/>
      <c r="P524" s="23"/>
      <c r="Q524" s="14"/>
      <c r="R524" s="14"/>
    </row>
    <row r="525" spans="1:18" s="1" customFormat="1">
      <c r="A525" s="62"/>
      <c r="B525" s="62" t="s">
        <v>4089</v>
      </c>
      <c r="C525" s="62" t="s">
        <v>494</v>
      </c>
      <c r="E525" s="62"/>
      <c r="F525" s="14"/>
      <c r="G525" s="14"/>
      <c r="H525" s="14"/>
      <c r="I525" s="11"/>
      <c r="J525" s="14"/>
      <c r="K525" s="82">
        <v>2</v>
      </c>
      <c r="L525" s="15">
        <v>6</v>
      </c>
      <c r="M525" s="14"/>
      <c r="O525" s="23"/>
      <c r="P525" s="23"/>
      <c r="Q525" s="14"/>
      <c r="R525" s="14"/>
    </row>
    <row r="526" spans="1:18" s="1" customFormat="1">
      <c r="B526" s="62" t="s">
        <v>4229</v>
      </c>
      <c r="C526" s="62" t="s">
        <v>493</v>
      </c>
      <c r="D526" s="1">
        <v>1</v>
      </c>
      <c r="F526" s="14"/>
      <c r="G526" s="14"/>
      <c r="H526" s="14"/>
      <c r="I526" s="11"/>
      <c r="J526" s="14"/>
      <c r="K526" s="82">
        <v>3</v>
      </c>
      <c r="L526" s="15">
        <v>3</v>
      </c>
      <c r="M526" s="14"/>
      <c r="O526" s="23"/>
      <c r="P526" s="23"/>
      <c r="Q526" s="14"/>
      <c r="R526" s="14"/>
    </row>
    <row r="527" spans="1:18" s="1" customFormat="1">
      <c r="B527" s="62" t="s">
        <v>4227</v>
      </c>
      <c r="C527" s="62" t="s">
        <v>493</v>
      </c>
      <c r="D527" s="1">
        <v>50</v>
      </c>
      <c r="F527" s="14"/>
      <c r="G527" s="14"/>
      <c r="H527" s="14"/>
      <c r="I527" s="11"/>
      <c r="J527" s="14"/>
      <c r="K527" s="82">
        <v>4</v>
      </c>
      <c r="L527" s="15"/>
      <c r="M527" s="14"/>
      <c r="O527" s="23"/>
      <c r="P527" s="23"/>
      <c r="Q527" s="14"/>
      <c r="R527" s="14"/>
    </row>
    <row r="528" spans="1:18" s="1" customFormat="1">
      <c r="B528" s="62" t="s">
        <v>4228</v>
      </c>
      <c r="C528" s="62" t="s">
        <v>494</v>
      </c>
      <c r="F528" s="14"/>
      <c r="G528" s="14"/>
      <c r="H528" s="14"/>
      <c r="I528" s="11"/>
      <c r="J528" s="14"/>
      <c r="K528" s="82">
        <v>5</v>
      </c>
      <c r="L528" s="15">
        <v>3</v>
      </c>
      <c r="M528" s="14"/>
      <c r="N528" s="62" t="s">
        <v>3664</v>
      </c>
      <c r="O528" s="62" t="s">
        <v>3666</v>
      </c>
      <c r="P528" s="62" t="s">
        <v>3667</v>
      </c>
      <c r="Q528" s="14"/>
      <c r="R528" s="14"/>
    </row>
    <row r="529" spans="1:18" s="1" customFormat="1">
      <c r="B529" s="62"/>
      <c r="C529" s="62"/>
      <c r="F529" s="14"/>
      <c r="G529" s="14"/>
      <c r="H529" s="14"/>
      <c r="I529" s="11"/>
      <c r="J529" s="14"/>
      <c r="K529" s="82"/>
      <c r="L529" s="15"/>
      <c r="M529" s="14"/>
      <c r="O529" s="23"/>
      <c r="P529" s="23"/>
      <c r="Q529" s="14"/>
      <c r="R529" s="14"/>
    </row>
    <row r="530" spans="1:18" s="1" customFormat="1">
      <c r="A530" s="62" t="s">
        <v>4236</v>
      </c>
      <c r="B530" s="62" t="s">
        <v>4237</v>
      </c>
      <c r="C530" s="62" t="s">
        <v>494</v>
      </c>
      <c r="E530" s="62" t="s">
        <v>476</v>
      </c>
      <c r="F530" s="14">
        <v>17</v>
      </c>
      <c r="G530" s="14">
        <v>1760</v>
      </c>
      <c r="H530" s="47" t="s">
        <v>4242</v>
      </c>
      <c r="I530" s="48" t="s">
        <v>4243</v>
      </c>
      <c r="J530" s="14">
        <v>2</v>
      </c>
      <c r="K530" s="82">
        <v>1</v>
      </c>
      <c r="L530" s="15">
        <v>6</v>
      </c>
      <c r="M530" s="14"/>
      <c r="O530" s="23"/>
      <c r="P530" s="23"/>
      <c r="Q530" s="14"/>
      <c r="R530" s="14"/>
    </row>
    <row r="531" spans="1:18" s="1" customFormat="1">
      <c r="A531" s="62"/>
      <c r="B531" s="62" t="s">
        <v>4238</v>
      </c>
      <c r="C531" s="62" t="s">
        <v>494</v>
      </c>
      <c r="E531" s="62"/>
      <c r="F531" s="14"/>
      <c r="G531" s="14"/>
      <c r="H531" s="14"/>
      <c r="I531" s="11"/>
      <c r="J531" s="14"/>
      <c r="K531" s="82">
        <v>2</v>
      </c>
      <c r="L531" s="15">
        <v>6</v>
      </c>
      <c r="M531" s="14"/>
      <c r="O531" s="23"/>
      <c r="P531" s="23"/>
      <c r="Q531" s="14"/>
      <c r="R531" s="14"/>
    </row>
    <row r="532" spans="1:18" s="1" customFormat="1">
      <c r="B532" s="62" t="s">
        <v>4239</v>
      </c>
      <c r="C532" s="62" t="s">
        <v>493</v>
      </c>
      <c r="D532" s="1">
        <v>1</v>
      </c>
      <c r="F532" s="14"/>
      <c r="G532" s="14"/>
      <c r="H532" s="14"/>
      <c r="I532" s="11"/>
      <c r="J532" s="14"/>
      <c r="K532" s="82">
        <v>3</v>
      </c>
      <c r="L532" s="15">
        <v>3</v>
      </c>
      <c r="M532" s="14"/>
      <c r="O532" s="23"/>
      <c r="P532" s="23"/>
      <c r="Q532" s="14"/>
      <c r="R532" s="14"/>
    </row>
    <row r="533" spans="1:18" s="1" customFormat="1">
      <c r="B533" s="62" t="s">
        <v>4240</v>
      </c>
      <c r="C533" s="62" t="s">
        <v>493</v>
      </c>
      <c r="D533" s="1">
        <v>50</v>
      </c>
      <c r="F533" s="14"/>
      <c r="G533" s="14"/>
      <c r="H533" s="14"/>
      <c r="I533" s="11"/>
      <c r="J533" s="14"/>
      <c r="K533" s="82">
        <v>4</v>
      </c>
      <c r="L533" s="15"/>
      <c r="M533" s="14"/>
      <c r="O533" s="23"/>
      <c r="P533" s="23"/>
      <c r="Q533" s="14"/>
      <c r="R533" s="14"/>
    </row>
    <row r="534" spans="1:18" s="1" customFormat="1">
      <c r="B534" s="62"/>
      <c r="C534" s="62"/>
      <c r="F534" s="14"/>
      <c r="G534" s="14"/>
      <c r="H534" s="14"/>
      <c r="I534" s="11"/>
      <c r="J534" s="14"/>
      <c r="K534" s="82"/>
      <c r="L534" s="15"/>
      <c r="M534" s="14"/>
      <c r="O534" s="23"/>
      <c r="P534" s="23"/>
      <c r="Q534" s="14"/>
      <c r="R534" s="14"/>
    </row>
    <row r="535" spans="1:18" s="1" customFormat="1">
      <c r="A535" s="70" t="s">
        <v>975</v>
      </c>
      <c r="B535" s="67" t="s">
        <v>976</v>
      </c>
      <c r="C535" s="39" t="s">
        <v>494</v>
      </c>
      <c r="E535" s="1" t="s">
        <v>476</v>
      </c>
      <c r="F535" s="14">
        <v>17</v>
      </c>
      <c r="G535" s="14">
        <v>1761</v>
      </c>
      <c r="H535" s="47" t="s">
        <v>5623</v>
      </c>
      <c r="I535" s="48" t="s">
        <v>5622</v>
      </c>
      <c r="J535" s="14">
        <v>7</v>
      </c>
      <c r="K535" s="16">
        <v>1</v>
      </c>
      <c r="L535" s="15">
        <v>3</v>
      </c>
      <c r="M535" s="14"/>
      <c r="N535" s="64" t="s">
        <v>506</v>
      </c>
      <c r="O535" s="64" t="s">
        <v>514</v>
      </c>
      <c r="P535" s="62" t="s">
        <v>515</v>
      </c>
      <c r="Q535" s="14"/>
      <c r="R535" s="14"/>
    </row>
    <row r="536" spans="1:18" s="1" customFormat="1">
      <c r="A536" s="39"/>
      <c r="B536" s="67" t="s">
        <v>977</v>
      </c>
      <c r="C536" s="39" t="s">
        <v>494</v>
      </c>
      <c r="E536" s="1" t="s">
        <v>476</v>
      </c>
      <c r="F536" s="14"/>
      <c r="G536" s="14"/>
      <c r="H536" s="14"/>
      <c r="I536" s="11"/>
      <c r="J536" s="14"/>
      <c r="K536" s="16">
        <v>2</v>
      </c>
      <c r="L536" s="15">
        <v>9</v>
      </c>
      <c r="M536" s="14"/>
      <c r="N536" s="62" t="s">
        <v>1038</v>
      </c>
      <c r="O536" s="23" t="s">
        <v>1040</v>
      </c>
      <c r="P536" s="23" t="s">
        <v>1041</v>
      </c>
      <c r="Q536" s="23" t="s">
        <v>1040</v>
      </c>
      <c r="R536" s="14">
        <v>140</v>
      </c>
    </row>
    <row r="537" spans="1:18" s="1" customFormat="1">
      <c r="A537" s="39"/>
      <c r="B537" s="67" t="s">
        <v>978</v>
      </c>
      <c r="C537" s="39" t="s">
        <v>494</v>
      </c>
      <c r="E537" s="1" t="s">
        <v>476</v>
      </c>
      <c r="F537" s="14"/>
      <c r="G537" s="14"/>
      <c r="H537" s="14"/>
      <c r="I537" s="11"/>
      <c r="J537" s="14"/>
      <c r="K537" s="16">
        <v>3</v>
      </c>
      <c r="L537" s="15">
        <v>3</v>
      </c>
      <c r="M537" s="14"/>
      <c r="N537" s="62" t="s">
        <v>379</v>
      </c>
      <c r="O537" s="62" t="s">
        <v>698</v>
      </c>
      <c r="P537" s="62" t="s">
        <v>699</v>
      </c>
      <c r="Q537" s="14"/>
      <c r="R537" s="14"/>
    </row>
    <row r="538" spans="1:18" s="1" customFormat="1">
      <c r="A538" s="39"/>
      <c r="B538" s="67" t="s">
        <v>979</v>
      </c>
      <c r="C538" s="39" t="s">
        <v>494</v>
      </c>
      <c r="F538" s="14"/>
      <c r="G538" s="14"/>
      <c r="H538" s="14"/>
      <c r="I538" s="11"/>
      <c r="J538" s="14"/>
      <c r="K538" s="16">
        <v>4</v>
      </c>
      <c r="L538" s="15">
        <v>6</v>
      </c>
      <c r="M538" s="14"/>
      <c r="P538" s="14"/>
      <c r="Q538" s="14"/>
      <c r="R538" s="14"/>
    </row>
    <row r="539" spans="1:18" s="1" customFormat="1">
      <c r="A539" s="39"/>
      <c r="B539" s="67" t="s">
        <v>280</v>
      </c>
      <c r="C539" s="39" t="s">
        <v>494</v>
      </c>
      <c r="F539" s="14"/>
      <c r="G539" s="14"/>
      <c r="H539" s="14"/>
      <c r="I539" s="11"/>
      <c r="J539" s="14"/>
      <c r="K539" s="16">
        <v>5</v>
      </c>
      <c r="L539" s="15">
        <v>3</v>
      </c>
      <c r="M539" s="14"/>
      <c r="N539" s="62" t="s">
        <v>3664</v>
      </c>
      <c r="O539" s="60" t="s">
        <v>3666</v>
      </c>
      <c r="P539" s="60" t="s">
        <v>3667</v>
      </c>
      <c r="Q539" s="14"/>
      <c r="R539" s="14"/>
    </row>
    <row r="540" spans="1:18" s="1" customFormat="1">
      <c r="A540" s="39"/>
      <c r="B540" s="67" t="s">
        <v>2849</v>
      </c>
      <c r="C540" s="70" t="s">
        <v>494</v>
      </c>
      <c r="D540" s="16"/>
      <c r="F540" s="14"/>
      <c r="G540" s="14"/>
      <c r="H540" s="47"/>
      <c r="I540" s="11"/>
      <c r="J540" s="14"/>
      <c r="K540" s="16">
        <v>6</v>
      </c>
      <c r="L540" s="15">
        <v>3</v>
      </c>
      <c r="M540" s="10">
        <v>31</v>
      </c>
      <c r="N540" s="64" t="s">
        <v>3655</v>
      </c>
      <c r="O540" s="66" t="s">
        <v>3648</v>
      </c>
      <c r="P540" s="66" t="s">
        <v>3657</v>
      </c>
      <c r="Q540" s="47" t="s">
        <v>3658</v>
      </c>
      <c r="R540" s="14">
        <v>5</v>
      </c>
    </row>
    <row r="541" spans="1:18" s="1" customFormat="1">
      <c r="A541" s="39"/>
      <c r="B541" s="67" t="s">
        <v>980</v>
      </c>
      <c r="C541" s="39" t="s">
        <v>494</v>
      </c>
      <c r="F541" s="14"/>
      <c r="G541" s="14"/>
      <c r="H541" s="14"/>
      <c r="I541" s="11"/>
      <c r="J541" s="14"/>
      <c r="K541" s="16">
        <v>7</v>
      </c>
      <c r="L541" s="15">
        <v>3</v>
      </c>
      <c r="M541" s="14">
        <v>1</v>
      </c>
      <c r="N541" s="62" t="s">
        <v>974</v>
      </c>
      <c r="O541" s="60" t="s">
        <v>954</v>
      </c>
      <c r="P541" s="23" t="s">
        <v>984</v>
      </c>
      <c r="Q541" s="14"/>
      <c r="R541" s="14"/>
    </row>
    <row r="542" spans="1:18" s="1" customFormat="1">
      <c r="A542" s="39"/>
      <c r="B542" s="67" t="s">
        <v>268</v>
      </c>
      <c r="C542" s="39" t="s">
        <v>494</v>
      </c>
      <c r="F542" s="14"/>
      <c r="G542" s="14"/>
      <c r="H542" s="14"/>
      <c r="I542" s="11"/>
      <c r="J542" s="14"/>
      <c r="K542" s="16">
        <v>8</v>
      </c>
      <c r="L542" s="15">
        <v>3</v>
      </c>
      <c r="M542" s="14">
        <v>1</v>
      </c>
      <c r="N542" s="62" t="s">
        <v>269</v>
      </c>
      <c r="O542" s="23" t="s">
        <v>270</v>
      </c>
      <c r="P542" s="23" t="s">
        <v>271</v>
      </c>
      <c r="Q542" s="14"/>
      <c r="R542" s="14"/>
    </row>
    <row r="543" spans="1:18" s="1" customFormat="1">
      <c r="A543" s="10"/>
      <c r="B543" s="45"/>
      <c r="C543" s="10"/>
      <c r="D543" s="10"/>
      <c r="E543" s="10"/>
      <c r="F543" s="10"/>
      <c r="G543" s="10"/>
      <c r="H543" s="10"/>
      <c r="I543" s="10"/>
      <c r="J543" s="10"/>
      <c r="K543" s="16"/>
      <c r="L543" s="31"/>
      <c r="M543" s="10"/>
      <c r="N543" s="10"/>
      <c r="O543" s="10"/>
      <c r="P543" s="10"/>
      <c r="Q543" s="10"/>
      <c r="R543" s="10"/>
    </row>
    <row r="544" spans="1:18" s="1" customFormat="1">
      <c r="A544" s="64" t="s">
        <v>5989</v>
      </c>
      <c r="B544" s="66" t="s">
        <v>5990</v>
      </c>
      <c r="C544" s="64" t="s">
        <v>494</v>
      </c>
      <c r="D544" s="10"/>
      <c r="E544" s="64" t="s">
        <v>476</v>
      </c>
      <c r="F544" s="10">
        <v>17</v>
      </c>
      <c r="G544" s="10">
        <v>1762</v>
      </c>
      <c r="H544" s="64" t="s">
        <v>6012</v>
      </c>
      <c r="I544" s="64" t="s">
        <v>6013</v>
      </c>
      <c r="J544" s="10">
        <v>1704</v>
      </c>
      <c r="K544" s="16">
        <v>1</v>
      </c>
      <c r="L544" s="31"/>
      <c r="M544" s="10"/>
      <c r="N544" s="10"/>
      <c r="O544" s="10"/>
      <c r="P544" s="10"/>
      <c r="Q544" s="10"/>
      <c r="R544" s="10"/>
    </row>
    <row r="545" spans="1:18" s="1" customFormat="1">
      <c r="A545" s="10"/>
      <c r="B545" s="66" t="s">
        <v>5991</v>
      </c>
      <c r="C545" s="64" t="s">
        <v>494</v>
      </c>
      <c r="D545" s="10"/>
      <c r="E545" s="64" t="s">
        <v>476</v>
      </c>
      <c r="F545" s="10"/>
      <c r="G545" s="10"/>
      <c r="H545" s="10"/>
      <c r="I545" s="10"/>
      <c r="J545" s="10"/>
      <c r="K545" s="16">
        <v>2</v>
      </c>
      <c r="L545" s="31"/>
      <c r="M545" s="10"/>
      <c r="N545" s="10"/>
      <c r="O545" s="10"/>
      <c r="P545" s="10"/>
      <c r="Q545" s="10"/>
      <c r="R545" s="10"/>
    </row>
    <row r="546" spans="1:18" s="1" customFormat="1">
      <c r="A546" s="10"/>
      <c r="B546" s="66" t="s">
        <v>5992</v>
      </c>
      <c r="C546" s="64" t="s">
        <v>494</v>
      </c>
      <c r="D546" s="10"/>
      <c r="E546" s="64" t="s">
        <v>476</v>
      </c>
      <c r="F546" s="10"/>
      <c r="G546" s="10"/>
      <c r="H546" s="10"/>
      <c r="I546" s="10"/>
      <c r="J546" s="10"/>
      <c r="K546" s="16">
        <v>3</v>
      </c>
      <c r="L546" s="31"/>
      <c r="M546" s="10"/>
      <c r="N546" s="10"/>
      <c r="O546" s="10"/>
      <c r="P546" s="10"/>
      <c r="Q546" s="10"/>
      <c r="R546" s="10"/>
    </row>
    <row r="547" spans="1:18" s="1" customFormat="1">
      <c r="A547" s="10"/>
      <c r="B547" s="66" t="s">
        <v>6007</v>
      </c>
      <c r="C547" s="64" t="s">
        <v>494</v>
      </c>
      <c r="D547" s="10"/>
      <c r="E547" s="64" t="s">
        <v>476</v>
      </c>
      <c r="F547" s="10"/>
      <c r="G547" s="10"/>
      <c r="H547" s="10"/>
      <c r="I547" s="10"/>
      <c r="J547" s="10"/>
      <c r="K547" s="16">
        <v>4</v>
      </c>
      <c r="L547" s="31"/>
      <c r="M547" s="10"/>
      <c r="N547" s="10"/>
      <c r="O547" s="10"/>
      <c r="P547" s="10"/>
      <c r="Q547" s="10"/>
      <c r="R547" s="10"/>
    </row>
    <row r="548" spans="1:18" s="1" customFormat="1">
      <c r="A548" s="10"/>
      <c r="B548" s="66" t="s">
        <v>5993</v>
      </c>
      <c r="C548" s="64" t="s">
        <v>494</v>
      </c>
      <c r="D548" s="10"/>
      <c r="E548" s="10"/>
      <c r="F548" s="10"/>
      <c r="G548" s="10"/>
      <c r="H548" s="10"/>
      <c r="I548" s="10"/>
      <c r="J548" s="10"/>
      <c r="K548" s="16">
        <v>5</v>
      </c>
      <c r="L548" s="31"/>
      <c r="M548" s="10"/>
      <c r="N548" s="10"/>
      <c r="O548" s="10"/>
      <c r="P548" s="10"/>
      <c r="Q548" s="10"/>
      <c r="R548" s="10"/>
    </row>
    <row r="549" spans="1:18" s="1" customFormat="1">
      <c r="A549" s="10"/>
      <c r="B549" s="66" t="s">
        <v>6008</v>
      </c>
      <c r="C549" s="64" t="s">
        <v>494</v>
      </c>
      <c r="D549" s="10"/>
      <c r="E549" s="10"/>
      <c r="F549" s="10"/>
      <c r="G549" s="10"/>
      <c r="H549" s="10"/>
      <c r="I549" s="10"/>
      <c r="J549" s="10"/>
      <c r="K549" s="16">
        <v>6</v>
      </c>
      <c r="L549" s="31"/>
      <c r="M549" s="10"/>
      <c r="N549" s="10"/>
      <c r="O549" s="10"/>
      <c r="P549" s="10"/>
      <c r="Q549" s="10"/>
      <c r="R549" s="10"/>
    </row>
    <row r="550" spans="1:18" s="1" customFormat="1">
      <c r="A550" s="10"/>
      <c r="B550" s="66" t="s">
        <v>6006</v>
      </c>
      <c r="C550" s="64" t="s">
        <v>494</v>
      </c>
      <c r="D550" s="10"/>
      <c r="E550" s="10"/>
      <c r="F550" s="10"/>
      <c r="G550" s="10"/>
      <c r="H550" s="10"/>
      <c r="I550" s="10"/>
      <c r="J550" s="10"/>
      <c r="K550" s="16">
        <v>7</v>
      </c>
      <c r="L550" s="31"/>
      <c r="M550" s="10"/>
      <c r="N550" s="10"/>
      <c r="O550" s="10"/>
      <c r="P550" s="10"/>
      <c r="Q550" s="10"/>
      <c r="R550" s="10"/>
    </row>
    <row r="551" spans="1:18" s="1" customFormat="1">
      <c r="A551" s="10"/>
      <c r="B551" s="66" t="s">
        <v>6005</v>
      </c>
      <c r="C551" s="64" t="s">
        <v>494</v>
      </c>
      <c r="D551" s="10"/>
      <c r="E551" s="10"/>
      <c r="F551" s="10"/>
      <c r="G551" s="10"/>
      <c r="H551" s="10"/>
      <c r="I551" s="10"/>
      <c r="J551" s="10"/>
      <c r="K551" s="16">
        <v>8</v>
      </c>
      <c r="L551" s="31"/>
      <c r="M551" s="10"/>
      <c r="N551" s="10"/>
      <c r="O551" s="10"/>
      <c r="P551" s="10"/>
      <c r="Q551" s="10"/>
      <c r="R551" s="10"/>
    </row>
    <row r="552" spans="1:18" s="1" customFormat="1">
      <c r="A552" s="10"/>
      <c r="B552" s="66" t="s">
        <v>5994</v>
      </c>
      <c r="C552" s="64" t="s">
        <v>494</v>
      </c>
      <c r="D552" s="10"/>
      <c r="E552" s="10"/>
      <c r="F552" s="10"/>
      <c r="G552" s="10"/>
      <c r="H552" s="10"/>
      <c r="I552" s="10"/>
      <c r="J552" s="10"/>
      <c r="K552" s="16">
        <v>9</v>
      </c>
      <c r="L552" s="31"/>
      <c r="M552" s="10"/>
      <c r="N552" s="10"/>
      <c r="O552" s="10"/>
      <c r="P552" s="10"/>
      <c r="Q552" s="10"/>
      <c r="R552" s="10"/>
    </row>
    <row r="553" spans="1:18" s="1" customFormat="1">
      <c r="A553" s="10"/>
      <c r="B553" s="66" t="s">
        <v>5995</v>
      </c>
      <c r="C553" s="64" t="s">
        <v>494</v>
      </c>
      <c r="D553" s="10"/>
      <c r="E553" s="10"/>
      <c r="F553" s="10"/>
      <c r="G553" s="10"/>
      <c r="H553" s="10"/>
      <c r="I553" s="10"/>
      <c r="J553" s="10"/>
      <c r="K553" s="16">
        <v>10</v>
      </c>
      <c r="L553" s="31"/>
      <c r="M553" s="10"/>
      <c r="N553" s="10"/>
      <c r="O553" s="10"/>
      <c r="P553" s="10"/>
      <c r="Q553" s="10"/>
      <c r="R553" s="10"/>
    </row>
    <row r="554" spans="1:18" s="1" customFormat="1">
      <c r="A554" s="10"/>
      <c r="B554" s="66" t="s">
        <v>6009</v>
      </c>
      <c r="C554" s="64" t="s">
        <v>494</v>
      </c>
      <c r="D554" s="10"/>
      <c r="E554" s="10"/>
      <c r="F554" s="10"/>
      <c r="G554" s="10"/>
      <c r="H554" s="10"/>
      <c r="I554" s="10"/>
      <c r="J554" s="10"/>
      <c r="K554" s="16">
        <v>11</v>
      </c>
      <c r="L554" s="31"/>
      <c r="M554" s="10"/>
      <c r="N554" s="10"/>
      <c r="O554" s="10"/>
      <c r="P554" s="10"/>
      <c r="Q554" s="10"/>
      <c r="R554" s="10"/>
    </row>
    <row r="555" spans="1:18" s="1" customFormat="1">
      <c r="A555" s="10"/>
      <c r="B555" s="66" t="s">
        <v>6010</v>
      </c>
      <c r="C555" s="64" t="s">
        <v>494</v>
      </c>
      <c r="D555" s="10"/>
      <c r="E555" s="10"/>
      <c r="F555" s="10"/>
      <c r="G555" s="10"/>
      <c r="H555" s="10"/>
      <c r="I555" s="10"/>
      <c r="J555" s="10"/>
      <c r="K555" s="16">
        <v>12</v>
      </c>
      <c r="L555" s="31"/>
      <c r="M555" s="10"/>
      <c r="N555" s="10"/>
      <c r="O555" s="10"/>
      <c r="P555" s="10"/>
      <c r="Q555" s="10"/>
      <c r="R555" s="10"/>
    </row>
    <row r="556" spans="1:18" s="1" customFormat="1">
      <c r="A556" s="10"/>
      <c r="B556" s="66" t="s">
        <v>6011</v>
      </c>
      <c r="C556" s="64" t="s">
        <v>520</v>
      </c>
      <c r="D556" s="10"/>
      <c r="E556" s="10"/>
      <c r="F556" s="10"/>
      <c r="G556" s="10"/>
      <c r="H556" s="10"/>
      <c r="I556" s="10"/>
      <c r="J556" s="10"/>
      <c r="K556" s="16">
        <v>13</v>
      </c>
      <c r="L556" s="31"/>
      <c r="M556" s="10"/>
      <c r="N556" s="10"/>
      <c r="O556" s="10"/>
      <c r="P556" s="10"/>
      <c r="Q556" s="10"/>
      <c r="R556" s="10"/>
    </row>
    <row r="557" spans="1:18" s="1" customFormat="1">
      <c r="A557" s="10"/>
      <c r="B557" s="45"/>
      <c r="C557" s="10"/>
      <c r="D557" s="10"/>
      <c r="E557" s="10"/>
      <c r="F557" s="10"/>
      <c r="G557" s="10"/>
      <c r="H557" s="10"/>
      <c r="I557" s="10"/>
      <c r="J557" s="10"/>
      <c r="K557" s="16"/>
      <c r="L557" s="31"/>
      <c r="M557" s="10"/>
      <c r="N557" s="10"/>
      <c r="O557" s="10"/>
      <c r="P557" s="10"/>
      <c r="Q557" s="10"/>
      <c r="R557" s="10"/>
    </row>
    <row r="558" spans="1:18" s="1" customFormat="1">
      <c r="A558" s="64" t="s">
        <v>5996</v>
      </c>
      <c r="B558" s="66" t="s">
        <v>5997</v>
      </c>
      <c r="C558" s="64" t="s">
        <v>494</v>
      </c>
      <c r="D558" s="10"/>
      <c r="E558" s="64" t="s">
        <v>476</v>
      </c>
      <c r="F558" s="10">
        <v>17</v>
      </c>
      <c r="G558" s="10">
        <v>1763</v>
      </c>
      <c r="H558" s="64" t="s">
        <v>6014</v>
      </c>
      <c r="I558" s="10"/>
      <c r="J558" s="10">
        <v>1704</v>
      </c>
      <c r="K558" s="16">
        <v>1</v>
      </c>
      <c r="L558" s="31"/>
      <c r="M558" s="10"/>
      <c r="N558" s="10"/>
      <c r="O558" s="10"/>
      <c r="P558" s="10"/>
      <c r="Q558" s="10"/>
      <c r="R558" s="10"/>
    </row>
    <row r="559" spans="1:18" s="1" customFormat="1">
      <c r="A559" s="10"/>
      <c r="B559" s="66" t="s">
        <v>5998</v>
      </c>
      <c r="C559" s="64" t="s">
        <v>494</v>
      </c>
      <c r="D559" s="10"/>
      <c r="E559" s="64" t="s">
        <v>476</v>
      </c>
      <c r="F559" s="10"/>
      <c r="G559" s="10"/>
      <c r="H559" s="10"/>
      <c r="I559" s="10"/>
      <c r="J559" s="10"/>
      <c r="K559" s="16">
        <v>2</v>
      </c>
      <c r="L559" s="31"/>
      <c r="M559" s="10"/>
      <c r="N559" s="10"/>
      <c r="O559" s="10"/>
      <c r="P559" s="10"/>
      <c r="Q559" s="10"/>
      <c r="R559" s="10"/>
    </row>
    <row r="560" spans="1:18" s="1" customFormat="1">
      <c r="A560" s="10"/>
      <c r="B560" s="66" t="s">
        <v>5999</v>
      </c>
      <c r="C560" s="64" t="s">
        <v>494</v>
      </c>
      <c r="D560" s="10"/>
      <c r="E560" s="10"/>
      <c r="F560" s="10"/>
      <c r="G560" s="10"/>
      <c r="H560" s="10"/>
      <c r="I560" s="10"/>
      <c r="J560" s="10"/>
      <c r="K560" s="16">
        <v>3</v>
      </c>
      <c r="L560" s="31"/>
      <c r="M560" s="10"/>
      <c r="N560" s="10"/>
      <c r="O560" s="10"/>
      <c r="P560" s="10"/>
      <c r="Q560" s="10"/>
      <c r="R560" s="10"/>
    </row>
    <row r="561" spans="1:18" s="1" customFormat="1">
      <c r="A561" s="10"/>
      <c r="B561" s="66" t="s">
        <v>6000</v>
      </c>
      <c r="C561" s="64" t="s">
        <v>494</v>
      </c>
      <c r="D561" s="10"/>
      <c r="E561" s="10"/>
      <c r="F561" s="10"/>
      <c r="G561" s="10"/>
      <c r="H561" s="10"/>
      <c r="I561" s="10"/>
      <c r="J561" s="10"/>
      <c r="K561" s="16">
        <v>4</v>
      </c>
      <c r="L561" s="31"/>
      <c r="M561" s="10"/>
      <c r="N561" s="10"/>
      <c r="O561" s="10"/>
      <c r="P561" s="10"/>
      <c r="Q561" s="10"/>
      <c r="R561" s="10"/>
    </row>
    <row r="562" spans="1:18" s="1" customFormat="1">
      <c r="A562" s="10"/>
      <c r="B562" s="66" t="s">
        <v>6001</v>
      </c>
      <c r="C562" s="64" t="s">
        <v>494</v>
      </c>
      <c r="D562" s="10"/>
      <c r="E562" s="10"/>
      <c r="F562" s="10"/>
      <c r="G562" s="10"/>
      <c r="H562" s="10"/>
      <c r="I562" s="10"/>
      <c r="J562" s="10"/>
      <c r="K562" s="16">
        <v>5</v>
      </c>
      <c r="L562" s="31"/>
      <c r="M562" s="10"/>
      <c r="N562" s="10"/>
      <c r="O562" s="10"/>
      <c r="P562" s="10"/>
      <c r="Q562" s="10"/>
      <c r="R562" s="10"/>
    </row>
    <row r="563" spans="1:18" s="1" customFormat="1">
      <c r="A563" s="10"/>
      <c r="B563" s="66" t="s">
        <v>6002</v>
      </c>
      <c r="C563" s="64" t="s">
        <v>494</v>
      </c>
      <c r="D563" s="10"/>
      <c r="E563" s="10"/>
      <c r="F563" s="10"/>
      <c r="G563" s="10"/>
      <c r="H563" s="10"/>
      <c r="I563" s="10"/>
      <c r="J563" s="10"/>
      <c r="K563" s="16">
        <v>6</v>
      </c>
      <c r="L563" s="31"/>
      <c r="M563" s="10"/>
      <c r="N563" s="10"/>
      <c r="O563" s="10"/>
      <c r="P563" s="10"/>
      <c r="Q563" s="10"/>
      <c r="R563" s="10"/>
    </row>
    <row r="564" spans="1:18" s="1" customFormat="1">
      <c r="A564" s="10"/>
      <c r="B564" s="66" t="s">
        <v>6003</v>
      </c>
      <c r="C564" s="64" t="s">
        <v>494</v>
      </c>
      <c r="D564" s="10"/>
      <c r="E564" s="10"/>
      <c r="F564" s="10"/>
      <c r="G564" s="10"/>
      <c r="H564" s="10"/>
      <c r="I564" s="10"/>
      <c r="J564" s="10"/>
      <c r="K564" s="16">
        <v>7</v>
      </c>
      <c r="L564" s="31"/>
      <c r="M564" s="10"/>
      <c r="N564" s="10"/>
      <c r="O564" s="10"/>
      <c r="P564" s="10"/>
      <c r="Q564" s="10"/>
      <c r="R564" s="10"/>
    </row>
    <row r="565" spans="1:18" s="1" customFormat="1">
      <c r="A565" s="10"/>
      <c r="B565" s="66" t="s">
        <v>6004</v>
      </c>
      <c r="C565" s="64" t="s">
        <v>494</v>
      </c>
      <c r="D565" s="10"/>
      <c r="E565" s="10"/>
      <c r="F565" s="10"/>
      <c r="G565" s="10"/>
      <c r="H565" s="10"/>
      <c r="I565" s="10"/>
      <c r="J565" s="10"/>
      <c r="K565" s="16">
        <v>8</v>
      </c>
      <c r="L565" s="31"/>
      <c r="M565" s="10"/>
      <c r="N565" s="10"/>
      <c r="O565" s="10"/>
      <c r="P565" s="10"/>
      <c r="Q565" s="10"/>
      <c r="R565" s="10"/>
    </row>
    <row r="566" spans="1:18" s="1" customFormat="1">
      <c r="A566" s="10"/>
      <c r="B566" s="66"/>
      <c r="C566" s="10"/>
      <c r="D566" s="10"/>
      <c r="E566" s="10"/>
      <c r="F566" s="10"/>
      <c r="G566" s="10"/>
      <c r="H566" s="10"/>
      <c r="I566" s="10"/>
      <c r="J566" s="10"/>
      <c r="K566" s="16"/>
      <c r="L566" s="31"/>
      <c r="M566" s="10"/>
      <c r="N566" s="10"/>
      <c r="O566" s="10"/>
      <c r="P566" s="10"/>
      <c r="Q566" s="10"/>
      <c r="R566" s="10"/>
    </row>
    <row r="567" spans="1:18" s="1" customFormat="1">
      <c r="A567" s="64" t="s">
        <v>6162</v>
      </c>
      <c r="B567" t="s">
        <v>6163</v>
      </c>
      <c r="C567" s="64" t="s">
        <v>494</v>
      </c>
      <c r="D567" s="10"/>
      <c r="E567" s="64" t="s">
        <v>476</v>
      </c>
      <c r="F567" s="10">
        <v>17</v>
      </c>
      <c r="G567" s="10">
        <v>1756</v>
      </c>
      <c r="H567" s="64" t="s">
        <v>6182</v>
      </c>
      <c r="I567" s="10" t="s">
        <v>3776</v>
      </c>
      <c r="J567" s="10">
        <v>1704</v>
      </c>
      <c r="K567" s="16">
        <v>1</v>
      </c>
      <c r="L567" s="80">
        <v>3</v>
      </c>
      <c r="M567" s="10"/>
      <c r="N567" s="64" t="s">
        <v>506</v>
      </c>
      <c r="O567" s="64" t="s">
        <v>514</v>
      </c>
      <c r="P567" s="62" t="s">
        <v>515</v>
      </c>
      <c r="Q567" s="10"/>
      <c r="R567" s="10"/>
    </row>
    <row r="568" spans="1:18" s="1" customFormat="1">
      <c r="A568" s="10"/>
      <c r="B568" t="s">
        <v>6164</v>
      </c>
      <c r="C568" s="64" t="s">
        <v>494</v>
      </c>
      <c r="D568" s="10"/>
      <c r="E568" s="64" t="s">
        <v>476</v>
      </c>
      <c r="F568" s="10"/>
      <c r="G568" s="10"/>
      <c r="H568" s="10"/>
      <c r="I568" s="10"/>
      <c r="J568" s="10"/>
      <c r="K568" s="16">
        <v>2</v>
      </c>
      <c r="L568" s="31">
        <v>3</v>
      </c>
      <c r="M568" s="10"/>
      <c r="N568" s="62" t="s">
        <v>1038</v>
      </c>
      <c r="O568" s="23" t="s">
        <v>1040</v>
      </c>
      <c r="P568" s="23" t="s">
        <v>1041</v>
      </c>
      <c r="Q568" s="10"/>
      <c r="R568" s="10"/>
    </row>
    <row r="569" spans="1:18" s="1" customFormat="1">
      <c r="A569" s="10"/>
      <c r="B569" t="s">
        <v>6165</v>
      </c>
      <c r="C569" s="64" t="s">
        <v>494</v>
      </c>
      <c r="D569" s="10"/>
      <c r="E569" s="10"/>
      <c r="F569" s="10"/>
      <c r="G569" s="10"/>
      <c r="H569" s="10"/>
      <c r="I569" s="10"/>
      <c r="J569" s="10"/>
      <c r="K569" s="16">
        <v>3</v>
      </c>
      <c r="L569" s="31">
        <v>6</v>
      </c>
      <c r="M569" s="10"/>
      <c r="N569" s="10"/>
      <c r="O569" s="10"/>
      <c r="P569" s="10"/>
      <c r="Q569" s="10"/>
      <c r="R569" s="10"/>
    </row>
    <row r="570" spans="1:18" s="1" customFormat="1">
      <c r="A570" s="10"/>
      <c r="B570" s="62" t="s">
        <v>6166</v>
      </c>
      <c r="C570" s="64" t="s">
        <v>494</v>
      </c>
      <c r="D570" s="10"/>
      <c r="E570" s="10"/>
      <c r="F570" s="10"/>
      <c r="G570" s="10"/>
      <c r="H570" s="10"/>
      <c r="I570" s="10"/>
      <c r="J570" s="10"/>
      <c r="K570" s="16">
        <v>4</v>
      </c>
      <c r="L570" s="80">
        <v>3</v>
      </c>
      <c r="M570" s="14"/>
      <c r="N570" s="62" t="s">
        <v>3664</v>
      </c>
      <c r="O570" s="60" t="s">
        <v>3666</v>
      </c>
      <c r="P570" s="60" t="s">
        <v>3667</v>
      </c>
      <c r="Q570" s="14"/>
      <c r="R570" s="10"/>
    </row>
    <row r="571" spans="1:18" s="1" customFormat="1">
      <c r="A571" s="10"/>
      <c r="B571" s="62" t="s">
        <v>6167</v>
      </c>
      <c r="C571" s="64" t="s">
        <v>494</v>
      </c>
      <c r="D571" s="10"/>
      <c r="E571" s="10"/>
      <c r="F571" s="10"/>
      <c r="G571" s="10"/>
      <c r="H571" s="10"/>
      <c r="I571" s="10"/>
      <c r="J571" s="10"/>
      <c r="K571" s="16">
        <v>5</v>
      </c>
      <c r="L571" s="80">
        <v>3</v>
      </c>
      <c r="M571" s="10">
        <v>31</v>
      </c>
      <c r="N571" s="64" t="s">
        <v>3655</v>
      </c>
      <c r="O571" s="66" t="s">
        <v>3648</v>
      </c>
      <c r="P571" s="66" t="s">
        <v>3657</v>
      </c>
      <c r="Q571" s="47" t="s">
        <v>3658</v>
      </c>
      <c r="R571" s="10">
        <v>4</v>
      </c>
    </row>
    <row r="572" spans="1:18" s="1" customFormat="1">
      <c r="A572" s="10"/>
      <c r="B572" t="s">
        <v>6168</v>
      </c>
      <c r="C572" s="64" t="s">
        <v>494</v>
      </c>
      <c r="D572" s="10"/>
      <c r="E572" s="10"/>
      <c r="F572" s="10"/>
      <c r="G572" s="10"/>
      <c r="H572" s="10"/>
      <c r="I572" s="10"/>
      <c r="J572" s="10"/>
      <c r="K572" s="16">
        <v>6</v>
      </c>
      <c r="L572" s="80">
        <v>8</v>
      </c>
      <c r="M572" s="10"/>
      <c r="N572" s="10"/>
      <c r="O572" s="10"/>
      <c r="P572" s="10"/>
      <c r="Q572" s="10"/>
      <c r="R572" s="10"/>
    </row>
    <row r="573" spans="1:18" s="1" customFormat="1">
      <c r="A573" s="10"/>
      <c r="B573" s="62" t="s">
        <v>6169</v>
      </c>
      <c r="C573" s="64" t="s">
        <v>494</v>
      </c>
      <c r="D573" s="10"/>
      <c r="E573" s="10"/>
      <c r="F573" s="10"/>
      <c r="G573" s="10"/>
      <c r="H573" s="10"/>
      <c r="I573" s="10"/>
      <c r="J573" s="10"/>
      <c r="K573" s="16">
        <v>7</v>
      </c>
      <c r="L573" s="80">
        <v>3</v>
      </c>
      <c r="M573" s="10"/>
      <c r="N573" s="64" t="s">
        <v>3761</v>
      </c>
      <c r="O573" s="64" t="s">
        <v>3762</v>
      </c>
      <c r="P573" s="10" t="s">
        <v>3763</v>
      </c>
      <c r="Q573" s="10"/>
      <c r="R573" s="10"/>
    </row>
    <row r="574" spans="1:18" s="1" customFormat="1">
      <c r="A574" s="10"/>
      <c r="B574" t="s">
        <v>6170</v>
      </c>
      <c r="C574" s="64" t="s">
        <v>520</v>
      </c>
      <c r="D574" s="10"/>
      <c r="E574" s="10"/>
      <c r="F574" s="10"/>
      <c r="G574" s="10"/>
      <c r="H574" s="10"/>
      <c r="I574" s="10"/>
      <c r="J574" s="10"/>
      <c r="K574" s="16">
        <v>8</v>
      </c>
      <c r="L574" s="31"/>
      <c r="M574" s="10"/>
      <c r="N574" s="10"/>
      <c r="O574" s="10"/>
      <c r="P574" s="10"/>
      <c r="Q574" s="10"/>
      <c r="R574" s="10"/>
    </row>
    <row r="575" spans="1:18" s="1" customFormat="1">
      <c r="A575" s="10"/>
      <c r="B575" t="s">
        <v>6171</v>
      </c>
      <c r="C575" s="64" t="s">
        <v>494</v>
      </c>
      <c r="D575" s="10"/>
      <c r="E575" s="10"/>
      <c r="F575" s="10"/>
      <c r="G575" s="10"/>
      <c r="H575" s="10"/>
      <c r="I575" s="10"/>
      <c r="J575" s="10"/>
      <c r="K575" s="16">
        <v>9</v>
      </c>
      <c r="L575" s="80">
        <v>3</v>
      </c>
      <c r="M575" s="10">
        <v>31</v>
      </c>
      <c r="N575" s="62" t="s">
        <v>3196</v>
      </c>
      <c r="O575" s="64" t="s">
        <v>3199</v>
      </c>
      <c r="P575" s="62" t="s">
        <v>3198</v>
      </c>
      <c r="Q575" s="62" t="s">
        <v>3197</v>
      </c>
      <c r="R575" s="10">
        <v>1</v>
      </c>
    </row>
    <row r="576" spans="1:18" s="1" customFormat="1">
      <c r="A576" s="10"/>
      <c r="B576" t="s">
        <v>6172</v>
      </c>
      <c r="C576" s="64" t="s">
        <v>494</v>
      </c>
      <c r="D576" s="10"/>
      <c r="E576" s="10"/>
      <c r="F576" s="10"/>
      <c r="G576" s="10"/>
      <c r="H576" s="10"/>
      <c r="I576" s="10"/>
      <c r="J576" s="10"/>
      <c r="K576" s="16">
        <v>10</v>
      </c>
      <c r="L576" s="80">
        <v>8</v>
      </c>
      <c r="M576" s="10"/>
      <c r="N576" s="10"/>
      <c r="O576" s="10"/>
      <c r="P576" s="10"/>
      <c r="Q576" s="10"/>
      <c r="R576" s="10"/>
    </row>
    <row r="577" spans="1:18" s="1" customFormat="1">
      <c r="A577" s="10"/>
      <c r="B577" t="s">
        <v>6173</v>
      </c>
      <c r="C577" s="64" t="s">
        <v>494</v>
      </c>
      <c r="D577" s="10"/>
      <c r="E577" s="10"/>
      <c r="F577" s="10"/>
      <c r="G577" s="10"/>
      <c r="H577" s="10"/>
      <c r="I577" s="10"/>
      <c r="J577" s="10"/>
      <c r="K577" s="16">
        <v>11</v>
      </c>
      <c r="L577" s="80">
        <v>8</v>
      </c>
      <c r="M577" s="10"/>
      <c r="N577" s="10"/>
      <c r="O577" s="10"/>
      <c r="P577" s="10"/>
      <c r="Q577" s="10"/>
      <c r="R577" s="10"/>
    </row>
    <row r="578" spans="1:18" s="1" customFormat="1">
      <c r="A578" s="10"/>
      <c r="B578" t="s">
        <v>6174</v>
      </c>
      <c r="C578" s="64" t="s">
        <v>494</v>
      </c>
      <c r="D578" s="10"/>
      <c r="E578" s="10"/>
      <c r="F578" s="10"/>
      <c r="G578" s="10"/>
      <c r="H578" s="10"/>
      <c r="I578" s="10"/>
      <c r="J578" s="10"/>
      <c r="K578" s="16">
        <v>12</v>
      </c>
      <c r="L578" s="31"/>
      <c r="M578" s="10"/>
      <c r="N578" s="10"/>
      <c r="O578" s="10"/>
      <c r="P578" s="10"/>
      <c r="Q578" s="10"/>
      <c r="R578" s="10"/>
    </row>
    <row r="579" spans="1:18" s="1" customFormat="1">
      <c r="A579" s="10"/>
      <c r="B579" t="s">
        <v>6175</v>
      </c>
      <c r="C579" s="64" t="s">
        <v>494</v>
      </c>
      <c r="D579" s="10"/>
      <c r="E579" s="10"/>
      <c r="F579" s="10"/>
      <c r="G579" s="10"/>
      <c r="H579" s="10"/>
      <c r="I579" s="10"/>
      <c r="J579" s="10"/>
      <c r="K579" s="16">
        <v>13</v>
      </c>
      <c r="L579" s="31"/>
      <c r="M579" s="10">
        <v>1</v>
      </c>
      <c r="N579" s="10"/>
      <c r="O579" s="10"/>
      <c r="P579" s="10"/>
      <c r="Q579" s="10"/>
      <c r="R579" s="10"/>
    </row>
    <row r="580" spans="1:18" s="1" customFormat="1">
      <c r="A580" s="10"/>
      <c r="B580" t="s">
        <v>6176</v>
      </c>
      <c r="C580" s="64" t="s">
        <v>494</v>
      </c>
      <c r="D580" s="10"/>
      <c r="E580" s="10"/>
      <c r="F580" s="10"/>
      <c r="G580" s="10"/>
      <c r="H580" s="10"/>
      <c r="I580" s="10"/>
      <c r="J580" s="10"/>
      <c r="K580" s="16">
        <v>14</v>
      </c>
      <c r="L580" s="80">
        <v>7</v>
      </c>
      <c r="M580" s="10">
        <v>1</v>
      </c>
      <c r="N580" s="10"/>
      <c r="O580" s="10"/>
      <c r="P580" s="10"/>
      <c r="Q580" s="10"/>
      <c r="R580" s="10"/>
    </row>
    <row r="581" spans="1:18" s="1" customFormat="1">
      <c r="A581" s="10"/>
      <c r="B581" s="62" t="s">
        <v>6177</v>
      </c>
      <c r="C581" s="64" t="s">
        <v>494</v>
      </c>
      <c r="D581" s="10"/>
      <c r="E581" s="10"/>
      <c r="F581" s="10"/>
      <c r="G581" s="10"/>
      <c r="H581" s="10"/>
      <c r="I581" s="10"/>
      <c r="J581" s="10"/>
      <c r="K581" s="16">
        <v>15</v>
      </c>
      <c r="L581" s="31">
        <v>7</v>
      </c>
      <c r="M581" s="10">
        <v>1</v>
      </c>
      <c r="N581" s="10"/>
      <c r="O581" s="10"/>
      <c r="P581" s="10"/>
      <c r="Q581" s="10"/>
      <c r="R581" s="10"/>
    </row>
    <row r="582" spans="1:18" s="1" customFormat="1">
      <c r="A582" s="10"/>
      <c r="B582" t="s">
        <v>6178</v>
      </c>
      <c r="C582" s="64" t="s">
        <v>494</v>
      </c>
      <c r="D582" s="10"/>
      <c r="E582" s="10"/>
      <c r="F582" s="10"/>
      <c r="G582" s="10"/>
      <c r="H582" s="10"/>
      <c r="I582" s="10"/>
      <c r="J582" s="10"/>
      <c r="K582" s="16">
        <v>16</v>
      </c>
      <c r="L582" s="31">
        <v>7</v>
      </c>
      <c r="M582" s="64">
        <v>1</v>
      </c>
      <c r="N582" s="10"/>
      <c r="O582" s="10"/>
      <c r="P582" s="10"/>
      <c r="Q582" s="10"/>
      <c r="R582" s="10"/>
    </row>
    <row r="583" spans="1:18" s="1" customFormat="1">
      <c r="A583" s="10"/>
      <c r="B583" t="s">
        <v>6179</v>
      </c>
      <c r="C583" s="64" t="s">
        <v>494</v>
      </c>
      <c r="D583" s="10"/>
      <c r="E583" s="10"/>
      <c r="F583" s="10"/>
      <c r="G583" s="10"/>
      <c r="H583" s="10"/>
      <c r="I583" s="10"/>
      <c r="J583" s="10"/>
      <c r="K583" s="16">
        <v>17</v>
      </c>
      <c r="L583" s="31">
        <v>3</v>
      </c>
      <c r="M583" s="64">
        <v>1</v>
      </c>
      <c r="N583" s="10"/>
      <c r="O583" s="10"/>
      <c r="P583" s="10"/>
      <c r="Q583" s="10"/>
      <c r="R583" s="10"/>
    </row>
    <row r="584" spans="1:18" s="1" customFormat="1">
      <c r="A584" s="10"/>
      <c r="B584" t="s">
        <v>6180</v>
      </c>
      <c r="C584" s="64" t="s">
        <v>494</v>
      </c>
      <c r="D584" s="10"/>
      <c r="E584" s="10"/>
      <c r="F584" s="10"/>
      <c r="G584" s="10"/>
      <c r="H584" s="10"/>
      <c r="I584" s="10"/>
      <c r="J584" s="10"/>
      <c r="K584" s="16">
        <v>18</v>
      </c>
      <c r="L584" s="31">
        <v>8</v>
      </c>
      <c r="M584" s="10"/>
      <c r="N584" s="10"/>
      <c r="O584" s="10"/>
      <c r="P584" s="10"/>
      <c r="Q584" s="10"/>
      <c r="R584" s="10"/>
    </row>
    <row r="585" spans="1:18" s="1" customFormat="1">
      <c r="A585" s="10"/>
      <c r="B585" t="s">
        <v>6181</v>
      </c>
      <c r="C585" s="64" t="s">
        <v>520</v>
      </c>
      <c r="D585" s="10"/>
      <c r="E585" s="10"/>
      <c r="F585" s="10"/>
      <c r="G585" s="10"/>
      <c r="H585" s="10"/>
      <c r="I585" s="10"/>
      <c r="J585" s="10"/>
      <c r="K585" s="16">
        <v>19</v>
      </c>
      <c r="L585" s="31"/>
      <c r="M585" s="10"/>
      <c r="N585" s="10"/>
      <c r="O585" s="10"/>
      <c r="P585" s="10"/>
      <c r="Q585" s="10"/>
      <c r="R585" s="10"/>
    </row>
    <row r="586" spans="1:18" s="1" customFormat="1">
      <c r="A586" s="10"/>
      <c r="B586" t="s">
        <v>6193</v>
      </c>
      <c r="C586" s="64" t="s">
        <v>493</v>
      </c>
      <c r="D586" s="10">
        <v>1</v>
      </c>
      <c r="E586" s="10"/>
      <c r="F586" s="10"/>
      <c r="G586" s="10"/>
      <c r="H586" s="10"/>
      <c r="I586" s="10"/>
      <c r="J586" s="10"/>
      <c r="K586" s="16">
        <v>20</v>
      </c>
      <c r="L586" s="31">
        <v>3</v>
      </c>
      <c r="M586" s="10"/>
      <c r="N586" s="10"/>
      <c r="O586" s="10"/>
      <c r="P586" s="10"/>
      <c r="Q586" s="10"/>
      <c r="R586" s="10"/>
    </row>
    <row r="587" spans="1:18" s="1" customFormat="1">
      <c r="A587" s="10"/>
      <c r="B587" t="s">
        <v>6194</v>
      </c>
      <c r="C587" s="64" t="s">
        <v>493</v>
      </c>
      <c r="D587" s="10">
        <v>2</v>
      </c>
      <c r="E587" s="10"/>
      <c r="F587" s="10"/>
      <c r="G587" s="10"/>
      <c r="H587" s="10"/>
      <c r="I587" s="10"/>
      <c r="J587" s="10"/>
      <c r="K587" s="16">
        <v>21</v>
      </c>
      <c r="L587" s="31">
        <v>3</v>
      </c>
      <c r="M587" s="10"/>
      <c r="N587" s="10"/>
      <c r="O587" s="10"/>
      <c r="P587" s="10"/>
      <c r="Q587" s="10"/>
      <c r="R587" s="10"/>
    </row>
    <row r="588" spans="1:18" s="1" customFormat="1">
      <c r="A588" s="10"/>
      <c r="B588" t="s">
        <v>6195</v>
      </c>
      <c r="C588" s="64" t="s">
        <v>493</v>
      </c>
      <c r="D588" s="10">
        <v>1</v>
      </c>
      <c r="E588" s="10"/>
      <c r="F588" s="10"/>
      <c r="G588" s="10"/>
      <c r="H588" s="10"/>
      <c r="I588" s="10"/>
      <c r="J588" s="10"/>
      <c r="K588" s="16">
        <v>22</v>
      </c>
      <c r="L588" s="31">
        <v>3</v>
      </c>
      <c r="M588" s="10"/>
      <c r="N588" s="10"/>
      <c r="O588" s="10"/>
      <c r="P588" s="10"/>
      <c r="Q588" s="10"/>
      <c r="R588" s="10"/>
    </row>
    <row r="589" spans="1:18" s="1" customFormat="1">
      <c r="A589" s="10"/>
      <c r="B589" t="s">
        <v>6196</v>
      </c>
      <c r="C589" s="64" t="s">
        <v>493</v>
      </c>
      <c r="D589" s="64">
        <v>1</v>
      </c>
      <c r="E589" s="10"/>
      <c r="F589" s="10"/>
      <c r="G589" s="10"/>
      <c r="H589" s="10"/>
      <c r="I589" s="10"/>
      <c r="J589" s="10"/>
      <c r="K589" s="16">
        <v>23</v>
      </c>
      <c r="L589" s="31">
        <v>3</v>
      </c>
      <c r="M589" s="10"/>
      <c r="N589" s="10"/>
      <c r="O589" s="10"/>
      <c r="P589" s="10"/>
      <c r="Q589" s="10"/>
      <c r="R589" s="10"/>
    </row>
    <row r="590" spans="1:18" s="1" customFormat="1">
      <c r="A590" s="10"/>
      <c r="B590" t="s">
        <v>6197</v>
      </c>
      <c r="C590" s="64" t="s">
        <v>493</v>
      </c>
      <c r="D590" s="64">
        <v>1</v>
      </c>
      <c r="E590" s="10"/>
      <c r="F590" s="10"/>
      <c r="G590" s="10"/>
      <c r="H590" s="10"/>
      <c r="I590" s="10"/>
      <c r="J590" s="10"/>
      <c r="K590" s="16">
        <v>24</v>
      </c>
      <c r="L590" s="31">
        <v>3</v>
      </c>
      <c r="M590" s="10"/>
      <c r="N590" s="10"/>
      <c r="O590" s="10"/>
      <c r="P590" s="10"/>
      <c r="Q590" s="10"/>
      <c r="R590" s="10"/>
    </row>
    <row r="591" spans="1:18" s="1" customFormat="1">
      <c r="A591" s="10"/>
      <c r="B591" t="s">
        <v>6198</v>
      </c>
      <c r="C591" s="64" t="s">
        <v>494</v>
      </c>
      <c r="D591" s="10"/>
      <c r="E591" s="10"/>
      <c r="F591" s="10"/>
      <c r="G591" s="10"/>
      <c r="H591" s="10"/>
      <c r="I591" s="10"/>
      <c r="J591" s="10"/>
      <c r="K591" s="16">
        <v>25</v>
      </c>
      <c r="L591" s="80">
        <v>3</v>
      </c>
      <c r="M591" s="10"/>
      <c r="N591" s="10"/>
      <c r="O591" s="10"/>
      <c r="P591" s="10"/>
      <c r="Q591" s="10"/>
      <c r="R591" s="10"/>
    </row>
    <row r="592" spans="1:18" s="1" customFormat="1">
      <c r="A592" s="10"/>
      <c r="B592" t="s">
        <v>6199</v>
      </c>
      <c r="C592" s="64" t="s">
        <v>494</v>
      </c>
      <c r="D592" s="10"/>
      <c r="E592" s="10"/>
      <c r="F592" s="10"/>
      <c r="G592" s="10"/>
      <c r="H592" s="10"/>
      <c r="I592" s="10"/>
      <c r="J592" s="10"/>
      <c r="K592" s="16">
        <v>26</v>
      </c>
      <c r="L592" s="31"/>
      <c r="M592" s="10">
        <v>2</v>
      </c>
      <c r="N592" s="10"/>
      <c r="O592" s="10"/>
      <c r="P592" s="10"/>
      <c r="Q592" s="10"/>
      <c r="R592" s="10"/>
    </row>
    <row r="593" spans="1:18" s="1" customFormat="1">
      <c r="A593" s="10"/>
      <c r="B593" t="s">
        <v>6200</v>
      </c>
      <c r="C593" s="64" t="s">
        <v>493</v>
      </c>
      <c r="D593" s="64">
        <v>1</v>
      </c>
      <c r="E593" s="10"/>
      <c r="F593" s="10"/>
      <c r="G593" s="10"/>
      <c r="H593" s="10"/>
      <c r="I593" s="10"/>
      <c r="J593" s="10"/>
      <c r="K593" s="16">
        <v>27</v>
      </c>
      <c r="L593" s="31">
        <v>3</v>
      </c>
      <c r="M593" s="10"/>
      <c r="N593" s="10"/>
      <c r="O593" s="10"/>
      <c r="P593" s="10"/>
      <c r="Q593" s="10"/>
      <c r="R593" s="10"/>
    </row>
    <row r="594" spans="1:18" s="1" customFormat="1">
      <c r="A594" s="10"/>
      <c r="B594" t="s">
        <v>6201</v>
      </c>
      <c r="C594" s="64" t="s">
        <v>493</v>
      </c>
      <c r="D594" s="64">
        <v>1</v>
      </c>
      <c r="E594" s="10"/>
      <c r="F594" s="10"/>
      <c r="G594" s="10"/>
      <c r="H594" s="10"/>
      <c r="I594" s="10"/>
      <c r="J594" s="10"/>
      <c r="K594" s="16">
        <v>28</v>
      </c>
      <c r="L594" s="31">
        <v>3</v>
      </c>
      <c r="M594" s="10"/>
      <c r="N594" s="10"/>
      <c r="O594" s="10"/>
      <c r="P594" s="10"/>
      <c r="Q594" s="10"/>
      <c r="R594" s="10"/>
    </row>
    <row r="595" spans="1:18" s="1" customFormat="1">
      <c r="A595" s="10"/>
      <c r="B595" t="s">
        <v>6202</v>
      </c>
      <c r="C595" s="64" t="s">
        <v>493</v>
      </c>
      <c r="D595" s="64">
        <v>1</v>
      </c>
      <c r="E595" s="10"/>
      <c r="F595" s="10"/>
      <c r="G595" s="10"/>
      <c r="H595" s="10"/>
      <c r="I595" s="10"/>
      <c r="J595" s="10"/>
      <c r="K595" s="16">
        <v>29</v>
      </c>
      <c r="L595" s="31">
        <v>3</v>
      </c>
      <c r="M595" s="10"/>
      <c r="N595" s="10"/>
      <c r="O595" s="10"/>
      <c r="P595" s="10"/>
      <c r="Q595" s="10"/>
      <c r="R595" s="10"/>
    </row>
    <row r="596" spans="1:18" s="1" customFormat="1">
      <c r="A596" s="10"/>
      <c r="B596" s="62" t="s">
        <v>6213</v>
      </c>
      <c r="C596" s="64" t="s">
        <v>494</v>
      </c>
      <c r="D596" s="64"/>
      <c r="E596" s="10"/>
      <c r="F596" s="10"/>
      <c r="G596" s="10"/>
      <c r="H596" s="10"/>
      <c r="I596" s="10"/>
      <c r="J596" s="10"/>
      <c r="K596" s="16">
        <v>30</v>
      </c>
      <c r="L596" s="80">
        <v>7</v>
      </c>
      <c r="M596" s="10">
        <v>1</v>
      </c>
      <c r="N596" s="10"/>
      <c r="O596" s="10"/>
      <c r="P596" s="10"/>
      <c r="Q596" s="10"/>
      <c r="R596" s="10"/>
    </row>
    <row r="597" spans="1:18" s="1" customFormat="1">
      <c r="A597" s="10"/>
      <c r="B597" s="66"/>
      <c r="C597" s="10"/>
      <c r="D597" s="10"/>
      <c r="E597" s="10"/>
      <c r="F597" s="10"/>
      <c r="G597" s="10"/>
      <c r="H597" s="10"/>
      <c r="I597" s="10"/>
      <c r="J597" s="10"/>
      <c r="K597" s="16"/>
      <c r="L597" s="31"/>
      <c r="M597" s="10"/>
      <c r="N597" s="10"/>
      <c r="O597" s="10"/>
      <c r="P597" s="10"/>
      <c r="Q597" s="10"/>
      <c r="R597" s="10"/>
    </row>
    <row r="598" spans="1:18" s="1" customFormat="1">
      <c r="A598" s="10" t="s">
        <v>6184</v>
      </c>
      <c r="B598" t="s">
        <v>6185</v>
      </c>
      <c r="C598" s="64" t="s">
        <v>494</v>
      </c>
      <c r="D598" s="10"/>
      <c r="E598" s="64" t="s">
        <v>476</v>
      </c>
      <c r="F598" s="10">
        <v>17</v>
      </c>
      <c r="G598" s="10">
        <v>1766</v>
      </c>
      <c r="H598" s="64" t="s">
        <v>4443</v>
      </c>
      <c r="I598" s="10"/>
      <c r="J598" s="10">
        <v>1704</v>
      </c>
      <c r="K598" s="16">
        <v>1</v>
      </c>
      <c r="L598" s="80">
        <v>52</v>
      </c>
      <c r="M598" s="10"/>
      <c r="N598" s="64">
        <v>1756</v>
      </c>
      <c r="O598" t="s">
        <v>6165</v>
      </c>
      <c r="P598" s="10"/>
      <c r="Q598" s="10"/>
      <c r="R598" s="10"/>
    </row>
    <row r="599" spans="1:18" s="1" customFormat="1">
      <c r="A599" s="10"/>
      <c r="B599" t="s">
        <v>6186</v>
      </c>
      <c r="C599" s="64" t="s">
        <v>494</v>
      </c>
      <c r="D599" s="10"/>
      <c r="E599" s="64" t="s">
        <v>476</v>
      </c>
      <c r="F599" s="10"/>
      <c r="G599" s="10"/>
      <c r="H599" s="10"/>
      <c r="I599" s="10"/>
      <c r="J599" s="10"/>
      <c r="K599" s="16">
        <v>2</v>
      </c>
      <c r="L599" s="31">
        <v>6</v>
      </c>
      <c r="M599" s="10"/>
      <c r="N599" s="10"/>
      <c r="O599" s="10"/>
      <c r="P599" s="10"/>
      <c r="Q599" s="10"/>
      <c r="R599" s="10"/>
    </row>
    <row r="600" spans="1:18" s="1" customFormat="1">
      <c r="A600" s="10"/>
      <c r="B600" t="s">
        <v>6187</v>
      </c>
      <c r="C600" s="64" t="s">
        <v>494</v>
      </c>
      <c r="D600" s="10"/>
      <c r="E600" s="10"/>
      <c r="F600" s="10"/>
      <c r="G600" s="10"/>
      <c r="H600" s="10"/>
      <c r="I600" s="10"/>
      <c r="J600" s="10"/>
      <c r="K600" s="16">
        <v>3</v>
      </c>
      <c r="L600" s="31">
        <v>6</v>
      </c>
      <c r="M600" s="10"/>
      <c r="N600" s="10"/>
      <c r="O600" s="10"/>
      <c r="P600" s="10"/>
      <c r="Q600" s="10"/>
      <c r="R600" s="10"/>
    </row>
    <row r="601" spans="1:18" s="1" customFormat="1">
      <c r="A601" s="10"/>
      <c r="B601" t="s">
        <v>6188</v>
      </c>
      <c r="C601" s="64" t="s">
        <v>494</v>
      </c>
      <c r="D601" s="10"/>
      <c r="E601" s="10"/>
      <c r="F601" s="10"/>
      <c r="G601" s="10"/>
      <c r="H601" s="10"/>
      <c r="I601" s="10"/>
      <c r="J601" s="10"/>
      <c r="K601" s="16">
        <v>4</v>
      </c>
      <c r="L601" s="80">
        <v>3</v>
      </c>
      <c r="M601" s="10"/>
      <c r="N601" s="10"/>
      <c r="O601" s="10"/>
      <c r="P601" s="10"/>
      <c r="Q601" s="10"/>
      <c r="R601" s="10"/>
    </row>
    <row r="602" spans="1:18" s="1" customFormat="1">
      <c r="A602" s="10"/>
      <c r="B602" t="s">
        <v>6189</v>
      </c>
      <c r="C602" s="64" t="s">
        <v>494</v>
      </c>
      <c r="D602" s="10"/>
      <c r="E602" s="10"/>
      <c r="F602" s="10"/>
      <c r="G602" s="10"/>
      <c r="H602" s="10"/>
      <c r="I602" s="10"/>
      <c r="J602" s="10"/>
      <c r="K602" s="16">
        <v>5</v>
      </c>
      <c r="L602" s="80">
        <v>3</v>
      </c>
      <c r="M602" s="10"/>
      <c r="N602" s="10"/>
      <c r="O602" s="10"/>
      <c r="P602" s="10"/>
      <c r="Q602" s="10"/>
      <c r="R602" s="10"/>
    </row>
    <row r="603" spans="1:18" s="1" customFormat="1">
      <c r="A603" s="10"/>
      <c r="B603" t="s">
        <v>6190</v>
      </c>
      <c r="C603" s="64" t="s">
        <v>520</v>
      </c>
      <c r="D603" s="10"/>
      <c r="E603" s="10"/>
      <c r="F603" s="10"/>
      <c r="G603" s="10"/>
      <c r="H603" s="10"/>
      <c r="I603" s="10"/>
      <c r="J603" s="10"/>
      <c r="K603" s="16">
        <v>6</v>
      </c>
      <c r="L603" s="31"/>
      <c r="M603" s="10"/>
      <c r="N603" s="10"/>
      <c r="O603" s="10"/>
      <c r="P603" s="10"/>
      <c r="Q603" s="10"/>
      <c r="R603" s="10"/>
    </row>
    <row r="604" spans="1:18" s="1" customFormat="1">
      <c r="A604" s="10"/>
      <c r="B604" t="s">
        <v>6191</v>
      </c>
      <c r="C604" s="64" t="s">
        <v>494</v>
      </c>
      <c r="D604" s="10"/>
      <c r="E604" s="10"/>
      <c r="F604" s="10"/>
      <c r="G604" s="10"/>
      <c r="H604" s="10"/>
      <c r="I604" s="10"/>
      <c r="J604" s="10"/>
      <c r="K604" s="16">
        <v>7</v>
      </c>
      <c r="L604" s="80">
        <v>8</v>
      </c>
      <c r="M604" s="10"/>
      <c r="N604" s="10"/>
      <c r="O604" s="10"/>
      <c r="P604" s="10"/>
      <c r="Q604" s="10"/>
      <c r="R604" s="10"/>
    </row>
    <row r="605" spans="1:18" s="1" customFormat="1">
      <c r="A605" s="10"/>
      <c r="B605" t="s">
        <v>6192</v>
      </c>
      <c r="C605" s="64" t="s">
        <v>494</v>
      </c>
      <c r="D605" s="10"/>
      <c r="E605" s="10"/>
      <c r="F605" s="10"/>
      <c r="G605" s="10"/>
      <c r="H605" s="10"/>
      <c r="I605" s="10"/>
      <c r="J605" s="10"/>
      <c r="K605" s="16">
        <v>8</v>
      </c>
      <c r="L605" s="80">
        <v>7</v>
      </c>
      <c r="M605" s="10"/>
      <c r="N605" s="10"/>
      <c r="O605" s="10"/>
      <c r="P605" s="10"/>
      <c r="Q605" s="10"/>
      <c r="R605" s="10"/>
    </row>
    <row r="606" spans="1:18" s="1" customFormat="1">
      <c r="A606" s="10"/>
      <c r="B606" s="45"/>
      <c r="C606" s="10"/>
      <c r="D606" s="10"/>
      <c r="E606" s="10"/>
      <c r="F606" s="10"/>
      <c r="G606" s="10"/>
      <c r="H606" s="10"/>
      <c r="I606" s="10"/>
      <c r="J606" s="10"/>
      <c r="K606" s="16"/>
      <c r="L606" s="31"/>
      <c r="M606" s="10"/>
      <c r="N606" s="10"/>
      <c r="O606" s="10"/>
      <c r="P606" s="10"/>
      <c r="Q606" s="10"/>
      <c r="R606" s="10"/>
    </row>
    <row r="607" spans="1:18" s="1" customFormat="1">
      <c r="A607" s="10" t="s">
        <v>6203</v>
      </c>
      <c r="B607" t="s">
        <v>6204</v>
      </c>
      <c r="C607" s="64" t="s">
        <v>494</v>
      </c>
      <c r="D607" s="10"/>
      <c r="E607" s="64" t="s">
        <v>476</v>
      </c>
      <c r="F607" s="10">
        <v>17</v>
      </c>
      <c r="G607" s="10">
        <v>1765</v>
      </c>
      <c r="H607" s="64" t="s">
        <v>3775</v>
      </c>
      <c r="I607" s="64" t="s">
        <v>3777</v>
      </c>
      <c r="J607" s="10">
        <v>1704</v>
      </c>
      <c r="K607" s="16">
        <v>1</v>
      </c>
      <c r="L607" s="80">
        <v>6</v>
      </c>
      <c r="M607" s="10"/>
      <c r="N607" s="10"/>
      <c r="O607" s="10"/>
      <c r="P607" s="10"/>
      <c r="Q607" s="10"/>
      <c r="R607" s="10"/>
    </row>
    <row r="608" spans="1:18" s="1" customFormat="1">
      <c r="A608" s="10"/>
      <c r="B608" t="s">
        <v>6205</v>
      </c>
      <c r="C608" s="64" t="s">
        <v>494</v>
      </c>
      <c r="D608" s="10"/>
      <c r="E608" s="10"/>
      <c r="F608" s="10"/>
      <c r="G608" s="10"/>
      <c r="H608" s="10"/>
      <c r="I608" s="10"/>
      <c r="J608" s="10"/>
      <c r="K608" s="16">
        <v>2</v>
      </c>
      <c r="L608" s="80">
        <v>6</v>
      </c>
      <c r="M608" s="10"/>
      <c r="N608" s="10"/>
      <c r="O608" s="10"/>
      <c r="P608" s="10"/>
      <c r="Q608" s="10"/>
      <c r="R608" s="10"/>
    </row>
    <row r="609" spans="1:18" s="1" customFormat="1">
      <c r="A609" s="10"/>
      <c r="B609" t="s">
        <v>6206</v>
      </c>
      <c r="C609" s="64" t="s">
        <v>494</v>
      </c>
      <c r="D609" s="10"/>
      <c r="E609" s="10"/>
      <c r="F609" s="10"/>
      <c r="G609" s="10"/>
      <c r="H609" s="10"/>
      <c r="I609" s="10"/>
      <c r="J609" s="10"/>
      <c r="K609" s="16">
        <v>3</v>
      </c>
      <c r="L609" s="80">
        <v>3</v>
      </c>
      <c r="M609" s="10"/>
      <c r="N609" s="64" t="s">
        <v>506</v>
      </c>
      <c r="O609" s="64" t="s">
        <v>514</v>
      </c>
      <c r="P609" s="62" t="s">
        <v>515</v>
      </c>
      <c r="Q609" s="10"/>
      <c r="R609" s="10"/>
    </row>
    <row r="610" spans="1:18" s="1" customFormat="1">
      <c r="A610" s="10"/>
      <c r="B610" t="s">
        <v>6207</v>
      </c>
      <c r="C610" s="64" t="s">
        <v>494</v>
      </c>
      <c r="D610" s="10"/>
      <c r="E610" s="10"/>
      <c r="F610" s="10"/>
      <c r="G610" s="10"/>
      <c r="H610" s="10"/>
      <c r="I610" s="10"/>
      <c r="J610" s="10"/>
      <c r="K610" s="16">
        <v>4</v>
      </c>
      <c r="L610" s="80">
        <v>3</v>
      </c>
      <c r="M610" s="10"/>
      <c r="N610" s="62" t="s">
        <v>3664</v>
      </c>
      <c r="O610" s="60" t="s">
        <v>3666</v>
      </c>
      <c r="P610" s="60" t="s">
        <v>3667</v>
      </c>
      <c r="Q610" s="10"/>
      <c r="R610" s="10"/>
    </row>
    <row r="611" spans="1:18" s="1" customFormat="1">
      <c r="A611" s="10"/>
      <c r="B611" t="s">
        <v>6208</v>
      </c>
      <c r="C611" s="64" t="s">
        <v>493</v>
      </c>
      <c r="D611" s="10">
        <v>1</v>
      </c>
      <c r="E611" s="10"/>
      <c r="F611" s="10"/>
      <c r="G611" s="10"/>
      <c r="H611" s="10"/>
      <c r="I611" s="10"/>
      <c r="J611" s="10"/>
      <c r="K611" s="16">
        <v>5</v>
      </c>
      <c r="L611" s="80">
        <v>30</v>
      </c>
      <c r="M611" s="10"/>
      <c r="N611" s="10"/>
      <c r="O611" s="10"/>
      <c r="P611" s="10"/>
      <c r="Q611" s="10"/>
      <c r="R611" s="10"/>
    </row>
    <row r="612" spans="1:18" s="1" customFormat="1">
      <c r="A612" s="10"/>
      <c r="B612" t="s">
        <v>6209</v>
      </c>
      <c r="C612" s="64" t="s">
        <v>494</v>
      </c>
      <c r="D612" s="10"/>
      <c r="E612" s="10"/>
      <c r="F612" s="10"/>
      <c r="G612" s="10"/>
      <c r="H612" s="10"/>
      <c r="I612" s="10"/>
      <c r="J612" s="10"/>
      <c r="K612" s="16">
        <v>6</v>
      </c>
      <c r="L612" s="80">
        <v>7</v>
      </c>
      <c r="M612" s="10"/>
      <c r="N612" s="10"/>
      <c r="O612" s="10"/>
      <c r="P612" s="10"/>
      <c r="Q612" s="10"/>
      <c r="R612" s="10"/>
    </row>
    <row r="613" spans="1:18" s="1" customFormat="1">
      <c r="A613" s="10"/>
      <c r="B613" t="s">
        <v>6210</v>
      </c>
      <c r="C613" s="64" t="s">
        <v>494</v>
      </c>
      <c r="D613" s="10"/>
      <c r="E613" s="10"/>
      <c r="F613" s="10"/>
      <c r="G613" s="10"/>
      <c r="H613" s="10"/>
      <c r="I613" s="10"/>
      <c r="J613" s="10"/>
      <c r="K613" s="16">
        <v>7</v>
      </c>
      <c r="L613" s="80">
        <v>8</v>
      </c>
      <c r="M613" s="10"/>
      <c r="N613" s="10"/>
      <c r="O613" s="10"/>
      <c r="P613" s="10"/>
      <c r="Q613" s="10"/>
      <c r="R613" s="10"/>
    </row>
    <row r="614" spans="1:18" s="1" customFormat="1">
      <c r="A614" s="10"/>
      <c r="B614" t="s">
        <v>6211</v>
      </c>
      <c r="C614" s="64" t="s">
        <v>494</v>
      </c>
      <c r="D614" s="10"/>
      <c r="E614" s="10"/>
      <c r="F614" s="10"/>
      <c r="G614" s="10"/>
      <c r="H614" s="10"/>
      <c r="I614" s="10"/>
      <c r="J614" s="10"/>
      <c r="K614" s="16">
        <v>8</v>
      </c>
      <c r="L614" s="31"/>
      <c r="M614" s="10"/>
      <c r="N614" s="10"/>
      <c r="O614" s="10"/>
      <c r="P614" s="10"/>
      <c r="Q614" s="10"/>
      <c r="R614" s="10"/>
    </row>
    <row r="615" spans="1:18" s="1" customFormat="1">
      <c r="A615" s="10"/>
      <c r="B615" t="s">
        <v>6212</v>
      </c>
      <c r="C615" s="64" t="s">
        <v>494</v>
      </c>
      <c r="D615" s="10"/>
      <c r="E615" s="10"/>
      <c r="F615" s="10"/>
      <c r="G615" s="10"/>
      <c r="H615" s="10"/>
      <c r="I615" s="10"/>
      <c r="J615" s="10"/>
      <c r="K615" s="16">
        <v>9</v>
      </c>
      <c r="L615" s="31"/>
      <c r="M615" s="10"/>
      <c r="N615" s="10"/>
      <c r="O615" s="10"/>
      <c r="P615" s="10"/>
      <c r="Q615" s="10"/>
      <c r="R615" s="10"/>
    </row>
    <row r="616" spans="1:18" s="1" customFormat="1">
      <c r="A616" s="10"/>
      <c r="B616"/>
      <c r="C616" s="64"/>
      <c r="D616" s="10"/>
      <c r="E616" s="10"/>
      <c r="F616" s="10"/>
      <c r="G616" s="10"/>
      <c r="H616" s="10"/>
      <c r="I616" s="10"/>
      <c r="J616" s="10"/>
      <c r="K616" s="16"/>
      <c r="L616" s="31"/>
      <c r="M616" s="10"/>
      <c r="N616" s="10"/>
      <c r="O616" s="10"/>
      <c r="P616" s="10"/>
      <c r="Q616" s="10"/>
      <c r="R616" s="10"/>
    </row>
    <row r="617" spans="1:18" s="1" customFormat="1">
      <c r="A617" s="64" t="s">
        <v>6700</v>
      </c>
      <c r="B617" s="62" t="s">
        <v>6704</v>
      </c>
      <c r="C617" s="64" t="s">
        <v>494</v>
      </c>
      <c r="D617" s="10"/>
      <c r="E617" s="64" t="s">
        <v>476</v>
      </c>
      <c r="F617" s="10">
        <v>17</v>
      </c>
      <c r="G617" s="10">
        <v>1767</v>
      </c>
      <c r="H617" s="64" t="s">
        <v>6721</v>
      </c>
      <c r="I617" s="64" t="s">
        <v>6722</v>
      </c>
      <c r="J617" s="10">
        <v>1701</v>
      </c>
      <c r="K617" s="16">
        <v>1</v>
      </c>
      <c r="L617" s="80">
        <v>6</v>
      </c>
      <c r="M617" s="10"/>
      <c r="N617" s="10"/>
      <c r="O617" s="10"/>
      <c r="P617" s="10"/>
      <c r="Q617" s="10"/>
      <c r="R617" s="10"/>
    </row>
    <row r="618" spans="1:18" s="1" customFormat="1">
      <c r="A618" s="10"/>
      <c r="B618" s="62" t="s">
        <v>6705</v>
      </c>
      <c r="C618" s="64" t="s">
        <v>494</v>
      </c>
      <c r="D618" s="10"/>
      <c r="E618" s="10"/>
      <c r="F618" s="10"/>
      <c r="G618" s="10"/>
      <c r="H618" s="10"/>
      <c r="I618" s="10"/>
      <c r="J618" s="10"/>
      <c r="K618" s="16">
        <v>2</v>
      </c>
      <c r="L618" s="31">
        <v>6</v>
      </c>
      <c r="M618" s="10"/>
      <c r="N618" s="10"/>
      <c r="O618" s="10"/>
      <c r="P618" s="10"/>
      <c r="Q618" s="10"/>
      <c r="R618" s="10"/>
    </row>
    <row r="619" spans="1:18" s="1" customFormat="1">
      <c r="A619" s="10"/>
      <c r="B619" s="62" t="s">
        <v>6715</v>
      </c>
      <c r="C619" s="64" t="s">
        <v>494</v>
      </c>
      <c r="D619" s="10"/>
      <c r="E619" s="10"/>
      <c r="F619" s="10"/>
      <c r="G619" s="10"/>
      <c r="H619" s="10"/>
      <c r="I619" s="10"/>
      <c r="J619" s="10"/>
      <c r="K619" s="16">
        <v>3</v>
      </c>
      <c r="L619" s="31">
        <v>7</v>
      </c>
      <c r="M619" s="10"/>
      <c r="N619" s="10"/>
      <c r="O619" s="10"/>
      <c r="P619" s="10"/>
      <c r="Q619" s="10"/>
      <c r="R619" s="10"/>
    </row>
    <row r="620" spans="1:18" s="1" customFormat="1">
      <c r="A620" s="10"/>
      <c r="B620" s="62" t="s">
        <v>6716</v>
      </c>
      <c r="C620" s="64" t="s">
        <v>494</v>
      </c>
      <c r="D620" s="10"/>
      <c r="E620" s="10"/>
      <c r="F620" s="10"/>
      <c r="G620" s="10"/>
      <c r="H620" s="10"/>
      <c r="I620" s="10"/>
      <c r="J620" s="10"/>
      <c r="K620" s="16">
        <v>4</v>
      </c>
      <c r="L620" s="31"/>
      <c r="M620" s="10">
        <v>71</v>
      </c>
      <c r="N620" s="10"/>
      <c r="O620" s="10"/>
      <c r="P620" s="10"/>
      <c r="Q620" s="10"/>
      <c r="R620" s="10"/>
    </row>
    <row r="621" spans="1:18" s="1" customFormat="1">
      <c r="A621" s="10"/>
      <c r="B621" s="62" t="s">
        <v>6717</v>
      </c>
      <c r="C621" s="64" t="s">
        <v>494</v>
      </c>
      <c r="D621" s="10"/>
      <c r="E621" s="10"/>
      <c r="F621" s="10"/>
      <c r="G621" s="10"/>
      <c r="H621" s="10"/>
      <c r="I621" s="10"/>
      <c r="J621" s="10"/>
      <c r="K621" s="16">
        <v>5</v>
      </c>
      <c r="L621" s="31"/>
      <c r="M621" s="10">
        <v>72</v>
      </c>
      <c r="N621" s="10"/>
      <c r="O621" s="10"/>
      <c r="P621" s="10"/>
      <c r="Q621" s="10"/>
      <c r="R621" s="10"/>
    </row>
    <row r="622" spans="1:18" s="1" customFormat="1">
      <c r="A622" s="10"/>
      <c r="B622" s="62" t="s">
        <v>6706</v>
      </c>
      <c r="C622" s="64" t="s">
        <v>494</v>
      </c>
      <c r="D622" s="10"/>
      <c r="E622" s="10"/>
      <c r="F622" s="10"/>
      <c r="G622" s="10"/>
      <c r="H622" s="10"/>
      <c r="I622" s="10"/>
      <c r="J622" s="10"/>
      <c r="K622" s="16">
        <v>6</v>
      </c>
      <c r="L622" s="80">
        <v>3</v>
      </c>
      <c r="M622" s="10"/>
      <c r="N622" s="64" t="s">
        <v>506</v>
      </c>
      <c r="O622" s="64" t="s">
        <v>514</v>
      </c>
      <c r="P622" s="62" t="s">
        <v>515</v>
      </c>
      <c r="Q622" s="10"/>
      <c r="R622" s="10"/>
    </row>
    <row r="623" spans="1:18" s="1" customFormat="1">
      <c r="A623" s="10"/>
      <c r="B623" s="62" t="s">
        <v>6708</v>
      </c>
      <c r="C623" s="64" t="s">
        <v>494</v>
      </c>
      <c r="D623" s="10"/>
      <c r="E623" s="10"/>
      <c r="F623" s="10"/>
      <c r="G623" s="10"/>
      <c r="H623" s="10"/>
      <c r="I623" s="10"/>
      <c r="J623" s="10"/>
      <c r="K623" s="16">
        <v>7</v>
      </c>
      <c r="L623" s="80">
        <v>3</v>
      </c>
      <c r="M623" s="10"/>
      <c r="N623" s="62" t="s">
        <v>3664</v>
      </c>
      <c r="O623" s="60" t="s">
        <v>3666</v>
      </c>
      <c r="P623" s="60" t="s">
        <v>3667</v>
      </c>
      <c r="Q623" s="10"/>
      <c r="R623" s="10"/>
    </row>
    <row r="624" spans="1:18" s="1" customFormat="1">
      <c r="A624" s="10"/>
      <c r="B624" s="62" t="s">
        <v>6707</v>
      </c>
      <c r="C624" s="64" t="s">
        <v>494</v>
      </c>
      <c r="D624" s="10"/>
      <c r="E624" s="10"/>
      <c r="F624" s="10"/>
      <c r="G624" s="10"/>
      <c r="H624" s="10"/>
      <c r="I624" s="10"/>
      <c r="J624" s="10"/>
      <c r="K624" s="16">
        <v>8</v>
      </c>
      <c r="L624" s="80">
        <v>3</v>
      </c>
      <c r="M624" s="10">
        <v>31</v>
      </c>
      <c r="N624" s="62" t="s">
        <v>1038</v>
      </c>
      <c r="O624" s="23" t="s">
        <v>1040</v>
      </c>
      <c r="P624" s="23" t="s">
        <v>1041</v>
      </c>
      <c r="Q624" s="23" t="s">
        <v>1040</v>
      </c>
      <c r="R624" s="10">
        <v>7</v>
      </c>
    </row>
    <row r="625" spans="1:18" s="1" customFormat="1">
      <c r="A625" s="10"/>
      <c r="B625" s="62" t="s">
        <v>6732</v>
      </c>
      <c r="C625" s="64" t="s">
        <v>494</v>
      </c>
      <c r="D625" s="10"/>
      <c r="E625" s="10"/>
      <c r="F625" s="10"/>
      <c r="G625" s="10"/>
      <c r="H625" s="10"/>
      <c r="I625" s="10"/>
      <c r="J625" s="10"/>
      <c r="K625" s="16">
        <v>9</v>
      </c>
      <c r="L625" s="80">
        <v>3</v>
      </c>
      <c r="M625" s="10"/>
      <c r="N625" s="64" t="s">
        <v>6701</v>
      </c>
      <c r="O625" s="62" t="s">
        <v>6702</v>
      </c>
      <c r="P625" s="62" t="s">
        <v>6703</v>
      </c>
      <c r="Q625" s="10"/>
      <c r="R625" s="10"/>
    </row>
    <row r="626" spans="1:18" s="1" customFormat="1">
      <c r="A626" s="10"/>
      <c r="B626" s="62" t="s">
        <v>6709</v>
      </c>
      <c r="C626" s="64" t="s">
        <v>494</v>
      </c>
      <c r="D626" s="10"/>
      <c r="E626" s="10"/>
      <c r="F626" s="10"/>
      <c r="G626" s="10"/>
      <c r="H626" s="10"/>
      <c r="I626" s="10"/>
      <c r="J626" s="10"/>
      <c r="K626" s="16">
        <v>10</v>
      </c>
      <c r="L626" s="80">
        <v>3</v>
      </c>
      <c r="M626" s="10">
        <v>1</v>
      </c>
      <c r="N626" s="10"/>
      <c r="P626" s="10"/>
      <c r="Q626" s="10"/>
      <c r="R626" s="10"/>
    </row>
    <row r="627" spans="1:18" s="1" customFormat="1">
      <c r="A627" s="10"/>
      <c r="B627" s="62" t="s">
        <v>6710</v>
      </c>
      <c r="C627" s="64" t="s">
        <v>494</v>
      </c>
      <c r="D627" s="10"/>
      <c r="E627" s="10"/>
      <c r="F627" s="10"/>
      <c r="G627" s="10"/>
      <c r="H627" s="10"/>
      <c r="I627" s="10"/>
      <c r="J627" s="10"/>
      <c r="K627" s="16">
        <v>11</v>
      </c>
      <c r="L627" s="80">
        <v>8</v>
      </c>
      <c r="M627" s="10">
        <v>1</v>
      </c>
      <c r="N627" s="10"/>
      <c r="O627" s="10"/>
      <c r="P627" s="10"/>
      <c r="Q627" s="10"/>
      <c r="R627" s="10"/>
    </row>
    <row r="628" spans="1:18" s="1" customFormat="1">
      <c r="A628" s="10"/>
      <c r="B628" s="62" t="s">
        <v>6711</v>
      </c>
      <c r="C628" s="64" t="s">
        <v>494</v>
      </c>
      <c r="D628" s="10"/>
      <c r="E628" s="10"/>
      <c r="F628" s="10"/>
      <c r="G628" s="10"/>
      <c r="H628" s="10"/>
      <c r="I628" s="10"/>
      <c r="J628" s="10"/>
      <c r="K628" s="16">
        <v>12</v>
      </c>
      <c r="L628" s="80">
        <v>8</v>
      </c>
      <c r="M628" s="64">
        <v>1</v>
      </c>
      <c r="N628" s="10"/>
      <c r="O628" s="10"/>
      <c r="P628" s="10"/>
      <c r="Q628" s="10"/>
      <c r="R628" s="10"/>
    </row>
    <row r="629" spans="1:18" s="1" customFormat="1">
      <c r="A629" s="10"/>
      <c r="B629" s="62" t="s">
        <v>6719</v>
      </c>
      <c r="C629" s="64" t="s">
        <v>493</v>
      </c>
      <c r="D629" s="10">
        <v>1</v>
      </c>
      <c r="E629" s="10"/>
      <c r="F629" s="10"/>
      <c r="G629" s="10"/>
      <c r="H629" s="10"/>
      <c r="I629" s="10"/>
      <c r="J629" s="10"/>
      <c r="K629" s="16">
        <v>13</v>
      </c>
      <c r="L629" s="80">
        <v>3</v>
      </c>
      <c r="M629" s="64">
        <v>1</v>
      </c>
      <c r="N629" s="10"/>
      <c r="O629" s="10"/>
      <c r="P629" s="10"/>
      <c r="Q629" s="10"/>
      <c r="R629" s="10"/>
    </row>
    <row r="630" spans="1:18" s="1" customFormat="1">
      <c r="A630" s="10"/>
      <c r="B630" s="62" t="s">
        <v>6718</v>
      </c>
      <c r="C630" s="64" t="s">
        <v>520</v>
      </c>
      <c r="D630" s="10"/>
      <c r="E630" s="10"/>
      <c r="F630" s="10"/>
      <c r="G630" s="10"/>
      <c r="H630" s="10"/>
      <c r="I630" s="10"/>
      <c r="J630" s="10"/>
      <c r="K630" s="16">
        <v>14</v>
      </c>
      <c r="L630" s="31"/>
      <c r="M630" s="10"/>
      <c r="N630" s="10"/>
      <c r="O630" s="10"/>
      <c r="P630" s="10"/>
      <c r="Q630" s="10"/>
      <c r="R630" s="10"/>
    </row>
    <row r="631" spans="1:18" s="1" customFormat="1">
      <c r="A631" s="10"/>
      <c r="B631" s="62" t="s">
        <v>6712</v>
      </c>
      <c r="C631" s="64" t="s">
        <v>494</v>
      </c>
      <c r="D631" s="10"/>
      <c r="E631" s="10"/>
      <c r="F631" s="10"/>
      <c r="G631" s="10"/>
      <c r="H631" s="10"/>
      <c r="I631" s="10"/>
      <c r="J631" s="10"/>
      <c r="K631" s="16">
        <v>15</v>
      </c>
      <c r="L631" s="80">
        <v>3</v>
      </c>
      <c r="M631" s="10"/>
      <c r="N631" s="10"/>
      <c r="O631" s="10"/>
      <c r="P631" s="10"/>
      <c r="Q631" s="10"/>
      <c r="R631" s="10"/>
    </row>
    <row r="632" spans="1:18" s="1" customFormat="1">
      <c r="A632" s="10"/>
      <c r="B632" s="62" t="s">
        <v>6713</v>
      </c>
      <c r="C632" s="64" t="s">
        <v>494</v>
      </c>
      <c r="D632" s="10"/>
      <c r="E632" s="10"/>
      <c r="F632" s="10"/>
      <c r="G632" s="10"/>
      <c r="H632" s="10"/>
      <c r="I632" s="10"/>
      <c r="J632" s="10"/>
      <c r="K632" s="16">
        <v>16</v>
      </c>
      <c r="L632" s="80">
        <v>8</v>
      </c>
      <c r="M632" s="10"/>
      <c r="N632" s="10"/>
      <c r="O632" s="10"/>
      <c r="P632" s="10"/>
      <c r="Q632" s="10"/>
      <c r="R632" s="10"/>
    </row>
    <row r="633" spans="1:18" s="1" customFormat="1">
      <c r="A633" s="10"/>
      <c r="B633" s="62" t="s">
        <v>6714</v>
      </c>
      <c r="C633" s="64" t="s">
        <v>494</v>
      </c>
      <c r="D633" s="10"/>
      <c r="E633" s="10"/>
      <c r="F633" s="10"/>
      <c r="G633" s="10"/>
      <c r="H633" s="10"/>
      <c r="I633" s="10"/>
      <c r="J633" s="10"/>
      <c r="K633" s="16">
        <v>17</v>
      </c>
      <c r="L633" s="80">
        <v>8</v>
      </c>
      <c r="M633" s="10"/>
      <c r="N633" s="10"/>
      <c r="O633" s="10"/>
      <c r="P633" s="10"/>
      <c r="Q633" s="10"/>
      <c r="R633" s="10"/>
    </row>
    <row r="634" spans="1:18" s="1" customFormat="1">
      <c r="A634" s="10"/>
      <c r="B634" s="62" t="s">
        <v>6720</v>
      </c>
      <c r="C634" s="64" t="s">
        <v>493</v>
      </c>
      <c r="D634" s="10">
        <v>1</v>
      </c>
      <c r="E634" s="10"/>
      <c r="F634" s="10"/>
      <c r="G634" s="10"/>
      <c r="H634" s="10"/>
      <c r="I634" s="10"/>
      <c r="J634" s="10"/>
      <c r="K634" s="16">
        <v>18</v>
      </c>
      <c r="L634" s="80">
        <v>3</v>
      </c>
      <c r="M634" s="10"/>
      <c r="N634" s="10"/>
      <c r="O634" s="10"/>
      <c r="P634" s="10"/>
      <c r="Q634" s="10"/>
      <c r="R634" s="10"/>
    </row>
    <row r="635" spans="1:18" s="1" customFormat="1">
      <c r="A635" s="10"/>
      <c r="B635" s="62" t="s">
        <v>6723</v>
      </c>
      <c r="C635" s="64" t="s">
        <v>494</v>
      </c>
      <c r="D635" s="10"/>
      <c r="E635" s="10"/>
      <c r="F635" s="10"/>
      <c r="G635" s="10"/>
      <c r="H635" s="10"/>
      <c r="I635" s="10"/>
      <c r="J635" s="10"/>
      <c r="K635" s="16">
        <v>19</v>
      </c>
      <c r="L635" s="80">
        <v>3</v>
      </c>
      <c r="M635" s="10">
        <v>1</v>
      </c>
      <c r="N635" s="64" t="s">
        <v>6729</v>
      </c>
      <c r="O635" s="62" t="s">
        <v>6730</v>
      </c>
      <c r="P635" s="62" t="s">
        <v>6731</v>
      </c>
      <c r="Q635" s="10"/>
      <c r="R635" s="10"/>
    </row>
    <row r="636" spans="1:18" s="1" customFormat="1">
      <c r="A636" s="10"/>
      <c r="B636" s="62" t="s">
        <v>6724</v>
      </c>
      <c r="C636" s="64" t="s">
        <v>494</v>
      </c>
      <c r="D636" s="10"/>
      <c r="E636" s="10"/>
      <c r="F636" s="10"/>
      <c r="G636" s="10"/>
      <c r="H636" s="10"/>
      <c r="I636" s="10"/>
      <c r="J636" s="10"/>
      <c r="K636" s="16">
        <v>20</v>
      </c>
      <c r="L636" s="80">
        <v>8</v>
      </c>
      <c r="M636" s="10">
        <v>1</v>
      </c>
      <c r="N636" s="10"/>
      <c r="P636" s="10"/>
      <c r="Q636" s="10"/>
      <c r="R636" s="10"/>
    </row>
    <row r="637" spans="1:18" s="1" customFormat="1">
      <c r="A637" s="10"/>
      <c r="B637" s="62" t="s">
        <v>6725</v>
      </c>
      <c r="C637" s="64" t="s">
        <v>494</v>
      </c>
      <c r="D637" s="10"/>
      <c r="E637" s="10"/>
      <c r="F637" s="10"/>
      <c r="G637" s="10"/>
      <c r="H637" s="10"/>
      <c r="I637" s="10"/>
      <c r="J637" s="10"/>
      <c r="K637" s="16">
        <v>21</v>
      </c>
      <c r="L637" s="80">
        <v>7</v>
      </c>
      <c r="M637" s="10">
        <v>1</v>
      </c>
      <c r="N637" s="10"/>
      <c r="O637" s="10"/>
      <c r="P637" s="10"/>
      <c r="Q637" s="10"/>
      <c r="R637" s="10"/>
    </row>
    <row r="638" spans="1:18" s="1" customFormat="1">
      <c r="A638" s="10"/>
      <c r="B638" s="62" t="s">
        <v>6726</v>
      </c>
      <c r="C638" s="64" t="s">
        <v>494</v>
      </c>
      <c r="D638" s="10"/>
      <c r="E638" s="10"/>
      <c r="F638" s="10"/>
      <c r="G638" s="10"/>
      <c r="H638" s="10"/>
      <c r="I638" s="10"/>
      <c r="J638" s="10"/>
      <c r="K638" s="16">
        <v>22</v>
      </c>
      <c r="L638" s="31"/>
      <c r="M638" s="10">
        <v>73</v>
      </c>
      <c r="N638" s="10"/>
      <c r="O638" s="10"/>
      <c r="P638" s="10"/>
      <c r="Q638" s="10"/>
      <c r="R638" s="10"/>
    </row>
    <row r="639" spans="1:18" s="1" customFormat="1">
      <c r="A639" s="10"/>
      <c r="B639" s="62" t="s">
        <v>6727</v>
      </c>
      <c r="C639" s="64" t="s">
        <v>494</v>
      </c>
      <c r="D639" s="10"/>
      <c r="E639" s="10"/>
      <c r="F639" s="10"/>
      <c r="G639" s="10"/>
      <c r="H639" s="10"/>
      <c r="I639" s="10"/>
      <c r="J639" s="10"/>
      <c r="K639" s="16">
        <v>23</v>
      </c>
      <c r="L639" s="31"/>
      <c r="M639" s="10">
        <v>74</v>
      </c>
      <c r="N639" s="10"/>
      <c r="O639" s="10"/>
      <c r="P639" s="10"/>
      <c r="Q639" s="10"/>
      <c r="R639" s="10"/>
    </row>
    <row r="640" spans="1:18" s="1" customFormat="1">
      <c r="A640" s="10"/>
      <c r="B640" s="62" t="s">
        <v>6728</v>
      </c>
      <c r="C640" s="64" t="s">
        <v>520</v>
      </c>
      <c r="D640" s="10"/>
      <c r="E640" s="10"/>
      <c r="F640" s="10"/>
      <c r="G640" s="10"/>
      <c r="H640" s="10"/>
      <c r="I640" s="10"/>
      <c r="J640" s="10"/>
      <c r="K640" s="16">
        <v>24</v>
      </c>
      <c r="L640" s="31"/>
      <c r="M640" s="64">
        <v>1</v>
      </c>
      <c r="N640" s="10"/>
      <c r="O640" s="10"/>
      <c r="P640" s="10"/>
      <c r="Q640" s="10"/>
      <c r="R640" s="10"/>
    </row>
    <row r="641" spans="1:18" s="1" customFormat="1">
      <c r="A641" s="10"/>
      <c r="B641" s="62" t="s">
        <v>6891</v>
      </c>
      <c r="C641" s="64" t="s">
        <v>494</v>
      </c>
      <c r="D641" s="10"/>
      <c r="E641" s="10"/>
      <c r="F641" s="10"/>
      <c r="G641" s="10"/>
      <c r="H641" s="10"/>
      <c r="I641" s="10"/>
      <c r="J641" s="10"/>
      <c r="K641" s="16">
        <v>25</v>
      </c>
      <c r="L641" s="31">
        <v>8</v>
      </c>
      <c r="M641" s="64">
        <v>1</v>
      </c>
      <c r="N641" s="10"/>
      <c r="O641" s="10"/>
      <c r="P641" s="10"/>
      <c r="Q641" s="10"/>
      <c r="R641" s="10"/>
    </row>
    <row r="642" spans="1:18" s="1" customFormat="1">
      <c r="A642" s="10"/>
      <c r="B642" s="62"/>
      <c r="C642" s="64"/>
      <c r="D642" s="10"/>
      <c r="E642" s="10"/>
      <c r="F642" s="10"/>
      <c r="G642" s="10"/>
      <c r="H642" s="10"/>
      <c r="I642" s="10"/>
      <c r="J642" s="10"/>
      <c r="K642" s="16"/>
      <c r="L642" s="31"/>
      <c r="M642" s="10"/>
      <c r="N642" s="10"/>
      <c r="O642" s="10"/>
      <c r="P642" s="10"/>
      <c r="Q642" s="10"/>
      <c r="R642" s="10"/>
    </row>
    <row r="643" spans="1:18" s="1" customFormat="1">
      <c r="A643" s="70" t="s">
        <v>6700</v>
      </c>
      <c r="B643" s="70" t="s">
        <v>6704</v>
      </c>
      <c r="C643" s="70" t="s">
        <v>494</v>
      </c>
      <c r="D643" s="10"/>
      <c r="E643" s="64" t="s">
        <v>476</v>
      </c>
      <c r="F643" s="10">
        <v>17</v>
      </c>
      <c r="G643" s="10">
        <v>1768</v>
      </c>
      <c r="H643" s="64" t="s">
        <v>6733</v>
      </c>
      <c r="I643" s="64" t="s">
        <v>6734</v>
      </c>
      <c r="J643" s="10">
        <v>1701</v>
      </c>
      <c r="K643" s="16">
        <v>1</v>
      </c>
      <c r="L643" s="80">
        <v>6</v>
      </c>
      <c r="M643" s="10"/>
      <c r="N643" s="10"/>
      <c r="O643" s="10"/>
      <c r="P643" s="10"/>
      <c r="Q643" s="10"/>
      <c r="R643" s="10"/>
    </row>
    <row r="644" spans="1:18" s="1" customFormat="1">
      <c r="A644" s="39"/>
      <c r="B644" s="70" t="s">
        <v>6705</v>
      </c>
      <c r="C644" s="70" t="s">
        <v>494</v>
      </c>
      <c r="D644" s="10"/>
      <c r="E644" s="10"/>
      <c r="F644" s="10"/>
      <c r="G644" s="10"/>
      <c r="H644" s="10"/>
      <c r="I644" s="10"/>
      <c r="J644" s="10"/>
      <c r="K644" s="16">
        <v>2</v>
      </c>
      <c r="L644" s="31">
        <v>6</v>
      </c>
      <c r="M644" s="10"/>
      <c r="N644" s="10"/>
      <c r="O644" s="10"/>
      <c r="P644" s="10"/>
      <c r="Q644" s="10"/>
      <c r="R644" s="10"/>
    </row>
    <row r="645" spans="1:18" s="1" customFormat="1">
      <c r="A645" s="39"/>
      <c r="B645" s="70" t="s">
        <v>6715</v>
      </c>
      <c r="C645" s="70" t="s">
        <v>494</v>
      </c>
      <c r="D645" s="10"/>
      <c r="E645" s="10"/>
      <c r="F645" s="10"/>
      <c r="G645" s="10"/>
      <c r="H645" s="10"/>
      <c r="I645" s="10"/>
      <c r="J645" s="10"/>
      <c r="K645" s="16">
        <v>3</v>
      </c>
      <c r="L645" s="31">
        <v>7</v>
      </c>
      <c r="M645" s="10">
        <v>1</v>
      </c>
      <c r="N645" s="10"/>
      <c r="O645" s="10"/>
      <c r="P645" s="10"/>
      <c r="Q645" s="10"/>
      <c r="R645" s="10"/>
    </row>
    <row r="646" spans="1:18" s="1" customFormat="1">
      <c r="A646" s="39"/>
      <c r="B646" s="70" t="s">
        <v>6716</v>
      </c>
      <c r="C646" s="70" t="s">
        <v>494</v>
      </c>
      <c r="D646" s="10"/>
      <c r="E646" s="10"/>
      <c r="F646" s="10"/>
      <c r="G646" s="10"/>
      <c r="H646" s="10"/>
      <c r="I646" s="10"/>
      <c r="J646" s="10"/>
      <c r="K646" s="16">
        <v>4</v>
      </c>
      <c r="L646" s="31"/>
      <c r="M646" s="10">
        <v>73</v>
      </c>
      <c r="N646" s="10"/>
      <c r="O646" s="10"/>
      <c r="P646" s="10"/>
      <c r="Q646" s="10"/>
      <c r="R646" s="10"/>
    </row>
    <row r="647" spans="1:18" s="1" customFormat="1">
      <c r="A647" s="39"/>
      <c r="B647" s="70" t="s">
        <v>6717</v>
      </c>
      <c r="C647" s="70" t="s">
        <v>494</v>
      </c>
      <c r="D647" s="10"/>
      <c r="E647" s="10"/>
      <c r="F647" s="10"/>
      <c r="G647" s="10"/>
      <c r="H647" s="10"/>
      <c r="I647" s="10"/>
      <c r="J647" s="10"/>
      <c r="K647" s="16">
        <v>5</v>
      </c>
      <c r="L647" s="31"/>
      <c r="M647" s="10">
        <v>74</v>
      </c>
      <c r="N647" s="10"/>
      <c r="O647" s="10"/>
      <c r="P647" s="10"/>
      <c r="Q647" s="10"/>
      <c r="R647" s="10"/>
    </row>
    <row r="648" spans="1:18" s="1" customFormat="1">
      <c r="A648" s="39"/>
      <c r="B648" s="70" t="s">
        <v>6706</v>
      </c>
      <c r="C648" s="70" t="s">
        <v>494</v>
      </c>
      <c r="D648" s="10"/>
      <c r="E648" s="10"/>
      <c r="F648" s="10"/>
      <c r="G648" s="10"/>
      <c r="H648" s="10"/>
      <c r="I648" s="10"/>
      <c r="J648" s="10"/>
      <c r="K648" s="16">
        <v>6</v>
      </c>
      <c r="L648" s="80">
        <v>3</v>
      </c>
      <c r="M648" s="64">
        <v>1</v>
      </c>
      <c r="N648" s="64" t="s">
        <v>506</v>
      </c>
      <c r="O648" s="64" t="s">
        <v>514</v>
      </c>
      <c r="P648" s="62" t="s">
        <v>515</v>
      </c>
      <c r="Q648" s="10"/>
      <c r="R648" s="10"/>
    </row>
    <row r="649" spans="1:18" s="1" customFormat="1">
      <c r="A649" s="39"/>
      <c r="B649" s="70" t="s">
        <v>6708</v>
      </c>
      <c r="C649" s="70" t="s">
        <v>494</v>
      </c>
      <c r="D649" s="10"/>
      <c r="E649" s="10"/>
      <c r="F649" s="10"/>
      <c r="G649" s="10"/>
      <c r="H649" s="10"/>
      <c r="I649" s="10"/>
      <c r="J649" s="10"/>
      <c r="K649" s="16">
        <v>7</v>
      </c>
      <c r="L649" s="80">
        <v>3</v>
      </c>
      <c r="M649" s="64">
        <v>1</v>
      </c>
      <c r="N649" s="62" t="s">
        <v>3664</v>
      </c>
      <c r="O649" s="60" t="s">
        <v>3666</v>
      </c>
      <c r="P649" s="60" t="s">
        <v>3667</v>
      </c>
      <c r="Q649" s="10"/>
      <c r="R649" s="10"/>
    </row>
    <row r="650" spans="1:18" s="1" customFormat="1">
      <c r="A650" s="39"/>
      <c r="B650" s="70" t="s">
        <v>6707</v>
      </c>
      <c r="C650" s="70" t="s">
        <v>494</v>
      </c>
      <c r="D650" s="10"/>
      <c r="E650" s="10"/>
      <c r="F650" s="10"/>
      <c r="G650" s="10"/>
      <c r="H650" s="10"/>
      <c r="I650" s="10"/>
      <c r="J650" s="10"/>
      <c r="K650" s="16">
        <v>8</v>
      </c>
      <c r="L650" s="80">
        <v>3</v>
      </c>
      <c r="M650" s="10">
        <v>1</v>
      </c>
      <c r="N650" s="62" t="s">
        <v>1038</v>
      </c>
      <c r="O650" s="23" t="s">
        <v>1040</v>
      </c>
      <c r="P650" s="23" t="s">
        <v>1041</v>
      </c>
      <c r="Q650" s="23"/>
      <c r="R650" s="10"/>
    </row>
    <row r="651" spans="1:18" s="1" customFormat="1">
      <c r="A651" s="39"/>
      <c r="B651" s="70" t="s">
        <v>6732</v>
      </c>
      <c r="C651" s="70" t="s">
        <v>494</v>
      </c>
      <c r="D651" s="10"/>
      <c r="E651" s="10"/>
      <c r="F651" s="10"/>
      <c r="G651" s="10"/>
      <c r="H651" s="10"/>
      <c r="I651" s="10"/>
      <c r="J651" s="10"/>
      <c r="K651" s="16">
        <v>9</v>
      </c>
      <c r="L651" s="80">
        <v>3</v>
      </c>
      <c r="M651" s="64">
        <v>1</v>
      </c>
      <c r="N651" s="64" t="s">
        <v>6701</v>
      </c>
      <c r="O651" s="62" t="s">
        <v>6702</v>
      </c>
      <c r="P651" s="62" t="s">
        <v>6703</v>
      </c>
      <c r="Q651" s="10"/>
      <c r="R651" s="10"/>
    </row>
    <row r="652" spans="1:18" s="1" customFormat="1">
      <c r="A652" s="39"/>
      <c r="B652" s="70" t="s">
        <v>6709</v>
      </c>
      <c r="C652" s="70" t="s">
        <v>494</v>
      </c>
      <c r="D652" s="10"/>
      <c r="E652" s="10"/>
      <c r="F652" s="10"/>
      <c r="G652" s="10"/>
      <c r="H652" s="10"/>
      <c r="I652" s="10"/>
      <c r="J652" s="10"/>
      <c r="K652" s="16">
        <v>10</v>
      </c>
      <c r="L652" s="80">
        <v>3</v>
      </c>
      <c r="M652" s="10">
        <v>1</v>
      </c>
      <c r="N652" s="10"/>
      <c r="P652" s="10"/>
      <c r="Q652" s="10"/>
      <c r="R652" s="10"/>
    </row>
    <row r="653" spans="1:18" s="1" customFormat="1">
      <c r="A653" s="39"/>
      <c r="B653" s="70" t="s">
        <v>6710</v>
      </c>
      <c r="C653" s="70" t="s">
        <v>494</v>
      </c>
      <c r="D653" s="10"/>
      <c r="E653" s="10"/>
      <c r="F653" s="10"/>
      <c r="G653" s="10"/>
      <c r="H653" s="10"/>
      <c r="I653" s="10"/>
      <c r="J653" s="10"/>
      <c r="K653" s="16">
        <v>11</v>
      </c>
      <c r="L653" s="80">
        <v>8</v>
      </c>
      <c r="M653" s="10">
        <v>1</v>
      </c>
      <c r="N653" s="10"/>
      <c r="O653" s="10"/>
      <c r="P653" s="10"/>
      <c r="Q653" s="10"/>
      <c r="R653" s="10"/>
    </row>
    <row r="654" spans="1:18" s="1" customFormat="1">
      <c r="A654" s="39"/>
      <c r="B654" s="70" t="s">
        <v>6711</v>
      </c>
      <c r="C654" s="70" t="s">
        <v>494</v>
      </c>
      <c r="D654" s="10"/>
      <c r="E654" s="10"/>
      <c r="F654" s="10"/>
      <c r="G654" s="10"/>
      <c r="H654" s="10"/>
      <c r="I654" s="10"/>
      <c r="J654" s="10"/>
      <c r="K654" s="16">
        <v>12</v>
      </c>
      <c r="L654" s="80">
        <v>8</v>
      </c>
      <c r="M654" s="64">
        <v>1</v>
      </c>
      <c r="N654" s="10"/>
      <c r="O654" s="10"/>
      <c r="P654" s="10"/>
      <c r="Q654" s="10"/>
      <c r="R654" s="10"/>
    </row>
    <row r="655" spans="1:18" s="1" customFormat="1">
      <c r="A655" s="39"/>
      <c r="B655" s="70" t="s">
        <v>6719</v>
      </c>
      <c r="C655" s="70" t="s">
        <v>493</v>
      </c>
      <c r="D655" s="10">
        <v>1</v>
      </c>
      <c r="E655" s="10"/>
      <c r="F655" s="10"/>
      <c r="G655" s="10"/>
      <c r="H655" s="10"/>
      <c r="I655" s="10"/>
      <c r="J655" s="10"/>
      <c r="K655" s="16">
        <v>13</v>
      </c>
      <c r="L655" s="80">
        <v>3</v>
      </c>
      <c r="M655" s="64">
        <v>1</v>
      </c>
      <c r="N655" s="10"/>
      <c r="O655" s="10"/>
      <c r="P655" s="10"/>
      <c r="Q655" s="10"/>
      <c r="R655" s="10"/>
    </row>
    <row r="656" spans="1:18" s="1" customFormat="1">
      <c r="A656" s="39"/>
      <c r="B656" s="70" t="s">
        <v>6718</v>
      </c>
      <c r="C656" s="70" t="s">
        <v>520</v>
      </c>
      <c r="D656" s="10"/>
      <c r="E656" s="10"/>
      <c r="F656" s="10"/>
      <c r="G656" s="10"/>
      <c r="H656" s="10"/>
      <c r="I656" s="10"/>
      <c r="J656" s="10"/>
      <c r="K656" s="16">
        <v>14</v>
      </c>
      <c r="L656" s="31"/>
      <c r="M656" s="64">
        <v>1</v>
      </c>
      <c r="N656" s="10"/>
      <c r="O656" s="10"/>
      <c r="P656" s="10"/>
      <c r="Q656" s="10"/>
      <c r="R656" s="10"/>
    </row>
    <row r="657" spans="1:18" s="1" customFormat="1">
      <c r="A657" s="39"/>
      <c r="B657" s="70" t="s">
        <v>6712</v>
      </c>
      <c r="C657" s="70" t="s">
        <v>494</v>
      </c>
      <c r="D657" s="10"/>
      <c r="E657" s="10"/>
      <c r="F657" s="10"/>
      <c r="G657" s="10"/>
      <c r="H657" s="10"/>
      <c r="I657" s="10"/>
      <c r="J657" s="10"/>
      <c r="K657" s="16">
        <v>15</v>
      </c>
      <c r="L657" s="80">
        <v>3</v>
      </c>
      <c r="M657" s="64">
        <v>1</v>
      </c>
      <c r="N657" s="10"/>
      <c r="O657" s="10"/>
      <c r="P657" s="10"/>
      <c r="Q657" s="10"/>
      <c r="R657" s="10"/>
    </row>
    <row r="658" spans="1:18" s="1" customFormat="1">
      <c r="A658" s="39"/>
      <c r="B658" s="70" t="s">
        <v>6713</v>
      </c>
      <c r="C658" s="70" t="s">
        <v>494</v>
      </c>
      <c r="D658" s="10"/>
      <c r="E658" s="10"/>
      <c r="F658" s="10"/>
      <c r="G658" s="10"/>
      <c r="H658" s="10"/>
      <c r="I658" s="10"/>
      <c r="J658" s="10"/>
      <c r="K658" s="16">
        <v>16</v>
      </c>
      <c r="L658" s="80">
        <v>8</v>
      </c>
      <c r="M658" s="64">
        <v>1</v>
      </c>
      <c r="N658" s="10"/>
      <c r="O658" s="10"/>
      <c r="P658" s="10"/>
      <c r="Q658" s="10"/>
      <c r="R658" s="10"/>
    </row>
    <row r="659" spans="1:18" s="1" customFormat="1">
      <c r="A659" s="39"/>
      <c r="B659" s="70" t="s">
        <v>6714</v>
      </c>
      <c r="C659" s="70" t="s">
        <v>494</v>
      </c>
      <c r="D659" s="10"/>
      <c r="E659" s="10"/>
      <c r="F659" s="10"/>
      <c r="G659" s="10"/>
      <c r="H659" s="10"/>
      <c r="I659" s="10"/>
      <c r="J659" s="10"/>
      <c r="K659" s="16">
        <v>17</v>
      </c>
      <c r="L659" s="80">
        <v>8</v>
      </c>
      <c r="M659" s="64">
        <v>1</v>
      </c>
      <c r="N659" s="10"/>
      <c r="O659" s="10"/>
      <c r="P659" s="10"/>
      <c r="Q659" s="10"/>
      <c r="R659" s="10"/>
    </row>
    <row r="660" spans="1:18" s="1" customFormat="1">
      <c r="A660" s="39"/>
      <c r="B660" s="70" t="s">
        <v>6720</v>
      </c>
      <c r="C660" s="70" t="s">
        <v>493</v>
      </c>
      <c r="D660" s="10">
        <v>1</v>
      </c>
      <c r="E660" s="10"/>
      <c r="F660" s="10"/>
      <c r="G660" s="10"/>
      <c r="H660" s="10"/>
      <c r="I660" s="10"/>
      <c r="J660" s="10"/>
      <c r="K660" s="16">
        <v>18</v>
      </c>
      <c r="L660" s="80">
        <v>3</v>
      </c>
      <c r="M660" s="64">
        <v>1</v>
      </c>
      <c r="N660" s="10"/>
      <c r="O660" s="10"/>
      <c r="P660" s="10"/>
      <c r="Q660" s="10"/>
      <c r="R660" s="10"/>
    </row>
    <row r="661" spans="1:18" s="1" customFormat="1">
      <c r="A661" s="39"/>
      <c r="B661" s="70" t="s">
        <v>6723</v>
      </c>
      <c r="C661" s="70" t="s">
        <v>494</v>
      </c>
      <c r="D661" s="10"/>
      <c r="E661" s="10"/>
      <c r="F661" s="10"/>
      <c r="G661" s="10"/>
      <c r="H661" s="10"/>
      <c r="I661" s="10"/>
      <c r="J661" s="10"/>
      <c r="K661" s="16">
        <v>19</v>
      </c>
      <c r="L661" s="80">
        <v>3</v>
      </c>
      <c r="M661" s="10"/>
      <c r="N661" s="64" t="s">
        <v>6729</v>
      </c>
      <c r="O661" s="62" t="s">
        <v>6730</v>
      </c>
      <c r="P661" s="62" t="s">
        <v>6731</v>
      </c>
      <c r="Q661" s="10"/>
      <c r="R661" s="10"/>
    </row>
    <row r="662" spans="1:18" s="1" customFormat="1">
      <c r="A662" s="39"/>
      <c r="B662" s="70" t="s">
        <v>6724</v>
      </c>
      <c r="C662" s="70" t="s">
        <v>494</v>
      </c>
      <c r="D662" s="10"/>
      <c r="E662" s="10"/>
      <c r="F662" s="10"/>
      <c r="G662" s="10"/>
      <c r="H662" s="10"/>
      <c r="I662" s="10"/>
      <c r="J662" s="10"/>
      <c r="K662" s="16">
        <v>20</v>
      </c>
      <c r="L662" s="80">
        <v>8</v>
      </c>
      <c r="M662" s="10"/>
      <c r="N662" s="10"/>
      <c r="P662" s="10"/>
      <c r="Q662" s="10"/>
      <c r="R662" s="10"/>
    </row>
    <row r="663" spans="1:18" s="1" customFormat="1">
      <c r="A663" s="39"/>
      <c r="B663" s="70" t="s">
        <v>6725</v>
      </c>
      <c r="C663" s="70" t="s">
        <v>494</v>
      </c>
      <c r="D663" s="10"/>
      <c r="E663" s="10"/>
      <c r="F663" s="10"/>
      <c r="G663" s="10"/>
      <c r="H663" s="10"/>
      <c r="I663" s="10"/>
      <c r="J663" s="10"/>
      <c r="K663" s="16">
        <v>21</v>
      </c>
      <c r="L663" s="80">
        <v>7</v>
      </c>
      <c r="M663" s="10"/>
      <c r="N663" s="10"/>
      <c r="O663" s="10"/>
      <c r="P663" s="10"/>
      <c r="Q663" s="10"/>
      <c r="R663" s="10"/>
    </row>
    <row r="664" spans="1:18" s="1" customFormat="1">
      <c r="A664" s="39"/>
      <c r="B664" s="70" t="s">
        <v>6726</v>
      </c>
      <c r="C664" s="70" t="s">
        <v>494</v>
      </c>
      <c r="D664" s="10"/>
      <c r="E664" s="10"/>
      <c r="F664" s="10"/>
      <c r="G664" s="10"/>
      <c r="H664" s="10"/>
      <c r="I664" s="10"/>
      <c r="J664" s="10"/>
      <c r="K664" s="16">
        <v>22</v>
      </c>
      <c r="L664" s="31"/>
      <c r="M664" s="10">
        <v>71</v>
      </c>
      <c r="N664" s="10"/>
      <c r="O664" s="10"/>
      <c r="P664" s="10"/>
      <c r="Q664" s="10"/>
      <c r="R664" s="10"/>
    </row>
    <row r="665" spans="1:18" s="1" customFormat="1">
      <c r="A665" s="39"/>
      <c r="B665" s="70" t="s">
        <v>6727</v>
      </c>
      <c r="C665" s="70" t="s">
        <v>494</v>
      </c>
      <c r="D665" s="10"/>
      <c r="E665" s="10"/>
      <c r="F665" s="10"/>
      <c r="G665" s="10"/>
      <c r="H665" s="10"/>
      <c r="I665" s="10"/>
      <c r="J665" s="10"/>
      <c r="K665" s="16">
        <v>23</v>
      </c>
      <c r="L665" s="31"/>
      <c r="M665" s="10">
        <v>72</v>
      </c>
      <c r="N665" s="10"/>
      <c r="O665" s="10"/>
      <c r="P665" s="10"/>
      <c r="Q665" s="10"/>
      <c r="R665" s="10"/>
    </row>
    <row r="666" spans="1:18" s="1" customFormat="1">
      <c r="A666" s="39"/>
      <c r="B666" s="70" t="s">
        <v>6728</v>
      </c>
      <c r="C666" s="70" t="s">
        <v>520</v>
      </c>
      <c r="D666" s="10"/>
      <c r="E666" s="10"/>
      <c r="F666" s="10"/>
      <c r="G666" s="10"/>
      <c r="H666" s="10"/>
      <c r="I666" s="10"/>
      <c r="J666" s="10"/>
      <c r="K666" s="16">
        <v>24</v>
      </c>
      <c r="L666" s="31"/>
      <c r="M666" s="64"/>
      <c r="N666" s="10"/>
      <c r="O666" s="10"/>
      <c r="P666" s="10"/>
      <c r="Q666" s="10"/>
      <c r="R666" s="10"/>
    </row>
    <row r="667" spans="1:18" s="1" customFormat="1">
      <c r="A667" s="10"/>
      <c r="B667" s="62"/>
      <c r="C667" s="64"/>
      <c r="D667" s="10"/>
      <c r="E667" s="10"/>
      <c r="F667" s="10"/>
      <c r="G667" s="10"/>
      <c r="H667" s="10"/>
      <c r="I667" s="10"/>
      <c r="J667" s="10"/>
      <c r="K667" s="16"/>
      <c r="L667" s="31"/>
      <c r="M667" s="10"/>
      <c r="N667" s="10"/>
      <c r="O667" s="10"/>
      <c r="P667" s="10"/>
      <c r="Q667" s="10"/>
      <c r="R667" s="10"/>
    </row>
    <row r="668" spans="1:18" s="1" customFormat="1">
      <c r="A668" s="10"/>
      <c r="B668" s="62"/>
      <c r="C668" s="64"/>
      <c r="D668" s="10"/>
      <c r="E668" s="10"/>
      <c r="F668" s="10"/>
      <c r="G668" s="10"/>
      <c r="H668" s="10"/>
      <c r="I668" s="10"/>
      <c r="J668" s="10"/>
      <c r="K668" s="16"/>
      <c r="L668" s="31"/>
      <c r="M668" s="10"/>
      <c r="N668" s="10"/>
      <c r="O668" s="10"/>
      <c r="P668" s="10"/>
      <c r="Q668" s="10"/>
      <c r="R668" s="10"/>
    </row>
    <row r="669" spans="1:18" s="1" customFormat="1">
      <c r="A669" s="10"/>
      <c r="B669" s="62"/>
      <c r="C669" s="64"/>
      <c r="D669" s="10"/>
      <c r="E669" s="10"/>
      <c r="F669" s="10"/>
      <c r="G669" s="10"/>
      <c r="H669" s="10"/>
      <c r="I669" s="10"/>
      <c r="J669" s="10"/>
      <c r="K669" s="16"/>
      <c r="L669" s="31"/>
      <c r="M669" s="10"/>
      <c r="N669" s="10"/>
      <c r="O669" s="10"/>
      <c r="P669" s="10"/>
      <c r="Q669" s="10"/>
      <c r="R669" s="10"/>
    </row>
    <row r="670" spans="1:18" s="1" customFormat="1">
      <c r="A670" s="64" t="s">
        <v>6701</v>
      </c>
      <c r="B670" s="62" t="s">
        <v>6702</v>
      </c>
      <c r="C670" s="64" t="s">
        <v>494</v>
      </c>
      <c r="D670" s="10"/>
      <c r="E670" s="64" t="s">
        <v>476</v>
      </c>
      <c r="F670" s="10"/>
      <c r="G670" s="10"/>
      <c r="H670" s="10"/>
      <c r="I670" s="10"/>
      <c r="J670" s="10"/>
      <c r="K670" s="16"/>
      <c r="L670" s="31"/>
      <c r="M670" s="10"/>
      <c r="N670" s="10"/>
      <c r="O670" s="10"/>
      <c r="P670" s="10"/>
      <c r="Q670" s="10"/>
      <c r="R670" s="10"/>
    </row>
    <row r="671" spans="1:18" s="1" customFormat="1">
      <c r="A671" s="10"/>
      <c r="B671" s="62" t="s">
        <v>6703</v>
      </c>
      <c r="C671" s="64" t="s">
        <v>493</v>
      </c>
      <c r="D671" s="10">
        <v>100</v>
      </c>
      <c r="E671" s="10"/>
      <c r="F671" s="10"/>
      <c r="G671" s="10"/>
      <c r="H671" s="10"/>
      <c r="I671" s="10"/>
      <c r="J671" s="10"/>
      <c r="K671" s="16"/>
      <c r="L671" s="31"/>
      <c r="M671" s="10"/>
      <c r="N671" s="10"/>
      <c r="O671" s="10"/>
      <c r="P671" s="10"/>
      <c r="Q671" s="10"/>
      <c r="R671" s="10"/>
    </row>
    <row r="672" spans="1:18" s="1" customFormat="1">
      <c r="A672" s="10"/>
      <c r="B672"/>
      <c r="C672" s="64"/>
      <c r="D672" s="10"/>
      <c r="E672" s="10"/>
      <c r="F672" s="10"/>
      <c r="G672" s="10"/>
      <c r="H672" s="10"/>
      <c r="I672" s="10"/>
      <c r="J672" s="10"/>
      <c r="K672" s="16"/>
      <c r="L672" s="31"/>
      <c r="M672" s="10"/>
      <c r="N672" s="10"/>
      <c r="O672" s="10"/>
      <c r="P672" s="10"/>
      <c r="Q672" s="10"/>
      <c r="R672" s="10"/>
    </row>
    <row r="673" spans="1:18" s="1" customFormat="1">
      <c r="A673" s="64" t="s">
        <v>6729</v>
      </c>
      <c r="B673" s="62" t="s">
        <v>6730</v>
      </c>
      <c r="C673" s="64" t="s">
        <v>494</v>
      </c>
      <c r="D673" s="10"/>
      <c r="E673" s="64" t="s">
        <v>476</v>
      </c>
      <c r="F673" s="10"/>
      <c r="G673" s="10"/>
      <c r="H673" s="10"/>
      <c r="I673" s="10"/>
      <c r="J673" s="10"/>
      <c r="K673" s="16"/>
      <c r="L673" s="31"/>
      <c r="M673" s="10"/>
      <c r="N673" s="10"/>
      <c r="O673" s="10"/>
      <c r="P673" s="10"/>
      <c r="Q673" s="10"/>
      <c r="R673" s="10"/>
    </row>
    <row r="674" spans="1:18" s="1" customFormat="1">
      <c r="A674" s="10"/>
      <c r="B674" s="62" t="s">
        <v>6731</v>
      </c>
      <c r="C674" s="64" t="s">
        <v>493</v>
      </c>
      <c r="D674" s="10">
        <v>100</v>
      </c>
      <c r="E674" s="10"/>
      <c r="F674" s="10"/>
      <c r="G674" s="10"/>
      <c r="H674" s="10"/>
      <c r="I674" s="10"/>
      <c r="J674" s="10"/>
      <c r="K674" s="16"/>
      <c r="L674" s="31"/>
      <c r="M674" s="10"/>
      <c r="N674" s="10"/>
      <c r="O674" s="10"/>
      <c r="P674" s="10"/>
      <c r="Q674" s="10"/>
      <c r="R674" s="10"/>
    </row>
    <row r="675" spans="1:18" s="1" customFormat="1">
      <c r="A675" s="10"/>
      <c r="B675"/>
      <c r="C675" s="64"/>
      <c r="D675" s="10"/>
      <c r="E675" s="10"/>
      <c r="F675" s="10"/>
      <c r="G675" s="10"/>
      <c r="H675" s="10"/>
      <c r="I675" s="10"/>
      <c r="J675" s="10"/>
      <c r="K675" s="16"/>
      <c r="L675" s="31"/>
      <c r="M675" s="10"/>
      <c r="N675" s="10"/>
      <c r="O675" s="10"/>
      <c r="P675" s="10"/>
      <c r="Q675" s="10"/>
      <c r="R675" s="10"/>
    </row>
    <row r="676" spans="1:18" s="1" customFormat="1">
      <c r="A676" s="62" t="s">
        <v>6818</v>
      </c>
      <c r="B676" s="62" t="s">
        <v>6819</v>
      </c>
      <c r="C676" s="62" t="s">
        <v>494</v>
      </c>
      <c r="F676" s="14">
        <v>17</v>
      </c>
      <c r="G676" s="14">
        <v>1788</v>
      </c>
      <c r="H676" s="47" t="s">
        <v>6822</v>
      </c>
      <c r="I676" s="48" t="s">
        <v>6823</v>
      </c>
      <c r="J676" s="14">
        <v>1704</v>
      </c>
      <c r="K676" s="82">
        <v>1</v>
      </c>
      <c r="L676" s="15">
        <v>3</v>
      </c>
      <c r="M676" s="14"/>
      <c r="N676" s="64" t="s">
        <v>506</v>
      </c>
      <c r="O676" s="64" t="s">
        <v>514</v>
      </c>
      <c r="P676" s="1" t="s">
        <v>515</v>
      </c>
      <c r="Q676" s="14"/>
      <c r="R676" s="14"/>
    </row>
    <row r="677" spans="1:18" s="1" customFormat="1">
      <c r="B677" s="62" t="s">
        <v>6820</v>
      </c>
      <c r="C677" s="62" t="s">
        <v>494</v>
      </c>
      <c r="F677" s="14"/>
      <c r="G677" s="14"/>
      <c r="H677" s="14"/>
      <c r="I677" s="11"/>
      <c r="J677" s="14"/>
      <c r="K677" s="82">
        <v>2</v>
      </c>
      <c r="L677" s="15">
        <v>3</v>
      </c>
      <c r="M677" s="14"/>
      <c r="N677" s="62" t="s">
        <v>3664</v>
      </c>
      <c r="O677" s="60" t="s">
        <v>3666</v>
      </c>
      <c r="P677" s="60" t="s">
        <v>3667</v>
      </c>
      <c r="Q677" s="14"/>
      <c r="R677" s="14"/>
    </row>
    <row r="678" spans="1:18" s="1" customFormat="1">
      <c r="B678" s="62" t="s">
        <v>6821</v>
      </c>
      <c r="C678" s="62" t="s">
        <v>494</v>
      </c>
      <c r="F678" s="14"/>
      <c r="G678" s="14"/>
      <c r="H678" s="14"/>
      <c r="I678" s="11"/>
      <c r="J678" s="14"/>
      <c r="K678" s="82">
        <v>3</v>
      </c>
      <c r="L678" s="15">
        <v>3</v>
      </c>
      <c r="M678" s="14">
        <v>31</v>
      </c>
      <c r="N678" s="64" t="s">
        <v>3655</v>
      </c>
      <c r="O678" s="66" t="s">
        <v>3648</v>
      </c>
      <c r="P678" s="66" t="s">
        <v>3657</v>
      </c>
      <c r="Q678" s="47" t="s">
        <v>3658</v>
      </c>
      <c r="R678" s="14">
        <v>2</v>
      </c>
    </row>
    <row r="679" spans="1:18" s="1" customFormat="1">
      <c r="B679" s="62"/>
      <c r="C679" s="62"/>
      <c r="F679" s="14"/>
      <c r="G679" s="14"/>
      <c r="H679" s="14"/>
      <c r="I679" s="11"/>
      <c r="J679" s="14"/>
      <c r="K679" s="82"/>
      <c r="L679" s="15"/>
      <c r="M679" s="14"/>
      <c r="O679" s="23"/>
      <c r="P679" s="23"/>
      <c r="Q679" s="14"/>
      <c r="R679" s="14"/>
    </row>
    <row r="680" spans="1:18" s="1" customFormat="1">
      <c r="A680" s="10"/>
      <c r="B680"/>
      <c r="C680" s="64"/>
      <c r="D680" s="10"/>
      <c r="E680" s="10"/>
      <c r="F680" s="10"/>
      <c r="G680" s="10"/>
      <c r="H680" s="10"/>
      <c r="I680" s="10"/>
      <c r="J680" s="10"/>
      <c r="K680" s="16"/>
      <c r="L680" s="31"/>
      <c r="M680" s="10"/>
      <c r="N680" s="10"/>
      <c r="O680" s="10"/>
      <c r="P680" s="10"/>
      <c r="Q680" s="10"/>
      <c r="R680" s="10"/>
    </row>
    <row r="681" spans="1:18" s="1" customFormat="1">
      <c r="A681" s="10"/>
      <c r="B681"/>
      <c r="C681" s="64"/>
      <c r="D681" s="10"/>
      <c r="E681" s="10"/>
      <c r="F681" s="10"/>
      <c r="G681" s="10"/>
      <c r="H681" s="10"/>
      <c r="I681" s="10"/>
      <c r="J681" s="10"/>
      <c r="K681" s="16"/>
      <c r="L681" s="31"/>
      <c r="M681" s="10"/>
      <c r="N681" s="10"/>
      <c r="O681" s="10"/>
      <c r="P681" s="10"/>
      <c r="Q681" s="10"/>
      <c r="R681" s="10"/>
    </row>
    <row r="682" spans="1:18" s="1" customFormat="1">
      <c r="B682" s="62"/>
      <c r="C682" s="62"/>
      <c r="F682" s="14"/>
      <c r="G682" s="14"/>
      <c r="H682" s="14"/>
      <c r="I682" s="11"/>
      <c r="J682" s="14"/>
      <c r="K682" s="82"/>
      <c r="L682" s="15"/>
      <c r="M682" s="14"/>
      <c r="O682" s="23"/>
      <c r="P682" s="23"/>
      <c r="Q682" s="14"/>
      <c r="R682" s="14"/>
    </row>
    <row r="683" spans="1:18" s="1" customFormat="1">
      <c r="A683" s="70" t="s">
        <v>551</v>
      </c>
      <c r="B683" s="70" t="s">
        <v>552</v>
      </c>
      <c r="C683" s="1" t="s">
        <v>494</v>
      </c>
      <c r="E683" s="1" t="s">
        <v>476</v>
      </c>
      <c r="F683" s="14">
        <v>17</v>
      </c>
      <c r="G683" s="14">
        <v>1791</v>
      </c>
      <c r="H683" s="14" t="s">
        <v>525</v>
      </c>
      <c r="I683" s="11" t="s">
        <v>650</v>
      </c>
      <c r="J683" s="14">
        <v>2</v>
      </c>
      <c r="K683" s="16">
        <v>1</v>
      </c>
      <c r="L683" s="15"/>
      <c r="M683" s="14"/>
      <c r="N683" s="14"/>
      <c r="O683" s="14"/>
      <c r="P683" s="14"/>
    </row>
    <row r="684" spans="1:18" s="62" customFormat="1">
      <c r="I684" s="22"/>
      <c r="K684" s="57"/>
      <c r="L684" s="76"/>
      <c r="O684" s="60"/>
      <c r="P684" s="60"/>
    </row>
    <row r="685" spans="1:18" s="3" customFormat="1">
      <c r="A685" s="62" t="s">
        <v>4245</v>
      </c>
      <c r="B685" s="62" t="s">
        <v>563</v>
      </c>
      <c r="C685" s="62" t="s">
        <v>494</v>
      </c>
      <c r="D685" s="62"/>
      <c r="E685" s="62"/>
      <c r="F685" s="62">
        <v>17</v>
      </c>
      <c r="G685" s="62">
        <v>1792</v>
      </c>
      <c r="H685" s="62" t="s">
        <v>473</v>
      </c>
      <c r="I685" s="62" t="s">
        <v>998</v>
      </c>
      <c r="J685" s="62">
        <v>1</v>
      </c>
      <c r="K685" s="76">
        <v>1</v>
      </c>
      <c r="L685" s="75"/>
      <c r="M685" s="62"/>
      <c r="N685" s="62"/>
      <c r="O685" s="62"/>
      <c r="P685" s="62"/>
      <c r="Q685" s="12"/>
      <c r="R685" s="12"/>
    </row>
    <row r="686" spans="1:18" s="3" customFormat="1">
      <c r="A686" s="62"/>
      <c r="B686" s="62"/>
      <c r="C686" s="62"/>
      <c r="D686" s="62"/>
      <c r="E686" s="62"/>
      <c r="F686" s="62"/>
      <c r="G686" s="62"/>
      <c r="H686" s="62"/>
      <c r="I686" s="62"/>
      <c r="J686" s="62"/>
      <c r="K686" s="76"/>
      <c r="L686" s="75"/>
      <c r="M686" s="62"/>
      <c r="N686" s="62"/>
      <c r="O686" s="62"/>
      <c r="P686" s="62"/>
      <c r="Q686" s="12"/>
      <c r="R686" s="12"/>
    </row>
    <row r="687" spans="1:18" s="1" customFormat="1">
      <c r="A687" s="1" t="s">
        <v>1056</v>
      </c>
      <c r="B687" s="23" t="s">
        <v>1057</v>
      </c>
      <c r="C687" s="1" t="s">
        <v>494</v>
      </c>
      <c r="E687" s="1" t="s">
        <v>476</v>
      </c>
      <c r="F687" s="14">
        <v>17</v>
      </c>
      <c r="G687" s="14">
        <v>142</v>
      </c>
      <c r="H687" s="14" t="s">
        <v>1060</v>
      </c>
      <c r="I687" s="11" t="s">
        <v>1061</v>
      </c>
      <c r="J687" s="14">
        <v>2</v>
      </c>
      <c r="K687" s="16">
        <v>1</v>
      </c>
      <c r="L687" s="15">
        <v>6</v>
      </c>
      <c r="M687" s="14"/>
      <c r="N687" s="23"/>
      <c r="O687" s="14"/>
      <c r="P687" s="14"/>
      <c r="Q687" s="14"/>
      <c r="R687" s="14"/>
    </row>
    <row r="688" spans="1:18" s="1" customFormat="1">
      <c r="B688" s="23" t="s">
        <v>1058</v>
      </c>
      <c r="C688" s="1" t="s">
        <v>494</v>
      </c>
      <c r="F688" s="14"/>
      <c r="G688" s="14"/>
      <c r="H688" s="14"/>
      <c r="I688" s="11"/>
      <c r="J688" s="14"/>
      <c r="K688" s="16">
        <v>2</v>
      </c>
      <c r="L688" s="15">
        <v>6</v>
      </c>
      <c r="M688" s="14"/>
      <c r="N688" s="23"/>
      <c r="O688" s="14"/>
      <c r="P688" s="14"/>
      <c r="Q688" s="14"/>
      <c r="R688" s="14"/>
    </row>
    <row r="689" spans="1:18" s="1" customFormat="1">
      <c r="B689" s="23" t="s">
        <v>1059</v>
      </c>
      <c r="C689" s="1" t="s">
        <v>493</v>
      </c>
      <c r="D689" s="1">
        <v>50</v>
      </c>
      <c r="F689" s="14"/>
      <c r="G689" s="14"/>
      <c r="H689" s="14"/>
      <c r="I689" s="11"/>
      <c r="J689" s="14"/>
      <c r="K689" s="16">
        <v>3</v>
      </c>
      <c r="L689" s="15"/>
      <c r="M689" s="14"/>
      <c r="N689" s="23"/>
      <c r="O689" s="14"/>
      <c r="P689" s="14"/>
      <c r="Q689" s="14"/>
      <c r="R689" s="14"/>
    </row>
    <row r="690" spans="1:18" s="1" customFormat="1">
      <c r="B690" s="23"/>
      <c r="F690" s="14"/>
      <c r="G690" s="14"/>
      <c r="H690" s="14"/>
      <c r="I690" s="11"/>
      <c r="J690" s="14"/>
      <c r="K690" s="16"/>
      <c r="L690" s="15"/>
      <c r="M690" s="14"/>
      <c r="N690" s="23"/>
      <c r="O690" s="14"/>
      <c r="P690" s="14"/>
      <c r="Q690" s="14"/>
      <c r="R690" s="14"/>
    </row>
    <row r="691" spans="1:18" s="1" customFormat="1">
      <c r="A691" s="45" t="s">
        <v>1487</v>
      </c>
      <c r="B691" s="45" t="s">
        <v>1488</v>
      </c>
      <c r="C691" s="45" t="s">
        <v>494</v>
      </c>
      <c r="D691" s="10"/>
      <c r="E691" s="45" t="s">
        <v>476</v>
      </c>
      <c r="F691" s="10">
        <v>17</v>
      </c>
      <c r="G691" s="10">
        <v>1794</v>
      </c>
      <c r="H691" s="45" t="s">
        <v>1490</v>
      </c>
      <c r="I691" s="45" t="s">
        <v>1491</v>
      </c>
      <c r="J691" s="10">
        <v>11</v>
      </c>
      <c r="K691" s="16">
        <v>1</v>
      </c>
      <c r="L691" s="53"/>
      <c r="M691" s="10"/>
      <c r="N691" s="10"/>
      <c r="O691" s="10"/>
      <c r="P691" s="10"/>
      <c r="Q691" s="10"/>
      <c r="R691" s="10"/>
    </row>
    <row r="692" spans="1:18" s="1" customFormat="1">
      <c r="A692" s="10"/>
      <c r="B692" s="45" t="s">
        <v>1489</v>
      </c>
      <c r="C692" s="45" t="s">
        <v>494</v>
      </c>
      <c r="D692" s="10"/>
      <c r="E692" s="10"/>
      <c r="F692" s="10"/>
      <c r="G692" s="10"/>
      <c r="H692" s="10"/>
      <c r="I692" s="10"/>
      <c r="J692" s="10"/>
      <c r="K692" s="16">
        <v>2</v>
      </c>
      <c r="L692" s="15">
        <v>9</v>
      </c>
      <c r="M692" s="14"/>
      <c r="N692" s="1" t="s">
        <v>1038</v>
      </c>
      <c r="O692" s="23" t="s">
        <v>1040</v>
      </c>
      <c r="P692" s="23" t="s">
        <v>1041</v>
      </c>
      <c r="Q692" s="23" t="s">
        <v>1040</v>
      </c>
      <c r="R692" s="14">
        <v>140</v>
      </c>
    </row>
    <row r="693" spans="1:18" s="1" customFormat="1">
      <c r="A693" s="10"/>
      <c r="B693" s="45"/>
      <c r="C693" s="10"/>
      <c r="D693" s="10"/>
      <c r="E693" s="10"/>
      <c r="F693" s="10"/>
      <c r="G693" s="10"/>
      <c r="H693" s="10"/>
      <c r="I693" s="10"/>
      <c r="J693" s="10"/>
      <c r="K693" s="16"/>
      <c r="L693" s="31"/>
      <c r="M693" s="10"/>
      <c r="N693" s="10"/>
      <c r="O693" s="10"/>
      <c r="P693" s="10"/>
      <c r="Q693" s="10"/>
      <c r="R693" s="10"/>
    </row>
    <row r="694" spans="1:18" s="1" customFormat="1">
      <c r="A694" s="45" t="s">
        <v>1386</v>
      </c>
      <c r="B694" s="45" t="s">
        <v>1387</v>
      </c>
      <c r="C694" s="45" t="s">
        <v>494</v>
      </c>
      <c r="D694" s="10"/>
      <c r="E694" s="45" t="s">
        <v>476</v>
      </c>
      <c r="F694" s="10">
        <v>17</v>
      </c>
      <c r="G694" s="10">
        <v>1796</v>
      </c>
      <c r="H694" s="45" t="s">
        <v>1392</v>
      </c>
      <c r="I694" s="45" t="s">
        <v>1393</v>
      </c>
      <c r="J694" s="10">
        <v>11</v>
      </c>
      <c r="K694" s="16">
        <v>1</v>
      </c>
      <c r="L694" s="31">
        <v>3</v>
      </c>
      <c r="M694" s="10"/>
      <c r="N694" s="45" t="s">
        <v>506</v>
      </c>
      <c r="O694" s="10" t="s">
        <v>514</v>
      </c>
      <c r="P694" s="1" t="s">
        <v>515</v>
      </c>
      <c r="Q694" s="10"/>
      <c r="R694" s="10"/>
    </row>
    <row r="695" spans="1:18" s="1" customFormat="1">
      <c r="A695" s="45"/>
      <c r="B695" s="45" t="s">
        <v>1389</v>
      </c>
      <c r="C695" s="45" t="s">
        <v>494</v>
      </c>
      <c r="D695" s="10"/>
      <c r="E695" s="45" t="s">
        <v>476</v>
      </c>
      <c r="F695" s="10"/>
      <c r="G695" s="10"/>
      <c r="H695" s="10"/>
      <c r="I695" s="10"/>
      <c r="J695" s="10"/>
      <c r="K695" s="16">
        <v>2</v>
      </c>
      <c r="L695" s="31">
        <v>3</v>
      </c>
      <c r="M695" s="10"/>
      <c r="N695" s="1" t="s">
        <v>3664</v>
      </c>
      <c r="O695" s="23" t="s">
        <v>3666</v>
      </c>
      <c r="P695" s="23" t="s">
        <v>3667</v>
      </c>
      <c r="Q695" s="10"/>
      <c r="R695" s="10"/>
    </row>
    <row r="696" spans="1:18" s="1" customFormat="1">
      <c r="A696" s="10"/>
      <c r="B696" s="45" t="s">
        <v>1388</v>
      </c>
      <c r="C696" s="45" t="s">
        <v>494</v>
      </c>
      <c r="D696" s="10"/>
      <c r="E696" s="45" t="s">
        <v>476</v>
      </c>
      <c r="F696" s="10"/>
      <c r="G696" s="10"/>
      <c r="H696" s="10"/>
      <c r="I696" s="10"/>
      <c r="J696" s="10"/>
      <c r="K696" s="16">
        <v>3</v>
      </c>
      <c r="L696" s="15">
        <v>9</v>
      </c>
      <c r="M696" s="14"/>
      <c r="N696" s="1" t="s">
        <v>1038</v>
      </c>
      <c r="O696" s="23" t="s">
        <v>1040</v>
      </c>
      <c r="P696" s="23" t="s">
        <v>1041</v>
      </c>
      <c r="Q696" s="23" t="s">
        <v>1040</v>
      </c>
      <c r="R696" s="14">
        <v>140</v>
      </c>
    </row>
    <row r="697" spans="1:18" s="1" customFormat="1">
      <c r="A697" s="10"/>
      <c r="B697" s="45" t="s">
        <v>1390</v>
      </c>
      <c r="C697" s="45" t="s">
        <v>494</v>
      </c>
      <c r="D697" s="10"/>
      <c r="E697" s="45" t="s">
        <v>476</v>
      </c>
      <c r="F697" s="10"/>
      <c r="G697" s="10"/>
      <c r="H697" s="10"/>
      <c r="I697" s="10"/>
      <c r="J697" s="10"/>
      <c r="K697" s="16">
        <v>4</v>
      </c>
      <c r="L697" s="15">
        <v>3</v>
      </c>
      <c r="M697" s="14"/>
      <c r="N697" s="1" t="s">
        <v>1002</v>
      </c>
      <c r="O697" s="23" t="s">
        <v>1004</v>
      </c>
      <c r="P697" s="23" t="s">
        <v>1023</v>
      </c>
      <c r="Q697" s="10"/>
      <c r="R697" s="10"/>
    </row>
    <row r="698" spans="1:18" s="1" customFormat="1">
      <c r="A698" s="10"/>
      <c r="B698" s="45" t="s">
        <v>1391</v>
      </c>
      <c r="C698" s="45" t="s">
        <v>494</v>
      </c>
      <c r="D698" s="10"/>
      <c r="E698" s="10"/>
      <c r="F698" s="10"/>
      <c r="G698" s="10"/>
      <c r="H698" s="10"/>
      <c r="I698" s="10"/>
      <c r="J698" s="10"/>
      <c r="K698" s="16">
        <v>5</v>
      </c>
      <c r="L698" s="15">
        <v>3</v>
      </c>
      <c r="M698" s="14"/>
      <c r="N698" s="1" t="s">
        <v>1056</v>
      </c>
      <c r="O698" s="23" t="s">
        <v>1058</v>
      </c>
      <c r="P698" s="23" t="s">
        <v>1059</v>
      </c>
      <c r="Q698" s="10"/>
      <c r="R698" s="10"/>
    </row>
    <row r="699" spans="1:18" s="1" customFormat="1">
      <c r="A699" s="10"/>
      <c r="B699" s="10"/>
      <c r="C699" s="10"/>
      <c r="D699" s="10"/>
      <c r="E699" s="10"/>
      <c r="F699" s="10"/>
      <c r="G699" s="10"/>
      <c r="H699" s="10"/>
      <c r="I699" s="10"/>
      <c r="J699" s="10"/>
      <c r="K699" s="16"/>
      <c r="L699" s="15"/>
      <c r="M699" s="14"/>
      <c r="O699" s="23"/>
      <c r="P699" s="23"/>
      <c r="Q699" s="10"/>
      <c r="R699" s="10"/>
    </row>
    <row r="700" spans="1:18" s="1" customFormat="1">
      <c r="A700" s="70" t="s">
        <v>1343</v>
      </c>
      <c r="B700" s="70" t="s">
        <v>976</v>
      </c>
      <c r="C700" s="45" t="s">
        <v>494</v>
      </c>
      <c r="D700" s="10"/>
      <c r="E700" s="45" t="s">
        <v>476</v>
      </c>
      <c r="F700" s="10">
        <v>17</v>
      </c>
      <c r="G700" s="10">
        <v>1798</v>
      </c>
      <c r="H700" s="45" t="s">
        <v>1344</v>
      </c>
      <c r="I700" s="45" t="s">
        <v>1345</v>
      </c>
      <c r="J700" s="10">
        <v>7</v>
      </c>
      <c r="K700" s="16">
        <v>1</v>
      </c>
      <c r="L700" s="80">
        <v>3</v>
      </c>
      <c r="M700" s="10"/>
      <c r="N700" s="10"/>
      <c r="O700" s="10"/>
      <c r="P700" s="10"/>
      <c r="Q700" s="10"/>
      <c r="R700" s="10"/>
    </row>
    <row r="701" spans="1:18" s="1" customFormat="1">
      <c r="A701" s="39"/>
      <c r="B701" s="70" t="s">
        <v>280</v>
      </c>
      <c r="C701" s="64" t="s">
        <v>494</v>
      </c>
      <c r="D701" s="10"/>
      <c r="E701" s="10"/>
      <c r="F701" s="10"/>
      <c r="G701" s="10"/>
      <c r="H701" s="10"/>
      <c r="I701" s="10"/>
      <c r="J701" s="10"/>
      <c r="K701" s="16">
        <v>2</v>
      </c>
      <c r="L701" s="31">
        <v>3</v>
      </c>
      <c r="M701" s="10"/>
      <c r="N701" s="10"/>
      <c r="O701" s="10"/>
      <c r="P701" s="10"/>
      <c r="Q701" s="10"/>
      <c r="R701" s="10"/>
    </row>
    <row r="702" spans="1:18" s="1" customFormat="1">
      <c r="A702" s="39"/>
      <c r="B702" s="70" t="s">
        <v>978</v>
      </c>
      <c r="C702" s="64" t="s">
        <v>494</v>
      </c>
      <c r="D702" s="10"/>
      <c r="E702" s="10"/>
      <c r="F702" s="10"/>
      <c r="G702" s="10"/>
      <c r="H702" s="10"/>
      <c r="I702" s="10"/>
      <c r="J702" s="10"/>
      <c r="K702" s="16">
        <v>3</v>
      </c>
      <c r="L702" s="31">
        <v>3</v>
      </c>
      <c r="M702" s="10"/>
      <c r="N702" s="10"/>
      <c r="O702" s="10"/>
      <c r="P702" s="10"/>
      <c r="Q702" s="10"/>
      <c r="R702" s="10"/>
    </row>
    <row r="703" spans="1:18" s="1" customFormat="1">
      <c r="A703" s="10"/>
      <c r="B703" s="10"/>
      <c r="C703" s="10"/>
      <c r="D703" s="10"/>
      <c r="E703" s="10"/>
      <c r="F703" s="10"/>
      <c r="G703" s="10"/>
      <c r="H703" s="10"/>
      <c r="I703" s="10"/>
      <c r="J703" s="10"/>
      <c r="K703" s="16"/>
      <c r="L703" s="31"/>
      <c r="M703" s="10"/>
      <c r="N703" s="10"/>
      <c r="O703" s="10"/>
      <c r="P703" s="10"/>
      <c r="Q703" s="10"/>
      <c r="R703" s="10"/>
    </row>
    <row r="704" spans="1:18">
      <c r="A704" s="62" t="s">
        <v>3152</v>
      </c>
      <c r="B704" s="62" t="s">
        <v>3153</v>
      </c>
      <c r="C704" s="62" t="s">
        <v>493</v>
      </c>
      <c r="D704">
        <v>20</v>
      </c>
      <c r="E704" s="62" t="s">
        <v>476</v>
      </c>
    </row>
    <row r="705" spans="2:5">
      <c r="B705" s="62" t="s">
        <v>3157</v>
      </c>
      <c r="C705" s="62" t="s">
        <v>493</v>
      </c>
      <c r="D705">
        <v>20</v>
      </c>
      <c r="E705" s="62" t="s">
        <v>476</v>
      </c>
    </row>
    <row r="706" spans="2:5">
      <c r="B706" s="62" t="s">
        <v>3155</v>
      </c>
      <c r="C706" s="62" t="s">
        <v>493</v>
      </c>
      <c r="D706">
        <v>20</v>
      </c>
      <c r="E706" s="62" t="s">
        <v>476</v>
      </c>
    </row>
    <row r="707" spans="2:5">
      <c r="B707" s="62" t="s">
        <v>3154</v>
      </c>
      <c r="C707" s="62" t="s">
        <v>494</v>
      </c>
      <c r="E707" s="62" t="s">
        <v>476</v>
      </c>
    </row>
    <row r="708" spans="2:5">
      <c r="B708" s="62" t="s">
        <v>3156</v>
      </c>
      <c r="C708" s="62" t="s">
        <v>494</v>
      </c>
      <c r="E708" s="62" t="s">
        <v>476</v>
      </c>
    </row>
    <row r="709" spans="2:5">
      <c r="B709" s="62" t="s">
        <v>3158</v>
      </c>
      <c r="C709" s="62" t="s">
        <v>494</v>
      </c>
      <c r="E709" s="62"/>
    </row>
    <row r="710" spans="2:5">
      <c r="B710" s="62" t="s">
        <v>3159</v>
      </c>
      <c r="C710" s="62" t="s">
        <v>494</v>
      </c>
      <c r="E710" s="62"/>
    </row>
    <row r="711" spans="2:5">
      <c r="B711" s="62" t="s">
        <v>3160</v>
      </c>
      <c r="C711" s="62" t="s">
        <v>494</v>
      </c>
      <c r="E711" s="62"/>
    </row>
    <row r="712" spans="2:5">
      <c r="B712" s="62"/>
      <c r="C712" s="62"/>
      <c r="E712" s="62"/>
    </row>
  </sheetData>
  <pageMargins left="0.7" right="0.7" top="0.75" bottom="0.75" header="0.3" footer="0.3"/>
  <pageSetup orientation="portrait" horizontalDpi="1200" verticalDpi="1200" r:id="rId1"/>
  <legacyDrawing r:id="rId2"/>
</worksheet>
</file>

<file path=xl/worksheets/sheet13.xml><?xml version="1.0" encoding="utf-8"?>
<worksheet xmlns="http://schemas.openxmlformats.org/spreadsheetml/2006/main" xmlns:r="http://schemas.openxmlformats.org/officeDocument/2006/relationships">
  <sheetPr codeName="Hoja12">
    <tabColor rgb="FF00B050"/>
  </sheetPr>
  <dimension ref="A1:R286"/>
  <sheetViews>
    <sheetView workbookViewId="0">
      <pane ySplit="1" topLeftCell="A32" activePane="bottomLeft" state="frozenSplit"/>
      <selection pane="bottomLeft" activeCell="H39" sqref="H39"/>
    </sheetView>
  </sheetViews>
  <sheetFormatPr baseColWidth="10" defaultRowHeight="12.75"/>
  <cols>
    <col min="1" max="1" width="21.7109375" bestFit="1" customWidth="1"/>
    <col min="2" max="2" width="21.85546875" customWidth="1"/>
    <col min="3" max="3" width="7.42578125" bestFit="1" customWidth="1"/>
    <col min="4" max="4" width="4" bestFit="1" customWidth="1"/>
    <col min="5" max="5" width="1.7109375" bestFit="1" customWidth="1"/>
    <col min="6" max="6" width="5" bestFit="1" customWidth="1"/>
    <col min="7" max="7" width="7.7109375" bestFit="1" customWidth="1"/>
    <col min="8" max="8" width="15.7109375" customWidth="1"/>
    <col min="9" max="9" width="15.85546875" bestFit="1" customWidth="1"/>
    <col min="10" max="10" width="6.7109375" customWidth="1"/>
    <col min="11" max="11" width="4.28515625" customWidth="1"/>
    <col min="12" max="12" width="4" customWidth="1"/>
    <col min="13" max="13" width="3.85546875" customWidth="1"/>
    <col min="14" max="14" width="21.140625" customWidth="1"/>
    <col min="15" max="15" width="13.85546875" customWidth="1"/>
    <col min="16" max="16" width="14.5703125" bestFit="1" customWidth="1"/>
    <col min="17" max="17" width="18.425781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s="1" customFormat="1">
      <c r="A2" s="62" t="s">
        <v>2624</v>
      </c>
      <c r="B2" s="62" t="s">
        <v>2625</v>
      </c>
      <c r="C2" s="62" t="s">
        <v>494</v>
      </c>
      <c r="E2" s="62" t="s">
        <v>476</v>
      </c>
      <c r="F2" s="14">
        <v>19</v>
      </c>
      <c r="G2" s="14">
        <v>1900</v>
      </c>
      <c r="H2" s="47" t="s">
        <v>800</v>
      </c>
      <c r="I2" s="48" t="s">
        <v>2660</v>
      </c>
      <c r="J2" s="14">
        <v>2</v>
      </c>
      <c r="K2" s="16">
        <v>1</v>
      </c>
      <c r="L2" s="15"/>
      <c r="M2" s="14"/>
      <c r="N2" s="14"/>
      <c r="P2" s="14"/>
      <c r="Q2" s="14"/>
      <c r="R2" s="14"/>
    </row>
    <row r="3" spans="1:18" s="1" customFormat="1">
      <c r="B3" s="62" t="s">
        <v>2626</v>
      </c>
      <c r="C3" s="62" t="s">
        <v>494</v>
      </c>
      <c r="F3" s="14"/>
      <c r="G3" s="14"/>
      <c r="H3" s="14"/>
      <c r="I3" s="11"/>
      <c r="J3" s="14"/>
      <c r="K3" s="16">
        <v>2</v>
      </c>
      <c r="L3" s="15">
        <v>7</v>
      </c>
      <c r="M3" s="14"/>
      <c r="N3" s="14"/>
      <c r="P3" s="14"/>
      <c r="Q3" s="14"/>
      <c r="R3" s="14"/>
    </row>
    <row r="4" spans="1:18" s="1" customFormat="1">
      <c r="B4" s="62" t="s">
        <v>2627</v>
      </c>
      <c r="C4" s="62" t="s">
        <v>494</v>
      </c>
      <c r="F4" s="14"/>
      <c r="G4" s="14"/>
      <c r="H4" s="14"/>
      <c r="I4" s="11"/>
      <c r="J4" s="14"/>
      <c r="K4" s="16">
        <v>3</v>
      </c>
      <c r="L4" s="15"/>
      <c r="M4" s="14"/>
      <c r="N4" s="14"/>
      <c r="P4" s="14"/>
      <c r="Q4" s="14"/>
      <c r="R4" s="14"/>
    </row>
    <row r="5" spans="1:18" s="1" customFormat="1">
      <c r="B5" s="62" t="s">
        <v>2630</v>
      </c>
      <c r="C5" s="62" t="s">
        <v>494</v>
      </c>
      <c r="F5" s="14"/>
      <c r="G5" s="14"/>
      <c r="H5" s="14"/>
      <c r="I5" s="11"/>
      <c r="J5" s="14"/>
      <c r="K5" s="16">
        <v>4</v>
      </c>
      <c r="L5" s="15">
        <v>3</v>
      </c>
      <c r="M5" s="14"/>
      <c r="N5" s="62" t="s">
        <v>2224</v>
      </c>
      <c r="O5" s="60" t="s">
        <v>2226</v>
      </c>
      <c r="P5" s="60" t="s">
        <v>2228</v>
      </c>
      <c r="Q5" s="14"/>
      <c r="R5" s="14"/>
    </row>
    <row r="6" spans="1:18" s="1" customFormat="1">
      <c r="B6" s="62"/>
      <c r="C6" s="62"/>
      <c r="F6" s="14"/>
      <c r="G6" s="14"/>
      <c r="H6" s="14"/>
      <c r="I6" s="11"/>
      <c r="J6" s="14"/>
      <c r="K6" s="16"/>
      <c r="L6" s="15"/>
      <c r="M6" s="14"/>
      <c r="N6" s="62"/>
      <c r="O6" s="60"/>
      <c r="P6" s="60"/>
      <c r="Q6" s="14"/>
      <c r="R6" s="14"/>
    </row>
    <row r="7" spans="1:18" s="1" customFormat="1">
      <c r="A7" s="1" t="s">
        <v>1158</v>
      </c>
      <c r="B7" s="66" t="s">
        <v>5405</v>
      </c>
      <c r="C7" s="1" t="s">
        <v>494</v>
      </c>
      <c r="E7" s="1" t="s">
        <v>476</v>
      </c>
      <c r="F7" s="14">
        <v>19</v>
      </c>
      <c r="G7" s="14">
        <v>1901</v>
      </c>
      <c r="H7" s="47" t="s">
        <v>5406</v>
      </c>
      <c r="I7" s="48" t="s">
        <v>5407</v>
      </c>
      <c r="J7" s="14">
        <v>2</v>
      </c>
      <c r="K7" s="16">
        <v>1</v>
      </c>
      <c r="L7" s="15">
        <v>6</v>
      </c>
      <c r="M7" s="14"/>
      <c r="P7" s="14"/>
      <c r="Q7" s="14"/>
      <c r="R7" s="14"/>
    </row>
    <row r="8" spans="1:18" s="1" customFormat="1">
      <c r="B8" s="29" t="s">
        <v>1159</v>
      </c>
      <c r="C8" s="1" t="s">
        <v>494</v>
      </c>
      <c r="F8" s="14"/>
      <c r="G8" s="14"/>
      <c r="H8" s="14"/>
      <c r="I8" s="11"/>
      <c r="J8" s="14"/>
      <c r="K8" s="16">
        <v>2</v>
      </c>
      <c r="L8" s="15">
        <v>6</v>
      </c>
      <c r="M8" s="14"/>
      <c r="P8" s="14"/>
      <c r="Q8" s="14"/>
      <c r="R8" s="14"/>
    </row>
    <row r="9" spans="1:18" s="1" customFormat="1">
      <c r="B9" s="29" t="s">
        <v>1160</v>
      </c>
      <c r="C9" s="1" t="s">
        <v>493</v>
      </c>
      <c r="D9" s="1">
        <v>100</v>
      </c>
      <c r="F9" s="14"/>
      <c r="G9" s="14"/>
      <c r="H9" s="14"/>
      <c r="I9" s="11"/>
      <c r="J9" s="14"/>
      <c r="K9" s="16">
        <v>3</v>
      </c>
      <c r="L9" s="15"/>
      <c r="M9" s="14"/>
      <c r="P9" s="14"/>
      <c r="Q9" s="14"/>
      <c r="R9" s="14"/>
    </row>
    <row r="10" spans="1:18" s="1" customFormat="1">
      <c r="B10" s="29"/>
      <c r="F10" s="14"/>
      <c r="G10" s="14"/>
      <c r="H10" s="14"/>
      <c r="I10" s="11"/>
      <c r="J10" s="14"/>
      <c r="K10" s="16"/>
      <c r="L10" s="15"/>
      <c r="M10" s="14"/>
      <c r="P10" s="14"/>
      <c r="Q10" s="14"/>
      <c r="R10" s="14"/>
    </row>
    <row r="11" spans="1:18" s="1" customFormat="1">
      <c r="A11" s="62" t="s">
        <v>5408</v>
      </c>
      <c r="B11" s="66" t="s">
        <v>5409</v>
      </c>
      <c r="C11" s="62" t="s">
        <v>494</v>
      </c>
      <c r="E11" s="62" t="s">
        <v>476</v>
      </c>
      <c r="F11" s="14">
        <v>19</v>
      </c>
      <c r="G11" s="14">
        <v>1941</v>
      </c>
      <c r="H11" s="47" t="s">
        <v>5414</v>
      </c>
      <c r="I11" s="11"/>
      <c r="J11" s="14">
        <v>2</v>
      </c>
      <c r="K11" s="16">
        <v>1</v>
      </c>
      <c r="L11" s="15">
        <v>52</v>
      </c>
      <c r="M11" s="14"/>
      <c r="N11" s="1">
        <v>1901</v>
      </c>
      <c r="O11" s="62" t="s">
        <v>1159</v>
      </c>
      <c r="P11" s="14"/>
      <c r="Q11" s="14"/>
      <c r="R11" s="14"/>
    </row>
    <row r="12" spans="1:18" s="1" customFormat="1">
      <c r="B12" s="66" t="s">
        <v>5410</v>
      </c>
      <c r="C12" s="62" t="s">
        <v>494</v>
      </c>
      <c r="E12" s="62" t="s">
        <v>476</v>
      </c>
      <c r="F12" s="14"/>
      <c r="G12" s="14"/>
      <c r="H12" s="14"/>
      <c r="I12" s="11"/>
      <c r="J12" s="14"/>
      <c r="K12" s="16">
        <v>2</v>
      </c>
      <c r="L12" s="15">
        <v>6</v>
      </c>
      <c r="M12" s="14"/>
      <c r="P12" s="14"/>
      <c r="Q12" s="14"/>
      <c r="R12" s="14"/>
    </row>
    <row r="13" spans="1:18" s="1" customFormat="1">
      <c r="B13" s="66" t="s">
        <v>5411</v>
      </c>
      <c r="C13" s="62" t="s">
        <v>494</v>
      </c>
      <c r="F13" s="14"/>
      <c r="G13" s="14"/>
      <c r="H13" s="14"/>
      <c r="I13" s="11"/>
      <c r="J13" s="14"/>
      <c r="K13" s="16">
        <v>3</v>
      </c>
      <c r="L13" s="15">
        <v>6</v>
      </c>
      <c r="M13" s="14"/>
      <c r="P13" s="14"/>
      <c r="Q13" s="14"/>
      <c r="R13" s="14"/>
    </row>
    <row r="14" spans="1:18" s="1" customFormat="1">
      <c r="B14" s="66" t="s">
        <v>5412</v>
      </c>
      <c r="C14" s="62" t="s">
        <v>493</v>
      </c>
      <c r="D14" s="1">
        <v>1</v>
      </c>
      <c r="F14" s="14"/>
      <c r="G14" s="14"/>
      <c r="H14" s="14"/>
      <c r="I14" s="11"/>
      <c r="J14" s="14"/>
      <c r="K14" s="16">
        <v>4</v>
      </c>
      <c r="L14" s="15">
        <v>3</v>
      </c>
      <c r="M14" s="14"/>
      <c r="P14" s="14"/>
      <c r="Q14" s="14"/>
      <c r="R14" s="14"/>
    </row>
    <row r="15" spans="1:18" s="1" customFormat="1">
      <c r="B15" s="66" t="s">
        <v>5413</v>
      </c>
      <c r="C15" s="62" t="s">
        <v>493</v>
      </c>
      <c r="D15" s="1">
        <v>100</v>
      </c>
      <c r="F15" s="14"/>
      <c r="G15" s="14"/>
      <c r="H15" s="14"/>
      <c r="I15" s="11"/>
      <c r="J15" s="14"/>
      <c r="K15" s="16">
        <v>5</v>
      </c>
      <c r="L15" s="15"/>
      <c r="M15" s="14"/>
      <c r="P15" s="14"/>
      <c r="Q15" s="14"/>
      <c r="R15" s="14"/>
    </row>
    <row r="16" spans="1:18" s="1" customFormat="1">
      <c r="B16" s="29"/>
      <c r="F16" s="14"/>
      <c r="G16" s="14"/>
      <c r="H16" s="14"/>
      <c r="I16" s="11"/>
      <c r="J16" s="14"/>
      <c r="K16" s="16"/>
      <c r="L16" s="15"/>
      <c r="M16" s="14"/>
      <c r="P16" s="14"/>
      <c r="Q16" s="14"/>
      <c r="R16" s="14"/>
    </row>
    <row r="17" spans="1:18" s="1" customFormat="1">
      <c r="A17" s="1" t="s">
        <v>1161</v>
      </c>
      <c r="B17" s="29" t="s">
        <v>1164</v>
      </c>
      <c r="C17" s="1" t="s">
        <v>494</v>
      </c>
      <c r="E17" s="1" t="s">
        <v>476</v>
      </c>
      <c r="F17" s="14">
        <v>19</v>
      </c>
      <c r="G17" s="14">
        <v>1902</v>
      </c>
      <c r="H17" s="14" t="s">
        <v>1174</v>
      </c>
      <c r="I17" s="11" t="s">
        <v>1175</v>
      </c>
      <c r="J17" s="14">
        <v>1901</v>
      </c>
      <c r="K17" s="16">
        <v>1</v>
      </c>
      <c r="L17" s="15">
        <v>6</v>
      </c>
      <c r="M17" s="14"/>
      <c r="P17" s="14"/>
      <c r="Q17" s="14"/>
      <c r="R17" s="14"/>
    </row>
    <row r="18" spans="1:18" s="1" customFormat="1">
      <c r="B18" s="29" t="s">
        <v>1163</v>
      </c>
      <c r="C18" s="1" t="s">
        <v>494</v>
      </c>
      <c r="F18" s="14"/>
      <c r="G18" s="14"/>
      <c r="H18" s="14"/>
      <c r="I18" s="11"/>
      <c r="J18" s="14"/>
      <c r="K18" s="16">
        <v>2</v>
      </c>
      <c r="L18" s="15">
        <v>6</v>
      </c>
      <c r="M18" s="14"/>
      <c r="P18" s="14"/>
      <c r="Q18" s="14"/>
      <c r="R18" s="14"/>
    </row>
    <row r="19" spans="1:18" s="1" customFormat="1">
      <c r="B19" s="29" t="s">
        <v>1165</v>
      </c>
      <c r="C19" s="1" t="s">
        <v>494</v>
      </c>
      <c r="F19" s="14"/>
      <c r="G19" s="14"/>
      <c r="H19" s="14"/>
      <c r="I19" s="11"/>
      <c r="J19" s="14"/>
      <c r="K19" s="16">
        <v>3</v>
      </c>
      <c r="L19" s="15">
        <v>3</v>
      </c>
      <c r="M19" s="14">
        <v>3</v>
      </c>
      <c r="N19" s="1" t="s">
        <v>1158</v>
      </c>
      <c r="O19" s="29" t="s">
        <v>1159</v>
      </c>
      <c r="P19" s="29" t="s">
        <v>1160</v>
      </c>
      <c r="Q19" s="14"/>
      <c r="R19" s="14"/>
    </row>
    <row r="20" spans="1:18" s="1" customFormat="1">
      <c r="B20" s="66" t="s">
        <v>5415</v>
      </c>
      <c r="C20" s="62" t="s">
        <v>494</v>
      </c>
      <c r="F20" s="14"/>
      <c r="G20" s="14"/>
      <c r="H20" s="14"/>
      <c r="I20" s="11"/>
      <c r="J20" s="14"/>
      <c r="K20" s="16">
        <v>4</v>
      </c>
      <c r="L20" s="15">
        <v>3</v>
      </c>
      <c r="M20" s="14">
        <v>31</v>
      </c>
      <c r="N20" s="62" t="s">
        <v>5408</v>
      </c>
      <c r="O20" s="66" t="s">
        <v>5411</v>
      </c>
      <c r="P20" s="66" t="s">
        <v>5413</v>
      </c>
      <c r="Q20" s="66" t="s">
        <v>5409</v>
      </c>
      <c r="R20" s="14">
        <v>3</v>
      </c>
    </row>
    <row r="21" spans="1:18" s="1" customFormat="1">
      <c r="B21" s="29" t="s">
        <v>4</v>
      </c>
      <c r="C21" s="1" t="s">
        <v>494</v>
      </c>
      <c r="F21" s="14"/>
      <c r="G21" s="14"/>
      <c r="H21" s="14"/>
      <c r="I21" s="11"/>
      <c r="J21" s="14"/>
      <c r="K21" s="16">
        <v>5</v>
      </c>
      <c r="L21" s="15">
        <v>3</v>
      </c>
      <c r="M21" s="14">
        <v>1</v>
      </c>
      <c r="N21" s="1" t="s">
        <v>5</v>
      </c>
      <c r="O21" s="29" t="s">
        <v>6</v>
      </c>
      <c r="P21" s="29" t="s">
        <v>7</v>
      </c>
      <c r="Q21" s="14"/>
      <c r="R21" s="14"/>
    </row>
    <row r="22" spans="1:18" s="1" customFormat="1">
      <c r="B22" s="33" t="s">
        <v>635</v>
      </c>
      <c r="C22" s="1" t="s">
        <v>493</v>
      </c>
      <c r="D22" s="1">
        <v>1</v>
      </c>
      <c r="F22" s="14"/>
      <c r="G22" s="14"/>
      <c r="H22" s="14"/>
      <c r="I22" s="11"/>
      <c r="J22" s="14"/>
      <c r="K22" s="16">
        <v>6</v>
      </c>
      <c r="L22" s="15">
        <v>3</v>
      </c>
      <c r="M22" s="14"/>
      <c r="O22" s="29"/>
      <c r="P22" s="29"/>
      <c r="Q22" s="14"/>
      <c r="R22" s="14"/>
    </row>
    <row r="23" spans="1:18" s="1" customFormat="1">
      <c r="B23" s="29" t="s">
        <v>1162</v>
      </c>
      <c r="C23" s="1" t="s">
        <v>493</v>
      </c>
      <c r="D23" s="1">
        <v>100</v>
      </c>
      <c r="F23" s="14"/>
      <c r="G23" s="14"/>
      <c r="H23" s="14"/>
      <c r="I23" s="11"/>
      <c r="J23" s="14"/>
      <c r="K23" s="16">
        <v>7</v>
      </c>
      <c r="L23" s="9"/>
      <c r="Q23" s="14"/>
      <c r="R23" s="14"/>
    </row>
    <row r="24" spans="1:18" s="1" customFormat="1">
      <c r="B24" s="29" t="s">
        <v>636</v>
      </c>
      <c r="C24" s="1" t="s">
        <v>494</v>
      </c>
      <c r="F24" s="14"/>
      <c r="G24" s="14"/>
      <c r="H24" s="14"/>
      <c r="I24" s="11"/>
      <c r="J24" s="14"/>
      <c r="K24" s="16">
        <v>8</v>
      </c>
      <c r="L24" s="15">
        <v>3</v>
      </c>
      <c r="N24" s="1" t="s">
        <v>693</v>
      </c>
      <c r="O24" s="1" t="s">
        <v>695</v>
      </c>
      <c r="P24" s="1" t="s">
        <v>696</v>
      </c>
      <c r="Q24" s="14"/>
      <c r="R24" s="14"/>
    </row>
    <row r="25" spans="1:18" s="1" customFormat="1">
      <c r="B25" s="29" t="s">
        <v>1188</v>
      </c>
      <c r="C25" s="1" t="s">
        <v>494</v>
      </c>
      <c r="F25" s="14"/>
      <c r="G25" s="14"/>
      <c r="H25" s="14"/>
      <c r="I25" s="11"/>
      <c r="J25" s="14"/>
      <c r="K25" s="16">
        <v>9</v>
      </c>
      <c r="L25" s="1">
        <v>3</v>
      </c>
      <c r="M25" s="1">
        <v>31</v>
      </c>
      <c r="N25" s="44" t="s">
        <v>379</v>
      </c>
      <c r="O25" s="1" t="s">
        <v>698</v>
      </c>
      <c r="P25" s="1" t="s">
        <v>699</v>
      </c>
      <c r="Q25" s="1" t="s">
        <v>383</v>
      </c>
      <c r="R25" s="14">
        <v>7</v>
      </c>
    </row>
    <row r="26" spans="1:18" s="1" customFormat="1">
      <c r="B26" s="29" t="s">
        <v>1190</v>
      </c>
      <c r="C26" s="1" t="s">
        <v>494</v>
      </c>
      <c r="F26" s="14"/>
      <c r="G26" s="14"/>
      <c r="H26" s="14"/>
      <c r="I26" s="11"/>
      <c r="J26" s="14"/>
      <c r="K26" s="16">
        <v>10</v>
      </c>
      <c r="L26" s="15">
        <v>3</v>
      </c>
      <c r="M26" s="10"/>
      <c r="N26" s="10" t="s">
        <v>506</v>
      </c>
      <c r="O26" s="10" t="s">
        <v>514</v>
      </c>
      <c r="P26" s="1" t="s">
        <v>515</v>
      </c>
      <c r="R26" s="14"/>
    </row>
    <row r="27" spans="1:18" s="1" customFormat="1">
      <c r="B27" s="29" t="s">
        <v>1166</v>
      </c>
      <c r="C27" s="1" t="s">
        <v>493</v>
      </c>
      <c r="D27" s="1">
        <v>250</v>
      </c>
      <c r="F27" s="14"/>
      <c r="G27" s="14"/>
      <c r="H27" s="14"/>
      <c r="I27" s="11"/>
      <c r="J27" s="14"/>
      <c r="K27" s="16">
        <v>11</v>
      </c>
      <c r="L27" s="15"/>
      <c r="M27" s="14"/>
      <c r="P27" s="14"/>
      <c r="Q27" s="14"/>
      <c r="R27" s="14"/>
    </row>
    <row r="28" spans="1:18" s="1" customFormat="1">
      <c r="B28" s="29" t="s">
        <v>1180</v>
      </c>
      <c r="C28" s="1" t="s">
        <v>493</v>
      </c>
      <c r="D28" s="1">
        <v>10</v>
      </c>
      <c r="F28" s="14"/>
      <c r="G28" s="14"/>
      <c r="H28" s="14"/>
      <c r="I28" s="11"/>
      <c r="J28" s="14"/>
      <c r="K28" s="16">
        <v>12</v>
      </c>
      <c r="L28" s="15">
        <v>7</v>
      </c>
      <c r="M28" s="14"/>
      <c r="P28" s="14"/>
      <c r="Q28" s="14"/>
      <c r="R28" s="14"/>
    </row>
    <row r="29" spans="1:18" s="1" customFormat="1">
      <c r="B29" s="29" t="s">
        <v>1178</v>
      </c>
      <c r="C29" s="1" t="s">
        <v>494</v>
      </c>
      <c r="F29" s="14"/>
      <c r="G29" s="14"/>
      <c r="H29" s="14"/>
      <c r="I29" s="11"/>
      <c r="J29" s="14"/>
      <c r="K29" s="16">
        <v>13</v>
      </c>
      <c r="L29" s="15"/>
      <c r="M29" s="14">
        <v>71</v>
      </c>
      <c r="P29" s="14"/>
      <c r="Q29" s="14"/>
      <c r="R29" s="14"/>
    </row>
    <row r="30" spans="1:18" s="1" customFormat="1">
      <c r="B30" s="29" t="s">
        <v>1179</v>
      </c>
      <c r="C30" s="1" t="s">
        <v>494</v>
      </c>
      <c r="F30" s="14"/>
      <c r="G30" s="14"/>
      <c r="H30" s="14"/>
      <c r="I30" s="11"/>
      <c r="J30" s="14"/>
      <c r="K30" s="16">
        <v>14</v>
      </c>
      <c r="L30" s="15"/>
      <c r="M30" s="14">
        <v>72</v>
      </c>
      <c r="P30" s="14"/>
      <c r="Q30" s="14"/>
      <c r="R30" s="14"/>
    </row>
    <row r="31" spans="1:18" s="1" customFormat="1">
      <c r="B31" s="29" t="s">
        <v>1181</v>
      </c>
      <c r="C31" s="1" t="s">
        <v>493</v>
      </c>
      <c r="D31" s="1">
        <v>10</v>
      </c>
      <c r="F31" s="14"/>
      <c r="G31" s="14"/>
      <c r="H31" s="14"/>
      <c r="I31" s="11"/>
      <c r="J31" s="14"/>
      <c r="K31" s="16">
        <v>15</v>
      </c>
      <c r="L31" s="15">
        <v>7</v>
      </c>
      <c r="M31" s="14"/>
      <c r="P31" s="14"/>
      <c r="Q31" s="14"/>
      <c r="R31" s="14"/>
    </row>
    <row r="32" spans="1:18" s="1" customFormat="1">
      <c r="B32" s="29" t="s">
        <v>1182</v>
      </c>
      <c r="C32" s="1" t="s">
        <v>494</v>
      </c>
      <c r="F32" s="14"/>
      <c r="G32" s="14"/>
      <c r="H32" s="14"/>
      <c r="I32" s="11"/>
      <c r="J32" s="14"/>
      <c r="K32" s="16">
        <v>16</v>
      </c>
      <c r="L32" s="15"/>
      <c r="M32" s="14">
        <v>71</v>
      </c>
      <c r="P32" s="14"/>
      <c r="Q32" s="14"/>
      <c r="R32" s="14"/>
    </row>
    <row r="33" spans="1:18" s="1" customFormat="1">
      <c r="B33" s="29" t="s">
        <v>1183</v>
      </c>
      <c r="C33" s="1" t="s">
        <v>494</v>
      </c>
      <c r="F33" s="14"/>
      <c r="G33" s="14"/>
      <c r="H33" s="14"/>
      <c r="I33" s="11"/>
      <c r="J33" s="14"/>
      <c r="K33" s="16">
        <v>17</v>
      </c>
      <c r="L33" s="15"/>
      <c r="M33" s="14">
        <v>72</v>
      </c>
      <c r="P33" s="14"/>
      <c r="Q33" s="14"/>
      <c r="R33" s="14"/>
    </row>
    <row r="34" spans="1:18" s="1" customFormat="1">
      <c r="B34" s="29" t="s">
        <v>1167</v>
      </c>
      <c r="C34" s="1" t="s">
        <v>494</v>
      </c>
      <c r="F34" s="14"/>
      <c r="G34" s="14"/>
      <c r="H34" s="14"/>
      <c r="I34" s="11"/>
      <c r="J34" s="14"/>
      <c r="K34" s="16">
        <v>18</v>
      </c>
      <c r="L34" s="15">
        <v>8</v>
      </c>
      <c r="M34" s="14"/>
      <c r="P34" s="14"/>
      <c r="Q34" s="14"/>
      <c r="R34" s="14"/>
    </row>
    <row r="35" spans="1:18" s="1" customFormat="1">
      <c r="B35" s="29" t="s">
        <v>1168</v>
      </c>
      <c r="C35" s="1" t="s">
        <v>493</v>
      </c>
      <c r="D35" s="1">
        <v>250</v>
      </c>
      <c r="F35" s="14"/>
      <c r="G35" s="14"/>
      <c r="H35" s="14"/>
      <c r="I35" s="11"/>
      <c r="J35" s="14"/>
      <c r="K35" s="16">
        <v>19</v>
      </c>
      <c r="L35" s="15"/>
      <c r="M35" s="14"/>
      <c r="P35" s="14"/>
      <c r="Q35" s="14"/>
      <c r="R35" s="14"/>
    </row>
    <row r="36" spans="1:18" s="1" customFormat="1">
      <c r="B36" s="29" t="s">
        <v>1184</v>
      </c>
      <c r="C36" s="1" t="s">
        <v>493</v>
      </c>
      <c r="D36" s="1">
        <v>10</v>
      </c>
      <c r="F36" s="14"/>
      <c r="G36" s="14"/>
      <c r="H36" s="14"/>
      <c r="I36" s="11"/>
      <c r="J36" s="14"/>
      <c r="K36" s="16">
        <v>20</v>
      </c>
      <c r="L36" s="15">
        <v>7</v>
      </c>
      <c r="M36" s="14"/>
      <c r="P36" s="14"/>
      <c r="Q36" s="14"/>
      <c r="R36" s="14"/>
    </row>
    <row r="37" spans="1:18" s="1" customFormat="1">
      <c r="B37" s="29" t="s">
        <v>1185</v>
      </c>
      <c r="C37" s="1" t="s">
        <v>493</v>
      </c>
      <c r="D37" s="1">
        <v>10</v>
      </c>
      <c r="F37" s="14"/>
      <c r="G37" s="14"/>
      <c r="H37" s="14"/>
      <c r="I37" s="11"/>
      <c r="J37" s="14"/>
      <c r="K37" s="16">
        <v>21</v>
      </c>
      <c r="L37" s="15">
        <v>7</v>
      </c>
      <c r="M37" s="14"/>
      <c r="P37" s="14"/>
      <c r="Q37" s="14"/>
      <c r="R37" s="14"/>
    </row>
    <row r="38" spans="1:18" s="1" customFormat="1">
      <c r="B38" s="29" t="s">
        <v>1186</v>
      </c>
      <c r="C38" s="1" t="s">
        <v>494</v>
      </c>
      <c r="F38" s="14"/>
      <c r="G38" s="14"/>
      <c r="H38" s="14"/>
      <c r="I38" s="11"/>
      <c r="J38" s="14"/>
      <c r="K38" s="16">
        <v>22</v>
      </c>
      <c r="L38" s="15">
        <v>9</v>
      </c>
      <c r="M38" s="14"/>
      <c r="N38" s="1" t="s">
        <v>1202</v>
      </c>
      <c r="O38" s="29" t="s">
        <v>1203</v>
      </c>
      <c r="P38" s="29" t="s">
        <v>1205</v>
      </c>
      <c r="Q38" s="29" t="s">
        <v>1204</v>
      </c>
      <c r="R38" s="14">
        <v>1906</v>
      </c>
    </row>
    <row r="39" spans="1:18" s="1" customFormat="1">
      <c r="B39" s="29" t="s">
        <v>1187</v>
      </c>
      <c r="C39" s="1" t="s">
        <v>494</v>
      </c>
      <c r="F39" s="14"/>
      <c r="G39" s="14"/>
      <c r="H39" s="14"/>
      <c r="I39" s="11"/>
      <c r="J39" s="14"/>
      <c r="K39" s="16">
        <v>23</v>
      </c>
      <c r="L39" s="15">
        <v>9</v>
      </c>
      <c r="M39" s="14"/>
      <c r="P39" s="14"/>
      <c r="Q39" s="14"/>
      <c r="R39" s="14"/>
    </row>
    <row r="40" spans="1:18" s="1" customFormat="1">
      <c r="B40" s="29" t="s">
        <v>1169</v>
      </c>
      <c r="C40" s="1" t="s">
        <v>520</v>
      </c>
      <c r="F40" s="14"/>
      <c r="G40" s="14"/>
      <c r="H40" s="14"/>
      <c r="I40" s="11"/>
      <c r="J40" s="14"/>
      <c r="K40" s="16">
        <v>24</v>
      </c>
      <c r="L40" s="15"/>
      <c r="M40" s="14"/>
      <c r="P40" s="14"/>
      <c r="Q40" s="14"/>
      <c r="R40" s="14"/>
    </row>
    <row r="41" spans="1:18" s="1" customFormat="1">
      <c r="B41" s="66" t="s">
        <v>5429</v>
      </c>
      <c r="C41" s="62" t="s">
        <v>494</v>
      </c>
      <c r="F41" s="14"/>
      <c r="G41" s="14"/>
      <c r="H41" s="14"/>
      <c r="I41" s="11"/>
      <c r="J41" s="14"/>
      <c r="K41" s="16">
        <v>25</v>
      </c>
      <c r="L41" s="15">
        <v>3</v>
      </c>
      <c r="M41" s="14"/>
      <c r="P41" s="14"/>
      <c r="Q41" s="14"/>
      <c r="R41" s="14"/>
    </row>
    <row r="42" spans="1:18" s="1" customFormat="1">
      <c r="B42" s="29"/>
      <c r="F42" s="14"/>
      <c r="G42" s="14"/>
      <c r="H42" s="14"/>
      <c r="I42" s="11"/>
      <c r="J42" s="14"/>
      <c r="K42" s="16"/>
      <c r="L42" s="15"/>
      <c r="M42" s="14"/>
      <c r="P42" s="14"/>
      <c r="Q42" s="14"/>
      <c r="R42" s="14"/>
    </row>
    <row r="43" spans="1:18" s="1" customFormat="1">
      <c r="A43" s="1" t="s">
        <v>1198</v>
      </c>
      <c r="B43" s="29" t="s">
        <v>1170</v>
      </c>
      <c r="C43" s="1" t="s">
        <v>494</v>
      </c>
      <c r="E43" s="1" t="s">
        <v>476</v>
      </c>
      <c r="F43" s="14">
        <v>19</v>
      </c>
      <c r="G43" s="14">
        <v>1903</v>
      </c>
      <c r="H43" s="14" t="s">
        <v>1042</v>
      </c>
      <c r="I43" s="11" t="s">
        <v>1201</v>
      </c>
      <c r="J43" s="14">
        <v>1901</v>
      </c>
      <c r="K43" s="16">
        <v>1</v>
      </c>
      <c r="L43" s="15">
        <v>52</v>
      </c>
      <c r="M43" s="14"/>
      <c r="N43" s="1">
        <v>1902</v>
      </c>
      <c r="O43" s="1" t="s">
        <v>1163</v>
      </c>
      <c r="P43" s="14"/>
      <c r="Q43" s="14"/>
      <c r="R43" s="14"/>
    </row>
    <row r="44" spans="1:18" s="1" customFormat="1">
      <c r="B44" s="29" t="s">
        <v>1199</v>
      </c>
      <c r="C44" s="1" t="s">
        <v>494</v>
      </c>
      <c r="E44" s="1" t="s">
        <v>476</v>
      </c>
      <c r="F44" s="14"/>
      <c r="G44" s="14"/>
      <c r="H44" s="14"/>
      <c r="I44" s="11"/>
      <c r="J44" s="14"/>
      <c r="K44" s="16">
        <v>2</v>
      </c>
      <c r="L44" s="15">
        <v>9</v>
      </c>
      <c r="M44" s="14"/>
      <c r="N44" s="1" t="s">
        <v>1038</v>
      </c>
      <c r="O44" s="23" t="s">
        <v>1039</v>
      </c>
      <c r="P44" s="23" t="s">
        <v>1041</v>
      </c>
      <c r="Q44" s="23" t="s">
        <v>1040</v>
      </c>
      <c r="R44" s="14">
        <v>140</v>
      </c>
    </row>
    <row r="45" spans="1:18" s="1" customFormat="1">
      <c r="B45" s="29" t="s">
        <v>1171</v>
      </c>
      <c r="C45" s="1" t="s">
        <v>494</v>
      </c>
      <c r="F45" s="14"/>
      <c r="G45" s="14"/>
      <c r="H45" s="14"/>
      <c r="I45" s="11"/>
      <c r="J45" s="14"/>
      <c r="K45" s="16">
        <v>3</v>
      </c>
      <c r="L45" s="15">
        <v>6</v>
      </c>
      <c r="M45" s="14"/>
      <c r="P45" s="14"/>
      <c r="Q45" s="14"/>
      <c r="R45" s="14"/>
    </row>
    <row r="46" spans="1:18" s="1" customFormat="1">
      <c r="B46" s="29" t="s">
        <v>1200</v>
      </c>
      <c r="C46" s="1" t="s">
        <v>493</v>
      </c>
      <c r="D46" s="1">
        <v>1</v>
      </c>
      <c r="F46" s="14"/>
      <c r="G46" s="14"/>
      <c r="H46" s="14"/>
      <c r="I46" s="11"/>
      <c r="J46" s="14"/>
      <c r="K46" s="16">
        <v>4</v>
      </c>
      <c r="L46" s="15"/>
      <c r="M46" s="14"/>
      <c r="P46" s="14"/>
      <c r="Q46" s="14"/>
      <c r="R46" s="14"/>
    </row>
    <row r="47" spans="1:18" s="1" customFormat="1">
      <c r="B47" s="29"/>
      <c r="F47" s="14"/>
      <c r="G47" s="14"/>
      <c r="H47" s="14"/>
      <c r="I47" s="11"/>
      <c r="J47" s="14"/>
      <c r="K47" s="16"/>
      <c r="L47" s="15"/>
      <c r="M47" s="14"/>
      <c r="P47" s="14"/>
      <c r="Q47" s="14"/>
      <c r="R47" s="14"/>
    </row>
    <row r="48" spans="1:18" s="1" customFormat="1">
      <c r="A48" s="1" t="s">
        <v>1191</v>
      </c>
      <c r="B48" s="29" t="s">
        <v>1192</v>
      </c>
      <c r="C48" s="1" t="s">
        <v>494</v>
      </c>
      <c r="E48" s="1" t="s">
        <v>476</v>
      </c>
      <c r="F48" s="14">
        <v>19</v>
      </c>
      <c r="G48" s="14">
        <v>1904</v>
      </c>
      <c r="H48" s="14" t="s">
        <v>1176</v>
      </c>
      <c r="I48" s="11" t="s">
        <v>1177</v>
      </c>
      <c r="J48" s="14">
        <v>1901</v>
      </c>
      <c r="K48" s="16">
        <v>1</v>
      </c>
      <c r="L48" s="15">
        <v>52</v>
      </c>
      <c r="M48" s="14"/>
      <c r="N48" s="1">
        <v>1902</v>
      </c>
      <c r="O48" s="1" t="s">
        <v>1163</v>
      </c>
      <c r="P48" s="14"/>
      <c r="Q48" s="14"/>
      <c r="R48" s="14"/>
    </row>
    <row r="49" spans="1:18" s="1" customFormat="1">
      <c r="B49" s="29" t="s">
        <v>1193</v>
      </c>
      <c r="C49" s="1" t="s">
        <v>494</v>
      </c>
      <c r="E49" s="1" t="s">
        <v>476</v>
      </c>
      <c r="F49" s="14"/>
      <c r="G49" s="14"/>
      <c r="H49" s="14"/>
      <c r="I49" s="11"/>
      <c r="J49" s="14"/>
      <c r="K49" s="16">
        <v>2</v>
      </c>
      <c r="L49" s="15">
        <v>8</v>
      </c>
      <c r="M49" s="14"/>
      <c r="P49" s="14"/>
      <c r="Q49" s="14"/>
      <c r="R49" s="14"/>
    </row>
    <row r="50" spans="1:18" s="1" customFormat="1">
      <c r="B50" s="29" t="s">
        <v>1173</v>
      </c>
      <c r="C50" s="1" t="s">
        <v>494</v>
      </c>
      <c r="F50" s="14"/>
      <c r="G50" s="14"/>
      <c r="H50" s="14"/>
      <c r="I50" s="11"/>
      <c r="J50" s="14"/>
      <c r="K50" s="16">
        <v>3</v>
      </c>
      <c r="L50" s="15">
        <v>6</v>
      </c>
      <c r="M50" s="14"/>
      <c r="P50" s="14"/>
      <c r="Q50" s="14"/>
      <c r="R50" s="14"/>
    </row>
    <row r="51" spans="1:18" s="1" customFormat="1">
      <c r="B51" s="29" t="s">
        <v>1194</v>
      </c>
      <c r="C51" s="1" t="s">
        <v>493</v>
      </c>
      <c r="D51" s="1">
        <v>250</v>
      </c>
      <c r="F51" s="14"/>
      <c r="G51" s="14"/>
      <c r="H51" s="14"/>
      <c r="I51" s="11"/>
      <c r="J51" s="14"/>
      <c r="K51" s="16">
        <v>4</v>
      </c>
      <c r="L51" s="15"/>
      <c r="M51" s="14"/>
      <c r="P51" s="14"/>
      <c r="Q51" s="14"/>
      <c r="R51" s="14"/>
    </row>
    <row r="52" spans="1:18" s="1" customFormat="1">
      <c r="B52" s="29" t="s">
        <v>1195</v>
      </c>
      <c r="C52" s="1" t="s">
        <v>493</v>
      </c>
      <c r="D52" s="1">
        <v>100</v>
      </c>
      <c r="F52" s="14"/>
      <c r="G52" s="14"/>
      <c r="H52" s="14"/>
      <c r="I52" s="11"/>
      <c r="J52" s="14"/>
      <c r="K52" s="16">
        <v>5</v>
      </c>
      <c r="L52" s="15"/>
      <c r="M52" s="14"/>
      <c r="P52" s="14"/>
      <c r="Q52" s="14"/>
      <c r="R52" s="14"/>
    </row>
    <row r="53" spans="1:18" s="1" customFormat="1">
      <c r="B53" s="29" t="s">
        <v>1196</v>
      </c>
      <c r="C53" s="1" t="s">
        <v>493</v>
      </c>
      <c r="D53" s="1">
        <v>100</v>
      </c>
      <c r="F53" s="14"/>
      <c r="G53" s="14"/>
      <c r="H53" s="14"/>
      <c r="I53" s="11"/>
      <c r="J53" s="14"/>
      <c r="K53" s="16">
        <v>6</v>
      </c>
      <c r="L53" s="15"/>
      <c r="M53" s="14"/>
      <c r="P53" s="14"/>
      <c r="Q53" s="14"/>
      <c r="R53" s="14"/>
    </row>
    <row r="54" spans="1:18" s="1" customFormat="1">
      <c r="B54" s="29" t="s">
        <v>1197</v>
      </c>
      <c r="C54" s="1" t="s">
        <v>493</v>
      </c>
      <c r="D54" s="1">
        <v>100</v>
      </c>
      <c r="F54" s="14"/>
      <c r="G54" s="14"/>
      <c r="H54" s="14"/>
      <c r="I54" s="11"/>
      <c r="J54" s="14"/>
      <c r="K54" s="16">
        <v>7</v>
      </c>
      <c r="L54" s="15"/>
      <c r="M54" s="14"/>
      <c r="P54" s="14"/>
      <c r="Q54" s="14"/>
      <c r="R54" s="14"/>
    </row>
    <row r="55" spans="1:18" s="1" customFormat="1" ht="12.75" customHeight="1">
      <c r="B55" s="29" t="s">
        <v>1172</v>
      </c>
      <c r="C55" s="1" t="s">
        <v>494</v>
      </c>
      <c r="F55" s="14"/>
      <c r="G55" s="14"/>
      <c r="H55" s="14"/>
      <c r="I55" s="11"/>
      <c r="J55" s="14"/>
      <c r="K55" s="16">
        <v>8</v>
      </c>
      <c r="L55" s="15">
        <v>3</v>
      </c>
      <c r="M55" s="14"/>
      <c r="N55" s="1" t="s">
        <v>1255</v>
      </c>
      <c r="O55" s="29" t="s">
        <v>1256</v>
      </c>
      <c r="P55" s="29" t="s">
        <v>1257</v>
      </c>
      <c r="Q55" s="14"/>
      <c r="R55" s="14"/>
    </row>
    <row r="56" spans="1:18" s="1" customFormat="1">
      <c r="B56" s="29"/>
      <c r="F56" s="14"/>
      <c r="G56" s="14"/>
      <c r="H56" s="14"/>
      <c r="I56" s="11"/>
      <c r="J56" s="14"/>
      <c r="K56" s="16"/>
      <c r="L56" s="15"/>
      <c r="M56" s="14"/>
      <c r="P56" s="14"/>
      <c r="Q56" s="14"/>
      <c r="R56" s="14"/>
    </row>
    <row r="57" spans="1:18" s="1" customFormat="1">
      <c r="A57" s="1" t="s">
        <v>1258</v>
      </c>
      <c r="B57" s="29" t="s">
        <v>1259</v>
      </c>
      <c r="C57" s="1" t="s">
        <v>494</v>
      </c>
      <c r="E57" s="1" t="s">
        <v>476</v>
      </c>
      <c r="F57" s="14">
        <v>19</v>
      </c>
      <c r="G57" s="14">
        <v>1905</v>
      </c>
      <c r="H57" s="14" t="s">
        <v>9</v>
      </c>
      <c r="I57" s="11" t="s">
        <v>10</v>
      </c>
      <c r="J57" s="14">
        <v>1901</v>
      </c>
      <c r="K57" s="16">
        <v>1</v>
      </c>
      <c r="L57" s="15">
        <v>52</v>
      </c>
      <c r="M57" s="14"/>
      <c r="N57" s="1">
        <v>1902</v>
      </c>
      <c r="O57" s="1" t="s">
        <v>1163</v>
      </c>
      <c r="P57" s="14"/>
      <c r="Q57" s="14"/>
      <c r="R57" s="14"/>
    </row>
    <row r="58" spans="1:18" s="1" customFormat="1">
      <c r="B58" s="29" t="s">
        <v>0</v>
      </c>
      <c r="C58" s="1" t="s">
        <v>494</v>
      </c>
      <c r="E58" s="1" t="s">
        <v>476</v>
      </c>
      <c r="F58" s="14"/>
      <c r="G58" s="14"/>
      <c r="H58" s="14"/>
      <c r="I58" s="11"/>
      <c r="J58" s="14"/>
      <c r="K58" s="16">
        <v>2</v>
      </c>
      <c r="L58" s="15">
        <v>6</v>
      </c>
      <c r="M58" s="14"/>
      <c r="P58" s="14"/>
      <c r="Q58" s="14"/>
      <c r="R58" s="14"/>
    </row>
    <row r="59" spans="1:18" s="1" customFormat="1">
      <c r="B59" s="29" t="s">
        <v>1189</v>
      </c>
      <c r="C59" s="1" t="s">
        <v>494</v>
      </c>
      <c r="F59" s="14"/>
      <c r="G59" s="14"/>
      <c r="H59" s="14"/>
      <c r="I59" s="11"/>
      <c r="J59" s="14"/>
      <c r="K59" s="16">
        <v>3</v>
      </c>
      <c r="L59" s="15">
        <v>6</v>
      </c>
      <c r="M59" s="14"/>
      <c r="P59" s="14"/>
      <c r="Q59" s="14"/>
      <c r="R59" s="14"/>
    </row>
    <row r="60" spans="1:18" s="1" customFormat="1">
      <c r="B60" s="29" t="s">
        <v>1</v>
      </c>
      <c r="C60" s="1" t="s">
        <v>493</v>
      </c>
      <c r="D60" s="1">
        <v>10</v>
      </c>
      <c r="F60" s="14"/>
      <c r="G60" s="14"/>
      <c r="H60" s="14"/>
      <c r="I60" s="11"/>
      <c r="J60" s="14"/>
      <c r="K60" s="16">
        <v>4</v>
      </c>
      <c r="L60" s="15">
        <v>7</v>
      </c>
      <c r="M60" s="14">
        <v>1</v>
      </c>
      <c r="P60" s="14"/>
      <c r="Q60" s="14"/>
      <c r="R60" s="14"/>
    </row>
    <row r="61" spans="1:18" s="1" customFormat="1">
      <c r="B61" s="29" t="s">
        <v>3</v>
      </c>
      <c r="C61" s="1" t="s">
        <v>493</v>
      </c>
      <c r="D61" s="1">
        <v>1</v>
      </c>
      <c r="F61" s="14"/>
      <c r="G61" s="14"/>
      <c r="H61" s="14"/>
      <c r="I61" s="11"/>
      <c r="J61" s="14"/>
      <c r="K61" s="16">
        <v>5</v>
      </c>
      <c r="L61" s="15">
        <v>3</v>
      </c>
      <c r="M61" s="14"/>
      <c r="P61" s="14"/>
      <c r="Q61" s="14"/>
      <c r="R61" s="14"/>
    </row>
    <row r="62" spans="1:18" s="1" customFormat="1">
      <c r="B62" s="29" t="s">
        <v>2</v>
      </c>
      <c r="C62" s="1" t="s">
        <v>494</v>
      </c>
      <c r="F62" s="14"/>
      <c r="G62" s="14"/>
      <c r="H62" s="14"/>
      <c r="I62" s="11"/>
      <c r="J62" s="14"/>
      <c r="K62" s="16">
        <v>6</v>
      </c>
      <c r="L62" s="15">
        <v>8</v>
      </c>
      <c r="M62" s="14">
        <v>1</v>
      </c>
      <c r="P62" s="14"/>
      <c r="Q62" s="14"/>
      <c r="R62" s="14"/>
    </row>
    <row r="63" spans="1:18" s="1" customFormat="1">
      <c r="B63" s="29" t="s">
        <v>8</v>
      </c>
      <c r="C63" s="1" t="s">
        <v>520</v>
      </c>
      <c r="F63" s="14"/>
      <c r="G63" s="14"/>
      <c r="H63" s="14"/>
      <c r="I63" s="11"/>
      <c r="J63" s="14"/>
      <c r="K63" s="16">
        <v>7</v>
      </c>
      <c r="L63" s="15"/>
      <c r="M63" s="14"/>
      <c r="P63" s="14"/>
      <c r="Q63" s="14"/>
      <c r="R63" s="14"/>
    </row>
    <row r="64" spans="1:18" s="1" customFormat="1">
      <c r="B64" s="29"/>
      <c r="F64" s="14"/>
      <c r="G64" s="14"/>
      <c r="H64" s="14"/>
      <c r="I64" s="11"/>
      <c r="J64" s="14"/>
      <c r="K64" s="16"/>
      <c r="L64" s="15"/>
      <c r="M64" s="14"/>
      <c r="P64" s="14"/>
      <c r="Q64" s="14"/>
      <c r="R64" s="14"/>
    </row>
    <row r="65" spans="1:18" s="1" customFormat="1">
      <c r="A65" s="39" t="s">
        <v>1191</v>
      </c>
      <c r="B65" s="88" t="s">
        <v>1192</v>
      </c>
      <c r="C65" s="39" t="s">
        <v>494</v>
      </c>
      <c r="D65" s="39"/>
      <c r="E65" s="39" t="s">
        <v>476</v>
      </c>
      <c r="F65" s="14">
        <v>19</v>
      </c>
      <c r="G65" s="14">
        <v>1904</v>
      </c>
      <c r="H65" s="14" t="s">
        <v>1176</v>
      </c>
      <c r="I65" s="11" t="s">
        <v>1177</v>
      </c>
      <c r="J65" s="14">
        <v>1901</v>
      </c>
      <c r="K65" s="16">
        <v>1</v>
      </c>
      <c r="L65" s="15">
        <v>3</v>
      </c>
      <c r="M65" s="14"/>
      <c r="N65" s="1" t="s">
        <v>1161</v>
      </c>
      <c r="O65" s="1" t="s">
        <v>1163</v>
      </c>
      <c r="P65" s="29" t="s">
        <v>1162</v>
      </c>
      <c r="Q65" s="14"/>
      <c r="R65" s="14"/>
    </row>
    <row r="66" spans="1:18" s="1" customFormat="1">
      <c r="A66" s="39"/>
      <c r="B66" s="88" t="s">
        <v>1193</v>
      </c>
      <c r="C66" s="39" t="s">
        <v>494</v>
      </c>
      <c r="D66" s="39"/>
      <c r="E66" s="39" t="s">
        <v>476</v>
      </c>
      <c r="F66" s="14"/>
      <c r="G66" s="14"/>
      <c r="H66" s="14"/>
      <c r="I66" s="11"/>
      <c r="J66" s="14"/>
      <c r="K66" s="16">
        <v>2</v>
      </c>
      <c r="L66" s="15">
        <v>8</v>
      </c>
      <c r="M66" s="14"/>
      <c r="P66" s="14"/>
      <c r="Q66" s="14"/>
      <c r="R66" s="14"/>
    </row>
    <row r="67" spans="1:18" s="1" customFormat="1">
      <c r="A67" s="39"/>
      <c r="B67" s="88" t="s">
        <v>1173</v>
      </c>
      <c r="C67" s="39" t="s">
        <v>494</v>
      </c>
      <c r="D67" s="39"/>
      <c r="E67" s="39"/>
      <c r="F67" s="14"/>
      <c r="G67" s="14"/>
      <c r="H67" s="14"/>
      <c r="I67" s="11"/>
      <c r="J67" s="14"/>
      <c r="K67" s="16">
        <v>3</v>
      </c>
      <c r="L67" s="15">
        <v>6</v>
      </c>
      <c r="M67" s="14"/>
      <c r="P67" s="14"/>
      <c r="Q67" s="14"/>
      <c r="R67" s="14"/>
    </row>
    <row r="68" spans="1:18" s="1" customFormat="1">
      <c r="A68" s="39"/>
      <c r="B68" s="88" t="s">
        <v>1194</v>
      </c>
      <c r="C68" s="39" t="s">
        <v>493</v>
      </c>
      <c r="D68" s="39">
        <v>250</v>
      </c>
      <c r="E68" s="39"/>
      <c r="F68" s="14"/>
      <c r="G68" s="14"/>
      <c r="H68" s="14"/>
      <c r="I68" s="11"/>
      <c r="J68" s="14"/>
      <c r="K68" s="16">
        <v>4</v>
      </c>
      <c r="L68" s="15"/>
      <c r="M68" s="14"/>
      <c r="P68" s="14"/>
      <c r="Q68" s="14"/>
      <c r="R68" s="14"/>
    </row>
    <row r="69" spans="1:18" s="1" customFormat="1">
      <c r="A69" s="39"/>
      <c r="B69" s="88" t="s">
        <v>1195</v>
      </c>
      <c r="C69" s="39" t="s">
        <v>493</v>
      </c>
      <c r="D69" s="39">
        <v>100</v>
      </c>
      <c r="E69" s="39"/>
      <c r="F69" s="14"/>
      <c r="G69" s="14"/>
      <c r="H69" s="14"/>
      <c r="I69" s="11"/>
      <c r="J69" s="14"/>
      <c r="K69" s="16">
        <v>5</v>
      </c>
      <c r="L69" s="15"/>
      <c r="M69" s="14"/>
      <c r="P69" s="14"/>
      <c r="Q69" s="14"/>
      <c r="R69" s="14"/>
    </row>
    <row r="70" spans="1:18" s="1" customFormat="1">
      <c r="A70" s="39"/>
      <c r="B70" s="88" t="s">
        <v>1196</v>
      </c>
      <c r="C70" s="39" t="s">
        <v>493</v>
      </c>
      <c r="D70" s="39">
        <v>100</v>
      </c>
      <c r="E70" s="39"/>
      <c r="F70" s="14"/>
      <c r="G70" s="14"/>
      <c r="H70" s="14"/>
      <c r="I70" s="11"/>
      <c r="J70" s="14"/>
      <c r="K70" s="16">
        <v>6</v>
      </c>
      <c r="L70" s="15"/>
      <c r="M70" s="14"/>
      <c r="P70" s="14"/>
      <c r="Q70" s="14"/>
      <c r="R70" s="14"/>
    </row>
    <row r="71" spans="1:18" s="1" customFormat="1">
      <c r="A71" s="39"/>
      <c r="B71" s="88" t="s">
        <v>1197</v>
      </c>
      <c r="C71" s="39" t="s">
        <v>493</v>
      </c>
      <c r="D71" s="39">
        <v>100</v>
      </c>
      <c r="E71" s="39"/>
      <c r="F71" s="14"/>
      <c r="G71" s="14"/>
      <c r="H71" s="14"/>
      <c r="I71" s="11"/>
      <c r="J71" s="14"/>
      <c r="K71" s="16">
        <v>7</v>
      </c>
      <c r="L71" s="15"/>
      <c r="M71" s="14"/>
      <c r="P71" s="14"/>
      <c r="Q71" s="14"/>
      <c r="R71" s="14"/>
    </row>
    <row r="72" spans="1:18" s="1" customFormat="1" ht="12.75" customHeight="1">
      <c r="A72" s="39"/>
      <c r="B72" s="88" t="s">
        <v>1172</v>
      </c>
      <c r="C72" s="39" t="s">
        <v>494</v>
      </c>
      <c r="D72" s="39"/>
      <c r="E72" s="39"/>
      <c r="F72" s="14"/>
      <c r="G72" s="14"/>
      <c r="H72" s="14"/>
      <c r="I72" s="11"/>
      <c r="J72" s="14"/>
      <c r="K72" s="16">
        <v>8</v>
      </c>
      <c r="L72" s="15">
        <v>3</v>
      </c>
      <c r="M72" s="14"/>
      <c r="N72" s="62" t="s">
        <v>1255</v>
      </c>
      <c r="O72" s="29" t="s">
        <v>1256</v>
      </c>
      <c r="P72" s="29" t="s">
        <v>1257</v>
      </c>
      <c r="Q72" s="14"/>
      <c r="R72" s="14"/>
    </row>
    <row r="73" spans="1:18" s="1" customFormat="1">
      <c r="B73" s="29"/>
      <c r="F73" s="14"/>
      <c r="G73" s="14"/>
      <c r="H73" s="14"/>
      <c r="I73" s="11"/>
      <c r="J73" s="14"/>
      <c r="K73" s="16"/>
      <c r="L73" s="15"/>
      <c r="M73" s="14"/>
      <c r="P73" s="14"/>
      <c r="Q73" s="14"/>
      <c r="R73" s="14"/>
    </row>
    <row r="74" spans="1:18" s="1" customFormat="1">
      <c r="A74" s="1" t="s">
        <v>1255</v>
      </c>
      <c r="B74" s="29" t="s">
        <v>1256</v>
      </c>
      <c r="C74" s="1" t="s">
        <v>494</v>
      </c>
      <c r="E74" s="1" t="s">
        <v>476</v>
      </c>
      <c r="F74" s="14">
        <v>19</v>
      </c>
      <c r="G74" s="14"/>
      <c r="H74" s="14"/>
      <c r="I74" s="11"/>
      <c r="J74" s="14"/>
      <c r="K74" s="16">
        <v>1</v>
      </c>
      <c r="L74" s="15"/>
      <c r="M74" s="14"/>
      <c r="P74" s="14"/>
      <c r="Q74" s="14"/>
      <c r="R74" s="14"/>
    </row>
    <row r="75" spans="1:18" s="1" customFormat="1">
      <c r="B75" s="29" t="s">
        <v>1257</v>
      </c>
      <c r="C75" s="1" t="s">
        <v>493</v>
      </c>
      <c r="D75" s="1">
        <v>100</v>
      </c>
      <c r="F75" s="14"/>
      <c r="G75" s="14"/>
      <c r="H75" s="14"/>
      <c r="I75" s="11"/>
      <c r="J75" s="14"/>
      <c r="K75" s="16">
        <v>2</v>
      </c>
      <c r="L75" s="15"/>
      <c r="M75" s="14"/>
      <c r="P75" s="14"/>
      <c r="Q75" s="14"/>
      <c r="R75" s="14"/>
    </row>
    <row r="76" spans="1:18" s="1" customFormat="1">
      <c r="B76" s="29"/>
      <c r="F76" s="14"/>
      <c r="G76" s="14"/>
      <c r="H76" s="14"/>
      <c r="I76" s="11"/>
      <c r="J76" s="14"/>
      <c r="K76" s="16"/>
      <c r="L76" s="15"/>
      <c r="M76" s="14"/>
      <c r="P76" s="14"/>
      <c r="Q76" s="14"/>
      <c r="R76" s="14"/>
    </row>
    <row r="77" spans="1:18" s="1" customFormat="1">
      <c r="A77" s="1" t="s">
        <v>5</v>
      </c>
      <c r="B77" s="29" t="s">
        <v>6</v>
      </c>
      <c r="C77" s="1" t="s">
        <v>494</v>
      </c>
      <c r="E77" s="1" t="s">
        <v>476</v>
      </c>
      <c r="F77" s="14"/>
      <c r="G77" s="14"/>
      <c r="H77" s="14"/>
      <c r="I77" s="11"/>
      <c r="J77" s="14"/>
      <c r="K77" s="16"/>
      <c r="L77" s="15"/>
      <c r="M77" s="14"/>
      <c r="P77" s="14"/>
      <c r="Q77" s="14"/>
      <c r="R77" s="14"/>
    </row>
    <row r="78" spans="1:18" s="1" customFormat="1">
      <c r="B78" s="29" t="s">
        <v>7</v>
      </c>
      <c r="C78" s="1" t="s">
        <v>493</v>
      </c>
      <c r="D78" s="1">
        <v>100</v>
      </c>
      <c r="F78" s="14"/>
      <c r="G78" s="14"/>
      <c r="H78" s="14"/>
      <c r="I78" s="11"/>
      <c r="J78" s="14"/>
      <c r="K78" s="16"/>
      <c r="L78" s="15"/>
      <c r="M78" s="14"/>
      <c r="P78" s="14"/>
      <c r="Q78" s="14"/>
      <c r="R78" s="14"/>
    </row>
    <row r="79" spans="1:18" s="1" customFormat="1">
      <c r="B79" s="23"/>
      <c r="F79" s="14"/>
      <c r="G79" s="14"/>
      <c r="H79" s="14"/>
      <c r="I79" s="11"/>
      <c r="J79" s="14"/>
      <c r="K79" s="16"/>
      <c r="L79" s="15"/>
      <c r="M79" s="14"/>
      <c r="P79" s="14"/>
      <c r="Q79" s="14"/>
      <c r="R79" s="14"/>
    </row>
    <row r="80" spans="1:18" s="1" customFormat="1">
      <c r="A80" s="1" t="s">
        <v>1304</v>
      </c>
      <c r="B80" s="29" t="s">
        <v>1305</v>
      </c>
      <c r="C80" s="1" t="s">
        <v>494</v>
      </c>
      <c r="E80" s="1" t="s">
        <v>476</v>
      </c>
      <c r="F80" s="14">
        <v>19</v>
      </c>
      <c r="G80" s="14"/>
      <c r="H80" s="14"/>
      <c r="I80" s="11"/>
      <c r="J80" s="14"/>
      <c r="K80" s="16">
        <v>1</v>
      </c>
      <c r="L80" s="15"/>
      <c r="M80" s="14"/>
      <c r="P80" s="14"/>
      <c r="Q80" s="14"/>
      <c r="R80" s="14"/>
    </row>
    <row r="81" spans="1:18" s="1" customFormat="1">
      <c r="B81" s="29" t="s">
        <v>1306</v>
      </c>
      <c r="C81" s="1" t="s">
        <v>493</v>
      </c>
      <c r="D81" s="1">
        <v>100</v>
      </c>
      <c r="F81" s="14"/>
      <c r="G81" s="14"/>
      <c r="H81" s="14"/>
      <c r="I81" s="11"/>
      <c r="J81" s="14"/>
      <c r="K81" s="16">
        <v>2</v>
      </c>
      <c r="L81" s="15"/>
      <c r="M81" s="14"/>
      <c r="P81" s="14"/>
      <c r="Q81" s="14"/>
      <c r="R81" s="14"/>
    </row>
    <row r="82" spans="1:18" s="1" customFormat="1">
      <c r="B82" s="29"/>
      <c r="F82" s="14"/>
      <c r="G82" s="14"/>
      <c r="H82" s="14"/>
      <c r="I82" s="11"/>
      <c r="J82" s="14"/>
      <c r="K82" s="16"/>
      <c r="L82" s="15"/>
      <c r="M82" s="14"/>
      <c r="P82" s="14"/>
      <c r="Q82" s="14"/>
      <c r="R82" s="14"/>
    </row>
    <row r="83" spans="1:18" s="1" customFormat="1">
      <c r="A83" s="62" t="s">
        <v>2591</v>
      </c>
      <c r="B83" s="66" t="s">
        <v>2591</v>
      </c>
      <c r="C83" s="64" t="s">
        <v>494</v>
      </c>
      <c r="E83" s="62" t="s">
        <v>476</v>
      </c>
      <c r="F83" s="14"/>
      <c r="G83" s="14">
        <v>1926</v>
      </c>
      <c r="H83" s="14"/>
      <c r="I83" s="48" t="s">
        <v>2414</v>
      </c>
      <c r="J83" s="14"/>
      <c r="K83" s="76"/>
      <c r="L83" s="15"/>
      <c r="M83" s="14"/>
      <c r="N83" s="62"/>
      <c r="O83" s="60"/>
      <c r="P83" s="23"/>
      <c r="Q83" s="14"/>
      <c r="R83" s="14"/>
    </row>
    <row r="84" spans="1:18" s="1" customFormat="1">
      <c r="B84" s="66"/>
      <c r="C84" s="64"/>
      <c r="F84" s="14"/>
      <c r="G84" s="14"/>
      <c r="H84" s="14"/>
      <c r="I84" s="11"/>
      <c r="J84" s="14"/>
      <c r="K84" s="76"/>
      <c r="L84" s="15"/>
      <c r="M84" s="14"/>
      <c r="N84" s="62"/>
      <c r="O84" s="60"/>
      <c r="P84" s="23"/>
      <c r="Q84" s="14"/>
      <c r="R84" s="14"/>
    </row>
    <row r="85" spans="1:18" s="1" customFormat="1">
      <c r="A85" s="62" t="s">
        <v>2577</v>
      </c>
      <c r="B85" s="66" t="s">
        <v>2578</v>
      </c>
      <c r="C85" s="64" t="s">
        <v>494</v>
      </c>
      <c r="E85" s="62" t="s">
        <v>476</v>
      </c>
      <c r="F85" s="14"/>
      <c r="G85" s="14"/>
      <c r="H85" s="14"/>
      <c r="I85" s="11"/>
      <c r="J85" s="14"/>
      <c r="K85" s="76"/>
      <c r="L85" s="15"/>
      <c r="M85" s="14"/>
      <c r="N85" s="62"/>
      <c r="O85" s="60"/>
      <c r="P85" s="23"/>
      <c r="Q85" s="14"/>
      <c r="R85" s="14"/>
    </row>
    <row r="86" spans="1:18" s="1" customFormat="1">
      <c r="B86" s="66" t="s">
        <v>2579</v>
      </c>
      <c r="C86" s="64" t="s">
        <v>493</v>
      </c>
      <c r="D86" s="1">
        <v>50</v>
      </c>
      <c r="F86" s="14"/>
      <c r="G86" s="14"/>
      <c r="H86" s="14"/>
      <c r="I86" s="11"/>
      <c r="J86" s="14"/>
      <c r="K86" s="76"/>
      <c r="L86" s="15"/>
      <c r="M86" s="14"/>
      <c r="N86" s="62"/>
      <c r="O86" s="60"/>
      <c r="P86" s="23"/>
      <c r="Q86" s="14"/>
      <c r="R86" s="14"/>
    </row>
    <row r="87" spans="1:18" s="1" customFormat="1">
      <c r="B87" s="66"/>
      <c r="C87" s="64"/>
      <c r="F87" s="14"/>
      <c r="G87" s="14"/>
      <c r="H87" s="14"/>
      <c r="I87" s="11"/>
      <c r="J87" s="14"/>
      <c r="K87" s="76"/>
      <c r="L87" s="15"/>
      <c r="M87" s="14"/>
      <c r="N87" s="62"/>
      <c r="O87" s="60"/>
      <c r="P87" s="23"/>
      <c r="Q87" s="14"/>
      <c r="R87" s="14"/>
    </row>
    <row r="88" spans="1:18" s="1" customFormat="1">
      <c r="A88" s="62" t="s">
        <v>2580</v>
      </c>
      <c r="B88" s="66" t="s">
        <v>2581</v>
      </c>
      <c r="C88" s="64" t="s">
        <v>494</v>
      </c>
      <c r="E88" s="62" t="s">
        <v>476</v>
      </c>
      <c r="F88" s="14"/>
      <c r="G88" s="14"/>
      <c r="H88" s="14"/>
      <c r="I88" s="11"/>
      <c r="J88" s="14"/>
      <c r="K88" s="76">
        <v>1</v>
      </c>
      <c r="L88" s="15">
        <v>52</v>
      </c>
      <c r="M88" s="14"/>
      <c r="N88" s="47">
        <v>1916</v>
      </c>
      <c r="O88" s="60" t="s">
        <v>2355</v>
      </c>
      <c r="P88" s="23"/>
      <c r="Q88" s="14"/>
      <c r="R88" s="14"/>
    </row>
    <row r="89" spans="1:18" s="1" customFormat="1">
      <c r="A89" s="62"/>
      <c r="B89" s="66" t="s">
        <v>2582</v>
      </c>
      <c r="C89" s="64" t="s">
        <v>494</v>
      </c>
      <c r="E89" s="62" t="s">
        <v>476</v>
      </c>
      <c r="F89" s="14"/>
      <c r="G89" s="14"/>
      <c r="H89" s="14"/>
      <c r="I89" s="11"/>
      <c r="J89" s="14"/>
      <c r="K89" s="76">
        <v>2</v>
      </c>
      <c r="L89" s="15">
        <v>6</v>
      </c>
      <c r="M89" s="14"/>
      <c r="N89" s="62"/>
      <c r="O89" s="60"/>
      <c r="P89" s="23"/>
      <c r="Q89" s="14"/>
      <c r="R89" s="14"/>
    </row>
    <row r="90" spans="1:18" s="1" customFormat="1">
      <c r="A90" s="62"/>
      <c r="B90" s="66" t="s">
        <v>2583</v>
      </c>
      <c r="C90" s="64" t="s">
        <v>494</v>
      </c>
      <c r="F90" s="14"/>
      <c r="G90" s="14"/>
      <c r="H90" s="14"/>
      <c r="I90" s="11"/>
      <c r="J90" s="14"/>
      <c r="K90" s="76">
        <v>3</v>
      </c>
      <c r="L90" s="15">
        <v>8</v>
      </c>
      <c r="M90" s="14"/>
      <c r="N90" s="62"/>
      <c r="O90" s="60"/>
      <c r="P90" s="23"/>
      <c r="Q90" s="14"/>
      <c r="R90" s="14"/>
    </row>
    <row r="91" spans="1:18" s="1" customFormat="1">
      <c r="A91" s="62"/>
      <c r="B91" s="66" t="s">
        <v>2584</v>
      </c>
      <c r="C91" s="64" t="s">
        <v>494</v>
      </c>
      <c r="F91" s="14"/>
      <c r="G91" s="14"/>
      <c r="H91" s="14"/>
      <c r="I91" s="11"/>
      <c r="J91" s="14"/>
      <c r="K91" s="76">
        <v>4</v>
      </c>
      <c r="L91" s="15"/>
      <c r="M91" s="14"/>
      <c r="N91" s="62"/>
      <c r="O91" s="60"/>
      <c r="P91" s="23"/>
      <c r="Q91" s="14"/>
      <c r="R91" s="14"/>
    </row>
    <row r="92" spans="1:18" s="1" customFormat="1">
      <c r="A92" s="62"/>
      <c r="B92" s="66"/>
      <c r="C92" s="64"/>
      <c r="F92" s="14"/>
      <c r="G92" s="14"/>
      <c r="H92" s="14"/>
      <c r="I92" s="11"/>
      <c r="J92" s="14"/>
      <c r="K92" s="76"/>
      <c r="L92" s="15"/>
      <c r="M92" s="14"/>
      <c r="N92" s="62"/>
      <c r="O92" s="60"/>
      <c r="P92" s="23"/>
      <c r="Q92" s="14"/>
      <c r="R92" s="14"/>
    </row>
    <row r="93" spans="1:18" s="1" customFormat="1">
      <c r="A93" s="62" t="s">
        <v>2613</v>
      </c>
      <c r="B93" s="66" t="s">
        <v>2614</v>
      </c>
      <c r="C93" s="64" t="s">
        <v>494</v>
      </c>
      <c r="E93" s="62" t="s">
        <v>476</v>
      </c>
      <c r="F93" s="14"/>
      <c r="G93" s="14"/>
      <c r="H93" s="14"/>
      <c r="I93" s="11"/>
      <c r="J93" s="14"/>
      <c r="K93" s="76"/>
      <c r="L93" s="15"/>
      <c r="M93" s="14"/>
      <c r="P93" s="23"/>
      <c r="Q93" s="14"/>
      <c r="R93" s="14"/>
    </row>
    <row r="94" spans="1:18" s="1" customFormat="1">
      <c r="B94" s="66" t="s">
        <v>2615</v>
      </c>
      <c r="C94" s="64" t="s">
        <v>493</v>
      </c>
      <c r="D94" s="1">
        <v>50</v>
      </c>
      <c r="F94" s="14"/>
      <c r="G94" s="14"/>
      <c r="H94" s="14"/>
      <c r="I94" s="11"/>
      <c r="J94" s="14"/>
      <c r="K94" s="76"/>
      <c r="L94" s="15"/>
      <c r="M94" s="14"/>
      <c r="P94" s="23"/>
      <c r="Q94" s="14"/>
      <c r="R94" s="14"/>
    </row>
    <row r="95" spans="1:18" s="1" customFormat="1">
      <c r="B95" s="66"/>
      <c r="C95" s="64"/>
      <c r="F95" s="14"/>
      <c r="G95" s="14"/>
      <c r="H95" s="14"/>
      <c r="I95" s="11"/>
      <c r="J95" s="14"/>
      <c r="K95" s="76"/>
      <c r="L95" s="15"/>
      <c r="M95" s="14"/>
      <c r="P95" s="23"/>
      <c r="Q95" s="14"/>
      <c r="R95" s="14"/>
    </row>
    <row r="96" spans="1:18" s="1" customFormat="1">
      <c r="A96" s="62" t="s">
        <v>2795</v>
      </c>
      <c r="B96" s="66" t="s">
        <v>2796</v>
      </c>
      <c r="C96" s="64" t="s">
        <v>494</v>
      </c>
      <c r="E96" s="62" t="s">
        <v>476</v>
      </c>
      <c r="F96" s="14"/>
      <c r="G96" s="14"/>
      <c r="H96" s="14"/>
      <c r="I96" s="11"/>
      <c r="J96" s="14"/>
      <c r="K96" s="76"/>
      <c r="L96" s="15"/>
      <c r="M96" s="14"/>
      <c r="N96" s="62"/>
      <c r="O96" s="60"/>
      <c r="P96" s="23"/>
      <c r="Q96" s="14"/>
      <c r="R96" s="14"/>
    </row>
    <row r="97" spans="1:18" s="1" customFormat="1">
      <c r="B97" s="66" t="s">
        <v>2797</v>
      </c>
      <c r="C97" s="64" t="s">
        <v>493</v>
      </c>
      <c r="D97" s="1">
        <v>50</v>
      </c>
      <c r="F97" s="14"/>
      <c r="G97" s="14"/>
      <c r="H97" s="47" t="s">
        <v>2808</v>
      </c>
      <c r="I97" s="11"/>
      <c r="J97" s="14"/>
      <c r="K97" s="76"/>
      <c r="L97" s="15"/>
      <c r="M97" s="14"/>
      <c r="N97" s="62"/>
      <c r="O97" s="60"/>
      <c r="P97" s="23"/>
      <c r="Q97" s="14"/>
      <c r="R97" s="14"/>
    </row>
    <row r="98" spans="1:18" s="1" customFormat="1">
      <c r="B98" s="66"/>
      <c r="C98" s="64"/>
      <c r="F98" s="14"/>
      <c r="G98" s="14"/>
      <c r="H98" s="14"/>
      <c r="I98" s="11"/>
      <c r="J98" s="14"/>
      <c r="K98" s="76"/>
      <c r="L98" s="15"/>
      <c r="M98" s="14"/>
      <c r="N98" s="62"/>
      <c r="O98" s="60"/>
      <c r="P98" s="23"/>
      <c r="Q98" s="14"/>
      <c r="R98" s="14"/>
    </row>
    <row r="99" spans="1:18" s="1" customFormat="1">
      <c r="A99" s="62" t="s">
        <v>2353</v>
      </c>
      <c r="B99" s="66" t="s">
        <v>2354</v>
      </c>
      <c r="C99" s="64" t="s">
        <v>494</v>
      </c>
      <c r="D99" s="62"/>
      <c r="E99" s="62" t="s">
        <v>476</v>
      </c>
      <c r="F99" s="14">
        <v>19</v>
      </c>
      <c r="G99" s="14">
        <v>1916</v>
      </c>
      <c r="H99" s="47" t="s">
        <v>2360</v>
      </c>
      <c r="I99" s="48" t="s">
        <v>2361</v>
      </c>
      <c r="J99" s="14">
        <v>1902</v>
      </c>
      <c r="K99" s="57">
        <v>1</v>
      </c>
      <c r="L99" s="15">
        <v>6</v>
      </c>
      <c r="M99" s="14"/>
      <c r="N99" s="62"/>
      <c r="O99" s="60"/>
      <c r="P99" s="23"/>
      <c r="Q99" s="14"/>
      <c r="R99" s="14"/>
    </row>
    <row r="100" spans="1:18" s="1" customFormat="1">
      <c r="B100" s="66" t="s">
        <v>2355</v>
      </c>
      <c r="C100" s="64" t="s">
        <v>494</v>
      </c>
      <c r="F100" s="14"/>
      <c r="G100" s="14"/>
      <c r="H100" s="14"/>
      <c r="I100" s="11"/>
      <c r="J100" s="14"/>
      <c r="K100" s="76">
        <v>2</v>
      </c>
      <c r="L100" s="15">
        <v>6</v>
      </c>
      <c r="M100" s="14"/>
      <c r="N100" s="62"/>
      <c r="O100" s="60"/>
      <c r="P100" s="23"/>
      <c r="Q100" s="14"/>
      <c r="R100" s="14"/>
    </row>
    <row r="101" spans="1:18" s="1" customFormat="1" ht="15" customHeight="1">
      <c r="B101" s="66" t="s">
        <v>2356</v>
      </c>
      <c r="C101" s="64" t="s">
        <v>494</v>
      </c>
      <c r="F101" s="14"/>
      <c r="G101" s="14"/>
      <c r="H101" s="14"/>
      <c r="I101" s="11"/>
      <c r="J101" s="14"/>
      <c r="K101" s="57">
        <v>3</v>
      </c>
      <c r="L101" s="15">
        <v>3</v>
      </c>
      <c r="M101" s="14">
        <v>3</v>
      </c>
      <c r="N101" s="62" t="s">
        <v>2357</v>
      </c>
      <c r="O101" s="66" t="s">
        <v>2358</v>
      </c>
      <c r="P101" s="66" t="s">
        <v>2359</v>
      </c>
      <c r="Q101" s="14"/>
      <c r="R101" s="14"/>
    </row>
    <row r="102" spans="1:18" s="1" customFormat="1">
      <c r="B102" s="66" t="s">
        <v>2410</v>
      </c>
      <c r="C102" s="64" t="s">
        <v>493</v>
      </c>
      <c r="D102" s="1">
        <v>1</v>
      </c>
      <c r="F102" s="14"/>
      <c r="G102" s="14"/>
      <c r="H102" s="14"/>
      <c r="I102" s="11"/>
      <c r="J102" s="14"/>
      <c r="K102" s="76">
        <v>4</v>
      </c>
      <c r="L102" s="15">
        <v>3</v>
      </c>
      <c r="M102" s="14"/>
      <c r="N102" s="62"/>
      <c r="O102" s="60"/>
      <c r="P102" s="23"/>
      <c r="Q102" s="14"/>
      <c r="R102" s="14"/>
    </row>
    <row r="103" spans="1:18" s="1" customFormat="1">
      <c r="B103" s="66" t="s">
        <v>2411</v>
      </c>
      <c r="C103" s="64" t="s">
        <v>493</v>
      </c>
      <c r="D103" s="1">
        <v>1</v>
      </c>
      <c r="F103" s="14"/>
      <c r="G103" s="14"/>
      <c r="H103" s="14"/>
      <c r="I103" s="11"/>
      <c r="J103" s="14"/>
      <c r="K103" s="57">
        <v>5</v>
      </c>
      <c r="L103" s="15">
        <v>3</v>
      </c>
      <c r="M103" s="14"/>
      <c r="N103" s="62"/>
      <c r="O103" s="60"/>
      <c r="P103" s="23"/>
      <c r="Q103" s="14"/>
      <c r="R103" s="14"/>
    </row>
    <row r="104" spans="1:18" s="1" customFormat="1">
      <c r="B104" s="66" t="s">
        <v>2412</v>
      </c>
      <c r="C104" s="64" t="s">
        <v>493</v>
      </c>
      <c r="D104" s="1">
        <v>1</v>
      </c>
      <c r="F104" s="14"/>
      <c r="G104" s="14"/>
      <c r="H104" s="14"/>
      <c r="I104" s="11"/>
      <c r="J104" s="14"/>
      <c r="K104" s="76">
        <v>6</v>
      </c>
      <c r="L104" s="15">
        <v>3</v>
      </c>
      <c r="M104" s="14"/>
      <c r="N104" s="62"/>
      <c r="O104" s="60"/>
      <c r="P104" s="23"/>
      <c r="Q104" s="14"/>
      <c r="R104" s="14"/>
    </row>
    <row r="105" spans="1:18" s="1" customFormat="1">
      <c r="B105" s="66" t="s">
        <v>2367</v>
      </c>
      <c r="C105" s="64" t="s">
        <v>494</v>
      </c>
      <c r="F105" s="14"/>
      <c r="G105" s="14"/>
      <c r="H105" s="14"/>
      <c r="I105" s="11"/>
      <c r="J105" s="14"/>
      <c r="K105" s="57">
        <v>7</v>
      </c>
      <c r="L105" s="15">
        <v>3</v>
      </c>
      <c r="M105" s="14">
        <v>3</v>
      </c>
      <c r="N105" s="62" t="s">
        <v>2224</v>
      </c>
      <c r="O105" s="60" t="s">
        <v>2226</v>
      </c>
      <c r="P105" s="60" t="s">
        <v>2228</v>
      </c>
      <c r="Q105" s="14"/>
      <c r="R105" s="14"/>
    </row>
    <row r="106" spans="1:18" s="1" customFormat="1">
      <c r="B106" s="66" t="s">
        <v>2362</v>
      </c>
      <c r="C106" s="64" t="s">
        <v>520</v>
      </c>
      <c r="F106" s="14"/>
      <c r="G106" s="14"/>
      <c r="H106" s="14"/>
      <c r="I106" s="11"/>
      <c r="J106" s="14"/>
      <c r="K106" s="76">
        <v>8</v>
      </c>
      <c r="L106" s="15"/>
      <c r="M106" s="14"/>
      <c r="N106" s="62"/>
      <c r="O106" s="60"/>
      <c r="P106" s="23"/>
      <c r="Q106" s="14"/>
      <c r="R106" s="14"/>
    </row>
    <row r="107" spans="1:18" s="1" customFormat="1">
      <c r="B107" s="66" t="s">
        <v>2363</v>
      </c>
      <c r="C107" s="64" t="s">
        <v>494</v>
      </c>
      <c r="F107" s="14"/>
      <c r="G107" s="14"/>
      <c r="H107" s="14"/>
      <c r="I107" s="11"/>
      <c r="J107" s="14"/>
      <c r="K107" s="57">
        <v>9</v>
      </c>
      <c r="L107" s="15">
        <v>8</v>
      </c>
      <c r="M107" s="14">
        <v>1</v>
      </c>
      <c r="N107" s="62"/>
      <c r="O107" s="60"/>
      <c r="P107" s="23"/>
      <c r="Q107" s="14"/>
      <c r="R107" s="14"/>
    </row>
    <row r="108" spans="1:18" s="1" customFormat="1">
      <c r="B108" s="66" t="s">
        <v>2364</v>
      </c>
      <c r="C108" s="64" t="s">
        <v>493</v>
      </c>
      <c r="D108" s="1">
        <v>10</v>
      </c>
      <c r="F108" s="14"/>
      <c r="G108" s="14"/>
      <c r="H108" s="14"/>
      <c r="I108" s="11"/>
      <c r="J108" s="14"/>
      <c r="K108" s="76">
        <v>10</v>
      </c>
      <c r="L108" s="15">
        <v>7</v>
      </c>
      <c r="M108" s="14"/>
      <c r="N108" s="62"/>
      <c r="O108" s="60"/>
      <c r="P108" s="23"/>
      <c r="Q108" s="14"/>
      <c r="R108" s="14"/>
    </row>
    <row r="109" spans="1:18" s="1" customFormat="1">
      <c r="B109" s="66" t="s">
        <v>2365</v>
      </c>
      <c r="C109" s="64" t="s">
        <v>493</v>
      </c>
      <c r="D109" s="1">
        <v>10</v>
      </c>
      <c r="F109" s="14"/>
      <c r="G109" s="14"/>
      <c r="H109" s="14"/>
      <c r="I109" s="11"/>
      <c r="J109" s="14"/>
      <c r="K109" s="57">
        <v>11</v>
      </c>
      <c r="L109" s="15">
        <v>7</v>
      </c>
      <c r="M109" s="14"/>
      <c r="N109" s="62"/>
      <c r="O109" s="60"/>
      <c r="P109" s="23"/>
      <c r="Q109" s="14"/>
      <c r="R109" s="14"/>
    </row>
    <row r="110" spans="1:18" s="1" customFormat="1">
      <c r="B110" s="66" t="s">
        <v>2366</v>
      </c>
      <c r="C110" s="64" t="s">
        <v>493</v>
      </c>
      <c r="D110" s="1">
        <v>1</v>
      </c>
      <c r="F110" s="14"/>
      <c r="G110" s="14"/>
      <c r="H110" s="14"/>
      <c r="I110" s="11"/>
      <c r="J110" s="14"/>
      <c r="K110" s="76">
        <v>12</v>
      </c>
      <c r="L110" s="15">
        <v>30</v>
      </c>
      <c r="M110" s="14"/>
      <c r="N110" s="62"/>
      <c r="O110" s="60"/>
      <c r="P110" s="23"/>
      <c r="Q110" s="14"/>
      <c r="R110" s="14"/>
    </row>
    <row r="111" spans="1:18" s="1" customFormat="1" ht="16.5" customHeight="1">
      <c r="B111" s="66" t="s">
        <v>2575</v>
      </c>
      <c r="C111" s="64" t="s">
        <v>494</v>
      </c>
      <c r="F111" s="14"/>
      <c r="G111" s="14"/>
      <c r="H111" s="14"/>
      <c r="I111" s="11"/>
      <c r="J111" s="14"/>
      <c r="K111" s="57">
        <v>13</v>
      </c>
      <c r="L111" s="15">
        <v>3</v>
      </c>
      <c r="M111" s="14"/>
      <c r="N111" s="62" t="s">
        <v>2577</v>
      </c>
      <c r="O111" s="66" t="s">
        <v>2578</v>
      </c>
      <c r="P111" s="66" t="s">
        <v>2579</v>
      </c>
      <c r="Q111" s="14"/>
      <c r="R111" s="14"/>
    </row>
    <row r="112" spans="1:18" s="1" customFormat="1">
      <c r="B112" s="66" t="s">
        <v>2576</v>
      </c>
      <c r="C112" s="64" t="s">
        <v>494</v>
      </c>
      <c r="F112" s="14"/>
      <c r="G112" s="14"/>
      <c r="H112" s="14"/>
      <c r="I112" s="11"/>
      <c r="J112" s="14"/>
      <c r="K112" s="76">
        <v>14</v>
      </c>
      <c r="L112" s="15"/>
      <c r="M112" s="14"/>
      <c r="P112" s="23"/>
      <c r="Q112" s="14"/>
      <c r="R112" s="14"/>
    </row>
    <row r="113" spans="1:18" s="1" customFormat="1">
      <c r="B113" s="66" t="s">
        <v>2749</v>
      </c>
      <c r="C113" s="64" t="s">
        <v>493</v>
      </c>
      <c r="D113" s="62">
        <v>1</v>
      </c>
      <c r="F113" s="14"/>
      <c r="G113" s="14"/>
      <c r="H113" s="14"/>
      <c r="I113" s="11"/>
      <c r="J113" s="14"/>
      <c r="K113" s="76">
        <v>15</v>
      </c>
      <c r="L113" s="15">
        <v>3</v>
      </c>
      <c r="M113" s="14"/>
      <c r="P113" s="23"/>
      <c r="Q113" s="14"/>
      <c r="R113" s="14"/>
    </row>
    <row r="114" spans="1:18" s="1" customFormat="1">
      <c r="B114" s="67" t="s">
        <v>2907</v>
      </c>
      <c r="C114" s="64" t="s">
        <v>493</v>
      </c>
      <c r="D114" s="62">
        <v>1</v>
      </c>
      <c r="F114" s="14"/>
      <c r="G114" s="14"/>
      <c r="H114" s="14"/>
      <c r="I114" s="11"/>
      <c r="J114" s="14"/>
      <c r="K114" s="76">
        <v>16</v>
      </c>
      <c r="L114" s="15">
        <v>3</v>
      </c>
      <c r="M114" s="14"/>
      <c r="P114" s="23"/>
      <c r="Q114" s="14"/>
      <c r="R114" s="14"/>
    </row>
    <row r="115" spans="1:18" s="1" customFormat="1">
      <c r="B115" s="66"/>
      <c r="C115" s="64"/>
      <c r="F115" s="14"/>
      <c r="G115" s="14"/>
      <c r="H115" s="14"/>
      <c r="I115" s="11"/>
      <c r="J115" s="14"/>
      <c r="K115" s="76"/>
      <c r="L115" s="15"/>
      <c r="M115" s="14"/>
      <c r="N115" s="62"/>
      <c r="O115" s="60"/>
      <c r="P115" s="23"/>
      <c r="Q115" s="14"/>
      <c r="R115" s="14"/>
    </row>
    <row r="116" spans="1:18" s="1" customFormat="1">
      <c r="A116" s="62" t="s">
        <v>2373</v>
      </c>
      <c r="B116" s="66" t="s">
        <v>2374</v>
      </c>
      <c r="C116" s="64" t="s">
        <v>494</v>
      </c>
      <c r="E116" s="62" t="s">
        <v>476</v>
      </c>
      <c r="F116" s="14">
        <v>19</v>
      </c>
      <c r="G116" s="14">
        <v>1919</v>
      </c>
      <c r="H116" s="47" t="s">
        <v>2384</v>
      </c>
      <c r="I116" s="11"/>
      <c r="J116" s="14">
        <v>1902</v>
      </c>
      <c r="K116" s="76">
        <v>1</v>
      </c>
      <c r="L116" s="15">
        <v>52</v>
      </c>
      <c r="M116" s="14"/>
      <c r="N116" s="62">
        <v>1916</v>
      </c>
      <c r="O116" s="60" t="s">
        <v>2355</v>
      </c>
      <c r="P116" s="23"/>
      <c r="Q116" s="14"/>
      <c r="R116" s="14"/>
    </row>
    <row r="117" spans="1:18" s="1" customFormat="1">
      <c r="B117" s="66" t="s">
        <v>2375</v>
      </c>
      <c r="C117" s="64" t="s">
        <v>494</v>
      </c>
      <c r="E117" s="62" t="s">
        <v>476</v>
      </c>
      <c r="F117" s="14"/>
      <c r="G117" s="14"/>
      <c r="H117" s="14"/>
      <c r="I117" s="11"/>
      <c r="J117" s="14"/>
      <c r="K117" s="76">
        <v>2</v>
      </c>
      <c r="L117" s="15">
        <v>6</v>
      </c>
      <c r="M117" s="14"/>
      <c r="N117" s="62"/>
      <c r="O117" s="60"/>
      <c r="P117" s="23"/>
      <c r="Q117" s="14"/>
      <c r="R117" s="14"/>
    </row>
    <row r="118" spans="1:18" s="1" customFormat="1">
      <c r="B118" s="66" t="s">
        <v>2376</v>
      </c>
      <c r="C118" s="64" t="s">
        <v>494</v>
      </c>
      <c r="F118" s="14"/>
      <c r="G118" s="14"/>
      <c r="H118" s="14"/>
      <c r="I118" s="11"/>
      <c r="J118" s="14"/>
      <c r="K118" s="76">
        <v>3</v>
      </c>
      <c r="L118" s="15">
        <v>6</v>
      </c>
      <c r="M118" s="14"/>
      <c r="N118" s="62"/>
      <c r="O118" s="60"/>
      <c r="P118" s="23"/>
      <c r="Q118" s="14"/>
      <c r="R118" s="14"/>
    </row>
    <row r="119" spans="1:18" s="1" customFormat="1">
      <c r="B119" s="66" t="s">
        <v>2377</v>
      </c>
      <c r="C119" s="64" t="s">
        <v>493</v>
      </c>
      <c r="D119" s="1">
        <v>250</v>
      </c>
      <c r="F119" s="14"/>
      <c r="G119" s="14"/>
      <c r="H119" s="14"/>
      <c r="I119" s="11"/>
      <c r="J119" s="14"/>
      <c r="K119" s="76">
        <v>4</v>
      </c>
      <c r="L119" s="15"/>
      <c r="M119" s="14"/>
      <c r="N119" s="62"/>
      <c r="O119" s="60"/>
      <c r="P119" s="23"/>
      <c r="Q119" s="14"/>
      <c r="R119" s="14"/>
    </row>
    <row r="120" spans="1:18" s="1" customFormat="1">
      <c r="B120" s="66"/>
      <c r="C120" s="64"/>
      <c r="F120" s="14"/>
      <c r="G120" s="14"/>
      <c r="H120" s="14"/>
      <c r="I120" s="11"/>
      <c r="J120" s="14"/>
      <c r="K120" s="76"/>
      <c r="L120" s="15"/>
      <c r="M120" s="14"/>
      <c r="N120" s="62"/>
      <c r="O120" s="60"/>
      <c r="P120" s="23"/>
      <c r="Q120" s="14"/>
      <c r="R120" s="14"/>
    </row>
    <row r="121" spans="1:18" s="1" customFormat="1">
      <c r="A121" s="62" t="s">
        <v>2368</v>
      </c>
      <c r="B121" s="66" t="s">
        <v>2369</v>
      </c>
      <c r="C121" s="64" t="s">
        <v>494</v>
      </c>
      <c r="E121" s="62" t="s">
        <v>476</v>
      </c>
      <c r="F121" s="14">
        <v>19</v>
      </c>
      <c r="G121" s="14">
        <v>1918</v>
      </c>
      <c r="H121" s="47" t="s">
        <v>1228</v>
      </c>
      <c r="I121" s="11"/>
      <c r="J121" s="14">
        <v>1902</v>
      </c>
      <c r="K121" s="76">
        <v>1</v>
      </c>
      <c r="L121" s="15">
        <v>52</v>
      </c>
      <c r="M121" s="14"/>
      <c r="N121" s="62">
        <v>1916</v>
      </c>
      <c r="O121" s="60" t="s">
        <v>2355</v>
      </c>
      <c r="P121" s="23"/>
      <c r="Q121" s="14"/>
      <c r="R121" s="14"/>
    </row>
    <row r="122" spans="1:18" s="1" customFormat="1">
      <c r="B122" s="66" t="s">
        <v>2370</v>
      </c>
      <c r="C122" s="64" t="s">
        <v>494</v>
      </c>
      <c r="E122" s="62" t="s">
        <v>476</v>
      </c>
      <c r="F122" s="14"/>
      <c r="G122" s="14"/>
      <c r="H122" s="14"/>
      <c r="I122" s="11"/>
      <c r="J122" s="14"/>
      <c r="K122" s="76">
        <v>2</v>
      </c>
      <c r="L122" s="15">
        <v>6</v>
      </c>
      <c r="M122" s="14"/>
      <c r="N122" s="62"/>
      <c r="O122" s="60"/>
      <c r="P122" s="23"/>
      <c r="Q122" s="14"/>
      <c r="R122" s="14"/>
    </row>
    <row r="123" spans="1:18" s="1" customFormat="1">
      <c r="B123" s="66" t="s">
        <v>2371</v>
      </c>
      <c r="C123" s="64" t="s">
        <v>494</v>
      </c>
      <c r="F123" s="14"/>
      <c r="G123" s="14"/>
      <c r="H123" s="14"/>
      <c r="I123" s="11"/>
      <c r="J123" s="14"/>
      <c r="K123" s="76">
        <v>3</v>
      </c>
      <c r="L123" s="15">
        <v>6</v>
      </c>
      <c r="M123" s="14"/>
      <c r="N123" s="62"/>
      <c r="O123" s="60"/>
      <c r="P123" s="23"/>
      <c r="Q123" s="14"/>
      <c r="R123" s="14"/>
    </row>
    <row r="124" spans="1:18" s="1" customFormat="1">
      <c r="B124" s="66" t="s">
        <v>2372</v>
      </c>
      <c r="C124" s="64" t="s">
        <v>494</v>
      </c>
      <c r="F124" s="14"/>
      <c r="G124" s="14"/>
      <c r="H124" s="14"/>
      <c r="I124" s="11"/>
      <c r="J124" s="14"/>
      <c r="K124" s="76">
        <v>4</v>
      </c>
      <c r="L124" s="15">
        <v>3</v>
      </c>
      <c r="M124" s="14"/>
      <c r="N124" s="62" t="s">
        <v>2373</v>
      </c>
      <c r="O124" s="66" t="s">
        <v>2376</v>
      </c>
      <c r="P124" s="66" t="s">
        <v>2377</v>
      </c>
      <c r="Q124" s="14"/>
      <c r="R124" s="14"/>
    </row>
    <row r="125" spans="1:18" s="1" customFormat="1">
      <c r="B125" s="66" t="s">
        <v>2378</v>
      </c>
      <c r="C125" s="64" t="s">
        <v>520</v>
      </c>
      <c r="F125" s="14"/>
      <c r="G125" s="14"/>
      <c r="H125" s="14"/>
      <c r="I125" s="11"/>
      <c r="J125" s="14"/>
      <c r="K125" s="76">
        <v>5</v>
      </c>
      <c r="L125" s="15"/>
      <c r="M125" s="14"/>
      <c r="N125" s="62"/>
      <c r="O125" s="60"/>
      <c r="P125" s="23"/>
      <c r="Q125" s="14"/>
      <c r="R125" s="14"/>
    </row>
    <row r="126" spans="1:18" s="1" customFormat="1">
      <c r="B126" s="66" t="s">
        <v>2383</v>
      </c>
      <c r="C126" s="64" t="s">
        <v>494</v>
      </c>
      <c r="F126" s="14"/>
      <c r="G126" s="14"/>
      <c r="H126" s="14"/>
      <c r="I126" s="11"/>
      <c r="J126" s="14"/>
      <c r="K126" s="76">
        <v>6</v>
      </c>
      <c r="L126" s="15">
        <v>3</v>
      </c>
      <c r="M126" s="14">
        <v>3</v>
      </c>
      <c r="N126" s="62" t="s">
        <v>2379</v>
      </c>
      <c r="O126" s="66" t="s">
        <v>2380</v>
      </c>
      <c r="P126" s="66" t="s">
        <v>2381</v>
      </c>
      <c r="Q126" s="14"/>
      <c r="R126" s="14"/>
    </row>
    <row r="127" spans="1:18" s="1" customFormat="1">
      <c r="B127" s="66" t="s">
        <v>2382</v>
      </c>
      <c r="C127" s="64" t="s">
        <v>493</v>
      </c>
      <c r="D127" s="1">
        <v>1</v>
      </c>
      <c r="F127" s="14"/>
      <c r="G127" s="14"/>
      <c r="H127" s="14"/>
      <c r="I127" s="11"/>
      <c r="J127" s="14"/>
      <c r="K127" s="76">
        <v>7</v>
      </c>
      <c r="L127" s="15">
        <v>3</v>
      </c>
      <c r="M127" s="14"/>
      <c r="P127" s="23"/>
      <c r="Q127" s="14"/>
      <c r="R127" s="14"/>
    </row>
    <row r="128" spans="1:18" s="1" customFormat="1">
      <c r="B128" s="66" t="s">
        <v>2401</v>
      </c>
      <c r="C128" s="64" t="s">
        <v>493</v>
      </c>
      <c r="D128" s="1">
        <v>1</v>
      </c>
      <c r="F128" s="14"/>
      <c r="G128" s="14"/>
      <c r="H128" s="14"/>
      <c r="I128" s="11"/>
      <c r="J128" s="14"/>
      <c r="K128" s="76">
        <v>8</v>
      </c>
      <c r="L128" s="15">
        <v>3</v>
      </c>
      <c r="M128" s="14"/>
      <c r="P128" s="23"/>
      <c r="Q128" s="14"/>
      <c r="R128" s="14"/>
    </row>
    <row r="129" spans="2:18" s="1" customFormat="1">
      <c r="B129" s="66" t="s">
        <v>2395</v>
      </c>
      <c r="C129" s="64" t="s">
        <v>494</v>
      </c>
      <c r="F129" s="14"/>
      <c r="G129" s="14"/>
      <c r="H129" s="14"/>
      <c r="I129" s="11"/>
      <c r="J129" s="14"/>
      <c r="K129" s="76">
        <v>9</v>
      </c>
      <c r="L129" s="15"/>
      <c r="M129" s="14">
        <v>1</v>
      </c>
      <c r="P129" s="23"/>
      <c r="Q129" s="14"/>
      <c r="R129" s="14"/>
    </row>
    <row r="130" spans="2:18" s="1" customFormat="1">
      <c r="B130" s="66" t="s">
        <v>2396</v>
      </c>
      <c r="C130" s="64" t="s">
        <v>494</v>
      </c>
      <c r="F130" s="14"/>
      <c r="G130" s="14"/>
      <c r="H130" s="14"/>
      <c r="I130" s="11"/>
      <c r="J130" s="14"/>
      <c r="K130" s="76">
        <v>10</v>
      </c>
      <c r="L130" s="15"/>
      <c r="M130" s="14">
        <v>1</v>
      </c>
      <c r="P130" s="23"/>
      <c r="Q130" s="14"/>
      <c r="R130" s="14"/>
    </row>
    <row r="131" spans="2:18" s="1" customFormat="1">
      <c r="B131" s="66" t="s">
        <v>2397</v>
      </c>
      <c r="C131" s="64" t="s">
        <v>494</v>
      </c>
      <c r="F131" s="14"/>
      <c r="G131" s="14"/>
      <c r="H131" s="14"/>
      <c r="I131" s="11"/>
      <c r="J131" s="14"/>
      <c r="K131" s="76">
        <v>11</v>
      </c>
      <c r="L131" s="15"/>
      <c r="M131" s="14">
        <v>1</v>
      </c>
      <c r="P131" s="23"/>
      <c r="Q131" s="14"/>
      <c r="R131" s="14"/>
    </row>
    <row r="132" spans="2:18" s="1" customFormat="1">
      <c r="B132" s="66" t="s">
        <v>2398</v>
      </c>
      <c r="C132" s="64" t="s">
        <v>494</v>
      </c>
      <c r="F132" s="14"/>
      <c r="G132" s="14"/>
      <c r="H132" s="14"/>
      <c r="I132" s="11"/>
      <c r="J132" s="14"/>
      <c r="K132" s="76">
        <v>12</v>
      </c>
      <c r="L132" s="15"/>
      <c r="M132" s="14">
        <v>1</v>
      </c>
      <c r="P132" s="23"/>
      <c r="Q132" s="14"/>
      <c r="R132" s="14"/>
    </row>
    <row r="133" spans="2:18" s="1" customFormat="1">
      <c r="B133" s="66" t="s">
        <v>2399</v>
      </c>
      <c r="C133" s="64" t="s">
        <v>494</v>
      </c>
      <c r="F133" s="14"/>
      <c r="G133" s="14"/>
      <c r="H133" s="14"/>
      <c r="I133" s="11"/>
      <c r="J133" s="14"/>
      <c r="K133" s="76">
        <v>13</v>
      </c>
      <c r="L133" s="15"/>
      <c r="M133" s="14">
        <v>1</v>
      </c>
      <c r="P133" s="23"/>
      <c r="Q133" s="14"/>
      <c r="R133" s="14"/>
    </row>
    <row r="134" spans="2:18" s="1" customFormat="1">
      <c r="B134" s="66" t="s">
        <v>2400</v>
      </c>
      <c r="C134" s="64" t="s">
        <v>494</v>
      </c>
      <c r="F134" s="14"/>
      <c r="G134" s="14"/>
      <c r="H134" s="14"/>
      <c r="I134" s="11"/>
      <c r="J134" s="14"/>
      <c r="K134" s="76">
        <v>14</v>
      </c>
      <c r="L134" s="15"/>
      <c r="M134" s="14">
        <v>1</v>
      </c>
      <c r="P134" s="23"/>
      <c r="Q134" s="14"/>
      <c r="R134" s="14"/>
    </row>
    <row r="135" spans="2:18" s="1" customFormat="1">
      <c r="B135" s="66" t="s">
        <v>2431</v>
      </c>
      <c r="C135" s="64" t="s">
        <v>494</v>
      </c>
      <c r="F135" s="14"/>
      <c r="G135" s="14"/>
      <c r="H135" s="14"/>
      <c r="I135" s="11"/>
      <c r="J135" s="14"/>
      <c r="K135" s="76">
        <v>15</v>
      </c>
      <c r="L135" s="15"/>
      <c r="M135" s="14">
        <v>1</v>
      </c>
      <c r="P135" s="23"/>
      <c r="Q135" s="14"/>
      <c r="R135" s="14"/>
    </row>
    <row r="136" spans="2:18" s="1" customFormat="1">
      <c r="B136" s="66" t="s">
        <v>2432</v>
      </c>
      <c r="C136" s="64" t="s">
        <v>494</v>
      </c>
      <c r="F136" s="14"/>
      <c r="G136" s="14"/>
      <c r="H136" s="14"/>
      <c r="I136" s="11"/>
      <c r="J136" s="14"/>
      <c r="K136" s="76">
        <v>16</v>
      </c>
      <c r="L136" s="15"/>
      <c r="M136" s="14">
        <v>1</v>
      </c>
      <c r="P136" s="23"/>
      <c r="Q136" s="14"/>
      <c r="R136" s="14"/>
    </row>
    <row r="137" spans="2:18" s="1" customFormat="1">
      <c r="B137" s="66" t="s">
        <v>2433</v>
      </c>
      <c r="C137" s="64" t="s">
        <v>494</v>
      </c>
      <c r="F137" s="14"/>
      <c r="G137" s="14"/>
      <c r="H137" s="14"/>
      <c r="I137" s="11"/>
      <c r="J137" s="14"/>
      <c r="K137" s="76">
        <v>17</v>
      </c>
      <c r="L137" s="15"/>
      <c r="M137" s="14">
        <v>1</v>
      </c>
      <c r="P137" s="23"/>
      <c r="Q137" s="14"/>
      <c r="R137" s="14"/>
    </row>
    <row r="138" spans="2:18" s="1" customFormat="1">
      <c r="B138" s="66" t="s">
        <v>2434</v>
      </c>
      <c r="C138" s="64" t="s">
        <v>494</v>
      </c>
      <c r="F138" s="14"/>
      <c r="G138" s="14"/>
      <c r="H138" s="14"/>
      <c r="I138" s="11"/>
      <c r="J138" s="14"/>
      <c r="K138" s="76">
        <v>18</v>
      </c>
      <c r="L138" s="15"/>
      <c r="M138" s="14">
        <v>1</v>
      </c>
      <c r="P138" s="23"/>
      <c r="Q138" s="14"/>
      <c r="R138" s="14"/>
    </row>
    <row r="139" spans="2:18" s="1" customFormat="1">
      <c r="B139" s="66" t="s">
        <v>2592</v>
      </c>
      <c r="C139" s="64" t="s">
        <v>494</v>
      </c>
      <c r="F139" s="14"/>
      <c r="G139" s="14"/>
      <c r="H139" s="14"/>
      <c r="I139" s="11"/>
      <c r="J139" s="14"/>
      <c r="K139" s="76">
        <v>19</v>
      </c>
      <c r="L139" s="15"/>
      <c r="M139" s="14"/>
      <c r="P139" s="23"/>
      <c r="Q139" s="14"/>
      <c r="R139" s="14"/>
    </row>
    <row r="140" spans="2:18" s="1" customFormat="1">
      <c r="B140" s="67" t="s">
        <v>2603</v>
      </c>
      <c r="C140" s="64" t="s">
        <v>493</v>
      </c>
      <c r="D140" s="1">
        <v>1</v>
      </c>
      <c r="F140" s="14"/>
      <c r="G140" s="14"/>
      <c r="H140" s="14"/>
      <c r="I140" s="11"/>
      <c r="J140" s="14"/>
      <c r="K140" s="76">
        <v>20</v>
      </c>
      <c r="L140" s="15">
        <v>3</v>
      </c>
      <c r="M140" s="14"/>
      <c r="P140" s="23"/>
      <c r="Q140" s="14"/>
      <c r="R140" s="14"/>
    </row>
    <row r="141" spans="2:18" s="1" customFormat="1">
      <c r="B141" s="67" t="s">
        <v>2604</v>
      </c>
      <c r="C141" s="64" t="s">
        <v>494</v>
      </c>
      <c r="F141" s="14"/>
      <c r="G141" s="14"/>
      <c r="H141" s="14"/>
      <c r="I141" s="11"/>
      <c r="J141" s="14"/>
      <c r="K141" s="76">
        <v>21</v>
      </c>
      <c r="L141" s="15"/>
      <c r="M141" s="14">
        <v>1</v>
      </c>
      <c r="P141" s="23"/>
      <c r="Q141" s="14"/>
      <c r="R141" s="14"/>
    </row>
    <row r="142" spans="2:18" s="1" customFormat="1">
      <c r="B142" s="67" t="s">
        <v>2605</v>
      </c>
      <c r="C142" s="64" t="s">
        <v>494</v>
      </c>
      <c r="F142" s="14"/>
      <c r="G142" s="14"/>
      <c r="H142" s="14"/>
      <c r="I142" s="11"/>
      <c r="J142" s="14"/>
      <c r="K142" s="76">
        <v>22</v>
      </c>
      <c r="L142" s="15">
        <v>3</v>
      </c>
      <c r="M142" s="14"/>
      <c r="N142" s="1" t="s">
        <v>2368</v>
      </c>
      <c r="O142" s="66" t="s">
        <v>2371</v>
      </c>
      <c r="P142" s="66" t="s">
        <v>2370</v>
      </c>
      <c r="Q142" s="14"/>
      <c r="R142" s="14"/>
    </row>
    <row r="143" spans="2:18" s="1" customFormat="1">
      <c r="B143" s="67" t="s">
        <v>2606</v>
      </c>
      <c r="C143" s="64" t="s">
        <v>494</v>
      </c>
      <c r="F143" s="14"/>
      <c r="G143" s="14"/>
      <c r="H143" s="14"/>
      <c r="I143" s="11"/>
      <c r="J143" s="14"/>
      <c r="K143" s="76">
        <v>23</v>
      </c>
      <c r="L143" s="15">
        <v>3</v>
      </c>
      <c r="M143" s="14">
        <v>31</v>
      </c>
      <c r="N143" s="62" t="s">
        <v>2585</v>
      </c>
      <c r="O143" s="66" t="s">
        <v>2595</v>
      </c>
      <c r="P143" s="66" t="s">
        <v>2596</v>
      </c>
      <c r="Q143" s="66" t="s">
        <v>2593</v>
      </c>
      <c r="R143" s="14">
        <v>22</v>
      </c>
    </row>
    <row r="144" spans="2:18" s="1" customFormat="1">
      <c r="B144" s="67" t="s">
        <v>4125</v>
      </c>
      <c r="C144" s="64" t="s">
        <v>493</v>
      </c>
      <c r="D144" s="1">
        <v>250</v>
      </c>
      <c r="F144" s="14"/>
      <c r="G144" s="14"/>
      <c r="H144" s="14"/>
      <c r="I144" s="11"/>
      <c r="J144" s="14"/>
      <c r="K144" s="76">
        <v>24</v>
      </c>
      <c r="L144" s="15"/>
      <c r="M144" s="14"/>
      <c r="N144" s="62"/>
      <c r="O144" s="66"/>
      <c r="P144" s="66"/>
      <c r="Q144" s="66"/>
      <c r="R144" s="14"/>
    </row>
    <row r="145" spans="1:18" s="1" customFormat="1">
      <c r="B145" s="66"/>
      <c r="C145" s="64"/>
      <c r="F145" s="14"/>
      <c r="G145" s="14"/>
      <c r="H145" s="14"/>
      <c r="I145" s="11"/>
      <c r="J145" s="14"/>
      <c r="K145" s="76"/>
      <c r="L145" s="15"/>
      <c r="M145" s="14"/>
      <c r="N145" s="62"/>
      <c r="P145" s="23"/>
      <c r="Q145" s="14"/>
      <c r="R145" s="14"/>
    </row>
    <row r="146" spans="1:18" s="1" customFormat="1">
      <c r="A146" s="70" t="s">
        <v>2385</v>
      </c>
      <c r="B146" s="67" t="s">
        <v>2403</v>
      </c>
      <c r="C146" s="70" t="s">
        <v>494</v>
      </c>
      <c r="D146" s="39"/>
      <c r="E146" s="62" t="s">
        <v>476</v>
      </c>
      <c r="F146" s="14">
        <v>19</v>
      </c>
      <c r="G146" s="14">
        <v>1921</v>
      </c>
      <c r="H146" s="47" t="s">
        <v>2413</v>
      </c>
      <c r="I146" s="48"/>
      <c r="J146" s="14">
        <v>1902</v>
      </c>
      <c r="K146" s="76">
        <v>1</v>
      </c>
      <c r="L146" s="15">
        <v>52</v>
      </c>
      <c r="M146" s="14"/>
      <c r="N146" s="62">
        <v>1916</v>
      </c>
      <c r="O146" s="60" t="s">
        <v>2355</v>
      </c>
      <c r="P146" s="23"/>
      <c r="Q146" s="14"/>
      <c r="R146" s="14"/>
    </row>
    <row r="147" spans="1:18" s="1" customFormat="1">
      <c r="A147" s="39"/>
      <c r="B147" s="67" t="s">
        <v>2404</v>
      </c>
      <c r="C147" s="70" t="s">
        <v>494</v>
      </c>
      <c r="D147" s="39"/>
      <c r="E147" s="62" t="s">
        <v>476</v>
      </c>
      <c r="F147" s="14"/>
      <c r="G147" s="14"/>
      <c r="H147" s="14"/>
      <c r="I147" s="11"/>
      <c r="J147" s="14"/>
      <c r="K147" s="76">
        <v>2</v>
      </c>
      <c r="L147" s="15">
        <v>8</v>
      </c>
      <c r="M147" s="14"/>
      <c r="N147" s="62"/>
      <c r="O147" s="60"/>
      <c r="P147" s="23"/>
      <c r="Q147" s="14"/>
      <c r="R147" s="14"/>
    </row>
    <row r="148" spans="1:18" s="1" customFormat="1">
      <c r="A148" s="39"/>
      <c r="B148" s="67" t="s">
        <v>2405</v>
      </c>
      <c r="C148" s="70" t="s">
        <v>494</v>
      </c>
      <c r="D148" s="39"/>
      <c r="E148" s="62" t="s">
        <v>476</v>
      </c>
      <c r="F148" s="14"/>
      <c r="G148" s="14"/>
      <c r="H148" s="14"/>
      <c r="I148" s="11"/>
      <c r="J148" s="14"/>
      <c r="K148" s="76">
        <v>3</v>
      </c>
      <c r="L148" s="62">
        <v>3</v>
      </c>
      <c r="M148" s="62"/>
      <c r="N148" s="64" t="s">
        <v>506</v>
      </c>
      <c r="O148" s="64" t="s">
        <v>514</v>
      </c>
      <c r="P148" s="1" t="s">
        <v>515</v>
      </c>
      <c r="Q148" s="14"/>
      <c r="R148" s="14"/>
    </row>
    <row r="149" spans="1:18" s="1" customFormat="1">
      <c r="A149" s="39"/>
      <c r="B149" s="67" t="s">
        <v>2406</v>
      </c>
      <c r="C149" s="70" t="s">
        <v>494</v>
      </c>
      <c r="D149" s="39"/>
      <c r="E149" s="62" t="s">
        <v>476</v>
      </c>
      <c r="F149" s="14"/>
      <c r="G149" s="14"/>
      <c r="H149" s="14"/>
      <c r="I149" s="11"/>
      <c r="J149" s="14"/>
      <c r="K149" s="76">
        <v>4</v>
      </c>
      <c r="L149" s="62">
        <v>9</v>
      </c>
      <c r="M149" s="62"/>
      <c r="N149" s="62" t="s">
        <v>1038</v>
      </c>
      <c r="O149" s="23" t="s">
        <v>1040</v>
      </c>
      <c r="P149" s="60" t="s">
        <v>1041</v>
      </c>
      <c r="Q149" s="23" t="s">
        <v>1040</v>
      </c>
      <c r="R149" s="14">
        <v>140</v>
      </c>
    </row>
    <row r="150" spans="1:18" s="1" customFormat="1">
      <c r="A150" s="39"/>
      <c r="B150" s="67" t="s">
        <v>2407</v>
      </c>
      <c r="C150" s="70" t="s">
        <v>494</v>
      </c>
      <c r="D150" s="39"/>
      <c r="E150" s="62" t="s">
        <v>476</v>
      </c>
      <c r="F150" s="14"/>
      <c r="G150" s="14"/>
      <c r="H150" s="14"/>
      <c r="I150" s="11"/>
      <c r="J150" s="14"/>
      <c r="K150" s="76">
        <v>5</v>
      </c>
      <c r="L150" s="15">
        <v>3</v>
      </c>
      <c r="M150" s="14"/>
      <c r="N150" s="62" t="s">
        <v>2224</v>
      </c>
      <c r="O150" s="60" t="s">
        <v>2226</v>
      </c>
      <c r="P150" s="60" t="s">
        <v>2228</v>
      </c>
      <c r="Q150" s="14"/>
      <c r="R150" s="14"/>
    </row>
    <row r="151" spans="1:18" s="1" customFormat="1">
      <c r="A151" s="39"/>
      <c r="B151" s="67" t="s">
        <v>2402</v>
      </c>
      <c r="C151" s="70" t="s">
        <v>494</v>
      </c>
      <c r="D151" s="39"/>
      <c r="F151" s="14"/>
      <c r="G151" s="14"/>
      <c r="H151" s="14"/>
      <c r="I151" s="11"/>
      <c r="J151" s="14"/>
      <c r="K151" s="76">
        <v>6</v>
      </c>
      <c r="L151" s="15">
        <v>6</v>
      </c>
      <c r="M151" s="14"/>
      <c r="N151" s="62"/>
      <c r="O151" s="60"/>
      <c r="P151" s="23"/>
      <c r="Q151" s="14"/>
      <c r="R151" s="14"/>
    </row>
    <row r="152" spans="1:18" s="1" customFormat="1">
      <c r="A152" s="39"/>
      <c r="B152" s="67" t="s">
        <v>2408</v>
      </c>
      <c r="C152" s="70" t="s">
        <v>493</v>
      </c>
      <c r="D152" s="39">
        <v>10</v>
      </c>
      <c r="F152" s="14"/>
      <c r="G152" s="14"/>
      <c r="H152" s="14"/>
      <c r="I152" s="11"/>
      <c r="J152" s="14"/>
      <c r="K152" s="76">
        <v>7</v>
      </c>
      <c r="L152" s="15">
        <v>7</v>
      </c>
      <c r="M152" s="14"/>
      <c r="N152" s="62"/>
      <c r="O152" s="60"/>
      <c r="P152" s="23"/>
      <c r="Q152" s="14"/>
      <c r="R152" s="14"/>
    </row>
    <row r="153" spans="1:18" s="1" customFormat="1">
      <c r="A153" s="39"/>
      <c r="B153" s="67" t="s">
        <v>2409</v>
      </c>
      <c r="C153" s="70" t="s">
        <v>493</v>
      </c>
      <c r="D153" s="39">
        <v>1</v>
      </c>
      <c r="F153" s="14"/>
      <c r="G153" s="14"/>
      <c r="H153" s="14"/>
      <c r="I153" s="11"/>
      <c r="J153" s="14"/>
      <c r="K153" s="76">
        <v>8</v>
      </c>
      <c r="L153" s="15">
        <v>3</v>
      </c>
      <c r="M153" s="14"/>
      <c r="N153" s="62"/>
      <c r="O153" s="60"/>
      <c r="P153" s="23"/>
      <c r="Q153" s="14"/>
      <c r="R153" s="14"/>
    </row>
    <row r="154" spans="1:18" s="1" customFormat="1">
      <c r="B154" s="66"/>
      <c r="C154" s="64"/>
      <c r="F154" s="14"/>
      <c r="G154" s="14"/>
      <c r="H154" s="14"/>
      <c r="I154" s="11"/>
      <c r="J154" s="14"/>
      <c r="K154" s="76"/>
      <c r="L154" s="15"/>
      <c r="M154" s="14"/>
      <c r="N154" s="62"/>
      <c r="O154" s="60"/>
      <c r="P154" s="23"/>
      <c r="Q154" s="14"/>
      <c r="R154" s="14"/>
    </row>
    <row r="155" spans="1:18" s="1" customFormat="1">
      <c r="A155" s="62" t="s">
        <v>2535</v>
      </c>
      <c r="B155" s="66" t="s">
        <v>2536</v>
      </c>
      <c r="C155" s="64" t="s">
        <v>494</v>
      </c>
      <c r="E155" s="62" t="s">
        <v>476</v>
      </c>
      <c r="F155" s="14">
        <v>19</v>
      </c>
      <c r="G155" s="14">
        <v>1924</v>
      </c>
      <c r="H155" s="47" t="s">
        <v>2541</v>
      </c>
      <c r="I155" s="11"/>
      <c r="J155" s="14">
        <v>1902</v>
      </c>
      <c r="K155" s="57">
        <v>1</v>
      </c>
      <c r="L155" s="15">
        <v>52</v>
      </c>
      <c r="M155" s="14"/>
      <c r="N155" s="47">
        <v>1916</v>
      </c>
      <c r="O155" s="60" t="s">
        <v>2355</v>
      </c>
      <c r="P155" s="23"/>
      <c r="Q155" s="14"/>
      <c r="R155" s="14"/>
    </row>
    <row r="156" spans="1:18" s="1" customFormat="1">
      <c r="B156" s="66" t="s">
        <v>2537</v>
      </c>
      <c r="C156" s="64" t="s">
        <v>494</v>
      </c>
      <c r="E156" s="62" t="s">
        <v>476</v>
      </c>
      <c r="F156" s="14"/>
      <c r="G156" s="14"/>
      <c r="H156" s="14"/>
      <c r="I156" s="11"/>
      <c r="J156" s="14"/>
      <c r="K156" s="76">
        <v>2</v>
      </c>
      <c r="L156" s="15">
        <v>3</v>
      </c>
      <c r="M156" s="14"/>
      <c r="N156" s="64" t="s">
        <v>506</v>
      </c>
      <c r="O156" s="64" t="s">
        <v>514</v>
      </c>
      <c r="P156" s="62" t="s">
        <v>515</v>
      </c>
      <c r="Q156" s="14">
        <v>146</v>
      </c>
      <c r="R156" s="14"/>
    </row>
    <row r="157" spans="1:18" s="1" customFormat="1">
      <c r="B157" s="66" t="s">
        <v>2538</v>
      </c>
      <c r="C157" s="64" t="s">
        <v>494</v>
      </c>
      <c r="F157" s="14"/>
      <c r="G157" s="14"/>
      <c r="H157" s="14"/>
      <c r="I157" s="11"/>
      <c r="J157" s="14"/>
      <c r="K157" s="76">
        <v>3</v>
      </c>
      <c r="L157" s="15">
        <v>6</v>
      </c>
      <c r="M157" s="14"/>
      <c r="N157" s="62"/>
      <c r="O157" s="60"/>
      <c r="P157" s="23"/>
      <c r="Q157" s="14"/>
      <c r="R157" s="14"/>
    </row>
    <row r="158" spans="1:18" s="1" customFormat="1">
      <c r="B158" s="66" t="s">
        <v>2539</v>
      </c>
      <c r="C158" s="64" t="s">
        <v>493</v>
      </c>
      <c r="D158" s="1">
        <v>10</v>
      </c>
      <c r="F158" s="14"/>
      <c r="G158" s="14"/>
      <c r="H158" s="14"/>
      <c r="I158" s="11"/>
      <c r="J158" s="14"/>
      <c r="K158" s="76">
        <v>4</v>
      </c>
      <c r="L158" s="15">
        <v>7</v>
      </c>
      <c r="M158" s="14"/>
      <c r="N158" s="62"/>
      <c r="O158" s="60"/>
      <c r="P158" s="23"/>
      <c r="Q158" s="14"/>
      <c r="R158" s="14"/>
    </row>
    <row r="159" spans="1:18" s="1" customFormat="1">
      <c r="B159" s="66" t="s">
        <v>2540</v>
      </c>
      <c r="C159" s="64" t="s">
        <v>493</v>
      </c>
      <c r="D159" s="1">
        <v>10</v>
      </c>
      <c r="F159" s="14"/>
      <c r="G159" s="14"/>
      <c r="H159" s="14"/>
      <c r="I159" s="11"/>
      <c r="J159" s="14"/>
      <c r="K159" s="76">
        <v>5</v>
      </c>
      <c r="L159" s="15">
        <v>7</v>
      </c>
      <c r="M159" s="14"/>
      <c r="N159" s="62"/>
      <c r="O159" s="60"/>
      <c r="P159" s="23"/>
      <c r="Q159" s="14"/>
      <c r="R159" s="14"/>
    </row>
    <row r="160" spans="1:18" s="1" customFormat="1">
      <c r="B160" s="66"/>
      <c r="C160" s="64"/>
      <c r="F160" s="14"/>
      <c r="G160" s="14"/>
      <c r="H160" s="14"/>
      <c r="I160" s="11"/>
      <c r="J160" s="14"/>
      <c r="K160" s="76"/>
      <c r="L160" s="15"/>
      <c r="M160" s="14"/>
      <c r="N160" s="62"/>
      <c r="O160" s="60"/>
      <c r="P160" s="23"/>
      <c r="Q160" s="14"/>
      <c r="R160" s="14"/>
    </row>
    <row r="161" spans="1:18" s="1" customFormat="1">
      <c r="A161" s="62" t="s">
        <v>2542</v>
      </c>
      <c r="B161" s="66" t="s">
        <v>2543</v>
      </c>
      <c r="C161" s="64" t="s">
        <v>494</v>
      </c>
      <c r="E161" s="62" t="s">
        <v>476</v>
      </c>
      <c r="F161" s="14">
        <v>19</v>
      </c>
      <c r="G161" s="14">
        <v>1925</v>
      </c>
      <c r="H161" s="47" t="s">
        <v>2547</v>
      </c>
      <c r="I161" s="11"/>
      <c r="J161" s="14">
        <v>1902</v>
      </c>
      <c r="K161" s="57">
        <v>1</v>
      </c>
      <c r="L161" s="15">
        <v>52</v>
      </c>
      <c r="M161" s="14"/>
      <c r="N161" s="47">
        <v>1916</v>
      </c>
      <c r="O161" s="60" t="s">
        <v>2355</v>
      </c>
      <c r="P161" s="23"/>
      <c r="Q161" s="14"/>
      <c r="R161" s="14"/>
    </row>
    <row r="162" spans="1:18" s="1" customFormat="1">
      <c r="B162" s="66" t="s">
        <v>2544</v>
      </c>
      <c r="C162" s="64" t="s">
        <v>494</v>
      </c>
      <c r="E162" s="62" t="s">
        <v>476</v>
      </c>
      <c r="F162" s="14"/>
      <c r="G162" s="14"/>
      <c r="H162" s="14"/>
      <c r="I162" s="11"/>
      <c r="J162" s="14"/>
      <c r="K162" s="76">
        <v>2</v>
      </c>
      <c r="L162" s="15">
        <v>9</v>
      </c>
      <c r="M162" s="14"/>
      <c r="N162" s="62" t="s">
        <v>1038</v>
      </c>
      <c r="O162" s="23" t="s">
        <v>1040</v>
      </c>
      <c r="P162" s="60" t="s">
        <v>1041</v>
      </c>
      <c r="Q162" s="23" t="s">
        <v>1040</v>
      </c>
      <c r="R162" s="14">
        <v>140</v>
      </c>
    </row>
    <row r="163" spans="1:18" s="1" customFormat="1">
      <c r="B163" s="66" t="s">
        <v>2545</v>
      </c>
      <c r="C163" s="64" t="s">
        <v>494</v>
      </c>
      <c r="F163" s="14"/>
      <c r="G163" s="14"/>
      <c r="H163" s="14"/>
      <c r="I163" s="11"/>
      <c r="J163" s="14"/>
      <c r="K163" s="76">
        <v>3</v>
      </c>
      <c r="L163" s="15">
        <v>6</v>
      </c>
      <c r="M163" s="14"/>
      <c r="N163" s="62"/>
      <c r="O163" s="60"/>
      <c r="P163" s="23"/>
      <c r="Q163" s="14"/>
      <c r="R163" s="14"/>
    </row>
    <row r="164" spans="1:18" s="1" customFormat="1">
      <c r="B164" s="66" t="s">
        <v>2546</v>
      </c>
      <c r="C164" s="64" t="s">
        <v>493</v>
      </c>
      <c r="D164" s="1">
        <v>1</v>
      </c>
      <c r="F164" s="14"/>
      <c r="G164" s="14"/>
      <c r="H164" s="14"/>
      <c r="I164" s="11"/>
      <c r="J164" s="14"/>
      <c r="K164" s="76">
        <v>4</v>
      </c>
      <c r="L164" s="15">
        <v>3</v>
      </c>
      <c r="M164" s="14"/>
      <c r="N164" s="62"/>
      <c r="O164" s="60"/>
      <c r="P164" s="23"/>
      <c r="Q164" s="14"/>
      <c r="R164" s="14"/>
    </row>
    <row r="165" spans="1:18" s="1" customFormat="1">
      <c r="B165" s="66"/>
      <c r="C165" s="64"/>
      <c r="F165" s="14"/>
      <c r="G165" s="14"/>
      <c r="H165" s="14"/>
      <c r="I165" s="11"/>
      <c r="J165" s="14"/>
      <c r="K165" s="76"/>
      <c r="L165" s="15"/>
      <c r="M165" s="14"/>
      <c r="N165" s="62"/>
      <c r="O165" s="60"/>
      <c r="P165" s="23"/>
      <c r="Q165" s="14"/>
      <c r="R165" s="14"/>
    </row>
    <row r="166" spans="1:18" s="1" customFormat="1">
      <c r="A166" s="62" t="s">
        <v>2743</v>
      </c>
      <c r="B166" s="66" t="s">
        <v>2744</v>
      </c>
      <c r="C166" s="64" t="s">
        <v>494</v>
      </c>
      <c r="E166" s="62" t="s">
        <v>476</v>
      </c>
      <c r="F166" s="14">
        <v>19</v>
      </c>
      <c r="G166" s="14">
        <v>1932</v>
      </c>
      <c r="H166" s="47" t="s">
        <v>2748</v>
      </c>
      <c r="I166" s="11"/>
      <c r="J166" s="14">
        <v>1902</v>
      </c>
      <c r="K166" s="76">
        <v>1</v>
      </c>
      <c r="L166" s="15">
        <v>52</v>
      </c>
      <c r="M166" s="14"/>
      <c r="N166" s="47">
        <v>1916</v>
      </c>
      <c r="O166" s="60" t="s">
        <v>2355</v>
      </c>
      <c r="P166" s="23"/>
      <c r="Q166" s="14"/>
      <c r="R166" s="14"/>
    </row>
    <row r="167" spans="1:18" s="1" customFormat="1">
      <c r="B167" s="66" t="s">
        <v>2745</v>
      </c>
      <c r="C167" s="64" t="s">
        <v>494</v>
      </c>
      <c r="E167" s="62" t="s">
        <v>476</v>
      </c>
      <c r="F167" s="14"/>
      <c r="G167" s="14"/>
      <c r="H167" s="14"/>
      <c r="I167" s="11"/>
      <c r="J167" s="14"/>
      <c r="K167" s="76">
        <v>2</v>
      </c>
      <c r="L167" s="15">
        <v>3</v>
      </c>
      <c r="M167" s="14"/>
      <c r="N167" s="64" t="s">
        <v>1814</v>
      </c>
      <c r="O167" s="66" t="s">
        <v>1815</v>
      </c>
      <c r="P167" s="66" t="s">
        <v>1816</v>
      </c>
      <c r="Q167" s="14"/>
      <c r="R167" s="14"/>
    </row>
    <row r="168" spans="1:18" s="1" customFormat="1">
      <c r="B168" s="66" t="s">
        <v>2746</v>
      </c>
      <c r="C168" s="64" t="s">
        <v>494</v>
      </c>
      <c r="F168" s="14"/>
      <c r="G168" s="14"/>
      <c r="H168" s="14"/>
      <c r="I168" s="11"/>
      <c r="J168" s="14"/>
      <c r="K168" s="76">
        <v>3</v>
      </c>
      <c r="L168" s="15">
        <v>6</v>
      </c>
      <c r="M168" s="14"/>
      <c r="N168" s="10"/>
      <c r="P168" s="23"/>
      <c r="Q168" s="14"/>
      <c r="R168" s="14"/>
    </row>
    <row r="169" spans="1:18" s="1" customFormat="1">
      <c r="B169" s="66" t="s">
        <v>2747</v>
      </c>
      <c r="C169" s="64" t="s">
        <v>493</v>
      </c>
      <c r="D169" s="1">
        <v>1</v>
      </c>
      <c r="F169" s="14"/>
      <c r="G169" s="14"/>
      <c r="H169" s="14"/>
      <c r="I169" s="11"/>
      <c r="J169" s="14"/>
      <c r="K169" s="76">
        <v>4</v>
      </c>
      <c r="L169" s="15">
        <v>3</v>
      </c>
      <c r="M169" s="14"/>
      <c r="N169" s="62"/>
      <c r="O169" s="60"/>
      <c r="P169" s="23"/>
      <c r="Q169" s="14"/>
      <c r="R169" s="14"/>
    </row>
    <row r="170" spans="1:18" s="1" customFormat="1">
      <c r="B170" s="66"/>
      <c r="C170" s="64"/>
      <c r="F170" s="14"/>
      <c r="G170" s="14"/>
      <c r="H170" s="14"/>
      <c r="I170" s="11"/>
      <c r="J170" s="14"/>
      <c r="K170" s="76"/>
      <c r="L170" s="15"/>
      <c r="M170" s="14"/>
      <c r="N170" s="62"/>
      <c r="O170" s="60"/>
      <c r="P170" s="23"/>
      <c r="Q170" s="14"/>
      <c r="R170" s="14"/>
    </row>
    <row r="171" spans="1:18" s="1" customFormat="1">
      <c r="A171" s="62" t="s">
        <v>2766</v>
      </c>
      <c r="B171" s="66" t="s">
        <v>2767</v>
      </c>
      <c r="C171" s="64" t="s">
        <v>494</v>
      </c>
      <c r="E171" s="62" t="s">
        <v>476</v>
      </c>
      <c r="F171" s="14">
        <v>19</v>
      </c>
      <c r="G171" s="14">
        <v>1933</v>
      </c>
      <c r="H171" s="47" t="s">
        <v>2772</v>
      </c>
      <c r="I171" s="48" t="s">
        <v>2773</v>
      </c>
      <c r="J171" s="14">
        <v>2</v>
      </c>
      <c r="K171" s="76">
        <v>1</v>
      </c>
      <c r="L171" s="14">
        <v>6</v>
      </c>
      <c r="M171" s="14"/>
      <c r="N171" s="62"/>
      <c r="O171" s="60"/>
      <c r="P171" s="23"/>
      <c r="Q171" s="14"/>
      <c r="R171" s="14"/>
    </row>
    <row r="172" spans="1:18" s="1" customFormat="1">
      <c r="B172" s="66" t="s">
        <v>2768</v>
      </c>
      <c r="C172" s="64" t="s">
        <v>494</v>
      </c>
      <c r="F172" s="14"/>
      <c r="G172" s="14"/>
      <c r="H172" s="14"/>
      <c r="I172" s="11"/>
      <c r="J172" s="14"/>
      <c r="K172" s="76">
        <v>2</v>
      </c>
      <c r="L172" s="14">
        <v>6</v>
      </c>
      <c r="M172" s="14"/>
      <c r="N172" s="62"/>
      <c r="O172" s="60"/>
      <c r="P172" s="23"/>
      <c r="Q172" s="14"/>
      <c r="R172" s="14"/>
    </row>
    <row r="173" spans="1:18" s="1" customFormat="1">
      <c r="B173" s="66" t="s">
        <v>2769</v>
      </c>
      <c r="C173" s="64" t="s">
        <v>493</v>
      </c>
      <c r="D173" s="1">
        <v>50</v>
      </c>
      <c r="F173" s="14"/>
      <c r="G173" s="14"/>
      <c r="H173" s="14"/>
      <c r="I173" s="11"/>
      <c r="J173" s="14"/>
      <c r="K173" s="76">
        <v>3</v>
      </c>
      <c r="L173" s="15"/>
      <c r="M173" s="14"/>
      <c r="N173" s="62"/>
      <c r="O173" s="60"/>
      <c r="P173" s="23"/>
      <c r="Q173" s="14"/>
      <c r="R173" s="14"/>
    </row>
    <row r="174" spans="1:18" s="1" customFormat="1">
      <c r="B174" s="66" t="s">
        <v>2771</v>
      </c>
      <c r="C174" s="64" t="s">
        <v>494</v>
      </c>
      <c r="F174" s="14"/>
      <c r="G174" s="14"/>
      <c r="H174" s="14"/>
      <c r="I174" s="11"/>
      <c r="J174" s="14"/>
      <c r="K174" s="76">
        <v>4</v>
      </c>
      <c r="L174" s="15">
        <v>3</v>
      </c>
      <c r="M174" s="14"/>
      <c r="N174" s="1" t="s">
        <v>551</v>
      </c>
      <c r="O174" s="14" t="s">
        <v>552</v>
      </c>
      <c r="P174" s="14" t="s">
        <v>553</v>
      </c>
      <c r="Q174" s="14"/>
      <c r="R174" s="14"/>
    </row>
    <row r="175" spans="1:18" s="1" customFormat="1">
      <c r="B175" s="66" t="s">
        <v>2770</v>
      </c>
      <c r="C175" s="64" t="s">
        <v>494</v>
      </c>
      <c r="F175" s="14"/>
      <c r="G175" s="14"/>
      <c r="H175" s="14"/>
      <c r="I175" s="11"/>
      <c r="J175" s="14"/>
      <c r="K175" s="76">
        <v>5</v>
      </c>
      <c r="L175" s="15"/>
      <c r="M175" s="14">
        <v>2</v>
      </c>
      <c r="N175" s="62"/>
      <c r="O175" s="60"/>
      <c r="P175" s="23"/>
      <c r="Q175" s="14"/>
      <c r="R175" s="14"/>
    </row>
    <row r="176" spans="1:18" s="1" customFormat="1">
      <c r="B176" s="66"/>
      <c r="C176" s="64"/>
      <c r="F176" s="14"/>
      <c r="G176" s="14"/>
      <c r="H176" s="14"/>
      <c r="I176" s="11"/>
      <c r="J176" s="14"/>
      <c r="K176" s="76"/>
      <c r="L176" s="15"/>
      <c r="M176" s="14"/>
      <c r="N176" s="62"/>
      <c r="O176" s="60"/>
      <c r="P176" s="23"/>
      <c r="Q176" s="14"/>
      <c r="R176" s="14"/>
    </row>
    <row r="177" spans="1:18" s="1" customFormat="1">
      <c r="A177" s="62" t="s">
        <v>2774</v>
      </c>
      <c r="B177" s="66" t="s">
        <v>2775</v>
      </c>
      <c r="C177" s="64" t="s">
        <v>494</v>
      </c>
      <c r="E177" s="62" t="s">
        <v>476</v>
      </c>
      <c r="F177" s="14">
        <v>19</v>
      </c>
      <c r="G177" s="14">
        <v>1934</v>
      </c>
      <c r="H177" s="47" t="s">
        <v>994</v>
      </c>
      <c r="I177" s="48" t="s">
        <v>2782</v>
      </c>
      <c r="J177" s="14">
        <v>1</v>
      </c>
      <c r="K177" s="76">
        <v>1</v>
      </c>
      <c r="L177" s="15">
        <v>3</v>
      </c>
      <c r="M177" s="14"/>
      <c r="N177" s="64" t="s">
        <v>506</v>
      </c>
      <c r="O177" s="64" t="s">
        <v>514</v>
      </c>
      <c r="P177" s="1" t="s">
        <v>515</v>
      </c>
      <c r="Q177" s="14"/>
      <c r="R177" s="14"/>
    </row>
    <row r="178" spans="1:18" s="1" customFormat="1">
      <c r="B178" s="66" t="s">
        <v>2776</v>
      </c>
      <c r="C178" s="64" t="s">
        <v>494</v>
      </c>
      <c r="E178" s="62" t="s">
        <v>476</v>
      </c>
      <c r="F178" s="14"/>
      <c r="G178" s="14"/>
      <c r="H178" s="14"/>
      <c r="I178" s="11"/>
      <c r="J178" s="14"/>
      <c r="K178" s="76">
        <v>2</v>
      </c>
      <c r="L178" s="15">
        <v>9</v>
      </c>
      <c r="M178" s="14"/>
      <c r="N178" s="62" t="s">
        <v>1038</v>
      </c>
      <c r="O178" s="23" t="s">
        <v>1040</v>
      </c>
      <c r="P178" s="23" t="s">
        <v>1041</v>
      </c>
      <c r="Q178" s="23" t="s">
        <v>1040</v>
      </c>
      <c r="R178" s="14">
        <v>140</v>
      </c>
    </row>
    <row r="179" spans="1:18" s="1" customFormat="1">
      <c r="B179" s="66" t="s">
        <v>2780</v>
      </c>
      <c r="C179" s="64" t="s">
        <v>494</v>
      </c>
      <c r="E179" s="62" t="s">
        <v>476</v>
      </c>
      <c r="F179" s="14"/>
      <c r="G179" s="14"/>
      <c r="H179" s="14"/>
      <c r="I179" s="11"/>
      <c r="J179" s="14"/>
      <c r="K179" s="76">
        <v>4</v>
      </c>
      <c r="L179" s="15">
        <v>8</v>
      </c>
      <c r="M179" s="14"/>
      <c r="N179" s="62"/>
      <c r="O179" s="60"/>
      <c r="P179" s="23"/>
      <c r="Q179" s="14"/>
      <c r="R179" s="14"/>
    </row>
    <row r="180" spans="1:18" s="1" customFormat="1">
      <c r="B180" s="66" t="s">
        <v>2777</v>
      </c>
      <c r="C180" s="64" t="s">
        <v>494</v>
      </c>
      <c r="E180" s="62" t="s">
        <v>476</v>
      </c>
      <c r="F180" s="14"/>
      <c r="G180" s="14"/>
      <c r="H180" s="47" t="s">
        <v>2806</v>
      </c>
      <c r="I180" s="11"/>
      <c r="J180" s="14"/>
      <c r="K180" s="76">
        <v>5</v>
      </c>
      <c r="L180" s="15">
        <v>3</v>
      </c>
      <c r="M180" s="14"/>
      <c r="N180" s="62" t="s">
        <v>2766</v>
      </c>
      <c r="O180" s="66" t="s">
        <v>2768</v>
      </c>
      <c r="P180" s="66" t="s">
        <v>2769</v>
      </c>
      <c r="Q180" s="14"/>
      <c r="R180" s="14"/>
    </row>
    <row r="181" spans="1:18" s="1" customFormat="1">
      <c r="B181" s="66" t="s">
        <v>2778</v>
      </c>
      <c r="C181" s="64" t="s">
        <v>494</v>
      </c>
      <c r="F181" s="14"/>
      <c r="G181" s="14"/>
      <c r="H181" s="14"/>
      <c r="I181" s="11"/>
      <c r="J181" s="14"/>
      <c r="K181" s="76">
        <v>6</v>
      </c>
      <c r="L181" s="15">
        <v>6</v>
      </c>
      <c r="M181" s="14"/>
      <c r="N181" s="62"/>
      <c r="O181" s="60"/>
      <c r="P181" s="23"/>
      <c r="Q181" s="14"/>
      <c r="R181" s="14"/>
    </row>
    <row r="182" spans="1:18" s="1" customFormat="1">
      <c r="B182" s="66" t="s">
        <v>2800</v>
      </c>
      <c r="C182" s="64" t="s">
        <v>493</v>
      </c>
      <c r="D182" s="1">
        <v>1</v>
      </c>
      <c r="F182" s="14"/>
      <c r="G182" s="14"/>
      <c r="H182" s="14"/>
      <c r="I182" s="11"/>
      <c r="J182" s="14"/>
      <c r="K182" s="76">
        <v>3</v>
      </c>
      <c r="L182" s="15">
        <v>3</v>
      </c>
      <c r="M182" s="14"/>
      <c r="Q182" s="14"/>
      <c r="R182" s="14"/>
    </row>
    <row r="183" spans="1:18" s="1" customFormat="1">
      <c r="B183" s="66" t="s">
        <v>2779</v>
      </c>
      <c r="C183" s="64" t="s">
        <v>493</v>
      </c>
      <c r="D183" s="1">
        <v>1</v>
      </c>
      <c r="F183" s="14"/>
      <c r="G183" s="14"/>
      <c r="H183" s="14"/>
      <c r="I183" s="11"/>
      <c r="J183" s="14"/>
      <c r="K183" s="76">
        <v>7</v>
      </c>
      <c r="L183" s="15">
        <v>3</v>
      </c>
      <c r="M183" s="14"/>
      <c r="N183" s="62"/>
      <c r="O183" s="60"/>
      <c r="P183" s="23"/>
      <c r="Q183" s="14"/>
      <c r="R183" s="14"/>
    </row>
    <row r="184" spans="1:18" s="1" customFormat="1">
      <c r="B184" s="66" t="s">
        <v>2781</v>
      </c>
      <c r="C184" s="64" t="s">
        <v>520</v>
      </c>
      <c r="F184" s="14"/>
      <c r="G184" s="14"/>
      <c r="H184" s="47" t="s">
        <v>2807</v>
      </c>
      <c r="I184" s="11"/>
      <c r="J184" s="14"/>
      <c r="K184" s="76">
        <v>8</v>
      </c>
      <c r="L184" s="15"/>
      <c r="M184" s="14"/>
      <c r="N184" s="62"/>
      <c r="O184" s="60"/>
      <c r="P184" s="23"/>
      <c r="Q184" s="14"/>
      <c r="R184" s="14"/>
    </row>
    <row r="185" spans="1:18" s="1" customFormat="1">
      <c r="B185" s="66"/>
      <c r="C185" s="64"/>
      <c r="F185" s="14"/>
      <c r="G185" s="14"/>
      <c r="H185" s="14"/>
      <c r="I185" s="11"/>
      <c r="J185" s="14"/>
      <c r="K185" s="76"/>
      <c r="L185" s="15"/>
      <c r="M185" s="14"/>
      <c r="N185" s="62"/>
      <c r="O185" s="60"/>
      <c r="P185" s="23"/>
      <c r="Q185" s="14"/>
      <c r="R185" s="14"/>
    </row>
    <row r="186" spans="1:18" s="1" customFormat="1">
      <c r="A186" s="62" t="s">
        <v>2783</v>
      </c>
      <c r="B186" s="66" t="s">
        <v>2785</v>
      </c>
      <c r="C186" s="64" t="s">
        <v>494</v>
      </c>
      <c r="E186" s="62" t="s">
        <v>476</v>
      </c>
      <c r="F186" s="14">
        <v>19</v>
      </c>
      <c r="G186" s="14">
        <v>1935</v>
      </c>
      <c r="H186" s="47" t="s">
        <v>2798</v>
      </c>
      <c r="I186" s="48" t="s">
        <v>2799</v>
      </c>
      <c r="J186" s="14">
        <v>1903</v>
      </c>
      <c r="K186" s="76">
        <v>1</v>
      </c>
      <c r="L186" s="15">
        <v>6</v>
      </c>
      <c r="M186" s="14"/>
      <c r="N186" s="62"/>
      <c r="O186" s="60"/>
      <c r="P186" s="23"/>
      <c r="Q186" s="14"/>
      <c r="R186" s="14"/>
    </row>
    <row r="187" spans="1:18" s="1" customFormat="1">
      <c r="B187" s="66" t="s">
        <v>2786</v>
      </c>
      <c r="C187" s="64" t="s">
        <v>494</v>
      </c>
      <c r="E187" s="62"/>
      <c r="F187" s="14"/>
      <c r="G187" s="14"/>
      <c r="H187" s="14"/>
      <c r="I187" s="11"/>
      <c r="J187" s="14"/>
      <c r="K187" s="76">
        <v>2</v>
      </c>
      <c r="L187" s="15">
        <v>6</v>
      </c>
      <c r="M187" s="14"/>
      <c r="N187" s="62"/>
      <c r="O187" s="60"/>
      <c r="P187" s="23"/>
      <c r="Q187" s="14"/>
      <c r="R187" s="14"/>
    </row>
    <row r="188" spans="1:18" s="1" customFormat="1">
      <c r="B188" s="66" t="s">
        <v>2784</v>
      </c>
      <c r="C188" s="64" t="s">
        <v>494</v>
      </c>
      <c r="F188" s="14"/>
      <c r="G188" s="14"/>
      <c r="H188" s="14"/>
      <c r="I188" s="11"/>
      <c r="J188" s="14"/>
      <c r="K188" s="76">
        <v>3</v>
      </c>
      <c r="L188" s="15">
        <v>8</v>
      </c>
      <c r="M188" s="14">
        <v>1</v>
      </c>
      <c r="N188" s="62"/>
      <c r="O188" s="60"/>
      <c r="P188" s="23"/>
      <c r="Q188" s="14"/>
      <c r="R188" s="14"/>
    </row>
    <row r="189" spans="1:18" s="1" customFormat="1">
      <c r="B189" s="66" t="s">
        <v>2842</v>
      </c>
      <c r="C189" s="64" t="s">
        <v>494</v>
      </c>
      <c r="E189" s="62"/>
      <c r="F189" s="14"/>
      <c r="G189" s="14"/>
      <c r="H189" s="14"/>
      <c r="I189" s="11"/>
      <c r="J189" s="14"/>
      <c r="K189" s="76">
        <v>4</v>
      </c>
      <c r="L189" s="15">
        <v>9</v>
      </c>
      <c r="M189" s="14">
        <v>3</v>
      </c>
      <c r="N189" s="62" t="s">
        <v>1038</v>
      </c>
      <c r="O189" s="23" t="s">
        <v>1040</v>
      </c>
      <c r="P189" s="23" t="s">
        <v>1041</v>
      </c>
      <c r="Q189" s="23" t="s">
        <v>1040</v>
      </c>
      <c r="R189" s="14">
        <v>140</v>
      </c>
    </row>
    <row r="190" spans="1:18" s="1" customFormat="1">
      <c r="B190" s="66" t="s">
        <v>2794</v>
      </c>
      <c r="C190" s="64" t="s">
        <v>494</v>
      </c>
      <c r="F190" s="14"/>
      <c r="G190" s="14"/>
      <c r="H190" s="14"/>
      <c r="I190" s="11"/>
      <c r="J190" s="14"/>
      <c r="K190" s="76">
        <v>5</v>
      </c>
      <c r="L190" s="15">
        <v>3</v>
      </c>
      <c r="M190" s="14">
        <v>1</v>
      </c>
      <c r="N190" s="62" t="s">
        <v>2795</v>
      </c>
      <c r="O190" s="66" t="s">
        <v>2796</v>
      </c>
      <c r="P190" s="66" t="s">
        <v>2797</v>
      </c>
      <c r="Q190" s="14"/>
      <c r="R190" s="14"/>
    </row>
    <row r="191" spans="1:18" s="1" customFormat="1">
      <c r="B191" s="66" t="s">
        <v>2787</v>
      </c>
      <c r="C191" s="64" t="s">
        <v>493</v>
      </c>
      <c r="D191" s="1">
        <v>10</v>
      </c>
      <c r="F191" s="14"/>
      <c r="G191" s="14"/>
      <c r="H191" s="14"/>
      <c r="I191" s="11"/>
      <c r="J191" s="14"/>
      <c r="K191" s="76">
        <v>6</v>
      </c>
      <c r="L191" s="15">
        <v>7</v>
      </c>
      <c r="M191" s="14"/>
      <c r="N191" s="62"/>
      <c r="O191" s="60"/>
      <c r="P191" s="23"/>
      <c r="Q191" s="14"/>
      <c r="R191" s="14"/>
    </row>
    <row r="192" spans="1:18" s="1" customFormat="1">
      <c r="B192" s="66" t="s">
        <v>2788</v>
      </c>
      <c r="C192" s="64" t="s">
        <v>494</v>
      </c>
      <c r="F192" s="14"/>
      <c r="G192" s="14"/>
      <c r="H192" s="14"/>
      <c r="I192" s="11"/>
      <c r="J192" s="14"/>
      <c r="K192" s="76">
        <v>7</v>
      </c>
      <c r="L192" s="15"/>
      <c r="M192" s="14">
        <v>71</v>
      </c>
      <c r="N192" s="62"/>
      <c r="O192" s="60"/>
      <c r="P192" s="23"/>
      <c r="Q192" s="14"/>
      <c r="R192" s="14"/>
    </row>
    <row r="193" spans="1:18" s="1" customFormat="1">
      <c r="B193" s="66" t="s">
        <v>2790</v>
      </c>
      <c r="C193" s="64" t="s">
        <v>494</v>
      </c>
      <c r="F193" s="14"/>
      <c r="G193" s="14"/>
      <c r="H193" s="14"/>
      <c r="I193" s="11"/>
      <c r="J193" s="14"/>
      <c r="K193" s="76">
        <v>8</v>
      </c>
      <c r="L193" s="15"/>
      <c r="M193" s="14">
        <v>72</v>
      </c>
      <c r="N193" s="62"/>
      <c r="O193" s="60"/>
      <c r="P193" s="23"/>
      <c r="Q193" s="14"/>
      <c r="R193" s="14"/>
    </row>
    <row r="194" spans="1:18" s="1" customFormat="1">
      <c r="B194" s="66" t="s">
        <v>2789</v>
      </c>
      <c r="C194" s="64" t="s">
        <v>494</v>
      </c>
      <c r="F194" s="14"/>
      <c r="G194" s="14"/>
      <c r="H194" s="14"/>
      <c r="I194" s="11"/>
      <c r="J194" s="14"/>
      <c r="K194" s="76">
        <v>9</v>
      </c>
      <c r="L194" s="15"/>
      <c r="M194" s="14">
        <v>71</v>
      </c>
      <c r="N194" s="62"/>
      <c r="O194" s="60"/>
      <c r="P194" s="23"/>
      <c r="Q194" s="14"/>
      <c r="R194" s="14"/>
    </row>
    <row r="195" spans="1:18" s="1" customFormat="1">
      <c r="B195" s="66" t="s">
        <v>2791</v>
      </c>
      <c r="C195" s="64" t="s">
        <v>494</v>
      </c>
      <c r="F195" s="14"/>
      <c r="G195" s="14"/>
      <c r="H195" s="14"/>
      <c r="I195" s="11"/>
      <c r="J195" s="14"/>
      <c r="K195" s="76">
        <v>10</v>
      </c>
      <c r="L195" s="15"/>
      <c r="M195" s="14">
        <v>72</v>
      </c>
      <c r="N195" s="62"/>
      <c r="O195" s="60"/>
      <c r="P195" s="23"/>
      <c r="Q195" s="14"/>
      <c r="R195" s="14"/>
    </row>
    <row r="196" spans="1:18" s="1" customFormat="1">
      <c r="B196" s="66" t="s">
        <v>2792</v>
      </c>
      <c r="C196" s="64" t="s">
        <v>520</v>
      </c>
      <c r="F196" s="14"/>
      <c r="G196" s="14"/>
      <c r="H196" s="14"/>
      <c r="I196" s="11"/>
      <c r="J196" s="14"/>
      <c r="K196" s="76">
        <v>11</v>
      </c>
      <c r="L196" s="15"/>
      <c r="M196" s="14"/>
      <c r="N196" s="62"/>
      <c r="O196" s="60"/>
      <c r="P196" s="23"/>
      <c r="Q196" s="14"/>
      <c r="R196" s="14"/>
    </row>
    <row r="197" spans="1:18" s="1" customFormat="1">
      <c r="B197" s="66" t="s">
        <v>2793</v>
      </c>
      <c r="C197" s="64" t="s">
        <v>520</v>
      </c>
      <c r="F197" s="14"/>
      <c r="G197" s="14"/>
      <c r="H197" s="14"/>
      <c r="I197" s="11"/>
      <c r="J197" s="14"/>
      <c r="K197" s="76">
        <v>12</v>
      </c>
      <c r="L197" s="15"/>
      <c r="M197" s="14"/>
      <c r="N197" s="62"/>
      <c r="O197" s="60"/>
      <c r="P197" s="23"/>
      <c r="Q197" s="14"/>
      <c r="R197" s="14"/>
    </row>
    <row r="198" spans="1:18" s="1" customFormat="1">
      <c r="B198" s="66" t="s">
        <v>2821</v>
      </c>
      <c r="C198" s="64" t="s">
        <v>494</v>
      </c>
      <c r="F198" s="14"/>
      <c r="G198" s="14"/>
      <c r="H198" s="14"/>
      <c r="I198" s="11"/>
      <c r="J198" s="14"/>
      <c r="K198" s="76">
        <v>13</v>
      </c>
      <c r="L198" s="15"/>
      <c r="M198" s="14"/>
      <c r="N198" s="62"/>
      <c r="O198" s="60"/>
      <c r="P198" s="23"/>
      <c r="Q198" s="14"/>
      <c r="R198" s="14"/>
    </row>
    <row r="199" spans="1:18" s="1" customFormat="1" ht="13.5" customHeight="1">
      <c r="B199" s="66" t="s">
        <v>2822</v>
      </c>
      <c r="C199" s="64" t="s">
        <v>494</v>
      </c>
      <c r="F199" s="14"/>
      <c r="G199" s="14"/>
      <c r="H199" s="14"/>
      <c r="I199" s="11"/>
      <c r="J199" s="14"/>
      <c r="K199" s="76">
        <v>14</v>
      </c>
      <c r="L199" s="15"/>
      <c r="M199" s="14"/>
      <c r="N199" s="62"/>
      <c r="O199" s="60"/>
      <c r="P199" s="23"/>
      <c r="Q199" s="14"/>
      <c r="R199" s="14"/>
    </row>
    <row r="200" spans="1:18" s="1" customFormat="1">
      <c r="B200" s="66" t="s">
        <v>2823</v>
      </c>
      <c r="C200" s="64" t="s">
        <v>494</v>
      </c>
      <c r="F200" s="14"/>
      <c r="G200" s="14"/>
      <c r="H200" s="14"/>
      <c r="I200" s="11"/>
      <c r="J200" s="14"/>
      <c r="K200" s="76">
        <v>15</v>
      </c>
      <c r="L200" s="15"/>
      <c r="M200" s="14">
        <v>71</v>
      </c>
      <c r="N200" s="62"/>
      <c r="O200" s="60"/>
      <c r="P200" s="23"/>
      <c r="Q200" s="14"/>
      <c r="R200" s="14"/>
    </row>
    <row r="201" spans="1:18" s="1" customFormat="1">
      <c r="B201" s="66" t="s">
        <v>2824</v>
      </c>
      <c r="C201" s="64" t="s">
        <v>494</v>
      </c>
      <c r="F201" s="14"/>
      <c r="G201" s="14"/>
      <c r="H201" s="14"/>
      <c r="I201" s="11"/>
      <c r="J201" s="14"/>
      <c r="K201" s="76">
        <v>16</v>
      </c>
      <c r="L201" s="15"/>
      <c r="M201" s="14">
        <v>72</v>
      </c>
      <c r="N201" s="62"/>
      <c r="O201" s="60"/>
      <c r="P201" s="23"/>
      <c r="Q201" s="14"/>
      <c r="R201" s="14"/>
    </row>
    <row r="202" spans="1:18" s="1" customFormat="1">
      <c r="B202" s="66" t="s">
        <v>2825</v>
      </c>
      <c r="C202" s="64" t="s">
        <v>494</v>
      </c>
      <c r="F202" s="14"/>
      <c r="G202" s="14"/>
      <c r="H202" s="14"/>
      <c r="I202" s="11"/>
      <c r="J202" s="14"/>
      <c r="K202" s="76">
        <v>17</v>
      </c>
      <c r="L202" s="15"/>
      <c r="M202" s="14">
        <v>71</v>
      </c>
      <c r="N202" s="62"/>
      <c r="O202" s="60"/>
      <c r="P202" s="23"/>
      <c r="Q202" s="14"/>
      <c r="R202" s="14"/>
    </row>
    <row r="203" spans="1:18" s="1" customFormat="1">
      <c r="B203" s="66" t="s">
        <v>2826</v>
      </c>
      <c r="C203" s="64" t="s">
        <v>494</v>
      </c>
      <c r="F203" s="14"/>
      <c r="G203" s="14"/>
      <c r="H203" s="14"/>
      <c r="I203" s="11"/>
      <c r="J203" s="14"/>
      <c r="K203" s="76">
        <v>18</v>
      </c>
      <c r="L203" s="15"/>
      <c r="M203" s="14">
        <v>72</v>
      </c>
      <c r="N203" s="62"/>
      <c r="O203" s="60"/>
      <c r="P203" s="23"/>
      <c r="Q203" s="14"/>
      <c r="R203" s="14"/>
    </row>
    <row r="204" spans="1:18" s="1" customFormat="1">
      <c r="B204" s="66" t="s">
        <v>2837</v>
      </c>
      <c r="C204" s="64" t="s">
        <v>494</v>
      </c>
      <c r="F204" s="14"/>
      <c r="G204" s="14"/>
      <c r="H204" s="14"/>
      <c r="I204" s="11"/>
      <c r="J204" s="14"/>
      <c r="K204" s="76">
        <v>19</v>
      </c>
      <c r="L204" s="15"/>
      <c r="M204" s="14"/>
      <c r="N204" s="62"/>
      <c r="O204" s="60"/>
      <c r="P204" s="23"/>
      <c r="Q204" s="14"/>
      <c r="R204" s="14"/>
    </row>
    <row r="205" spans="1:18" s="1" customFormat="1">
      <c r="B205" s="66"/>
      <c r="C205" s="64"/>
      <c r="F205" s="14"/>
      <c r="G205" s="14"/>
      <c r="H205" s="14"/>
      <c r="I205" s="11"/>
      <c r="J205" s="14"/>
      <c r="K205" s="76"/>
      <c r="L205" s="15"/>
      <c r="M205" s="14"/>
      <c r="N205" s="62"/>
      <c r="O205" s="60"/>
      <c r="P205" s="23"/>
      <c r="Q205" s="14"/>
      <c r="R205" s="14"/>
    </row>
    <row r="206" spans="1:18" s="1" customFormat="1">
      <c r="A206" s="62" t="s">
        <v>2801</v>
      </c>
      <c r="B206" s="66" t="s">
        <v>2843</v>
      </c>
      <c r="C206" s="64" t="s">
        <v>494</v>
      </c>
      <c r="E206" s="62" t="s">
        <v>476</v>
      </c>
      <c r="F206" s="14">
        <v>19</v>
      </c>
      <c r="G206" s="14">
        <v>1937</v>
      </c>
      <c r="H206" s="47" t="s">
        <v>2805</v>
      </c>
      <c r="I206" s="11"/>
      <c r="J206" s="14">
        <v>1903</v>
      </c>
      <c r="K206" s="76">
        <v>1</v>
      </c>
      <c r="L206" s="15">
        <v>52</v>
      </c>
      <c r="M206" s="14"/>
      <c r="N206" s="62">
        <v>1935</v>
      </c>
      <c r="O206" s="60" t="s">
        <v>2786</v>
      </c>
      <c r="P206" s="23"/>
      <c r="Q206" s="14"/>
      <c r="R206" s="14"/>
    </row>
    <row r="207" spans="1:18" s="1" customFormat="1">
      <c r="B207" s="66" t="s">
        <v>2802</v>
      </c>
      <c r="C207" s="64" t="s">
        <v>494</v>
      </c>
      <c r="E207" s="62" t="s">
        <v>476</v>
      </c>
      <c r="F207" s="14"/>
      <c r="G207" s="14"/>
      <c r="H207" s="14"/>
      <c r="I207" s="11"/>
      <c r="J207" s="14"/>
      <c r="K207" s="76">
        <v>2</v>
      </c>
      <c r="L207" s="15">
        <v>3</v>
      </c>
      <c r="M207" s="14"/>
      <c r="N207" s="62" t="s">
        <v>2761</v>
      </c>
      <c r="O207" s="66" t="s">
        <v>2762</v>
      </c>
      <c r="P207" s="66" t="s">
        <v>2763</v>
      </c>
      <c r="Q207" s="14">
        <v>153</v>
      </c>
      <c r="R207" s="14"/>
    </row>
    <row r="208" spans="1:18" s="1" customFormat="1">
      <c r="B208" s="66" t="s">
        <v>2803</v>
      </c>
      <c r="C208" s="64" t="s">
        <v>494</v>
      </c>
      <c r="F208" s="14"/>
      <c r="G208" s="14"/>
      <c r="H208" s="14"/>
      <c r="I208" s="11"/>
      <c r="J208" s="14"/>
      <c r="K208" s="76">
        <v>3</v>
      </c>
      <c r="L208" s="15">
        <v>6</v>
      </c>
      <c r="M208" s="14"/>
      <c r="N208" s="62"/>
      <c r="O208" s="60"/>
      <c r="P208" s="23"/>
      <c r="Q208" s="14"/>
      <c r="R208" s="14"/>
    </row>
    <row r="209" spans="1:18" s="1" customFormat="1">
      <c r="B209" s="66" t="s">
        <v>2804</v>
      </c>
      <c r="C209" s="64" t="s">
        <v>493</v>
      </c>
      <c r="D209" s="1">
        <v>1</v>
      </c>
      <c r="F209" s="14"/>
      <c r="G209" s="14"/>
      <c r="H209" s="14"/>
      <c r="I209" s="11"/>
      <c r="J209" s="14"/>
      <c r="K209" s="76">
        <v>4</v>
      </c>
      <c r="L209" s="15">
        <v>3</v>
      </c>
      <c r="M209" s="14"/>
      <c r="N209" s="62"/>
      <c r="O209" s="60"/>
      <c r="P209" s="23"/>
      <c r="Q209" s="14"/>
      <c r="R209" s="14"/>
    </row>
    <row r="210" spans="1:18" s="1" customFormat="1">
      <c r="B210" s="66"/>
      <c r="C210" s="64"/>
      <c r="F210" s="14"/>
      <c r="G210" s="14"/>
      <c r="H210" s="14"/>
      <c r="I210" s="11"/>
      <c r="J210" s="14"/>
      <c r="K210" s="76"/>
      <c r="L210" s="15"/>
      <c r="M210" s="14"/>
      <c r="N210" s="62"/>
      <c r="O210" s="60"/>
      <c r="P210" s="23"/>
      <c r="Q210" s="14"/>
      <c r="R210" s="14"/>
    </row>
    <row r="211" spans="1:18" s="1" customFormat="1">
      <c r="A211" s="62" t="s">
        <v>2809</v>
      </c>
      <c r="B211" s="66" t="s">
        <v>2810</v>
      </c>
      <c r="C211" s="64" t="s">
        <v>494</v>
      </c>
      <c r="E211" s="62" t="s">
        <v>476</v>
      </c>
      <c r="F211" s="14">
        <v>19</v>
      </c>
      <c r="G211" s="14">
        <v>1938</v>
      </c>
      <c r="H211" s="47" t="s">
        <v>2836</v>
      </c>
      <c r="I211" s="11"/>
      <c r="J211" s="14">
        <v>1903</v>
      </c>
      <c r="K211" s="76">
        <v>1</v>
      </c>
      <c r="L211" s="15">
        <v>52</v>
      </c>
      <c r="M211" s="14"/>
      <c r="N211" s="62">
        <v>1935</v>
      </c>
      <c r="O211" s="60" t="s">
        <v>2786</v>
      </c>
      <c r="P211" s="23"/>
      <c r="Q211" s="14"/>
      <c r="R211" s="14"/>
    </row>
    <row r="212" spans="1:18" s="1" customFormat="1">
      <c r="B212" s="66" t="s">
        <v>2811</v>
      </c>
      <c r="C212" s="64" t="s">
        <v>494</v>
      </c>
      <c r="E212" s="62" t="s">
        <v>476</v>
      </c>
      <c r="F212" s="14"/>
      <c r="G212" s="14"/>
      <c r="H212" s="14"/>
      <c r="I212" s="11"/>
      <c r="J212" s="14"/>
      <c r="K212" s="76">
        <v>2</v>
      </c>
      <c r="L212" s="15">
        <v>8</v>
      </c>
      <c r="M212" s="14"/>
      <c r="N212" s="62"/>
      <c r="O212" s="60"/>
      <c r="P212" s="23"/>
      <c r="Q212" s="14"/>
      <c r="R212" s="14"/>
    </row>
    <row r="213" spans="1:18" s="1" customFormat="1">
      <c r="B213" s="66" t="s">
        <v>2812</v>
      </c>
      <c r="C213" s="64" t="s">
        <v>494</v>
      </c>
      <c r="F213" s="14"/>
      <c r="G213" s="14"/>
      <c r="H213" s="14"/>
      <c r="I213" s="11"/>
      <c r="J213" s="14"/>
      <c r="K213" s="76">
        <v>3</v>
      </c>
      <c r="L213" s="15">
        <v>6</v>
      </c>
      <c r="M213" s="14"/>
      <c r="N213" s="62"/>
      <c r="O213" s="60"/>
      <c r="P213" s="23"/>
      <c r="Q213" s="14"/>
      <c r="R213" s="14"/>
    </row>
    <row r="214" spans="1:18" s="1" customFormat="1">
      <c r="B214" s="66" t="s">
        <v>2835</v>
      </c>
      <c r="C214" s="64" t="s">
        <v>494</v>
      </c>
      <c r="F214" s="14"/>
      <c r="G214" s="14"/>
      <c r="H214" s="14"/>
      <c r="I214" s="11"/>
      <c r="J214" s="14"/>
      <c r="K214" s="76">
        <v>4</v>
      </c>
      <c r="L214" s="15"/>
      <c r="M214" s="14"/>
      <c r="N214" s="62"/>
      <c r="O214" s="60"/>
      <c r="P214" s="23"/>
      <c r="Q214" s="14"/>
      <c r="R214" s="14"/>
    </row>
    <row r="215" spans="1:18" s="1" customFormat="1">
      <c r="B215" s="66" t="s">
        <v>2813</v>
      </c>
      <c r="C215" s="64" t="s">
        <v>494</v>
      </c>
      <c r="F215" s="14"/>
      <c r="G215" s="14"/>
      <c r="H215" s="14"/>
      <c r="I215" s="11"/>
      <c r="J215" s="14"/>
      <c r="K215" s="76">
        <v>5</v>
      </c>
      <c r="L215" s="15"/>
      <c r="M215" s="14">
        <v>73</v>
      </c>
      <c r="N215" s="62"/>
      <c r="O215" s="60"/>
      <c r="P215" s="23"/>
      <c r="Q215" s="14"/>
      <c r="R215" s="14"/>
    </row>
    <row r="216" spans="1:18" s="1" customFormat="1">
      <c r="B216" s="66" t="s">
        <v>2814</v>
      </c>
      <c r="C216" s="64" t="s">
        <v>494</v>
      </c>
      <c r="F216" s="14"/>
      <c r="G216" s="14"/>
      <c r="H216" s="14"/>
      <c r="I216" s="11"/>
      <c r="J216" s="14"/>
      <c r="K216" s="76">
        <v>6</v>
      </c>
      <c r="L216" s="15"/>
      <c r="M216" s="14">
        <v>74</v>
      </c>
      <c r="N216" s="62"/>
      <c r="O216" s="60"/>
      <c r="P216" s="23"/>
      <c r="Q216" s="14"/>
      <c r="R216" s="14"/>
    </row>
    <row r="217" spans="1:18" s="1" customFormat="1">
      <c r="B217" s="66" t="s">
        <v>2815</v>
      </c>
      <c r="C217" s="64" t="s">
        <v>520</v>
      </c>
      <c r="F217" s="14"/>
      <c r="G217" s="14"/>
      <c r="H217" s="14"/>
      <c r="I217" s="11"/>
      <c r="J217" s="14"/>
      <c r="K217" s="76">
        <v>7</v>
      </c>
      <c r="L217" s="15"/>
      <c r="M217" s="14"/>
      <c r="N217" s="62"/>
      <c r="O217" s="60"/>
      <c r="P217" s="23"/>
      <c r="Q217" s="14"/>
      <c r="R217" s="14"/>
    </row>
    <row r="218" spans="1:18" s="1" customFormat="1">
      <c r="B218" s="66" t="s">
        <v>2817</v>
      </c>
      <c r="C218" s="64" t="s">
        <v>493</v>
      </c>
      <c r="D218" s="1">
        <v>1</v>
      </c>
      <c r="F218" s="14"/>
      <c r="G218" s="14"/>
      <c r="H218" s="14"/>
      <c r="I218" s="11"/>
      <c r="J218" s="14"/>
      <c r="K218" s="76">
        <v>8</v>
      </c>
      <c r="L218" s="15">
        <v>3</v>
      </c>
      <c r="M218" s="14"/>
      <c r="N218" s="62"/>
      <c r="O218" s="60"/>
      <c r="P218" s="23"/>
      <c r="Q218" s="14"/>
      <c r="R218" s="14"/>
    </row>
    <row r="219" spans="1:18" s="1" customFormat="1">
      <c r="B219" s="66" t="s">
        <v>2816</v>
      </c>
      <c r="C219" s="64" t="s">
        <v>493</v>
      </c>
      <c r="D219" s="1">
        <v>1</v>
      </c>
      <c r="F219" s="14"/>
      <c r="G219" s="14"/>
      <c r="H219" s="14"/>
      <c r="I219" s="11"/>
      <c r="J219" s="14"/>
      <c r="K219" s="76">
        <v>9</v>
      </c>
      <c r="L219" s="15">
        <v>3</v>
      </c>
      <c r="M219" s="14"/>
      <c r="N219" s="62"/>
      <c r="O219" s="60"/>
      <c r="P219" s="23"/>
      <c r="Q219" s="14"/>
      <c r="R219" s="14"/>
    </row>
    <row r="220" spans="1:18" s="1" customFormat="1">
      <c r="B220" s="66" t="s">
        <v>2818</v>
      </c>
      <c r="C220" s="64" t="s">
        <v>494</v>
      </c>
      <c r="F220" s="14"/>
      <c r="G220" s="14"/>
      <c r="H220" s="14"/>
      <c r="I220" s="11"/>
      <c r="J220" s="14"/>
      <c r="K220" s="76">
        <v>10</v>
      </c>
      <c r="L220" s="15">
        <v>8</v>
      </c>
      <c r="M220" s="14"/>
      <c r="N220" s="62"/>
      <c r="O220" s="60"/>
      <c r="P220" s="23"/>
      <c r="Q220" s="14"/>
      <c r="R220" s="14"/>
    </row>
    <row r="221" spans="1:18" s="1" customFormat="1">
      <c r="B221" s="66" t="s">
        <v>2819</v>
      </c>
      <c r="C221" s="64" t="s">
        <v>493</v>
      </c>
      <c r="D221" s="1">
        <v>10</v>
      </c>
      <c r="F221" s="14"/>
      <c r="G221" s="14"/>
      <c r="H221" s="14"/>
      <c r="I221" s="11"/>
      <c r="J221" s="14"/>
      <c r="K221" s="76">
        <v>11</v>
      </c>
      <c r="L221" s="15"/>
      <c r="M221" s="14">
        <v>7</v>
      </c>
      <c r="N221" s="62"/>
      <c r="O221" s="60"/>
      <c r="P221" s="23"/>
      <c r="Q221" s="14"/>
      <c r="R221" s="14"/>
    </row>
    <row r="222" spans="1:18" s="1" customFormat="1">
      <c r="B222" s="66" t="s">
        <v>2820</v>
      </c>
      <c r="C222" s="64" t="s">
        <v>520</v>
      </c>
      <c r="F222" s="14"/>
      <c r="G222" s="14"/>
      <c r="H222" s="14"/>
      <c r="I222" s="11"/>
      <c r="J222" s="14"/>
      <c r="K222" s="76">
        <v>12</v>
      </c>
      <c r="L222" s="15"/>
      <c r="M222" s="14"/>
      <c r="N222" s="62"/>
      <c r="O222" s="60"/>
      <c r="P222" s="23"/>
      <c r="Q222" s="14"/>
      <c r="R222" s="14"/>
    </row>
    <row r="223" spans="1:18" s="1" customFormat="1">
      <c r="B223" s="66"/>
      <c r="C223" s="64"/>
      <c r="F223" s="14"/>
      <c r="G223" s="14"/>
      <c r="H223" s="14"/>
      <c r="I223" s="11"/>
      <c r="J223" s="14"/>
      <c r="K223" s="76"/>
      <c r="L223" s="15"/>
      <c r="M223" s="14"/>
      <c r="N223" s="62"/>
      <c r="O223" s="60"/>
      <c r="P223" s="23"/>
      <c r="Q223" s="14"/>
      <c r="R223" s="14"/>
    </row>
    <row r="224" spans="1:18" s="1" customFormat="1">
      <c r="A224" s="62" t="s">
        <v>2827</v>
      </c>
      <c r="B224" s="66" t="s">
        <v>2828</v>
      </c>
      <c r="C224" s="64" t="s">
        <v>494</v>
      </c>
      <c r="E224" s="62" t="s">
        <v>476</v>
      </c>
      <c r="F224" s="14">
        <v>19</v>
      </c>
      <c r="G224" s="14">
        <v>1939</v>
      </c>
      <c r="H224" s="47" t="s">
        <v>2838</v>
      </c>
      <c r="I224" s="11"/>
      <c r="J224" s="14">
        <v>1903</v>
      </c>
      <c r="K224" s="76">
        <v>1</v>
      </c>
      <c r="L224" s="15">
        <v>52</v>
      </c>
      <c r="M224" s="14"/>
      <c r="N224" s="62">
        <v>1935</v>
      </c>
      <c r="O224" s="60" t="s">
        <v>2786</v>
      </c>
      <c r="P224" s="23"/>
      <c r="Q224" s="14"/>
      <c r="R224" s="14"/>
    </row>
    <row r="225" spans="1:18" s="1" customFormat="1">
      <c r="B225" s="66" t="s">
        <v>2811</v>
      </c>
      <c r="C225" s="64" t="s">
        <v>494</v>
      </c>
      <c r="E225" s="62" t="s">
        <v>476</v>
      </c>
      <c r="F225" s="14"/>
      <c r="G225" s="14"/>
      <c r="H225" s="14"/>
      <c r="I225" s="11"/>
      <c r="J225" s="14"/>
      <c r="K225" s="76">
        <v>2</v>
      </c>
      <c r="L225" s="15">
        <v>8</v>
      </c>
      <c r="M225" s="14"/>
      <c r="N225" s="62"/>
      <c r="O225" s="60"/>
      <c r="P225" s="23"/>
      <c r="Q225" s="14"/>
      <c r="R225" s="14"/>
    </row>
    <row r="226" spans="1:18" s="1" customFormat="1">
      <c r="B226" s="66" t="s">
        <v>2829</v>
      </c>
      <c r="C226" s="64" t="s">
        <v>494</v>
      </c>
      <c r="E226" s="62" t="s">
        <v>476</v>
      </c>
      <c r="F226" s="14"/>
      <c r="G226" s="14"/>
      <c r="H226" s="14"/>
      <c r="I226" s="11"/>
      <c r="J226" s="14"/>
      <c r="K226" s="76">
        <v>3</v>
      </c>
      <c r="L226" s="15">
        <v>6</v>
      </c>
      <c r="M226" s="14"/>
      <c r="N226" s="62"/>
      <c r="O226" s="60"/>
      <c r="P226" s="23"/>
      <c r="Q226" s="14"/>
      <c r="R226" s="14"/>
    </row>
    <row r="227" spans="1:18" s="1" customFormat="1">
      <c r="B227" s="66" t="s">
        <v>2830</v>
      </c>
      <c r="C227" s="64" t="s">
        <v>494</v>
      </c>
      <c r="F227" s="14"/>
      <c r="G227" s="14"/>
      <c r="H227" s="14"/>
      <c r="I227" s="11"/>
      <c r="J227" s="14"/>
      <c r="K227" s="76">
        <v>4</v>
      </c>
      <c r="L227" s="15">
        <v>6</v>
      </c>
      <c r="M227" s="14"/>
      <c r="N227" s="62"/>
      <c r="O227" s="60"/>
      <c r="P227" s="23"/>
      <c r="Q227" s="14"/>
      <c r="R227" s="14"/>
    </row>
    <row r="228" spans="1:18" s="1" customFormat="1">
      <c r="B228" s="66" t="s">
        <v>2831</v>
      </c>
      <c r="C228" s="64" t="s">
        <v>494</v>
      </c>
      <c r="F228" s="14"/>
      <c r="G228" s="14"/>
      <c r="H228" s="14"/>
      <c r="I228" s="11"/>
      <c r="J228" s="14"/>
      <c r="K228" s="76">
        <v>5</v>
      </c>
      <c r="L228" s="15"/>
      <c r="M228" s="14">
        <v>73</v>
      </c>
      <c r="N228" s="62"/>
      <c r="O228" s="60"/>
      <c r="P228" s="23"/>
      <c r="Q228" s="14"/>
      <c r="R228" s="14"/>
    </row>
    <row r="229" spans="1:18" s="1" customFormat="1">
      <c r="B229" s="66" t="s">
        <v>2832</v>
      </c>
      <c r="C229" s="64" t="s">
        <v>494</v>
      </c>
      <c r="F229" s="14"/>
      <c r="G229" s="14"/>
      <c r="H229" s="14"/>
      <c r="I229" s="11"/>
      <c r="J229" s="14"/>
      <c r="K229" s="76">
        <v>6</v>
      </c>
      <c r="L229" s="15"/>
      <c r="M229" s="14">
        <v>74</v>
      </c>
      <c r="N229" s="62"/>
      <c r="O229" s="60"/>
      <c r="P229" s="23"/>
      <c r="Q229" s="14"/>
      <c r="R229" s="14"/>
    </row>
    <row r="230" spans="1:18" s="1" customFormat="1">
      <c r="B230" s="66" t="s">
        <v>2834</v>
      </c>
      <c r="C230" s="64" t="s">
        <v>494</v>
      </c>
      <c r="F230" s="14"/>
      <c r="G230" s="14"/>
      <c r="H230" s="14"/>
      <c r="I230" s="11"/>
      <c r="J230" s="14"/>
      <c r="K230" s="76">
        <v>7</v>
      </c>
      <c r="L230" s="15"/>
      <c r="M230" s="14">
        <v>2</v>
      </c>
      <c r="N230" s="62"/>
      <c r="O230" s="60"/>
      <c r="P230" s="23"/>
      <c r="Q230" s="14"/>
      <c r="R230" s="14"/>
    </row>
    <row r="231" spans="1:18" s="1" customFormat="1">
      <c r="B231" s="66" t="s">
        <v>2833</v>
      </c>
      <c r="C231" s="64" t="s">
        <v>520</v>
      </c>
      <c r="F231" s="14"/>
      <c r="G231" s="14"/>
      <c r="H231" s="14"/>
      <c r="I231" s="11"/>
      <c r="J231" s="14"/>
      <c r="K231" s="76">
        <v>8</v>
      </c>
      <c r="L231" s="15"/>
      <c r="M231" s="14"/>
      <c r="N231" s="62"/>
      <c r="O231" s="60"/>
      <c r="P231" s="23"/>
      <c r="Q231" s="14"/>
      <c r="R231" s="14"/>
    </row>
    <row r="232" spans="1:18" s="1" customFormat="1">
      <c r="B232" s="66"/>
      <c r="C232" s="64"/>
      <c r="F232" s="14"/>
      <c r="G232" s="14"/>
      <c r="H232" s="14"/>
      <c r="I232" s="11"/>
      <c r="J232" s="14"/>
      <c r="K232" s="76"/>
      <c r="L232" s="15"/>
      <c r="M232" s="14"/>
      <c r="N232" s="62"/>
      <c r="O232" s="60"/>
      <c r="P232" s="23"/>
      <c r="Q232" s="14"/>
      <c r="R232" s="14"/>
    </row>
    <row r="233" spans="1:18" s="1" customFormat="1">
      <c r="A233" s="62" t="s">
        <v>2908</v>
      </c>
      <c r="B233" s="66" t="s">
        <v>2909</v>
      </c>
      <c r="C233" s="64" t="s">
        <v>494</v>
      </c>
      <c r="E233" s="62" t="s">
        <v>476</v>
      </c>
      <c r="F233" s="14">
        <v>19</v>
      </c>
      <c r="G233" s="14">
        <v>1940</v>
      </c>
      <c r="H233" s="47" t="s">
        <v>2913</v>
      </c>
      <c r="I233" s="11"/>
      <c r="J233" s="14">
        <v>1902</v>
      </c>
      <c r="K233" s="76">
        <v>1</v>
      </c>
      <c r="L233" s="15">
        <v>52</v>
      </c>
      <c r="M233" s="14"/>
      <c r="N233" s="47">
        <v>1916</v>
      </c>
      <c r="O233" s="60" t="s">
        <v>2355</v>
      </c>
      <c r="P233" s="23"/>
      <c r="Q233" s="14"/>
      <c r="R233" s="14"/>
    </row>
    <row r="234" spans="1:18" s="1" customFormat="1">
      <c r="B234" s="66" t="s">
        <v>2910</v>
      </c>
      <c r="C234" s="64" t="s">
        <v>494</v>
      </c>
      <c r="E234" s="62" t="s">
        <v>476</v>
      </c>
      <c r="F234" s="14"/>
      <c r="G234" s="14"/>
      <c r="H234" s="14"/>
      <c r="I234" s="11"/>
      <c r="J234" s="14"/>
      <c r="K234" s="76">
        <v>2</v>
      </c>
      <c r="L234" s="15">
        <v>8</v>
      </c>
      <c r="M234" s="14"/>
      <c r="N234" s="62"/>
      <c r="O234" s="60"/>
      <c r="P234" s="23"/>
      <c r="Q234" s="14"/>
      <c r="R234" s="14"/>
    </row>
    <row r="235" spans="1:18" s="1" customFormat="1">
      <c r="B235" s="66" t="s">
        <v>2911</v>
      </c>
      <c r="C235" s="64" t="s">
        <v>494</v>
      </c>
      <c r="F235" s="14"/>
      <c r="G235" s="14"/>
      <c r="H235" s="14"/>
      <c r="I235" s="11"/>
      <c r="J235" s="14"/>
      <c r="K235" s="76">
        <v>3</v>
      </c>
      <c r="L235" s="15">
        <v>6</v>
      </c>
      <c r="M235" s="14"/>
      <c r="N235" s="62"/>
      <c r="O235" s="60"/>
      <c r="P235" s="23"/>
      <c r="Q235" s="14"/>
      <c r="R235" s="14"/>
    </row>
    <row r="236" spans="1:18" s="1" customFormat="1">
      <c r="B236" s="66" t="s">
        <v>2912</v>
      </c>
      <c r="C236" s="64" t="s">
        <v>493</v>
      </c>
      <c r="D236" s="1">
        <v>1</v>
      </c>
      <c r="F236" s="14"/>
      <c r="G236" s="14"/>
      <c r="H236" s="14"/>
      <c r="I236" s="11"/>
      <c r="J236" s="14"/>
      <c r="K236" s="76">
        <v>4</v>
      </c>
      <c r="L236" s="15">
        <v>3</v>
      </c>
      <c r="M236" s="14"/>
      <c r="N236" s="62"/>
      <c r="O236" s="60"/>
      <c r="P236" s="23"/>
      <c r="Q236" s="14"/>
      <c r="R236" s="14"/>
    </row>
    <row r="237" spans="1:18" s="1" customFormat="1">
      <c r="B237" s="66"/>
      <c r="C237" s="64"/>
      <c r="F237" s="14"/>
      <c r="G237" s="14"/>
      <c r="H237" s="14"/>
      <c r="I237" s="11"/>
      <c r="J237" s="14"/>
      <c r="K237" s="76"/>
      <c r="L237" s="15"/>
      <c r="M237" s="14"/>
      <c r="N237" s="62"/>
      <c r="O237" s="60"/>
      <c r="P237" s="23"/>
      <c r="Q237" s="14"/>
      <c r="R237" s="14"/>
    </row>
    <row r="238" spans="1:18" s="1" customFormat="1">
      <c r="B238" s="66"/>
      <c r="C238" s="64"/>
      <c r="F238" s="14"/>
      <c r="G238" s="14"/>
      <c r="H238" s="14"/>
      <c r="I238" s="11"/>
      <c r="J238" s="14"/>
      <c r="K238" s="76"/>
      <c r="L238" s="15"/>
      <c r="M238" s="14"/>
      <c r="N238" s="62"/>
      <c r="O238" s="60"/>
      <c r="P238" s="23"/>
      <c r="Q238" s="14"/>
      <c r="R238" s="14"/>
    </row>
    <row r="239" spans="1:18" s="1" customFormat="1">
      <c r="A239" s="62" t="s">
        <v>2385</v>
      </c>
      <c r="B239" s="66" t="s">
        <v>2403</v>
      </c>
      <c r="C239" s="64" t="s">
        <v>494</v>
      </c>
      <c r="E239" s="62" t="s">
        <v>476</v>
      </c>
      <c r="F239" s="14">
        <v>19</v>
      </c>
      <c r="G239" s="14">
        <v>1921</v>
      </c>
      <c r="H239" s="47" t="s">
        <v>2413</v>
      </c>
      <c r="I239" s="48" t="s">
        <v>2414</v>
      </c>
      <c r="J239" s="14">
        <v>1902</v>
      </c>
      <c r="K239" s="76">
        <v>1</v>
      </c>
      <c r="L239" s="15">
        <v>52</v>
      </c>
      <c r="M239" s="14"/>
      <c r="N239" s="62">
        <v>1916</v>
      </c>
      <c r="O239" s="60" t="s">
        <v>2355</v>
      </c>
      <c r="P239" s="23"/>
      <c r="Q239" s="14"/>
      <c r="R239" s="14"/>
    </row>
    <row r="240" spans="1:18" s="1" customFormat="1">
      <c r="B240" s="66" t="s">
        <v>2404</v>
      </c>
      <c r="C240" s="64" t="s">
        <v>494</v>
      </c>
      <c r="E240" s="62" t="s">
        <v>476</v>
      </c>
      <c r="F240" s="14"/>
      <c r="G240" s="14"/>
      <c r="H240" s="14"/>
      <c r="I240" s="11"/>
      <c r="J240" s="14"/>
      <c r="K240" s="76">
        <v>2</v>
      </c>
      <c r="L240" s="15">
        <v>8</v>
      </c>
      <c r="M240" s="14"/>
      <c r="N240" s="62"/>
      <c r="O240" s="60"/>
      <c r="P240" s="23"/>
      <c r="Q240" s="14"/>
      <c r="R240" s="14"/>
    </row>
    <row r="241" spans="2:18" s="1" customFormat="1">
      <c r="B241" s="66" t="s">
        <v>2405</v>
      </c>
      <c r="C241" s="64" t="s">
        <v>494</v>
      </c>
      <c r="E241" s="62" t="s">
        <v>476</v>
      </c>
      <c r="F241" s="14"/>
      <c r="G241" s="14"/>
      <c r="H241" s="14"/>
      <c r="I241" s="11"/>
      <c r="J241" s="14"/>
      <c r="K241" s="76">
        <v>3</v>
      </c>
      <c r="L241" s="62">
        <v>3</v>
      </c>
      <c r="M241" s="62"/>
      <c r="N241" s="64" t="s">
        <v>506</v>
      </c>
      <c r="O241" s="64" t="s">
        <v>514</v>
      </c>
      <c r="P241" s="62" t="s">
        <v>515</v>
      </c>
      <c r="Q241" s="14"/>
      <c r="R241" s="14"/>
    </row>
    <row r="242" spans="2:18" s="1" customFormat="1">
      <c r="B242" s="66" t="s">
        <v>2406</v>
      </c>
      <c r="C242" s="64" t="s">
        <v>494</v>
      </c>
      <c r="E242" s="62" t="s">
        <v>476</v>
      </c>
      <c r="F242" s="14"/>
      <c r="G242" s="14"/>
      <c r="H242" s="14"/>
      <c r="I242" s="11"/>
      <c r="J242" s="14"/>
      <c r="K242" s="76">
        <v>4</v>
      </c>
      <c r="L242" s="62">
        <v>9</v>
      </c>
      <c r="M242" s="62"/>
      <c r="N242" s="62" t="s">
        <v>1038</v>
      </c>
      <c r="O242" s="23" t="s">
        <v>1040</v>
      </c>
      <c r="P242" s="60" t="s">
        <v>1041</v>
      </c>
      <c r="Q242" s="23" t="s">
        <v>1040</v>
      </c>
      <c r="R242" s="14">
        <v>140</v>
      </c>
    </row>
    <row r="243" spans="2:18" s="1" customFormat="1">
      <c r="B243" s="66" t="s">
        <v>2407</v>
      </c>
      <c r="C243" s="64" t="s">
        <v>494</v>
      </c>
      <c r="E243" s="62" t="s">
        <v>476</v>
      </c>
      <c r="F243" s="14"/>
      <c r="G243" s="14"/>
      <c r="H243" s="14"/>
      <c r="I243" s="11"/>
      <c r="J243" s="14"/>
      <c r="K243" s="76">
        <v>5</v>
      </c>
      <c r="L243" s="15">
        <v>3</v>
      </c>
      <c r="M243" s="14"/>
      <c r="N243" s="62" t="s">
        <v>2224</v>
      </c>
      <c r="O243" s="60" t="s">
        <v>2226</v>
      </c>
      <c r="P243" s="60" t="s">
        <v>2228</v>
      </c>
      <c r="Q243" s="14"/>
      <c r="R243" s="14"/>
    </row>
    <row r="244" spans="2:18" s="1" customFormat="1">
      <c r="B244" s="66" t="s">
        <v>2402</v>
      </c>
      <c r="C244" s="64" t="s">
        <v>494</v>
      </c>
      <c r="F244" s="14"/>
      <c r="G244" s="14"/>
      <c r="H244" s="14"/>
      <c r="I244" s="11"/>
      <c r="J244" s="14"/>
      <c r="K244" s="76">
        <v>6</v>
      </c>
      <c r="L244" s="15">
        <v>6</v>
      </c>
      <c r="M244" s="14"/>
      <c r="N244" s="62"/>
      <c r="O244" s="60"/>
      <c r="P244" s="23"/>
      <c r="Q244" s="14"/>
      <c r="R244" s="14"/>
    </row>
    <row r="245" spans="2:18" s="1" customFormat="1">
      <c r="B245" s="66" t="s">
        <v>2408</v>
      </c>
      <c r="C245" s="64" t="s">
        <v>493</v>
      </c>
      <c r="D245" s="1">
        <v>10</v>
      </c>
      <c r="F245" s="14"/>
      <c r="G245" s="14"/>
      <c r="H245" s="14"/>
      <c r="I245" s="11"/>
      <c r="J245" s="14"/>
      <c r="K245" s="76">
        <v>7</v>
      </c>
      <c r="L245" s="15">
        <v>7</v>
      </c>
      <c r="M245" s="14"/>
      <c r="N245" s="62"/>
      <c r="O245" s="60"/>
      <c r="P245" s="23"/>
      <c r="Q245" s="14"/>
      <c r="R245" s="14"/>
    </row>
    <row r="246" spans="2:18" s="1" customFormat="1">
      <c r="B246" s="66" t="s">
        <v>2409</v>
      </c>
      <c r="C246" s="64" t="s">
        <v>493</v>
      </c>
      <c r="D246" s="1">
        <v>1</v>
      </c>
      <c r="F246" s="14"/>
      <c r="G246" s="14"/>
      <c r="H246" s="14"/>
      <c r="I246" s="11"/>
      <c r="J246" s="14"/>
      <c r="K246" s="76">
        <v>8</v>
      </c>
      <c r="L246" s="15">
        <v>3</v>
      </c>
      <c r="M246" s="14"/>
      <c r="R246" s="14"/>
    </row>
    <row r="247" spans="2:18" s="1" customFormat="1">
      <c r="B247" s="67" t="s">
        <v>2611</v>
      </c>
      <c r="C247" s="64" t="s">
        <v>493</v>
      </c>
      <c r="D247" s="1">
        <v>3</v>
      </c>
      <c r="F247" s="14"/>
      <c r="G247" s="14"/>
      <c r="H247" s="14"/>
      <c r="I247" s="11"/>
      <c r="J247" s="14"/>
      <c r="K247" s="76">
        <v>9</v>
      </c>
      <c r="L247" s="15">
        <v>3</v>
      </c>
      <c r="M247" s="14"/>
      <c r="N247" s="62" t="s">
        <v>399</v>
      </c>
      <c r="O247" s="1" t="s">
        <v>401</v>
      </c>
      <c r="P247" s="1" t="s">
        <v>400</v>
      </c>
      <c r="R247" s="14"/>
    </row>
    <row r="248" spans="2:18" s="1" customFormat="1">
      <c r="B248" s="67" t="s">
        <v>2607</v>
      </c>
      <c r="C248" s="64" t="s">
        <v>493</v>
      </c>
      <c r="D248" s="1">
        <v>5</v>
      </c>
      <c r="F248" s="14"/>
      <c r="G248" s="14"/>
      <c r="H248" s="14"/>
      <c r="I248" s="11"/>
      <c r="J248" s="14"/>
      <c r="K248" s="76">
        <v>10</v>
      </c>
      <c r="L248" s="15">
        <v>3</v>
      </c>
      <c r="M248" s="14">
        <v>31</v>
      </c>
      <c r="N248" s="62" t="s">
        <v>404</v>
      </c>
      <c r="O248" s="1" t="s">
        <v>405</v>
      </c>
      <c r="P248" s="1" t="s">
        <v>406</v>
      </c>
      <c r="Q248" s="1" t="s">
        <v>407</v>
      </c>
      <c r="R248" s="14">
        <v>9</v>
      </c>
    </row>
    <row r="249" spans="2:18" s="1" customFormat="1">
      <c r="B249" s="67" t="s">
        <v>2608</v>
      </c>
      <c r="C249" s="64" t="s">
        <v>493</v>
      </c>
      <c r="D249" s="62">
        <v>8</v>
      </c>
      <c r="F249" s="14"/>
      <c r="G249" s="14"/>
      <c r="H249" s="14"/>
      <c r="I249" s="11"/>
      <c r="J249" s="14"/>
      <c r="K249" s="76">
        <v>11</v>
      </c>
      <c r="L249" s="15">
        <v>3</v>
      </c>
      <c r="M249" s="14">
        <v>31</v>
      </c>
      <c r="N249" s="62" t="s">
        <v>410</v>
      </c>
      <c r="O249" s="1" t="s">
        <v>413</v>
      </c>
      <c r="P249" s="1" t="s">
        <v>414</v>
      </c>
      <c r="Q249" s="1" t="s">
        <v>415</v>
      </c>
      <c r="R249" s="14">
        <v>10</v>
      </c>
    </row>
    <row r="250" spans="2:18" s="1" customFormat="1">
      <c r="B250" s="67" t="s">
        <v>2609</v>
      </c>
      <c r="C250" s="64" t="s">
        <v>493</v>
      </c>
      <c r="D250" s="1">
        <v>10</v>
      </c>
      <c r="F250" s="14"/>
      <c r="G250" s="14"/>
      <c r="H250" s="14"/>
      <c r="I250" s="11"/>
      <c r="J250" s="14"/>
      <c r="K250" s="76">
        <v>12</v>
      </c>
      <c r="L250" s="15">
        <v>7</v>
      </c>
      <c r="M250" s="14"/>
      <c r="N250" s="62"/>
      <c r="O250" s="60"/>
      <c r="P250" s="23"/>
      <c r="Q250" s="14"/>
      <c r="R250" s="14"/>
    </row>
    <row r="251" spans="2:18" s="1" customFormat="1">
      <c r="B251" s="67" t="s">
        <v>2610</v>
      </c>
      <c r="C251" s="64" t="s">
        <v>494</v>
      </c>
      <c r="F251" s="14"/>
      <c r="G251" s="14"/>
      <c r="H251" s="14"/>
      <c r="I251" s="11"/>
      <c r="J251" s="14"/>
      <c r="K251" s="76">
        <v>13</v>
      </c>
      <c r="L251" s="15"/>
      <c r="M251" s="14"/>
      <c r="N251" s="62"/>
      <c r="O251" s="60"/>
      <c r="P251" s="23"/>
      <c r="Q251" s="14"/>
      <c r="R251" s="14"/>
    </row>
    <row r="252" spans="2:18" s="1" customFormat="1">
      <c r="B252" s="67" t="s">
        <v>2612</v>
      </c>
      <c r="C252" s="64" t="s">
        <v>494</v>
      </c>
      <c r="F252" s="14"/>
      <c r="G252" s="14"/>
      <c r="H252" s="14"/>
      <c r="I252" s="11"/>
      <c r="J252" s="14"/>
      <c r="K252" s="76">
        <v>14</v>
      </c>
      <c r="L252" s="15">
        <v>3</v>
      </c>
      <c r="M252" s="14"/>
      <c r="N252" s="62" t="s">
        <v>2613</v>
      </c>
      <c r="O252" s="66" t="s">
        <v>2614</v>
      </c>
      <c r="P252" s="66" t="s">
        <v>2615</v>
      </c>
      <c r="Q252" s="14"/>
      <c r="R252" s="14"/>
    </row>
    <row r="253" spans="2:18" s="1" customFormat="1">
      <c r="B253" s="67" t="s">
        <v>2616</v>
      </c>
      <c r="C253" s="64" t="s">
        <v>494</v>
      </c>
      <c r="F253" s="14"/>
      <c r="G253" s="14"/>
      <c r="H253" s="14"/>
      <c r="I253" s="11"/>
      <c r="J253" s="14"/>
      <c r="K253" s="76">
        <v>15</v>
      </c>
      <c r="L253" s="15">
        <v>3</v>
      </c>
      <c r="M253" s="14"/>
      <c r="N253" s="62" t="s">
        <v>693</v>
      </c>
      <c r="O253" s="1" t="s">
        <v>695</v>
      </c>
      <c r="P253" s="1" t="s">
        <v>696</v>
      </c>
      <c r="Q253" s="62"/>
      <c r="R253" s="14"/>
    </row>
    <row r="254" spans="2:18" s="1" customFormat="1">
      <c r="B254" s="67" t="s">
        <v>2617</v>
      </c>
      <c r="C254" s="64" t="s">
        <v>494</v>
      </c>
      <c r="F254" s="14"/>
      <c r="G254" s="14"/>
      <c r="H254" s="14"/>
      <c r="I254" s="11"/>
      <c r="J254" s="14"/>
      <c r="K254" s="76">
        <v>16</v>
      </c>
      <c r="L254" s="15">
        <v>3</v>
      </c>
      <c r="M254" s="14">
        <v>31</v>
      </c>
      <c r="N254" s="62" t="s">
        <v>379</v>
      </c>
      <c r="O254" s="62" t="s">
        <v>698</v>
      </c>
      <c r="P254" s="62" t="s">
        <v>699</v>
      </c>
      <c r="Q254" s="62" t="s">
        <v>383</v>
      </c>
      <c r="R254" s="14">
        <v>15</v>
      </c>
    </row>
    <row r="255" spans="2:18" s="1" customFormat="1">
      <c r="B255" s="67" t="s">
        <v>2618</v>
      </c>
      <c r="C255" s="64" t="s">
        <v>494</v>
      </c>
      <c r="F255" s="14"/>
      <c r="G255" s="14"/>
      <c r="H255" s="14"/>
      <c r="I255" s="11"/>
      <c r="J255" s="14"/>
      <c r="K255" s="76">
        <v>17</v>
      </c>
      <c r="L255" s="15">
        <v>3</v>
      </c>
      <c r="M255" s="14"/>
      <c r="N255" s="62" t="s">
        <v>54</v>
      </c>
      <c r="O255" s="62" t="s">
        <v>56</v>
      </c>
      <c r="P255" s="62" t="s">
        <v>57</v>
      </c>
      <c r="Q255" s="14"/>
      <c r="R255" s="14"/>
    </row>
    <row r="256" spans="2:18" s="1" customFormat="1">
      <c r="B256" s="67" t="s">
        <v>2622</v>
      </c>
      <c r="C256" s="64" t="s">
        <v>493</v>
      </c>
      <c r="D256" s="1">
        <v>1</v>
      </c>
      <c r="F256" s="14"/>
      <c r="G256" s="14"/>
      <c r="H256" s="14"/>
      <c r="I256" s="11"/>
      <c r="J256" s="14"/>
      <c r="K256" s="76">
        <v>18</v>
      </c>
      <c r="L256" s="15">
        <v>3</v>
      </c>
      <c r="M256" s="14"/>
      <c r="N256" s="62"/>
      <c r="O256" s="62"/>
      <c r="P256" s="62"/>
      <c r="Q256" s="14"/>
      <c r="R256" s="14"/>
    </row>
    <row r="257" spans="1:18" s="1" customFormat="1">
      <c r="B257" s="66"/>
      <c r="C257" s="64"/>
      <c r="F257" s="14"/>
      <c r="G257" s="14"/>
      <c r="H257" s="14"/>
      <c r="I257" s="11"/>
      <c r="J257" s="14"/>
      <c r="K257" s="76"/>
      <c r="L257" s="15"/>
      <c r="M257" s="14"/>
      <c r="N257" s="62"/>
      <c r="O257" s="60"/>
      <c r="P257" s="23"/>
      <c r="Q257" s="14"/>
      <c r="R257" s="14"/>
    </row>
    <row r="258" spans="1:18" s="1" customFormat="1">
      <c r="A258" s="62" t="s">
        <v>2386</v>
      </c>
      <c r="B258" s="66" t="s">
        <v>2388</v>
      </c>
      <c r="C258" s="64" t="s">
        <v>494</v>
      </c>
      <c r="E258" s="62" t="s">
        <v>476</v>
      </c>
      <c r="F258" s="14">
        <v>19</v>
      </c>
      <c r="G258" s="14">
        <v>1922</v>
      </c>
      <c r="H258" s="47" t="s">
        <v>1828</v>
      </c>
      <c r="I258" s="11"/>
      <c r="J258" s="14">
        <v>1902</v>
      </c>
      <c r="K258" s="76">
        <v>1</v>
      </c>
      <c r="L258" s="15">
        <v>52</v>
      </c>
      <c r="M258" s="14"/>
      <c r="N258" s="62">
        <v>1921</v>
      </c>
      <c r="O258" s="60" t="s">
        <v>2402</v>
      </c>
      <c r="P258" s="23"/>
      <c r="Q258" s="14"/>
      <c r="R258" s="14"/>
    </row>
    <row r="259" spans="1:18" s="1" customFormat="1">
      <c r="B259" s="66" t="s">
        <v>2389</v>
      </c>
      <c r="C259" s="64" t="s">
        <v>494</v>
      </c>
      <c r="E259" s="62" t="s">
        <v>476</v>
      </c>
      <c r="F259" s="14"/>
      <c r="G259" s="14"/>
      <c r="H259" s="14"/>
      <c r="I259" s="11"/>
      <c r="J259" s="14"/>
      <c r="K259" s="76">
        <v>2</v>
      </c>
      <c r="L259" s="15">
        <v>3</v>
      </c>
      <c r="M259" s="14"/>
      <c r="N259" s="1" t="s">
        <v>2368</v>
      </c>
      <c r="O259" s="66" t="s">
        <v>2371</v>
      </c>
      <c r="P259" s="66" t="s">
        <v>2370</v>
      </c>
      <c r="Q259" s="14"/>
      <c r="R259" s="14">
        <v>1918</v>
      </c>
    </row>
    <row r="260" spans="1:18" s="1" customFormat="1">
      <c r="B260" s="66" t="s">
        <v>2394</v>
      </c>
      <c r="C260" s="64" t="s">
        <v>494</v>
      </c>
      <c r="E260" s="62"/>
      <c r="F260" s="14"/>
      <c r="G260" s="14"/>
      <c r="H260" s="14"/>
      <c r="I260" s="11"/>
      <c r="J260" s="14"/>
      <c r="K260" s="76">
        <v>3</v>
      </c>
      <c r="L260" s="15">
        <v>6</v>
      </c>
      <c r="M260" s="14"/>
      <c r="N260" s="62"/>
      <c r="O260" s="60"/>
      <c r="P260" s="23"/>
      <c r="Q260" s="14"/>
      <c r="R260" s="14"/>
    </row>
    <row r="261" spans="1:18" s="1" customFormat="1">
      <c r="B261" s="66" t="s">
        <v>2387</v>
      </c>
      <c r="C261" s="64" t="s">
        <v>494</v>
      </c>
      <c r="F261" s="14"/>
      <c r="G261" s="14"/>
      <c r="H261" s="14"/>
      <c r="I261" s="11"/>
      <c r="J261" s="14"/>
      <c r="K261" s="76">
        <v>4</v>
      </c>
      <c r="L261" s="15">
        <v>3</v>
      </c>
      <c r="M261" s="14"/>
      <c r="N261" s="62"/>
      <c r="O261" s="60"/>
      <c r="P261" s="23"/>
      <c r="Q261" s="14"/>
      <c r="R261" s="14"/>
    </row>
    <row r="262" spans="1:18" s="1" customFormat="1">
      <c r="B262" s="66" t="s">
        <v>2390</v>
      </c>
      <c r="C262" s="64" t="s">
        <v>493</v>
      </c>
      <c r="D262" s="1">
        <v>1</v>
      </c>
      <c r="F262" s="14"/>
      <c r="G262" s="14"/>
      <c r="H262" s="14"/>
      <c r="I262" s="11"/>
      <c r="J262" s="14"/>
      <c r="K262" s="76">
        <v>5</v>
      </c>
      <c r="L262" s="15">
        <v>3</v>
      </c>
      <c r="M262" s="14"/>
      <c r="N262" s="62"/>
      <c r="O262" s="60"/>
      <c r="P262" s="23"/>
      <c r="Q262" s="14"/>
      <c r="R262" s="14"/>
    </row>
    <row r="263" spans="1:18" s="1" customFormat="1">
      <c r="B263" s="66" t="s">
        <v>2391</v>
      </c>
      <c r="C263" s="64" t="s">
        <v>494</v>
      </c>
      <c r="F263" s="14"/>
      <c r="G263" s="14"/>
      <c r="H263" s="14"/>
      <c r="I263" s="11"/>
      <c r="J263" s="14"/>
      <c r="K263" s="76">
        <v>6</v>
      </c>
      <c r="L263" s="15"/>
      <c r="M263" s="14"/>
      <c r="N263" s="62"/>
      <c r="O263" s="60"/>
      <c r="P263" s="23"/>
      <c r="Q263" s="14"/>
      <c r="R263" s="14"/>
    </row>
    <row r="264" spans="1:18" s="1" customFormat="1">
      <c r="B264" s="66" t="s">
        <v>2392</v>
      </c>
      <c r="C264" s="64" t="s">
        <v>520</v>
      </c>
      <c r="F264" s="14"/>
      <c r="G264" s="14"/>
      <c r="H264" s="14"/>
      <c r="I264" s="11"/>
      <c r="J264" s="14"/>
      <c r="K264" s="76">
        <v>7</v>
      </c>
      <c r="L264" s="15"/>
      <c r="M264" s="14"/>
      <c r="N264" s="62"/>
      <c r="O264" s="60"/>
      <c r="P264" s="23"/>
      <c r="Q264" s="14"/>
      <c r="R264" s="14"/>
    </row>
    <row r="265" spans="1:18" s="1" customFormat="1">
      <c r="B265" s="66" t="s">
        <v>2393</v>
      </c>
      <c r="C265" s="64" t="s">
        <v>493</v>
      </c>
      <c r="D265" s="1">
        <v>1</v>
      </c>
      <c r="F265" s="14"/>
      <c r="G265" s="14"/>
      <c r="H265" s="14"/>
      <c r="I265" s="11"/>
      <c r="J265" s="14"/>
      <c r="K265" s="76">
        <v>8</v>
      </c>
      <c r="L265" s="15">
        <v>3</v>
      </c>
      <c r="M265" s="14"/>
      <c r="N265" s="62"/>
      <c r="O265" s="60"/>
      <c r="P265" s="23"/>
      <c r="Q265" s="14"/>
      <c r="R265" s="14"/>
    </row>
    <row r="266" spans="1:18" s="1" customFormat="1">
      <c r="B266" s="66" t="s">
        <v>2435</v>
      </c>
      <c r="C266" s="64" t="s">
        <v>494</v>
      </c>
      <c r="F266" s="14"/>
      <c r="G266" s="14"/>
      <c r="H266" s="14"/>
      <c r="I266" s="11"/>
      <c r="J266" s="14"/>
      <c r="K266" s="76">
        <v>9</v>
      </c>
      <c r="L266" s="15"/>
      <c r="M266" s="14">
        <v>1</v>
      </c>
      <c r="P266" s="23"/>
      <c r="Q266" s="14"/>
      <c r="R266" s="14"/>
    </row>
    <row r="267" spans="1:18" s="1" customFormat="1">
      <c r="B267" s="66" t="s">
        <v>2436</v>
      </c>
      <c r="C267" s="64" t="s">
        <v>494</v>
      </c>
      <c r="F267" s="14"/>
      <c r="G267" s="14"/>
      <c r="H267" s="14">
        <f>35000/850</f>
        <v>41.176470588235297</v>
      </c>
      <c r="I267" s="11"/>
      <c r="J267" s="14"/>
      <c r="K267" s="76">
        <v>10</v>
      </c>
      <c r="L267" s="15"/>
      <c r="M267" s="14">
        <v>1</v>
      </c>
      <c r="P267" s="23"/>
      <c r="Q267" s="14"/>
      <c r="R267" s="14"/>
    </row>
    <row r="268" spans="1:18" s="1" customFormat="1">
      <c r="B268" s="66" t="s">
        <v>2437</v>
      </c>
      <c r="C268" s="64" t="s">
        <v>494</v>
      </c>
      <c r="F268" s="14"/>
      <c r="G268" s="14"/>
      <c r="H268" s="14">
        <f>490*850</f>
        <v>416500</v>
      </c>
      <c r="I268" s="11"/>
      <c r="J268" s="14"/>
      <c r="K268" s="76">
        <v>11</v>
      </c>
      <c r="L268" s="15"/>
      <c r="M268" s="14">
        <v>1</v>
      </c>
      <c r="P268" s="23"/>
      <c r="Q268" s="14"/>
      <c r="R268" s="14"/>
    </row>
    <row r="269" spans="1:18" s="1" customFormat="1">
      <c r="B269" s="66" t="s">
        <v>2438</v>
      </c>
      <c r="C269" s="64" t="s">
        <v>494</v>
      </c>
      <c r="F269" s="14"/>
      <c r="G269" s="14"/>
      <c r="H269" s="14"/>
      <c r="I269" s="11"/>
      <c r="J269" s="14"/>
      <c r="K269" s="76">
        <v>12</v>
      </c>
      <c r="L269" s="15"/>
      <c r="M269" s="14">
        <v>1</v>
      </c>
      <c r="P269" s="23"/>
      <c r="Q269" s="14"/>
      <c r="R269" s="14"/>
    </row>
    <row r="270" spans="1:18" s="1" customFormat="1">
      <c r="B270" s="66" t="s">
        <v>2439</v>
      </c>
      <c r="C270" s="64" t="s">
        <v>494</v>
      </c>
      <c r="F270" s="14"/>
      <c r="G270" s="14"/>
      <c r="H270" s="14"/>
      <c r="I270" s="11"/>
      <c r="J270" s="14"/>
      <c r="K270" s="76">
        <v>13</v>
      </c>
      <c r="L270" s="15"/>
      <c r="M270" s="14">
        <v>1</v>
      </c>
      <c r="P270" s="23"/>
      <c r="Q270" s="14"/>
      <c r="R270" s="14"/>
    </row>
    <row r="271" spans="1:18" s="1" customFormat="1">
      <c r="B271" s="66" t="s">
        <v>2440</v>
      </c>
      <c r="C271" s="64" t="s">
        <v>494</v>
      </c>
      <c r="F271" s="14"/>
      <c r="G271" s="14"/>
      <c r="H271" s="14"/>
      <c r="I271" s="11"/>
      <c r="J271" s="14"/>
      <c r="K271" s="76">
        <v>14</v>
      </c>
      <c r="L271" s="15"/>
      <c r="M271" s="14">
        <v>1</v>
      </c>
      <c r="P271" s="23"/>
      <c r="Q271" s="14"/>
      <c r="R271" s="14"/>
    </row>
    <row r="272" spans="1:18" s="1" customFormat="1">
      <c r="B272" s="66" t="s">
        <v>2441</v>
      </c>
      <c r="C272" s="64" t="s">
        <v>494</v>
      </c>
      <c r="F272" s="14"/>
      <c r="G272" s="14"/>
      <c r="H272" s="14"/>
      <c r="I272" s="11"/>
      <c r="J272" s="14"/>
      <c r="K272" s="76">
        <v>15</v>
      </c>
      <c r="L272" s="15"/>
      <c r="M272" s="14">
        <v>1</v>
      </c>
      <c r="P272" s="23"/>
      <c r="Q272" s="14"/>
      <c r="R272" s="14"/>
    </row>
    <row r="273" spans="2:18" s="1" customFormat="1">
      <c r="B273" s="66" t="s">
        <v>2442</v>
      </c>
      <c r="C273" s="64" t="s">
        <v>494</v>
      </c>
      <c r="F273" s="14"/>
      <c r="G273" s="14"/>
      <c r="H273" s="14"/>
      <c r="I273" s="11"/>
      <c r="J273" s="14"/>
      <c r="K273" s="76">
        <v>16</v>
      </c>
      <c r="L273" s="15"/>
      <c r="M273" s="14">
        <v>1</v>
      </c>
      <c r="P273" s="23"/>
      <c r="Q273" s="14"/>
      <c r="R273" s="14"/>
    </row>
    <row r="274" spans="2:18" s="1" customFormat="1">
      <c r="B274" s="66" t="s">
        <v>2443</v>
      </c>
      <c r="C274" s="64" t="s">
        <v>494</v>
      </c>
      <c r="F274" s="14"/>
      <c r="G274" s="14"/>
      <c r="H274" s="14"/>
      <c r="I274" s="11"/>
      <c r="J274" s="14"/>
      <c r="K274" s="76">
        <v>17</v>
      </c>
      <c r="L274" s="15"/>
      <c r="M274" s="14">
        <v>1</v>
      </c>
      <c r="P274" s="23"/>
      <c r="Q274" s="14"/>
      <c r="R274" s="14"/>
    </row>
    <row r="275" spans="2:18" s="1" customFormat="1">
      <c r="B275" s="66" t="s">
        <v>2444</v>
      </c>
      <c r="C275" s="64" t="s">
        <v>494</v>
      </c>
      <c r="F275" s="14"/>
      <c r="G275" s="14"/>
      <c r="H275" s="14"/>
      <c r="I275" s="11"/>
      <c r="J275" s="14"/>
      <c r="K275" s="76">
        <v>18</v>
      </c>
      <c r="L275" s="15"/>
      <c r="M275" s="14">
        <v>1</v>
      </c>
      <c r="P275" s="23"/>
      <c r="Q275" s="14"/>
      <c r="R275" s="14"/>
    </row>
    <row r="276" spans="2:18" s="1" customFormat="1">
      <c r="B276" s="67" t="s">
        <v>2619</v>
      </c>
      <c r="C276" s="64" t="s">
        <v>493</v>
      </c>
      <c r="D276" s="1">
        <v>1</v>
      </c>
      <c r="F276" s="14"/>
      <c r="G276" s="14"/>
      <c r="H276" s="14"/>
      <c r="I276" s="11"/>
      <c r="J276" s="14"/>
      <c r="K276" s="76">
        <v>20</v>
      </c>
      <c r="L276" s="15">
        <v>3</v>
      </c>
      <c r="M276" s="14"/>
      <c r="P276" s="23"/>
      <c r="Q276" s="14"/>
      <c r="R276" s="14"/>
    </row>
    <row r="277" spans="2:18" s="1" customFormat="1">
      <c r="B277" s="67" t="s">
        <v>2620</v>
      </c>
      <c r="C277" s="64" t="s">
        <v>494</v>
      </c>
      <c r="F277" s="14"/>
      <c r="G277" s="14"/>
      <c r="H277" s="14"/>
      <c r="I277" s="11"/>
      <c r="J277" s="14"/>
      <c r="K277" s="76">
        <v>22</v>
      </c>
      <c r="L277" s="15">
        <v>3</v>
      </c>
      <c r="M277" s="14"/>
      <c r="N277" s="62" t="s">
        <v>2368</v>
      </c>
      <c r="O277" s="66" t="s">
        <v>2371</v>
      </c>
      <c r="P277" s="66" t="s">
        <v>2370</v>
      </c>
      <c r="Q277" s="14"/>
      <c r="R277" s="14"/>
    </row>
    <row r="278" spans="2:18" s="1" customFormat="1">
      <c r="B278" s="67" t="s">
        <v>2621</v>
      </c>
      <c r="C278" s="64" t="s">
        <v>494</v>
      </c>
      <c r="F278" s="14"/>
      <c r="G278" s="14"/>
      <c r="H278" s="14"/>
      <c r="I278" s="11"/>
      <c r="J278" s="14"/>
      <c r="K278" s="76">
        <v>23</v>
      </c>
      <c r="L278" s="15">
        <v>3</v>
      </c>
      <c r="M278" s="14">
        <v>31</v>
      </c>
      <c r="N278" s="62" t="s">
        <v>2585</v>
      </c>
      <c r="O278" s="66" t="s">
        <v>2595</v>
      </c>
      <c r="P278" s="66" t="s">
        <v>2596</v>
      </c>
      <c r="Q278" s="66" t="s">
        <v>2593</v>
      </c>
      <c r="R278" s="14">
        <v>22</v>
      </c>
    </row>
    <row r="279" spans="2:18" s="1" customFormat="1">
      <c r="B279" s="66"/>
      <c r="C279" s="64"/>
      <c r="F279" s="14"/>
      <c r="G279" s="14"/>
      <c r="H279" s="14"/>
      <c r="I279" s="11"/>
      <c r="J279" s="14"/>
      <c r="K279" s="76"/>
      <c r="L279" s="15"/>
      <c r="M279" s="14"/>
      <c r="N279" s="62"/>
      <c r="O279" s="66"/>
      <c r="P279" s="66"/>
      <c r="Q279" s="66"/>
      <c r="R279" s="14"/>
    </row>
    <row r="282" spans="2:18">
      <c r="H282">
        <v>85000000</v>
      </c>
    </row>
    <row r="283" spans="2:18">
      <c r="H283">
        <f>+H282/1024</f>
        <v>83007.8125</v>
      </c>
    </row>
    <row r="284" spans="2:18">
      <c r="H284">
        <f>+H283/1024</f>
        <v>81.06231689453125</v>
      </c>
    </row>
    <row r="285" spans="2:18">
      <c r="H285">
        <v>16</v>
      </c>
    </row>
    <row r="286" spans="2:18">
      <c r="H286">
        <f>+H284*H285</f>
        <v>1296.9970703125</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sheetPr codeName="Hoja13">
    <tabColor rgb="FF7030A0"/>
  </sheetPr>
  <dimension ref="A1:R315"/>
  <sheetViews>
    <sheetView workbookViewId="0">
      <pane ySplit="1" topLeftCell="A146" activePane="bottomLeft" state="frozenSplit"/>
      <selection pane="bottomLeft" activeCell="A162" sqref="A162:XFD164"/>
    </sheetView>
  </sheetViews>
  <sheetFormatPr baseColWidth="10" defaultRowHeight="12.75"/>
  <cols>
    <col min="1" max="1" width="19.28515625" bestFit="1" customWidth="1"/>
    <col min="2" max="2" width="20.7109375" bestFit="1" customWidth="1"/>
    <col min="3" max="3" width="7.42578125" bestFit="1" customWidth="1"/>
    <col min="4" max="4" width="4" bestFit="1" customWidth="1"/>
    <col min="5" max="5" width="1.7109375" bestFit="1" customWidth="1"/>
    <col min="6" max="6" width="4.5703125" bestFit="1" customWidth="1"/>
    <col min="7" max="7" width="7.7109375" bestFit="1" customWidth="1"/>
    <col min="8" max="8" width="25.85546875" customWidth="1"/>
    <col min="9" max="9" width="18.28515625" customWidth="1"/>
    <col min="10" max="10" width="5.85546875" customWidth="1"/>
    <col min="11" max="11" width="4" customWidth="1"/>
    <col min="12" max="12" width="4.7109375" customWidth="1"/>
    <col min="13" max="13" width="5" customWidth="1"/>
    <col min="14" max="14" width="21.7109375" bestFit="1" customWidth="1"/>
    <col min="15" max="15" width="13.85546875" bestFit="1" customWidth="1"/>
    <col min="16" max="16" width="18.5703125" customWidth="1"/>
    <col min="17" max="17" width="15.28515625" bestFit="1" customWidth="1"/>
    <col min="18" max="18" width="6.425781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ht="12.75" customHeight="1">
      <c r="A2" s="70" t="s">
        <v>1906</v>
      </c>
      <c r="B2" s="70" t="s">
        <v>1907</v>
      </c>
      <c r="C2" s="70" t="s">
        <v>494</v>
      </c>
      <c r="D2" s="62"/>
      <c r="E2" s="62" t="s">
        <v>476</v>
      </c>
      <c r="F2" s="62">
        <v>21</v>
      </c>
      <c r="G2" s="62">
        <v>2101</v>
      </c>
      <c r="H2" s="62" t="s">
        <v>1913</v>
      </c>
      <c r="I2" s="62" t="s">
        <v>1912</v>
      </c>
      <c r="J2" s="62">
        <v>2102</v>
      </c>
      <c r="K2" s="76">
        <v>1</v>
      </c>
      <c r="L2" s="62">
        <v>6</v>
      </c>
      <c r="M2" s="62"/>
      <c r="N2" s="62"/>
      <c r="O2" s="62"/>
      <c r="P2" s="62"/>
    </row>
    <row r="3" spans="1:18" s="3" customFormat="1">
      <c r="A3" s="70"/>
      <c r="B3" s="70" t="s">
        <v>1908</v>
      </c>
      <c r="C3" s="70" t="s">
        <v>494</v>
      </c>
      <c r="D3" s="62"/>
      <c r="E3" s="62"/>
      <c r="F3" s="62"/>
      <c r="G3" s="62"/>
      <c r="H3" s="62"/>
      <c r="I3" s="62"/>
      <c r="J3" s="62"/>
      <c r="K3" s="76">
        <v>2</v>
      </c>
      <c r="L3" s="62">
        <v>6</v>
      </c>
      <c r="M3" s="62"/>
      <c r="N3" s="62"/>
      <c r="O3" s="62"/>
      <c r="P3" s="62"/>
      <c r="Q3" s="12"/>
      <c r="R3" s="12"/>
    </row>
    <row r="4" spans="1:18" s="3" customFormat="1">
      <c r="A4" s="70"/>
      <c r="B4" s="70" t="s">
        <v>1914</v>
      </c>
      <c r="C4" s="70" t="s">
        <v>493</v>
      </c>
      <c r="D4" s="62">
        <v>1</v>
      </c>
      <c r="E4" s="62"/>
      <c r="F4" s="62"/>
      <c r="G4" s="62"/>
      <c r="H4" s="62"/>
      <c r="I4" s="62"/>
      <c r="J4" s="62"/>
      <c r="K4" s="30">
        <v>3</v>
      </c>
      <c r="L4" s="62">
        <v>3</v>
      </c>
      <c r="M4" s="62"/>
      <c r="N4" s="62"/>
      <c r="O4" s="62"/>
      <c r="P4" s="62"/>
      <c r="Q4" s="12"/>
      <c r="R4" s="12"/>
    </row>
    <row r="5" spans="1:18" s="3" customFormat="1">
      <c r="A5" s="70"/>
      <c r="B5" s="70" t="s">
        <v>1915</v>
      </c>
      <c r="C5" s="70" t="s">
        <v>493</v>
      </c>
      <c r="D5" s="62">
        <v>1</v>
      </c>
      <c r="E5" s="62"/>
      <c r="F5" s="62"/>
      <c r="G5" s="62"/>
      <c r="H5" s="62"/>
      <c r="I5" s="62"/>
      <c r="J5" s="62"/>
      <c r="K5" s="76">
        <v>4</v>
      </c>
      <c r="L5" s="75">
        <v>3</v>
      </c>
      <c r="M5" s="62"/>
      <c r="N5" s="62"/>
      <c r="O5" s="62"/>
      <c r="P5" s="62"/>
      <c r="Q5" s="12"/>
      <c r="R5" s="12"/>
    </row>
    <row r="6" spans="1:18" s="3" customFormat="1">
      <c r="A6" s="70"/>
      <c r="B6" s="70" t="s">
        <v>1909</v>
      </c>
      <c r="C6" s="70" t="s">
        <v>493</v>
      </c>
      <c r="D6" s="62">
        <v>100</v>
      </c>
      <c r="E6" s="62"/>
      <c r="F6" s="62"/>
      <c r="G6" s="62"/>
      <c r="H6" s="62"/>
      <c r="I6" s="62"/>
      <c r="J6" s="62"/>
      <c r="K6" s="30">
        <v>5</v>
      </c>
      <c r="L6" s="62"/>
      <c r="M6" s="62"/>
      <c r="N6" s="62"/>
      <c r="O6" s="62"/>
      <c r="P6" s="62"/>
      <c r="Q6" s="12"/>
      <c r="R6" s="12"/>
    </row>
    <row r="7" spans="1:18" s="3" customFormat="1">
      <c r="A7" s="70"/>
      <c r="B7" s="70" t="s">
        <v>1910</v>
      </c>
      <c r="C7" s="70" t="s">
        <v>494</v>
      </c>
      <c r="D7" s="62"/>
      <c r="E7" s="62"/>
      <c r="F7" s="62"/>
      <c r="G7" s="62"/>
      <c r="H7" s="62"/>
      <c r="I7" s="62"/>
      <c r="J7" s="62"/>
      <c r="K7" s="76">
        <v>6</v>
      </c>
      <c r="L7" s="15">
        <v>3</v>
      </c>
      <c r="M7" s="1"/>
      <c r="N7" s="1" t="s">
        <v>693</v>
      </c>
      <c r="O7" s="1" t="s">
        <v>695</v>
      </c>
      <c r="P7" s="1" t="s">
        <v>696</v>
      </c>
      <c r="Q7" s="14"/>
      <c r="R7" s="14"/>
    </row>
    <row r="8" spans="1:18" s="3" customFormat="1">
      <c r="A8" s="70"/>
      <c r="B8" s="70" t="s">
        <v>1911</v>
      </c>
      <c r="C8" s="70" t="s">
        <v>494</v>
      </c>
      <c r="D8" s="62"/>
      <c r="E8" s="62"/>
      <c r="F8" s="62"/>
      <c r="G8" s="62"/>
      <c r="H8" s="62"/>
      <c r="I8" s="62"/>
      <c r="J8" s="62"/>
      <c r="K8" s="30">
        <v>7</v>
      </c>
      <c r="L8" s="1">
        <v>3</v>
      </c>
      <c r="M8" s="1">
        <v>31</v>
      </c>
      <c r="N8" s="62" t="s">
        <v>379</v>
      </c>
      <c r="O8" s="62" t="s">
        <v>698</v>
      </c>
      <c r="P8" s="1" t="s">
        <v>699</v>
      </c>
      <c r="Q8" s="62" t="s">
        <v>383</v>
      </c>
      <c r="R8" s="14">
        <f>+K7</f>
        <v>6</v>
      </c>
    </row>
    <row r="9" spans="1:18" s="3" customFormat="1">
      <c r="A9" s="70"/>
      <c r="B9" s="70" t="s">
        <v>1916</v>
      </c>
      <c r="C9" s="70" t="s">
        <v>494</v>
      </c>
      <c r="D9" s="62"/>
      <c r="E9" s="62"/>
      <c r="F9" s="62"/>
      <c r="G9" s="62"/>
      <c r="H9" s="62"/>
      <c r="I9" s="62"/>
      <c r="J9" s="62"/>
      <c r="K9" s="76">
        <v>8</v>
      </c>
      <c r="L9" s="62">
        <v>3</v>
      </c>
      <c r="M9" s="62"/>
      <c r="N9" s="62" t="s">
        <v>1917</v>
      </c>
      <c r="O9" s="62" t="s">
        <v>1919</v>
      </c>
      <c r="P9" s="62" t="s">
        <v>1921</v>
      </c>
      <c r="Q9" s="12"/>
      <c r="R9" s="12"/>
    </row>
    <row r="10" spans="1:18" s="3" customFormat="1">
      <c r="A10" s="70"/>
      <c r="B10" s="70" t="s">
        <v>1931</v>
      </c>
      <c r="C10" s="70" t="s">
        <v>520</v>
      </c>
      <c r="D10" s="62"/>
      <c r="E10" s="62"/>
      <c r="F10" s="62"/>
      <c r="G10" s="62"/>
      <c r="H10" s="62"/>
      <c r="I10" s="62"/>
      <c r="J10" s="62"/>
      <c r="K10" s="30">
        <v>9</v>
      </c>
      <c r="L10" s="62"/>
      <c r="M10" s="62"/>
      <c r="N10" s="62"/>
      <c r="O10" s="62"/>
      <c r="P10" s="62"/>
      <c r="Q10" s="12"/>
      <c r="R10" s="12"/>
    </row>
    <row r="11" spans="1:18" s="3" customFormat="1">
      <c r="A11" s="70"/>
      <c r="B11" s="70" t="s">
        <v>2882</v>
      </c>
      <c r="C11" s="70" t="s">
        <v>494</v>
      </c>
      <c r="D11" s="62"/>
      <c r="E11" s="62"/>
      <c r="F11" s="62"/>
      <c r="G11" s="62"/>
      <c r="H11" s="62"/>
      <c r="I11" s="62"/>
      <c r="J11" s="62"/>
      <c r="K11" s="30">
        <v>10</v>
      </c>
      <c r="L11" s="62"/>
      <c r="M11" s="62">
        <v>2</v>
      </c>
      <c r="N11" s="62"/>
      <c r="O11" s="62"/>
      <c r="P11" s="62"/>
      <c r="Q11" s="12"/>
      <c r="R11" s="12"/>
    </row>
    <row r="12" spans="1:18" s="3" customFormat="1">
      <c r="A12" s="62"/>
      <c r="B12" s="62"/>
      <c r="C12" s="62"/>
      <c r="D12" s="62"/>
      <c r="E12" s="62"/>
      <c r="F12" s="62"/>
      <c r="G12" s="62"/>
      <c r="H12" s="62"/>
      <c r="I12" s="62"/>
      <c r="J12" s="62"/>
      <c r="K12" s="76"/>
      <c r="L12" s="62"/>
      <c r="M12" s="62"/>
      <c r="N12" s="62"/>
      <c r="O12" s="62"/>
      <c r="P12" s="62"/>
      <c r="Q12" s="12"/>
      <c r="R12" s="12"/>
    </row>
    <row r="13" spans="1:18" s="3" customFormat="1">
      <c r="A13" s="62" t="s">
        <v>1917</v>
      </c>
      <c r="B13" s="62" t="s">
        <v>1918</v>
      </c>
      <c r="C13" s="62" t="s">
        <v>494</v>
      </c>
      <c r="D13" s="62"/>
      <c r="E13" s="62" t="s">
        <v>476</v>
      </c>
      <c r="F13" s="62">
        <v>21</v>
      </c>
      <c r="G13" s="62">
        <v>2102</v>
      </c>
      <c r="H13" s="62" t="s">
        <v>1952</v>
      </c>
      <c r="I13" s="62" t="s">
        <v>1953</v>
      </c>
      <c r="J13" s="62">
        <v>2102</v>
      </c>
      <c r="K13" s="30">
        <v>1</v>
      </c>
      <c r="L13" s="62">
        <v>6</v>
      </c>
      <c r="M13" s="62"/>
      <c r="N13" s="62"/>
      <c r="O13" s="62"/>
      <c r="P13" s="62"/>
      <c r="Q13" s="12"/>
      <c r="R13" s="12"/>
    </row>
    <row r="14" spans="1:18" s="3" customFormat="1">
      <c r="A14" s="62"/>
      <c r="B14" s="62" t="s">
        <v>1919</v>
      </c>
      <c r="C14" s="62" t="s">
        <v>494</v>
      </c>
      <c r="D14" s="62"/>
      <c r="E14" s="62"/>
      <c r="F14" s="62"/>
      <c r="G14" s="62"/>
      <c r="H14" s="62"/>
      <c r="I14" s="62"/>
      <c r="J14" s="62"/>
      <c r="K14" s="76">
        <v>2</v>
      </c>
      <c r="L14" s="62">
        <v>6</v>
      </c>
      <c r="M14" s="62"/>
      <c r="N14" s="62"/>
      <c r="O14" s="62"/>
      <c r="P14" s="62"/>
      <c r="Q14" s="12"/>
      <c r="R14" s="12"/>
    </row>
    <row r="15" spans="1:18" s="3" customFormat="1">
      <c r="A15" s="62"/>
      <c r="B15" s="62" t="s">
        <v>1920</v>
      </c>
      <c r="C15" s="62" t="s">
        <v>493</v>
      </c>
      <c r="D15" s="62">
        <v>1</v>
      </c>
      <c r="E15" s="62"/>
      <c r="F15" s="62"/>
      <c r="G15" s="62"/>
      <c r="H15" s="62"/>
      <c r="I15" s="62"/>
      <c r="J15" s="62"/>
      <c r="K15" s="30">
        <v>3</v>
      </c>
      <c r="L15" s="62">
        <v>3</v>
      </c>
      <c r="M15" s="62"/>
      <c r="N15" s="62"/>
      <c r="O15" s="62"/>
      <c r="P15" s="62"/>
      <c r="Q15" s="12"/>
      <c r="R15" s="12"/>
    </row>
    <row r="16" spans="1:18" s="3" customFormat="1">
      <c r="A16" s="62"/>
      <c r="B16" s="62" t="s">
        <v>1928</v>
      </c>
      <c r="C16" s="62" t="s">
        <v>493</v>
      </c>
      <c r="D16" s="62">
        <v>1</v>
      </c>
      <c r="E16" s="62"/>
      <c r="F16" s="62"/>
      <c r="G16" s="62"/>
      <c r="H16" s="62"/>
      <c r="I16" s="62"/>
      <c r="J16" s="62"/>
      <c r="K16" s="30">
        <v>5</v>
      </c>
      <c r="L16" s="62">
        <v>3</v>
      </c>
      <c r="M16" s="62"/>
      <c r="N16" s="62"/>
      <c r="O16" s="62"/>
      <c r="P16" s="62"/>
      <c r="Q16" s="12"/>
      <c r="R16" s="12"/>
    </row>
    <row r="17" spans="1:18" s="3" customFormat="1">
      <c r="A17" s="62"/>
      <c r="B17" s="62" t="s">
        <v>1921</v>
      </c>
      <c r="C17" s="62" t="s">
        <v>493</v>
      </c>
      <c r="D17" s="62">
        <v>100</v>
      </c>
      <c r="E17" s="62"/>
      <c r="F17" s="62"/>
      <c r="G17" s="62"/>
      <c r="H17" s="62"/>
      <c r="I17" s="62"/>
      <c r="J17" s="62"/>
      <c r="K17" s="76">
        <v>4</v>
      </c>
      <c r="L17" s="62"/>
      <c r="M17" s="62"/>
      <c r="N17" s="62"/>
      <c r="O17" s="62"/>
      <c r="P17" s="62"/>
      <c r="Q17" s="12"/>
      <c r="R17" s="12"/>
    </row>
    <row r="18" spans="1:18" s="3" customFormat="1">
      <c r="A18" s="62"/>
      <c r="B18" s="62" t="s">
        <v>1929</v>
      </c>
      <c r="C18" s="62" t="s">
        <v>494</v>
      </c>
      <c r="D18" s="62"/>
      <c r="E18" s="62"/>
      <c r="F18" s="62"/>
      <c r="G18" s="62"/>
      <c r="H18" s="62"/>
      <c r="I18" s="62"/>
      <c r="J18" s="62"/>
      <c r="K18" s="76">
        <v>6</v>
      </c>
      <c r="L18" s="62">
        <v>8</v>
      </c>
      <c r="M18" s="62"/>
      <c r="N18" s="62"/>
      <c r="O18" s="62"/>
      <c r="P18" s="62"/>
      <c r="Q18" s="12"/>
      <c r="R18" s="12"/>
    </row>
    <row r="19" spans="1:18" s="3" customFormat="1">
      <c r="A19" s="62"/>
      <c r="B19" s="62" t="s">
        <v>1930</v>
      </c>
      <c r="C19" s="62" t="s">
        <v>520</v>
      </c>
      <c r="D19" s="62"/>
      <c r="E19" s="62"/>
      <c r="F19" s="62"/>
      <c r="G19" s="62"/>
      <c r="H19" s="62"/>
      <c r="I19" s="62"/>
      <c r="J19" s="62"/>
      <c r="K19" s="30">
        <v>7</v>
      </c>
      <c r="L19" s="62"/>
      <c r="M19" s="62"/>
      <c r="N19" s="62"/>
      <c r="O19" s="62"/>
      <c r="P19" s="62"/>
      <c r="Q19" s="12"/>
      <c r="R19" s="12"/>
    </row>
    <row r="20" spans="1:18" s="3" customFormat="1">
      <c r="A20" s="62"/>
      <c r="B20" s="62"/>
      <c r="C20" s="62"/>
      <c r="D20" s="62"/>
      <c r="E20" s="62"/>
      <c r="F20" s="62"/>
      <c r="G20" s="62"/>
      <c r="H20" s="62"/>
      <c r="I20" s="62"/>
      <c r="J20" s="62"/>
      <c r="K20" s="76"/>
      <c r="L20" s="62"/>
      <c r="M20" s="62"/>
      <c r="N20" s="62"/>
      <c r="O20" s="62"/>
      <c r="P20" s="62"/>
      <c r="Q20" s="12"/>
      <c r="R20" s="12"/>
    </row>
    <row r="21" spans="1:18" s="3" customFormat="1">
      <c r="A21" s="62" t="s">
        <v>1922</v>
      </c>
      <c r="B21" s="62" t="s">
        <v>1923</v>
      </c>
      <c r="C21" s="62" t="s">
        <v>494</v>
      </c>
      <c r="D21" s="62"/>
      <c r="E21" s="62" t="s">
        <v>476</v>
      </c>
      <c r="F21" s="62">
        <v>21</v>
      </c>
      <c r="G21" s="62">
        <v>2103</v>
      </c>
      <c r="H21" s="62" t="s">
        <v>1954</v>
      </c>
      <c r="I21" s="62" t="s">
        <v>1955</v>
      </c>
      <c r="J21" s="62">
        <v>2102</v>
      </c>
      <c r="K21" s="30">
        <v>1</v>
      </c>
      <c r="L21" s="62">
        <v>52</v>
      </c>
      <c r="M21" s="62"/>
      <c r="N21" s="62">
        <v>2102</v>
      </c>
      <c r="O21" s="62" t="s">
        <v>1919</v>
      </c>
      <c r="P21" s="62"/>
      <c r="Q21" s="12"/>
      <c r="R21" s="12"/>
    </row>
    <row r="22" spans="1:18" s="3" customFormat="1">
      <c r="A22" s="62"/>
      <c r="B22" s="62" t="s">
        <v>1924</v>
      </c>
      <c r="C22" s="62" t="s">
        <v>494</v>
      </c>
      <c r="D22" s="62"/>
      <c r="E22" s="62" t="s">
        <v>476</v>
      </c>
      <c r="F22" s="62"/>
      <c r="G22" s="62"/>
      <c r="H22" s="62"/>
      <c r="I22" s="62"/>
      <c r="J22" s="62"/>
      <c r="K22" s="76">
        <v>2</v>
      </c>
      <c r="L22" s="62">
        <v>3</v>
      </c>
      <c r="M22" s="62"/>
      <c r="N22" s="64" t="s">
        <v>506</v>
      </c>
      <c r="O22" s="64" t="s">
        <v>514</v>
      </c>
      <c r="P22" s="1" t="s">
        <v>515</v>
      </c>
      <c r="Q22" s="12"/>
      <c r="R22" s="12"/>
    </row>
    <row r="23" spans="1:18" s="3" customFormat="1">
      <c r="A23" s="62"/>
      <c r="B23" s="62" t="s">
        <v>1925</v>
      </c>
      <c r="C23" s="62" t="s">
        <v>494</v>
      </c>
      <c r="D23" s="62"/>
      <c r="E23" s="62"/>
      <c r="F23" s="62"/>
      <c r="G23" s="62"/>
      <c r="H23" s="62"/>
      <c r="I23" s="62"/>
      <c r="J23" s="62"/>
      <c r="K23" s="30">
        <v>3</v>
      </c>
      <c r="L23" s="62">
        <v>6</v>
      </c>
      <c r="M23" s="62"/>
      <c r="N23" s="62"/>
      <c r="O23" s="62"/>
      <c r="P23" s="62"/>
      <c r="Q23" s="12"/>
      <c r="R23" s="12"/>
    </row>
    <row r="24" spans="1:18" s="3" customFormat="1">
      <c r="A24" s="62"/>
      <c r="B24" s="62" t="s">
        <v>1926</v>
      </c>
      <c r="C24" s="62" t="s">
        <v>493</v>
      </c>
      <c r="D24" s="62">
        <v>1</v>
      </c>
      <c r="E24" s="62"/>
      <c r="F24" s="62"/>
      <c r="G24" s="62"/>
      <c r="H24" s="62"/>
      <c r="I24" s="62"/>
      <c r="J24" s="62"/>
      <c r="K24" s="76">
        <v>4</v>
      </c>
      <c r="L24" s="62">
        <v>3</v>
      </c>
      <c r="M24" s="62"/>
      <c r="N24" s="62"/>
      <c r="O24" s="62"/>
      <c r="P24" s="62"/>
      <c r="Q24" s="12"/>
      <c r="R24" s="12"/>
    </row>
    <row r="25" spans="1:18" s="3" customFormat="1">
      <c r="A25" s="62"/>
      <c r="B25" s="62" t="s">
        <v>1927</v>
      </c>
      <c r="C25" s="62" t="s">
        <v>520</v>
      </c>
      <c r="D25" s="62"/>
      <c r="E25" s="62"/>
      <c r="F25" s="62"/>
      <c r="G25" s="62"/>
      <c r="H25" s="62"/>
      <c r="I25" s="62"/>
      <c r="J25" s="62"/>
      <c r="K25" s="30">
        <v>5</v>
      </c>
      <c r="L25" s="62"/>
      <c r="M25" s="62"/>
      <c r="N25" s="62"/>
      <c r="O25" s="62"/>
      <c r="P25" s="62"/>
      <c r="Q25" s="12"/>
      <c r="R25" s="12"/>
    </row>
    <row r="26" spans="1:18" s="3" customFormat="1">
      <c r="A26" s="62"/>
      <c r="B26" s="62"/>
      <c r="C26" s="62"/>
      <c r="D26" s="62"/>
      <c r="E26" s="62"/>
      <c r="F26" s="62"/>
      <c r="G26" s="62"/>
      <c r="H26" s="62"/>
      <c r="I26" s="62"/>
      <c r="J26" s="62"/>
      <c r="K26" s="76"/>
      <c r="L26" s="62"/>
      <c r="M26" s="62"/>
      <c r="N26" s="62"/>
      <c r="O26" s="62"/>
      <c r="P26" s="62"/>
      <c r="Q26" s="12"/>
      <c r="R26" s="12"/>
    </row>
    <row r="27" spans="1:18" s="3" customFormat="1">
      <c r="A27" s="62" t="s">
        <v>1934</v>
      </c>
      <c r="B27" s="62" t="s">
        <v>1933</v>
      </c>
      <c r="C27" s="62" t="s">
        <v>494</v>
      </c>
      <c r="D27" s="62"/>
      <c r="E27" s="62" t="s">
        <v>476</v>
      </c>
      <c r="F27" s="62">
        <v>21</v>
      </c>
      <c r="G27" s="62">
        <v>2104</v>
      </c>
      <c r="H27" s="62" t="s">
        <v>1042</v>
      </c>
      <c r="I27" s="62" t="s">
        <v>1950</v>
      </c>
      <c r="J27" s="62">
        <v>2102</v>
      </c>
      <c r="K27" s="30">
        <v>1</v>
      </c>
      <c r="L27" s="62">
        <v>52</v>
      </c>
      <c r="M27" s="62"/>
      <c r="N27" s="62">
        <v>2101</v>
      </c>
      <c r="O27" s="62" t="s">
        <v>1908</v>
      </c>
      <c r="P27" s="62"/>
      <c r="Q27" s="12"/>
      <c r="R27" s="12"/>
    </row>
    <row r="28" spans="1:18" s="3" customFormat="1">
      <c r="A28" s="62"/>
      <c r="B28" s="62" t="s">
        <v>1932</v>
      </c>
      <c r="C28" s="62" t="s">
        <v>494</v>
      </c>
      <c r="D28" s="62"/>
      <c r="E28" s="62" t="s">
        <v>476</v>
      </c>
      <c r="F28" s="62"/>
      <c r="G28" s="62"/>
      <c r="H28" s="62"/>
      <c r="I28" s="62"/>
      <c r="J28" s="62"/>
      <c r="K28" s="76">
        <v>2</v>
      </c>
      <c r="L28" s="62">
        <v>9</v>
      </c>
      <c r="M28" s="62"/>
      <c r="N28" s="1" t="s">
        <v>1038</v>
      </c>
      <c r="O28" s="23" t="s">
        <v>1040</v>
      </c>
      <c r="P28" s="23" t="s">
        <v>1041</v>
      </c>
      <c r="Q28" s="23" t="s">
        <v>1040</v>
      </c>
      <c r="R28" s="14">
        <v>140</v>
      </c>
    </row>
    <row r="29" spans="1:18" s="3" customFormat="1">
      <c r="A29" s="62"/>
      <c r="B29" s="62" t="s">
        <v>1935</v>
      </c>
      <c r="C29" s="62" t="s">
        <v>494</v>
      </c>
      <c r="D29" s="62"/>
      <c r="E29" s="62"/>
      <c r="F29" s="62"/>
      <c r="G29" s="62"/>
      <c r="H29" s="62"/>
      <c r="I29" s="62"/>
      <c r="J29" s="62"/>
      <c r="K29" s="30">
        <v>3</v>
      </c>
      <c r="L29" s="62">
        <v>6</v>
      </c>
      <c r="M29" s="62"/>
      <c r="N29" s="62"/>
      <c r="O29" s="62"/>
      <c r="P29" s="62"/>
      <c r="Q29" s="12"/>
      <c r="R29" s="12"/>
    </row>
    <row r="30" spans="1:18" s="3" customFormat="1">
      <c r="A30" s="62"/>
      <c r="B30" s="62" t="s">
        <v>1936</v>
      </c>
      <c r="C30" s="62" t="s">
        <v>493</v>
      </c>
      <c r="D30" s="62">
        <v>1</v>
      </c>
      <c r="E30" s="62"/>
      <c r="F30" s="62"/>
      <c r="G30" s="62"/>
      <c r="H30" s="62"/>
      <c r="I30" s="62"/>
      <c r="J30" s="62"/>
      <c r="K30" s="76">
        <v>4</v>
      </c>
      <c r="L30" s="62">
        <v>3</v>
      </c>
      <c r="M30" s="62"/>
      <c r="N30" s="62"/>
      <c r="O30" s="62"/>
      <c r="P30" s="62"/>
      <c r="Q30" s="12"/>
      <c r="R30" s="12"/>
    </row>
    <row r="31" spans="1:18" s="3" customFormat="1">
      <c r="A31" s="62"/>
      <c r="B31" s="62" t="s">
        <v>1937</v>
      </c>
      <c r="C31" s="62" t="s">
        <v>520</v>
      </c>
      <c r="D31" s="62"/>
      <c r="E31" s="62"/>
      <c r="F31" s="62"/>
      <c r="G31" s="62"/>
      <c r="H31" s="62"/>
      <c r="I31" s="62"/>
      <c r="J31" s="62"/>
      <c r="K31" s="30">
        <v>5</v>
      </c>
      <c r="L31" s="62"/>
      <c r="M31" s="62"/>
      <c r="N31" s="62"/>
      <c r="O31" s="62"/>
      <c r="P31" s="62"/>
      <c r="Q31" s="12"/>
      <c r="R31" s="12"/>
    </row>
    <row r="32" spans="1:18" s="3" customFormat="1">
      <c r="A32" s="62"/>
      <c r="B32" s="62"/>
      <c r="C32" s="62"/>
      <c r="D32" s="62"/>
      <c r="E32" s="62"/>
      <c r="F32" s="62"/>
      <c r="G32" s="62"/>
      <c r="H32" s="62"/>
      <c r="I32" s="62"/>
      <c r="J32" s="62"/>
      <c r="K32" s="76"/>
      <c r="L32" s="62"/>
      <c r="M32" s="62"/>
      <c r="N32" s="62"/>
      <c r="O32" s="62"/>
      <c r="P32" s="62"/>
      <c r="Q32" s="12"/>
      <c r="R32" s="12"/>
    </row>
    <row r="33" spans="1:18" s="3" customFormat="1">
      <c r="A33" s="62" t="s">
        <v>1938</v>
      </c>
      <c r="B33" s="62" t="s">
        <v>1939</v>
      </c>
      <c r="C33" s="62" t="s">
        <v>494</v>
      </c>
      <c r="D33" s="62"/>
      <c r="E33" s="62" t="s">
        <v>476</v>
      </c>
      <c r="F33" s="62">
        <v>21</v>
      </c>
      <c r="G33" s="62">
        <v>2105</v>
      </c>
      <c r="H33" s="62" t="s">
        <v>286</v>
      </c>
      <c r="I33" s="62" t="s">
        <v>1956</v>
      </c>
      <c r="J33" s="62">
        <v>2</v>
      </c>
      <c r="K33" s="30">
        <v>1</v>
      </c>
      <c r="L33" s="62">
        <v>6</v>
      </c>
      <c r="M33" s="62"/>
      <c r="N33" s="62"/>
      <c r="O33" s="62"/>
      <c r="P33" s="62"/>
      <c r="Q33" s="12"/>
      <c r="R33" s="12"/>
    </row>
    <row r="34" spans="1:18" s="3" customFormat="1">
      <c r="A34" s="62"/>
      <c r="B34" s="62" t="s">
        <v>1940</v>
      </c>
      <c r="C34" s="62" t="s">
        <v>494</v>
      </c>
      <c r="D34" s="62"/>
      <c r="E34" s="62"/>
      <c r="F34" s="62"/>
      <c r="G34" s="62"/>
      <c r="H34" s="62"/>
      <c r="I34" s="62"/>
      <c r="J34" s="62"/>
      <c r="K34" s="76">
        <v>2</v>
      </c>
      <c r="L34" s="62">
        <v>6</v>
      </c>
      <c r="M34" s="62"/>
      <c r="N34" s="62"/>
      <c r="O34" s="62"/>
      <c r="P34" s="62"/>
      <c r="Q34" s="12"/>
      <c r="R34" s="12"/>
    </row>
    <row r="35" spans="1:18" s="3" customFormat="1">
      <c r="A35" s="62"/>
      <c r="B35" s="62" t="s">
        <v>1942</v>
      </c>
      <c r="C35" s="62" t="s">
        <v>493</v>
      </c>
      <c r="D35" s="62">
        <v>1</v>
      </c>
      <c r="E35" s="62"/>
      <c r="F35" s="62"/>
      <c r="G35" s="62"/>
      <c r="H35" s="62"/>
      <c r="I35" s="62"/>
      <c r="J35" s="62"/>
      <c r="K35" s="30">
        <v>3</v>
      </c>
      <c r="L35" s="62">
        <v>3</v>
      </c>
      <c r="M35" s="62"/>
      <c r="N35" s="62"/>
      <c r="O35" s="62"/>
      <c r="P35" s="62"/>
      <c r="Q35" s="12"/>
      <c r="R35" s="12"/>
    </row>
    <row r="36" spans="1:18" s="3" customFormat="1">
      <c r="A36" s="62"/>
      <c r="B36" s="62" t="s">
        <v>2128</v>
      </c>
      <c r="C36" s="62" t="s">
        <v>494</v>
      </c>
      <c r="D36" s="62"/>
      <c r="E36" s="62"/>
      <c r="F36" s="62"/>
      <c r="G36" s="62"/>
      <c r="H36" s="62"/>
      <c r="I36" s="62"/>
      <c r="J36" s="62"/>
      <c r="K36" s="76">
        <v>4</v>
      </c>
      <c r="L36" s="75">
        <v>3</v>
      </c>
      <c r="M36" s="62"/>
      <c r="N36" s="1" t="s">
        <v>551</v>
      </c>
      <c r="O36" s="1" t="s">
        <v>552</v>
      </c>
      <c r="P36" s="1" t="s">
        <v>553</v>
      </c>
      <c r="Q36" s="12"/>
      <c r="R36" s="12"/>
    </row>
    <row r="37" spans="1:18" s="3" customFormat="1">
      <c r="A37" s="62"/>
      <c r="B37" s="62" t="s">
        <v>1941</v>
      </c>
      <c r="C37" s="62" t="s">
        <v>493</v>
      </c>
      <c r="D37" s="62">
        <v>100</v>
      </c>
      <c r="E37" s="62"/>
      <c r="F37" s="62"/>
      <c r="G37" s="62"/>
      <c r="H37" s="62"/>
      <c r="I37" s="62"/>
      <c r="J37" s="62"/>
      <c r="K37" s="76">
        <v>5</v>
      </c>
      <c r="L37" s="62"/>
      <c r="M37" s="62"/>
      <c r="N37" s="62"/>
      <c r="O37" s="62"/>
      <c r="P37" s="62"/>
      <c r="Q37" s="12"/>
      <c r="R37" s="12"/>
    </row>
    <row r="38" spans="1:18" s="3" customFormat="1">
      <c r="A38" s="62"/>
      <c r="B38" s="62"/>
      <c r="C38" s="62"/>
      <c r="D38" s="62"/>
      <c r="E38" s="62"/>
      <c r="F38" s="62"/>
      <c r="G38" s="62"/>
      <c r="H38" s="62"/>
      <c r="I38" s="62"/>
      <c r="J38" s="62"/>
      <c r="K38" s="76"/>
      <c r="L38" s="62"/>
      <c r="M38" s="62"/>
      <c r="N38" s="62"/>
      <c r="O38" s="62"/>
      <c r="P38" s="62"/>
      <c r="Q38" s="12"/>
      <c r="R38" s="12"/>
    </row>
    <row r="39" spans="1:18" s="3" customFormat="1">
      <c r="A39" s="62" t="s">
        <v>1943</v>
      </c>
      <c r="B39" s="62" t="s">
        <v>1944</v>
      </c>
      <c r="C39" s="62" t="s">
        <v>494</v>
      </c>
      <c r="D39" s="62"/>
      <c r="E39" s="62" t="s">
        <v>476</v>
      </c>
      <c r="F39" s="62">
        <v>21</v>
      </c>
      <c r="G39" s="62">
        <v>2106</v>
      </c>
      <c r="H39" s="62" t="s">
        <v>994</v>
      </c>
      <c r="I39" s="62" t="s">
        <v>1951</v>
      </c>
      <c r="J39" s="62">
        <v>2102</v>
      </c>
      <c r="K39" s="30">
        <v>1</v>
      </c>
      <c r="L39" s="62">
        <v>52</v>
      </c>
      <c r="M39" s="62"/>
      <c r="N39" s="62">
        <v>2101</v>
      </c>
      <c r="O39" s="62" t="s">
        <v>1908</v>
      </c>
      <c r="P39" s="62"/>
      <c r="Q39" s="12"/>
      <c r="R39" s="12"/>
    </row>
    <row r="40" spans="1:18" s="3" customFormat="1">
      <c r="A40" s="62"/>
      <c r="B40" s="62" t="s">
        <v>1945</v>
      </c>
      <c r="C40" s="62" t="s">
        <v>494</v>
      </c>
      <c r="D40" s="62"/>
      <c r="E40" s="62" t="s">
        <v>476</v>
      </c>
      <c r="F40" s="62"/>
      <c r="G40" s="62"/>
      <c r="H40" s="62"/>
      <c r="I40" s="62"/>
      <c r="J40" s="62"/>
      <c r="K40" s="76">
        <v>2</v>
      </c>
      <c r="L40" s="62">
        <v>8</v>
      </c>
      <c r="M40" s="62"/>
      <c r="N40" s="62"/>
      <c r="O40" s="62"/>
      <c r="P40" s="62"/>
      <c r="Q40" s="12"/>
      <c r="R40" s="12"/>
    </row>
    <row r="41" spans="1:18" s="3" customFormat="1">
      <c r="A41" s="62"/>
      <c r="B41" s="62" t="s">
        <v>1946</v>
      </c>
      <c r="C41" s="62" t="s">
        <v>494</v>
      </c>
      <c r="D41" s="62"/>
      <c r="E41" s="62"/>
      <c r="F41" s="62"/>
      <c r="G41" s="62"/>
      <c r="H41" s="62"/>
      <c r="I41" s="62"/>
      <c r="J41" s="62"/>
      <c r="K41" s="30">
        <v>3</v>
      </c>
      <c r="L41" s="62">
        <v>6</v>
      </c>
      <c r="M41" s="62"/>
      <c r="N41" s="62"/>
      <c r="O41" s="62"/>
      <c r="P41" s="62"/>
      <c r="Q41" s="12"/>
      <c r="R41" s="12"/>
    </row>
    <row r="42" spans="1:18" s="3" customFormat="1">
      <c r="A42" s="62"/>
      <c r="B42" s="62" t="s">
        <v>1947</v>
      </c>
      <c r="C42" s="62" t="s">
        <v>493</v>
      </c>
      <c r="D42" s="62">
        <v>1</v>
      </c>
      <c r="E42" s="62"/>
      <c r="F42" s="62"/>
      <c r="G42" s="62"/>
      <c r="H42" s="62"/>
      <c r="I42" s="62"/>
      <c r="J42" s="62"/>
      <c r="K42" s="76">
        <v>4</v>
      </c>
      <c r="L42" s="62">
        <v>3</v>
      </c>
      <c r="M42" s="62"/>
      <c r="N42" s="62"/>
      <c r="O42" s="62"/>
      <c r="P42" s="62"/>
      <c r="Q42" s="12"/>
      <c r="R42" s="12"/>
    </row>
    <row r="43" spans="1:18" s="3" customFormat="1">
      <c r="A43" s="62"/>
      <c r="B43" s="62" t="s">
        <v>1948</v>
      </c>
      <c r="C43" s="62" t="s">
        <v>493</v>
      </c>
      <c r="D43" s="62">
        <v>10</v>
      </c>
      <c r="E43" s="62"/>
      <c r="F43" s="62"/>
      <c r="G43" s="62"/>
      <c r="H43" s="62"/>
      <c r="I43" s="62"/>
      <c r="J43" s="62"/>
      <c r="K43" s="30">
        <v>5</v>
      </c>
      <c r="L43" s="62">
        <v>7</v>
      </c>
      <c r="M43" s="62"/>
      <c r="N43" s="62"/>
      <c r="O43" s="62"/>
      <c r="P43" s="62"/>
      <c r="Q43" s="12"/>
      <c r="R43" s="12"/>
    </row>
    <row r="44" spans="1:18" s="3" customFormat="1">
      <c r="A44" s="62"/>
      <c r="B44" s="62" t="s">
        <v>1949</v>
      </c>
      <c r="C44" s="62" t="s">
        <v>493</v>
      </c>
      <c r="D44" s="62">
        <v>10</v>
      </c>
      <c r="E44" s="62"/>
      <c r="F44" s="62"/>
      <c r="G44" s="62"/>
      <c r="H44" s="62"/>
      <c r="I44" s="62"/>
      <c r="J44" s="62"/>
      <c r="K44" s="76">
        <v>6</v>
      </c>
      <c r="L44" s="62">
        <v>7</v>
      </c>
      <c r="M44" s="62"/>
      <c r="N44" s="62"/>
      <c r="O44" s="62"/>
      <c r="P44" s="62"/>
      <c r="Q44" s="12"/>
      <c r="R44" s="12"/>
    </row>
    <row r="45" spans="1:18" s="3" customFormat="1">
      <c r="A45" s="62"/>
      <c r="B45" s="62"/>
      <c r="C45" s="62"/>
      <c r="D45" s="62"/>
      <c r="E45" s="62"/>
      <c r="F45" s="62"/>
      <c r="G45" s="62"/>
      <c r="H45" s="62"/>
      <c r="I45" s="62"/>
      <c r="J45" s="62"/>
      <c r="K45" s="76"/>
      <c r="L45" s="62"/>
      <c r="M45" s="62"/>
      <c r="N45" s="62"/>
      <c r="O45" s="62"/>
      <c r="P45" s="62"/>
      <c r="Q45" s="12"/>
      <c r="R45" s="12"/>
    </row>
    <row r="46" spans="1:18" s="3" customFormat="1">
      <c r="A46" s="62" t="s">
        <v>1957</v>
      </c>
      <c r="B46" s="62" t="s">
        <v>1958</v>
      </c>
      <c r="C46" s="62" t="s">
        <v>494</v>
      </c>
      <c r="D46" s="62"/>
      <c r="E46" s="62" t="s">
        <v>476</v>
      </c>
      <c r="F46" s="62">
        <v>21</v>
      </c>
      <c r="G46" s="62">
        <v>2107</v>
      </c>
      <c r="H46" s="62" t="s">
        <v>800</v>
      </c>
      <c r="I46" s="62" t="s">
        <v>1994</v>
      </c>
      <c r="J46" s="62">
        <v>2</v>
      </c>
      <c r="K46" s="76">
        <v>1</v>
      </c>
      <c r="L46" s="62"/>
      <c r="M46" s="62"/>
      <c r="N46" s="62"/>
      <c r="O46" s="62"/>
      <c r="P46" s="62"/>
      <c r="Q46" s="12"/>
      <c r="R46" s="12"/>
    </row>
    <row r="47" spans="1:18" s="3" customFormat="1">
      <c r="A47" s="62"/>
      <c r="B47" s="62" t="s">
        <v>1959</v>
      </c>
      <c r="C47" s="62" t="s">
        <v>494</v>
      </c>
      <c r="D47" s="62"/>
      <c r="E47" s="62"/>
      <c r="F47" s="62"/>
      <c r="G47" s="62"/>
      <c r="H47" s="62"/>
      <c r="I47" s="62"/>
      <c r="J47" s="62"/>
      <c r="K47" s="76">
        <v>2</v>
      </c>
      <c r="L47" s="62">
        <v>3</v>
      </c>
      <c r="M47" s="62"/>
      <c r="N47" s="64" t="s">
        <v>506</v>
      </c>
      <c r="O47" s="64" t="s">
        <v>514</v>
      </c>
      <c r="P47" s="1" t="s">
        <v>515</v>
      </c>
      <c r="Q47" s="12"/>
      <c r="R47" s="12"/>
    </row>
    <row r="48" spans="1:18" s="3" customFormat="1">
      <c r="A48" s="62"/>
      <c r="B48" s="62" t="s">
        <v>4051</v>
      </c>
      <c r="C48" s="62" t="s">
        <v>493</v>
      </c>
      <c r="D48" s="62">
        <v>1</v>
      </c>
      <c r="E48" s="62"/>
      <c r="F48" s="62"/>
      <c r="G48" s="62"/>
      <c r="H48" s="62"/>
      <c r="I48" s="62"/>
      <c r="J48" s="62"/>
      <c r="K48" s="76">
        <v>3</v>
      </c>
      <c r="L48" s="62">
        <v>3</v>
      </c>
      <c r="M48" s="62"/>
      <c r="N48" s="64"/>
      <c r="O48" s="64"/>
      <c r="P48" s="1"/>
      <c r="Q48" s="12"/>
      <c r="R48" s="12"/>
    </row>
    <row r="49" spans="1:18" s="3" customFormat="1">
      <c r="A49" s="62"/>
      <c r="B49" s="62" t="s">
        <v>4052</v>
      </c>
      <c r="C49" s="62" t="s">
        <v>493</v>
      </c>
      <c r="D49" s="62">
        <v>50</v>
      </c>
      <c r="E49" s="62"/>
      <c r="F49" s="62"/>
      <c r="G49" s="62"/>
      <c r="H49" s="62"/>
      <c r="I49" s="62"/>
      <c r="J49" s="62"/>
      <c r="K49" s="76">
        <v>4</v>
      </c>
      <c r="L49" s="62"/>
      <c r="M49" s="62"/>
      <c r="N49" s="64"/>
      <c r="O49" s="64"/>
      <c r="P49" s="1"/>
      <c r="Q49" s="12"/>
      <c r="R49" s="12"/>
    </row>
    <row r="50" spans="1:18" s="3" customFormat="1">
      <c r="A50" s="62"/>
      <c r="B50" s="62" t="s">
        <v>4053</v>
      </c>
      <c r="C50" s="62" t="s">
        <v>493</v>
      </c>
      <c r="D50" s="62">
        <v>1</v>
      </c>
      <c r="E50" s="62"/>
      <c r="F50" s="62"/>
      <c r="G50" s="62"/>
      <c r="H50" s="62"/>
      <c r="I50" s="62"/>
      <c r="J50" s="62"/>
      <c r="K50" s="76">
        <v>5</v>
      </c>
      <c r="L50" s="62">
        <v>3</v>
      </c>
      <c r="M50" s="62"/>
      <c r="N50" s="64"/>
      <c r="O50" s="64"/>
      <c r="P50" s="1"/>
      <c r="Q50" s="12"/>
      <c r="R50" s="12"/>
    </row>
    <row r="51" spans="1:18" s="3" customFormat="1">
      <c r="A51" s="62"/>
      <c r="B51" s="62" t="s">
        <v>4054</v>
      </c>
      <c r="C51" s="62" t="s">
        <v>493</v>
      </c>
      <c r="D51" s="62">
        <v>1</v>
      </c>
      <c r="E51" s="62"/>
      <c r="F51" s="62"/>
      <c r="G51" s="62"/>
      <c r="H51" s="62"/>
      <c r="I51" s="62"/>
      <c r="J51" s="62"/>
      <c r="K51" s="76">
        <v>6</v>
      </c>
      <c r="L51" s="62">
        <v>3</v>
      </c>
      <c r="M51" s="62"/>
      <c r="N51" s="64"/>
      <c r="O51" s="64"/>
      <c r="P51" s="1"/>
      <c r="Q51" s="12"/>
      <c r="R51" s="12"/>
    </row>
    <row r="52" spans="1:18" s="3" customFormat="1">
      <c r="A52" s="62"/>
      <c r="B52" s="62" t="s">
        <v>4055</v>
      </c>
      <c r="C52" s="62" t="s">
        <v>493</v>
      </c>
      <c r="D52" s="62">
        <v>50</v>
      </c>
      <c r="E52" s="62"/>
      <c r="F52" s="62"/>
      <c r="G52" s="62"/>
      <c r="H52" s="62"/>
      <c r="I52" s="62"/>
      <c r="J52" s="62"/>
      <c r="K52" s="76">
        <v>7</v>
      </c>
      <c r="L52" s="62"/>
      <c r="M52" s="62"/>
      <c r="N52" s="64"/>
      <c r="O52" s="64"/>
      <c r="P52" s="1"/>
      <c r="Q52" s="12"/>
      <c r="R52" s="12"/>
    </row>
    <row r="53" spans="1:18" s="3" customFormat="1">
      <c r="A53" s="62"/>
      <c r="B53" s="62" t="s">
        <v>4056</v>
      </c>
      <c r="C53" s="62" t="s">
        <v>493</v>
      </c>
      <c r="D53" s="62">
        <v>100</v>
      </c>
      <c r="E53" s="62"/>
      <c r="F53" s="62"/>
      <c r="G53" s="62"/>
      <c r="H53" s="62"/>
      <c r="I53" s="62"/>
      <c r="J53" s="62"/>
      <c r="K53" s="76">
        <v>8</v>
      </c>
      <c r="L53" s="62"/>
      <c r="M53" s="62"/>
      <c r="N53" s="64"/>
      <c r="O53" s="64"/>
      <c r="P53" s="1"/>
      <c r="Q53" s="12"/>
      <c r="R53" s="12"/>
    </row>
    <row r="54" spans="1:18" s="3" customFormat="1">
      <c r="A54" s="62"/>
      <c r="B54" s="62" t="s">
        <v>4057</v>
      </c>
      <c r="C54" s="62" t="s">
        <v>494</v>
      </c>
      <c r="D54" s="62"/>
      <c r="E54" s="62"/>
      <c r="F54" s="62"/>
      <c r="G54" s="62"/>
      <c r="H54" s="62"/>
      <c r="I54" s="62"/>
      <c r="J54" s="62"/>
      <c r="K54" s="76">
        <v>9</v>
      </c>
      <c r="L54" s="62">
        <v>3</v>
      </c>
      <c r="M54" s="62"/>
      <c r="N54" s="62" t="s">
        <v>2495</v>
      </c>
      <c r="O54" s="62" t="s">
        <v>2497</v>
      </c>
      <c r="P54" s="62" t="s">
        <v>2500</v>
      </c>
      <c r="Q54" s="12"/>
      <c r="R54" s="12"/>
    </row>
    <row r="55" spans="1:18" s="3" customFormat="1">
      <c r="A55" s="62"/>
      <c r="B55" s="62" t="s">
        <v>6816</v>
      </c>
      <c r="C55" s="62" t="s">
        <v>493</v>
      </c>
      <c r="D55" s="62">
        <v>1</v>
      </c>
      <c r="E55" s="62"/>
      <c r="F55" s="62"/>
      <c r="G55" s="62"/>
      <c r="H55" s="62"/>
      <c r="I55" s="62"/>
      <c r="J55" s="62"/>
      <c r="K55" s="76">
        <v>10</v>
      </c>
      <c r="L55" s="62">
        <v>3</v>
      </c>
      <c r="M55" s="62"/>
      <c r="N55" s="62"/>
      <c r="O55" s="62"/>
      <c r="P55" s="62"/>
      <c r="Q55" s="12"/>
      <c r="R55" s="12"/>
    </row>
    <row r="56" spans="1:18" s="3" customFormat="1">
      <c r="A56" s="62"/>
      <c r="B56" s="62" t="s">
        <v>6817</v>
      </c>
      <c r="C56" s="62" t="s">
        <v>520</v>
      </c>
      <c r="D56" s="62"/>
      <c r="E56" s="62"/>
      <c r="F56" s="62"/>
      <c r="G56" s="62"/>
      <c r="H56" s="62"/>
      <c r="I56" s="62"/>
      <c r="J56" s="62"/>
      <c r="K56" s="76">
        <v>11</v>
      </c>
      <c r="L56" s="62"/>
      <c r="M56" s="62"/>
      <c r="N56" s="62"/>
      <c r="O56" s="62"/>
      <c r="P56" s="62"/>
      <c r="Q56" s="12"/>
      <c r="R56" s="12"/>
    </row>
    <row r="57" spans="1:18" s="3" customFormat="1">
      <c r="A57" s="62"/>
      <c r="B57" s="62"/>
      <c r="C57" s="62"/>
      <c r="D57" s="62"/>
      <c r="E57" s="62"/>
      <c r="F57" s="62"/>
      <c r="G57" s="62"/>
      <c r="H57" s="62"/>
      <c r="I57" s="62"/>
      <c r="J57" s="62"/>
      <c r="K57" s="76"/>
      <c r="L57" s="62"/>
      <c r="M57" s="62"/>
      <c r="N57" s="62"/>
      <c r="O57" s="62"/>
      <c r="P57" s="62"/>
      <c r="Q57" s="12"/>
      <c r="R57" s="12"/>
    </row>
    <row r="58" spans="1:18" s="3" customFormat="1">
      <c r="A58" s="62" t="s">
        <v>1960</v>
      </c>
      <c r="B58" s="62" t="s">
        <v>1961</v>
      </c>
      <c r="C58" s="62" t="s">
        <v>494</v>
      </c>
      <c r="D58" s="62"/>
      <c r="E58" s="62" t="s">
        <v>476</v>
      </c>
      <c r="F58" s="62">
        <v>21</v>
      </c>
      <c r="G58" s="62">
        <v>2108</v>
      </c>
      <c r="H58" s="62" t="s">
        <v>1995</v>
      </c>
      <c r="I58" s="62" t="s">
        <v>1996</v>
      </c>
      <c r="J58" s="62">
        <v>2101</v>
      </c>
      <c r="K58" s="76">
        <v>1</v>
      </c>
      <c r="L58" s="62">
        <v>3</v>
      </c>
      <c r="M58" s="62"/>
      <c r="N58" s="64" t="s">
        <v>506</v>
      </c>
      <c r="O58" s="64" t="s">
        <v>514</v>
      </c>
      <c r="P58" s="1" t="s">
        <v>515</v>
      </c>
      <c r="Q58" s="12"/>
      <c r="R58" s="12"/>
    </row>
    <row r="59" spans="1:18" s="3" customFormat="1">
      <c r="A59" s="62"/>
      <c r="B59" s="62" t="s">
        <v>2878</v>
      </c>
      <c r="C59" s="62" t="s">
        <v>494</v>
      </c>
      <c r="D59" s="62"/>
      <c r="E59" s="62" t="s">
        <v>476</v>
      </c>
      <c r="F59" s="62"/>
      <c r="G59" s="62"/>
      <c r="H59" s="62"/>
      <c r="I59" s="62"/>
      <c r="J59" s="62"/>
      <c r="K59" s="76">
        <v>2</v>
      </c>
      <c r="L59" s="62"/>
      <c r="M59" s="62">
        <v>2</v>
      </c>
      <c r="N59" s="64"/>
      <c r="O59" s="64"/>
      <c r="P59" s="1"/>
      <c r="Q59" s="12"/>
      <c r="R59" s="12"/>
    </row>
    <row r="60" spans="1:18" s="3" customFormat="1">
      <c r="A60" s="62"/>
      <c r="B60" s="62" t="s">
        <v>1962</v>
      </c>
      <c r="C60" s="62" t="s">
        <v>494</v>
      </c>
      <c r="D60" s="62"/>
      <c r="E60" s="62" t="s">
        <v>476</v>
      </c>
      <c r="F60" s="62"/>
      <c r="G60" s="62"/>
      <c r="H60" s="62"/>
      <c r="I60" s="62"/>
      <c r="J60" s="62"/>
      <c r="K60" s="76">
        <v>3</v>
      </c>
      <c r="L60" s="62">
        <v>9</v>
      </c>
      <c r="M60" s="62"/>
      <c r="N60" s="62" t="s">
        <v>1038</v>
      </c>
      <c r="O60" s="23" t="s">
        <v>1040</v>
      </c>
      <c r="P60" s="60" t="s">
        <v>1041</v>
      </c>
      <c r="Q60" s="23" t="s">
        <v>1040</v>
      </c>
      <c r="R60" s="14">
        <v>140</v>
      </c>
    </row>
    <row r="61" spans="1:18" s="3" customFormat="1">
      <c r="A61" s="62"/>
      <c r="B61" s="62" t="s">
        <v>1963</v>
      </c>
      <c r="C61" s="62" t="s">
        <v>494</v>
      </c>
      <c r="D61" s="62"/>
      <c r="E61" s="62" t="s">
        <v>476</v>
      </c>
      <c r="F61" s="62"/>
      <c r="G61" s="62"/>
      <c r="H61" s="62"/>
      <c r="I61" s="62"/>
      <c r="J61" s="62"/>
      <c r="K61" s="76">
        <v>4</v>
      </c>
      <c r="L61" s="62">
        <v>3</v>
      </c>
      <c r="M61" s="62">
        <v>31</v>
      </c>
      <c r="N61" s="62" t="s">
        <v>379</v>
      </c>
      <c r="O61" s="62" t="s">
        <v>698</v>
      </c>
      <c r="P61" s="1" t="s">
        <v>699</v>
      </c>
      <c r="Q61" s="14" t="s">
        <v>2003</v>
      </c>
      <c r="R61" s="14">
        <v>3</v>
      </c>
    </row>
    <row r="62" spans="1:18" s="3" customFormat="1">
      <c r="A62" s="62"/>
      <c r="B62" s="62" t="s">
        <v>1980</v>
      </c>
      <c r="C62" s="62" t="s">
        <v>494</v>
      </c>
      <c r="D62" s="62"/>
      <c r="E62" s="62" t="s">
        <v>476</v>
      </c>
      <c r="F62" s="62"/>
      <c r="G62" s="62"/>
      <c r="H62" s="62"/>
      <c r="I62" s="62"/>
      <c r="J62" s="62"/>
      <c r="K62" s="76">
        <v>5</v>
      </c>
      <c r="L62" s="62">
        <v>6</v>
      </c>
      <c r="M62" s="62"/>
      <c r="N62" s="62"/>
      <c r="O62" s="62"/>
      <c r="P62" s="62"/>
      <c r="Q62" s="12"/>
      <c r="R62" s="12"/>
    </row>
    <row r="63" spans="1:18" s="3" customFormat="1">
      <c r="A63" s="62"/>
      <c r="B63" s="62" t="s">
        <v>1964</v>
      </c>
      <c r="C63" s="62" t="s">
        <v>494</v>
      </c>
      <c r="D63" s="62"/>
      <c r="E63" s="62"/>
      <c r="F63" s="62"/>
      <c r="G63" s="62"/>
      <c r="H63" s="62"/>
      <c r="I63" s="62"/>
      <c r="J63" s="62"/>
      <c r="K63" s="76">
        <v>6</v>
      </c>
      <c r="L63" s="62">
        <v>6</v>
      </c>
      <c r="M63" s="62"/>
      <c r="N63" s="62"/>
      <c r="O63" s="62"/>
      <c r="P63" s="62"/>
      <c r="Q63" s="12"/>
      <c r="R63" s="12"/>
    </row>
    <row r="64" spans="1:18" s="3" customFormat="1">
      <c r="A64" s="62"/>
      <c r="B64" s="62" t="s">
        <v>1965</v>
      </c>
      <c r="C64" s="62" t="s">
        <v>494</v>
      </c>
      <c r="D64" s="62"/>
      <c r="E64" s="62"/>
      <c r="F64" s="62"/>
      <c r="G64" s="62"/>
      <c r="H64" s="62"/>
      <c r="I64" s="62"/>
      <c r="J64" s="62"/>
      <c r="K64" s="76">
        <v>7</v>
      </c>
      <c r="L64" s="62">
        <v>3</v>
      </c>
      <c r="M64" s="62">
        <v>1</v>
      </c>
      <c r="N64" s="1" t="s">
        <v>995</v>
      </c>
      <c r="O64" s="23" t="s">
        <v>997</v>
      </c>
      <c r="P64" s="23" t="s">
        <v>996</v>
      </c>
      <c r="Q64" s="12"/>
      <c r="R64" s="12"/>
    </row>
    <row r="65" spans="1:18" s="3" customFormat="1">
      <c r="A65" s="62"/>
      <c r="B65" s="62" t="s">
        <v>1966</v>
      </c>
      <c r="C65" s="62" t="s">
        <v>494</v>
      </c>
      <c r="D65" s="62"/>
      <c r="E65" s="62"/>
      <c r="F65" s="62"/>
      <c r="G65" s="62"/>
      <c r="H65" s="62"/>
      <c r="I65" s="62"/>
      <c r="J65" s="62"/>
      <c r="K65" s="76">
        <v>8</v>
      </c>
      <c r="L65" s="62">
        <v>3</v>
      </c>
      <c r="M65" s="62">
        <v>1</v>
      </c>
      <c r="N65" s="62" t="s">
        <v>693</v>
      </c>
      <c r="O65" s="1" t="s">
        <v>695</v>
      </c>
      <c r="P65" s="1" t="s">
        <v>696</v>
      </c>
      <c r="Q65" s="12"/>
      <c r="R65" s="12"/>
    </row>
    <row r="66" spans="1:18" s="3" customFormat="1">
      <c r="A66" s="62"/>
      <c r="B66" s="62" t="s">
        <v>1981</v>
      </c>
      <c r="C66" s="62" t="s">
        <v>494</v>
      </c>
      <c r="D66" s="62"/>
      <c r="E66" s="62"/>
      <c r="F66" s="62"/>
      <c r="G66" s="62"/>
      <c r="H66" s="62"/>
      <c r="I66" s="62"/>
      <c r="J66" s="62"/>
      <c r="K66" s="76">
        <v>9</v>
      </c>
      <c r="L66" s="62">
        <v>8</v>
      </c>
      <c r="M66" s="62"/>
      <c r="N66" s="62"/>
      <c r="O66" s="62"/>
      <c r="P66" s="62"/>
      <c r="Q66" s="12"/>
      <c r="R66" s="12"/>
    </row>
    <row r="67" spans="1:18" s="3" customFormat="1">
      <c r="A67" s="62"/>
      <c r="B67" s="62" t="s">
        <v>1982</v>
      </c>
      <c r="C67" s="62" t="s">
        <v>494</v>
      </c>
      <c r="D67" s="62"/>
      <c r="E67" s="62"/>
      <c r="F67" s="62"/>
      <c r="G67" s="62"/>
      <c r="H67" s="62"/>
      <c r="I67" s="62" t="s">
        <v>3008</v>
      </c>
      <c r="J67" s="62"/>
      <c r="K67" s="76">
        <v>10</v>
      </c>
      <c r="L67" s="62">
        <v>3</v>
      </c>
      <c r="M67" s="62">
        <v>31</v>
      </c>
      <c r="N67" s="62" t="s">
        <v>1906</v>
      </c>
      <c r="O67" s="62" t="s">
        <v>1908</v>
      </c>
      <c r="P67" s="62" t="s">
        <v>1909</v>
      </c>
      <c r="Q67" s="62" t="s">
        <v>1911</v>
      </c>
      <c r="R67" s="14">
        <v>4</v>
      </c>
    </row>
    <row r="68" spans="1:18" s="3" customFormat="1">
      <c r="A68" s="62"/>
      <c r="B68" s="62" t="s">
        <v>1983</v>
      </c>
      <c r="C68" s="62" t="s">
        <v>494</v>
      </c>
      <c r="D68" s="62"/>
      <c r="E68" s="62"/>
      <c r="F68" s="62"/>
      <c r="G68" s="62"/>
      <c r="H68" s="62"/>
      <c r="I68" s="62"/>
      <c r="J68" s="62"/>
      <c r="K68" s="76">
        <v>11</v>
      </c>
      <c r="L68" s="62"/>
      <c r="M68" s="62"/>
      <c r="N68" s="62"/>
      <c r="O68" s="62"/>
      <c r="P68" s="62"/>
      <c r="Q68" s="12"/>
      <c r="R68" s="12"/>
    </row>
    <row r="69" spans="1:18" s="3" customFormat="1">
      <c r="A69" s="62"/>
      <c r="B69" s="64" t="s">
        <v>2018</v>
      </c>
      <c r="C69" s="62" t="s">
        <v>493</v>
      </c>
      <c r="D69" s="62">
        <v>1</v>
      </c>
      <c r="E69" s="62"/>
      <c r="F69" s="62"/>
      <c r="G69" s="62"/>
      <c r="H69" s="62"/>
      <c r="I69" s="62"/>
      <c r="J69" s="62"/>
      <c r="K69" s="76">
        <v>12</v>
      </c>
      <c r="L69" s="62">
        <v>30</v>
      </c>
      <c r="M69" s="62"/>
      <c r="N69" s="62"/>
      <c r="O69" s="62"/>
      <c r="P69" s="62"/>
      <c r="Q69" s="12"/>
      <c r="R69" s="12"/>
    </row>
    <row r="70" spans="1:18" s="3" customFormat="1">
      <c r="A70" s="62"/>
      <c r="B70" s="64" t="s">
        <v>2047</v>
      </c>
      <c r="C70" s="62" t="s">
        <v>494</v>
      </c>
      <c r="D70" s="62"/>
      <c r="E70" s="62"/>
      <c r="F70" s="62"/>
      <c r="G70" s="62"/>
      <c r="H70" s="62"/>
      <c r="I70" s="62"/>
      <c r="J70" s="62"/>
      <c r="K70" s="76">
        <v>13</v>
      </c>
      <c r="L70" s="62"/>
      <c r="M70" s="62">
        <v>1</v>
      </c>
      <c r="N70" s="62"/>
      <c r="O70" s="62"/>
      <c r="P70" s="62"/>
      <c r="Q70" s="12"/>
      <c r="R70" s="12"/>
    </row>
    <row r="71" spans="1:18" s="3" customFormat="1">
      <c r="A71" s="62"/>
      <c r="B71" s="64" t="s">
        <v>2048</v>
      </c>
      <c r="C71" s="62" t="s">
        <v>494</v>
      </c>
      <c r="D71" s="62"/>
      <c r="E71" s="62"/>
      <c r="F71" s="62"/>
      <c r="G71" s="62"/>
      <c r="H71" s="62"/>
      <c r="I71" s="62"/>
      <c r="J71" s="62"/>
      <c r="K71" s="76">
        <v>14</v>
      </c>
      <c r="L71" s="62"/>
      <c r="M71" s="62">
        <v>1</v>
      </c>
      <c r="N71" s="62"/>
      <c r="O71" s="62"/>
      <c r="P71" s="62"/>
      <c r="Q71" s="12"/>
      <c r="R71" s="12"/>
    </row>
    <row r="72" spans="1:18" s="3" customFormat="1">
      <c r="A72" s="62"/>
      <c r="B72" s="64" t="s">
        <v>2139</v>
      </c>
      <c r="C72" s="62" t="s">
        <v>493</v>
      </c>
      <c r="D72" s="62">
        <v>1</v>
      </c>
      <c r="E72" s="62"/>
      <c r="F72" s="62"/>
      <c r="G72" s="62"/>
      <c r="H72" s="62"/>
      <c r="I72" s="62"/>
      <c r="J72" s="62"/>
      <c r="K72" s="76">
        <v>15</v>
      </c>
      <c r="L72" s="62">
        <v>3</v>
      </c>
      <c r="M72" s="62">
        <v>1</v>
      </c>
      <c r="N72" s="62"/>
      <c r="O72" s="62"/>
      <c r="P72" s="62"/>
      <c r="Q72" s="12"/>
      <c r="R72" s="12"/>
    </row>
    <row r="73" spans="1:18" s="3" customFormat="1">
      <c r="A73" s="62"/>
      <c r="B73" s="64" t="s">
        <v>2428</v>
      </c>
      <c r="C73" s="62" t="s">
        <v>494</v>
      </c>
      <c r="D73" s="62"/>
      <c r="E73" s="62"/>
      <c r="F73" s="62"/>
      <c r="G73" s="62"/>
      <c r="H73" s="62"/>
      <c r="I73" s="62"/>
      <c r="J73" s="62"/>
      <c r="K73" s="76">
        <v>16</v>
      </c>
      <c r="L73" s="62"/>
      <c r="M73" s="62">
        <v>1</v>
      </c>
      <c r="N73" s="62"/>
      <c r="O73" s="62"/>
      <c r="P73" s="62"/>
      <c r="Q73" s="12"/>
      <c r="R73" s="12"/>
    </row>
    <row r="74" spans="1:18" s="3" customFormat="1">
      <c r="A74" s="62"/>
      <c r="B74" s="64" t="s">
        <v>2429</v>
      </c>
      <c r="C74" s="62" t="s">
        <v>494</v>
      </c>
      <c r="D74" s="62"/>
      <c r="E74" s="62"/>
      <c r="F74" s="62"/>
      <c r="G74" s="62"/>
      <c r="H74" s="62"/>
      <c r="I74" s="62"/>
      <c r="J74" s="62"/>
      <c r="K74" s="76">
        <v>17</v>
      </c>
      <c r="L74" s="62"/>
      <c r="M74" s="62">
        <v>1</v>
      </c>
      <c r="N74" s="62"/>
      <c r="O74" s="62"/>
      <c r="P74" s="62"/>
      <c r="Q74" s="12"/>
      <c r="R74" s="12"/>
    </row>
    <row r="75" spans="1:18" s="3" customFormat="1">
      <c r="A75" s="62"/>
      <c r="B75" s="64" t="s">
        <v>2430</v>
      </c>
      <c r="C75" s="62" t="s">
        <v>494</v>
      </c>
      <c r="D75" s="62"/>
      <c r="E75" s="62"/>
      <c r="F75" s="62"/>
      <c r="G75" s="62"/>
      <c r="H75" s="62"/>
      <c r="I75" s="62"/>
      <c r="J75" s="62"/>
      <c r="K75" s="76">
        <v>18</v>
      </c>
      <c r="L75" s="62"/>
      <c r="M75" s="62">
        <v>1</v>
      </c>
      <c r="N75" s="62"/>
      <c r="O75" s="62"/>
      <c r="P75" s="62"/>
      <c r="Q75" s="12"/>
      <c r="R75" s="12"/>
    </row>
    <row r="76" spans="1:18" s="3" customFormat="1">
      <c r="A76" s="62"/>
      <c r="B76" s="62"/>
      <c r="C76" s="62"/>
      <c r="D76" s="62"/>
      <c r="E76" s="62"/>
      <c r="F76" s="62"/>
      <c r="G76" s="62"/>
      <c r="H76" s="62"/>
      <c r="I76" s="62"/>
      <c r="J76" s="62"/>
      <c r="K76" s="76"/>
      <c r="L76" s="62"/>
      <c r="M76" s="62"/>
      <c r="N76" s="62"/>
      <c r="O76" s="62"/>
      <c r="P76" s="62"/>
      <c r="Q76" s="12"/>
      <c r="R76" s="12"/>
    </row>
    <row r="77" spans="1:18" s="3" customFormat="1">
      <c r="A77" s="62" t="s">
        <v>1984</v>
      </c>
      <c r="B77" s="62" t="s">
        <v>1967</v>
      </c>
      <c r="C77" s="62" t="s">
        <v>494</v>
      </c>
      <c r="D77" s="62"/>
      <c r="E77" s="62" t="s">
        <v>476</v>
      </c>
      <c r="F77" s="62">
        <v>21</v>
      </c>
      <c r="G77" s="62">
        <v>2109</v>
      </c>
      <c r="H77" s="62" t="s">
        <v>521</v>
      </c>
      <c r="I77" s="62"/>
      <c r="J77" s="62">
        <v>2101</v>
      </c>
      <c r="K77" s="76">
        <v>1</v>
      </c>
      <c r="L77" s="62">
        <v>52</v>
      </c>
      <c r="M77" s="62"/>
      <c r="N77" s="62">
        <v>2108</v>
      </c>
      <c r="O77" s="62" t="s">
        <v>1964</v>
      </c>
      <c r="P77" s="62"/>
      <c r="Q77" s="12"/>
      <c r="R77" s="12"/>
    </row>
    <row r="78" spans="1:18" s="3" customFormat="1">
      <c r="A78" s="62"/>
      <c r="B78" s="62" t="s">
        <v>1985</v>
      </c>
      <c r="C78" s="62" t="s">
        <v>494</v>
      </c>
      <c r="D78" s="62"/>
      <c r="E78" s="62" t="s">
        <v>476</v>
      </c>
      <c r="F78" s="62"/>
      <c r="G78" s="62"/>
      <c r="H78" s="62"/>
      <c r="I78" s="62"/>
      <c r="J78" s="62"/>
      <c r="K78" s="76">
        <v>2</v>
      </c>
      <c r="L78" s="62">
        <v>6</v>
      </c>
      <c r="M78" s="62"/>
      <c r="N78" s="62"/>
      <c r="O78" s="62"/>
      <c r="P78" s="62"/>
      <c r="Q78" s="12"/>
      <c r="R78" s="12"/>
    </row>
    <row r="79" spans="1:18" s="3" customFormat="1">
      <c r="A79" s="62"/>
      <c r="B79" s="62" t="s">
        <v>1968</v>
      </c>
      <c r="C79" s="62" t="s">
        <v>494</v>
      </c>
      <c r="D79" s="62"/>
      <c r="E79" s="62"/>
      <c r="F79" s="62"/>
      <c r="G79" s="62"/>
      <c r="H79" s="62"/>
      <c r="I79" s="62"/>
      <c r="J79" s="62"/>
      <c r="K79" s="76">
        <v>3</v>
      </c>
      <c r="L79" s="62">
        <v>6</v>
      </c>
      <c r="M79" s="62"/>
      <c r="N79" s="62"/>
      <c r="O79" s="62"/>
      <c r="P79" s="62"/>
      <c r="Q79" s="12"/>
      <c r="R79" s="12"/>
    </row>
    <row r="80" spans="1:18" s="3" customFormat="1">
      <c r="A80" s="62"/>
      <c r="B80" s="62" t="s">
        <v>1986</v>
      </c>
      <c r="C80" s="62" t="s">
        <v>520</v>
      </c>
      <c r="D80" s="62"/>
      <c r="E80" s="62"/>
      <c r="F80" s="62"/>
      <c r="G80" s="62"/>
      <c r="H80" s="62"/>
      <c r="I80" s="62"/>
      <c r="J80" s="62"/>
      <c r="K80" s="76">
        <v>4</v>
      </c>
      <c r="L80" s="62"/>
      <c r="M80" s="62"/>
      <c r="N80" s="62"/>
      <c r="O80" s="62"/>
      <c r="P80" s="62"/>
      <c r="Q80" s="12"/>
      <c r="R80" s="12"/>
    </row>
    <row r="81" spans="1:18" s="3" customFormat="1">
      <c r="A81" s="62"/>
      <c r="B81" s="62" t="s">
        <v>1987</v>
      </c>
      <c r="C81" s="62" t="s">
        <v>494</v>
      </c>
      <c r="D81" s="62"/>
      <c r="E81" s="62"/>
      <c r="F81" s="62"/>
      <c r="G81" s="62"/>
      <c r="H81" s="62"/>
      <c r="I81" s="62"/>
      <c r="J81" s="62"/>
      <c r="K81" s="76">
        <v>5</v>
      </c>
      <c r="L81" s="62">
        <v>8</v>
      </c>
      <c r="M81" s="62">
        <v>1</v>
      </c>
      <c r="N81" s="62"/>
      <c r="O81" s="62"/>
      <c r="P81" s="62"/>
      <c r="Q81" s="12"/>
      <c r="R81" s="12"/>
    </row>
    <row r="82" spans="1:18" s="3" customFormat="1">
      <c r="A82" s="62"/>
      <c r="B82" s="62" t="s">
        <v>1988</v>
      </c>
      <c r="C82" s="62" t="s">
        <v>493</v>
      </c>
      <c r="D82" s="62">
        <v>10</v>
      </c>
      <c r="E82" s="62"/>
      <c r="F82" s="62"/>
      <c r="G82" s="62"/>
      <c r="H82" s="62"/>
      <c r="I82" s="62"/>
      <c r="J82" s="62"/>
      <c r="K82" s="76">
        <v>6</v>
      </c>
      <c r="L82" s="62">
        <v>7</v>
      </c>
      <c r="M82" s="62">
        <v>1</v>
      </c>
      <c r="N82" s="62"/>
      <c r="O82" s="62"/>
      <c r="P82" s="62"/>
      <c r="Q82" s="12"/>
      <c r="R82" s="12"/>
    </row>
    <row r="83" spans="1:18" s="3" customFormat="1">
      <c r="A83" s="62"/>
      <c r="B83" s="62" t="s">
        <v>1989</v>
      </c>
      <c r="C83" s="62" t="s">
        <v>494</v>
      </c>
      <c r="D83" s="62"/>
      <c r="E83" s="62"/>
      <c r="F83" s="62"/>
      <c r="G83" s="62"/>
      <c r="H83" s="62"/>
      <c r="I83" s="62"/>
      <c r="J83" s="62"/>
      <c r="K83" s="76">
        <v>7</v>
      </c>
      <c r="L83" s="62"/>
      <c r="M83" s="62">
        <v>73</v>
      </c>
      <c r="N83" s="62"/>
      <c r="O83" s="62"/>
      <c r="P83" s="62"/>
      <c r="Q83" s="12"/>
      <c r="R83" s="12"/>
    </row>
    <row r="84" spans="1:18" s="3" customFormat="1">
      <c r="A84" s="62"/>
      <c r="B84" s="62" t="s">
        <v>1990</v>
      </c>
      <c r="C84" s="62" t="s">
        <v>494</v>
      </c>
      <c r="D84" s="62"/>
      <c r="E84" s="62"/>
      <c r="F84" s="62"/>
      <c r="G84" s="62"/>
      <c r="H84" s="62"/>
      <c r="I84" s="62"/>
      <c r="J84" s="62"/>
      <c r="K84" s="76">
        <v>8</v>
      </c>
      <c r="L84" s="62"/>
      <c r="M84" s="62">
        <v>74</v>
      </c>
      <c r="N84" s="62"/>
      <c r="O84" s="62"/>
      <c r="P84" s="62"/>
      <c r="Q84" s="12"/>
      <c r="R84" s="12"/>
    </row>
    <row r="85" spans="1:18" s="3" customFormat="1">
      <c r="A85" s="62"/>
      <c r="B85" s="70" t="s">
        <v>2140</v>
      </c>
      <c r="C85" s="62" t="s">
        <v>493</v>
      </c>
      <c r="D85" s="62">
        <v>1</v>
      </c>
      <c r="E85" s="62"/>
      <c r="F85" s="62"/>
      <c r="G85" s="62"/>
      <c r="H85" s="62"/>
      <c r="I85" s="62"/>
      <c r="J85" s="62"/>
      <c r="K85" s="76">
        <v>9</v>
      </c>
      <c r="L85" s="62">
        <v>3</v>
      </c>
      <c r="M85" s="62"/>
      <c r="N85" s="62"/>
      <c r="O85" s="62"/>
      <c r="P85" s="62"/>
      <c r="Q85" s="12"/>
      <c r="R85" s="12"/>
    </row>
    <row r="86" spans="1:18" s="3" customFormat="1">
      <c r="A86" s="62"/>
      <c r="B86" s="62"/>
      <c r="C86" s="62"/>
      <c r="D86" s="62"/>
      <c r="E86" s="62"/>
      <c r="F86" s="62"/>
      <c r="G86" s="62"/>
      <c r="H86" s="62"/>
      <c r="I86" s="62"/>
      <c r="J86" s="62"/>
      <c r="K86" s="76"/>
      <c r="L86" s="62"/>
      <c r="M86" s="62"/>
      <c r="N86" s="62"/>
      <c r="O86" s="62"/>
      <c r="P86" s="62"/>
      <c r="Q86" s="12"/>
      <c r="R86" s="12"/>
    </row>
    <row r="87" spans="1:18" s="3" customFormat="1">
      <c r="A87" s="62" t="s">
        <v>1969</v>
      </c>
      <c r="B87" s="62" t="s">
        <v>1991</v>
      </c>
      <c r="C87" s="62" t="s">
        <v>494</v>
      </c>
      <c r="D87" s="62"/>
      <c r="E87" s="62" t="s">
        <v>476</v>
      </c>
      <c r="F87" s="62">
        <v>21</v>
      </c>
      <c r="G87" s="62">
        <v>2110</v>
      </c>
      <c r="H87" s="62" t="s">
        <v>1997</v>
      </c>
      <c r="I87" s="62"/>
      <c r="J87" s="62">
        <v>2101</v>
      </c>
      <c r="K87" s="76">
        <v>1</v>
      </c>
      <c r="L87" s="62">
        <v>52</v>
      </c>
      <c r="M87" s="62"/>
      <c r="N87" s="62">
        <v>2108</v>
      </c>
      <c r="O87" s="62" t="s">
        <v>1964</v>
      </c>
      <c r="P87" s="62"/>
      <c r="Q87" s="12"/>
      <c r="R87" s="12"/>
    </row>
    <row r="88" spans="1:18" s="3" customFormat="1">
      <c r="A88" s="62"/>
      <c r="B88" s="62" t="s">
        <v>1970</v>
      </c>
      <c r="C88" s="62" t="s">
        <v>494</v>
      </c>
      <c r="D88" s="62"/>
      <c r="E88" s="62" t="s">
        <v>476</v>
      </c>
      <c r="F88" s="62"/>
      <c r="G88" s="62"/>
      <c r="H88" s="62"/>
      <c r="I88" s="62"/>
      <c r="J88" s="62"/>
      <c r="K88" s="76">
        <v>2</v>
      </c>
      <c r="L88" s="62">
        <v>6</v>
      </c>
      <c r="M88" s="62"/>
      <c r="N88" s="62"/>
      <c r="O88" s="62"/>
      <c r="P88" s="62"/>
      <c r="Q88" s="12"/>
      <c r="R88" s="12"/>
    </row>
    <row r="89" spans="1:18" s="3" customFormat="1">
      <c r="A89" s="62"/>
      <c r="B89" s="62" t="s">
        <v>1971</v>
      </c>
      <c r="C89" s="62" t="s">
        <v>494</v>
      </c>
      <c r="D89" s="62"/>
      <c r="E89" s="62"/>
      <c r="F89" s="62"/>
      <c r="G89" s="62"/>
      <c r="H89" s="62"/>
      <c r="I89" s="62"/>
      <c r="J89" s="62"/>
      <c r="K89" s="76">
        <v>3</v>
      </c>
      <c r="L89" s="62">
        <v>6</v>
      </c>
      <c r="M89" s="62"/>
      <c r="N89" s="62"/>
      <c r="O89" s="62"/>
      <c r="P89" s="62"/>
      <c r="Q89" s="12"/>
      <c r="R89" s="12"/>
    </row>
    <row r="90" spans="1:18" s="3" customFormat="1">
      <c r="A90" s="62"/>
      <c r="B90" s="62" t="s">
        <v>1972</v>
      </c>
      <c r="C90" s="62" t="s">
        <v>493</v>
      </c>
      <c r="D90" s="62">
        <v>10</v>
      </c>
      <c r="E90" s="62"/>
      <c r="F90" s="62"/>
      <c r="G90" s="62"/>
      <c r="H90" s="62"/>
      <c r="I90" s="62"/>
      <c r="J90" s="62"/>
      <c r="K90" s="76">
        <v>4</v>
      </c>
      <c r="L90" s="62">
        <v>7</v>
      </c>
      <c r="M90" s="62"/>
      <c r="N90" s="62"/>
      <c r="O90" s="62"/>
      <c r="P90" s="62"/>
      <c r="Q90" s="12"/>
      <c r="R90" s="12"/>
    </row>
    <row r="91" spans="1:18" s="3" customFormat="1">
      <c r="A91" s="62"/>
      <c r="B91" s="62" t="s">
        <v>1973</v>
      </c>
      <c r="C91" s="62" t="s">
        <v>494</v>
      </c>
      <c r="D91" s="62"/>
      <c r="E91" s="62"/>
      <c r="F91" s="62"/>
      <c r="G91" s="62"/>
      <c r="H91" s="62"/>
      <c r="I91" s="62"/>
      <c r="J91" s="62"/>
      <c r="K91" s="76">
        <v>5</v>
      </c>
      <c r="L91" s="62"/>
      <c r="M91" s="62">
        <v>71</v>
      </c>
      <c r="N91" s="62"/>
      <c r="O91" s="62"/>
      <c r="P91" s="62"/>
      <c r="Q91" s="12"/>
      <c r="R91" s="12"/>
    </row>
    <row r="92" spans="1:18" s="3" customFormat="1">
      <c r="A92" s="62"/>
      <c r="B92" s="62" t="s">
        <v>1974</v>
      </c>
      <c r="C92" s="62" t="s">
        <v>494</v>
      </c>
      <c r="D92" s="62"/>
      <c r="E92" s="62"/>
      <c r="F92" s="62"/>
      <c r="G92" s="62"/>
      <c r="H92" s="62"/>
      <c r="I92" s="62"/>
      <c r="J92" s="62"/>
      <c r="K92" s="76">
        <v>6</v>
      </c>
      <c r="L92" s="62"/>
      <c r="M92" s="62">
        <v>72</v>
      </c>
      <c r="N92" s="62"/>
      <c r="O92" s="62"/>
      <c r="P92" s="62"/>
      <c r="Q92" s="12"/>
      <c r="R92" s="12"/>
    </row>
    <row r="93" spans="1:18" s="3" customFormat="1">
      <c r="A93" s="62"/>
      <c r="B93" s="62" t="s">
        <v>1975</v>
      </c>
      <c r="C93" s="62" t="s">
        <v>494</v>
      </c>
      <c r="D93" s="62"/>
      <c r="E93" s="62"/>
      <c r="F93" s="62"/>
      <c r="G93" s="62"/>
      <c r="H93" s="62"/>
      <c r="I93" s="62"/>
      <c r="J93" s="62"/>
      <c r="K93" s="76">
        <v>7</v>
      </c>
      <c r="L93" s="62"/>
      <c r="M93" s="62">
        <v>71</v>
      </c>
      <c r="N93" s="62"/>
      <c r="O93" s="62"/>
      <c r="P93" s="62"/>
      <c r="Q93" s="12"/>
      <c r="R93" s="12"/>
    </row>
    <row r="94" spans="1:18" s="3" customFormat="1">
      <c r="A94" s="62"/>
      <c r="B94" s="62" t="s">
        <v>1976</v>
      </c>
      <c r="C94" s="62" t="s">
        <v>494</v>
      </c>
      <c r="D94" s="62"/>
      <c r="E94" s="62"/>
      <c r="F94" s="62"/>
      <c r="G94" s="62"/>
      <c r="H94" s="62"/>
      <c r="I94" s="62"/>
      <c r="J94" s="62"/>
      <c r="K94" s="76">
        <v>8</v>
      </c>
      <c r="L94" s="62"/>
      <c r="M94" s="62">
        <v>72</v>
      </c>
      <c r="N94" s="62"/>
      <c r="O94" s="62"/>
      <c r="P94" s="62"/>
      <c r="Q94" s="12"/>
      <c r="R94" s="12"/>
    </row>
    <row r="95" spans="1:18" s="3" customFormat="1">
      <c r="A95" s="62"/>
      <c r="B95" s="64" t="s">
        <v>2049</v>
      </c>
      <c r="C95" s="62" t="s">
        <v>702</v>
      </c>
      <c r="D95" s="62"/>
      <c r="E95" s="62"/>
      <c r="F95" s="62"/>
      <c r="G95" s="62"/>
      <c r="H95" s="62"/>
      <c r="I95" s="62"/>
      <c r="J95" s="62"/>
      <c r="K95" s="76">
        <v>9</v>
      </c>
      <c r="L95" s="62"/>
      <c r="M95" s="62"/>
      <c r="N95" s="62"/>
      <c r="O95" s="62"/>
      <c r="P95" s="62"/>
      <c r="Q95" s="12"/>
      <c r="R95" s="12"/>
    </row>
    <row r="96" spans="1:18" s="3" customFormat="1">
      <c r="A96" s="62"/>
      <c r="B96" s="64" t="s">
        <v>2050</v>
      </c>
      <c r="C96" s="62" t="s">
        <v>520</v>
      </c>
      <c r="D96" s="62"/>
      <c r="E96" s="62"/>
      <c r="F96" s="62"/>
      <c r="G96" s="62"/>
      <c r="H96" s="62"/>
      <c r="I96" s="62"/>
      <c r="J96" s="62"/>
      <c r="K96" s="76">
        <v>10</v>
      </c>
      <c r="L96" s="62"/>
      <c r="M96" s="62"/>
      <c r="N96" s="62"/>
      <c r="O96" s="62"/>
      <c r="P96" s="62"/>
      <c r="Q96" s="12"/>
      <c r="R96" s="12"/>
    </row>
    <row r="97" spans="1:18" s="3" customFormat="1">
      <c r="A97" s="62"/>
      <c r="B97" s="64" t="s">
        <v>2051</v>
      </c>
      <c r="C97" s="62" t="s">
        <v>520</v>
      </c>
      <c r="D97" s="62"/>
      <c r="E97" s="62"/>
      <c r="F97" s="62"/>
      <c r="G97" s="62"/>
      <c r="H97" s="62"/>
      <c r="I97" s="62"/>
      <c r="J97" s="62"/>
      <c r="K97" s="76">
        <v>11</v>
      </c>
      <c r="L97" s="62"/>
      <c r="M97" s="62"/>
      <c r="N97" s="62"/>
      <c r="O97" s="62"/>
      <c r="P97" s="62"/>
      <c r="Q97" s="12"/>
      <c r="R97" s="12"/>
    </row>
    <row r="98" spans="1:18" s="3" customFormat="1">
      <c r="A98" s="62"/>
      <c r="B98" s="70" t="s">
        <v>2160</v>
      </c>
      <c r="C98" s="62" t="s">
        <v>493</v>
      </c>
      <c r="D98" s="62">
        <v>1</v>
      </c>
      <c r="E98" s="62"/>
      <c r="F98" s="62"/>
      <c r="G98" s="62"/>
      <c r="H98" s="62"/>
      <c r="I98" s="62"/>
      <c r="J98" s="62"/>
      <c r="K98" s="76">
        <v>12</v>
      </c>
      <c r="L98" s="62">
        <v>3</v>
      </c>
      <c r="M98" s="62"/>
      <c r="N98" s="62"/>
      <c r="O98" s="62"/>
      <c r="P98" s="62"/>
      <c r="Q98" s="12"/>
      <c r="R98" s="12"/>
    </row>
    <row r="99" spans="1:18" s="3" customFormat="1">
      <c r="A99" s="62"/>
      <c r="B99" s="62" t="s">
        <v>4968</v>
      </c>
      <c r="C99" s="62" t="s">
        <v>494</v>
      </c>
      <c r="D99" s="62"/>
      <c r="E99" s="62"/>
      <c r="F99" s="62"/>
      <c r="G99" s="62"/>
      <c r="H99" s="62"/>
      <c r="I99" s="62"/>
      <c r="J99" s="62"/>
      <c r="K99" s="76">
        <v>13</v>
      </c>
      <c r="L99" s="62">
        <v>3</v>
      </c>
      <c r="M99" s="62"/>
      <c r="N99" s="62" t="s">
        <v>1906</v>
      </c>
      <c r="O99" s="62" t="s">
        <v>1908</v>
      </c>
      <c r="P99" s="62" t="s">
        <v>1909</v>
      </c>
      <c r="Q99" s="62" t="s">
        <v>1911</v>
      </c>
      <c r="R99" s="14"/>
    </row>
    <row r="100" spans="1:18" s="3" customFormat="1">
      <c r="A100" s="62"/>
      <c r="B100" s="62"/>
      <c r="C100" s="62"/>
      <c r="D100" s="62"/>
      <c r="E100" s="62"/>
      <c r="F100" s="62"/>
      <c r="G100" s="62"/>
      <c r="H100" s="62"/>
      <c r="I100" s="62"/>
      <c r="J100" s="62"/>
      <c r="K100" s="76"/>
      <c r="L100" s="62"/>
      <c r="M100" s="62"/>
      <c r="N100" s="62"/>
      <c r="O100" s="62"/>
      <c r="P100" s="62"/>
      <c r="Q100" s="62"/>
      <c r="R100" s="14"/>
    </row>
    <row r="101" spans="1:18" s="62" customFormat="1">
      <c r="A101" s="62" t="s">
        <v>2129</v>
      </c>
      <c r="B101" s="64" t="s">
        <v>2130</v>
      </c>
      <c r="C101" s="62" t="s">
        <v>494</v>
      </c>
      <c r="E101" s="62" t="s">
        <v>476</v>
      </c>
      <c r="F101" s="62">
        <v>21</v>
      </c>
      <c r="G101" s="62">
        <v>2118</v>
      </c>
      <c r="H101" s="62" t="s">
        <v>2131</v>
      </c>
      <c r="I101" s="22"/>
      <c r="J101" s="62">
        <v>2101</v>
      </c>
      <c r="K101" s="57">
        <v>1</v>
      </c>
      <c r="L101" s="62">
        <v>52</v>
      </c>
      <c r="N101" s="62">
        <v>2108</v>
      </c>
      <c r="O101" s="62" t="s">
        <v>1964</v>
      </c>
    </row>
    <row r="102" spans="1:18" s="62" customFormat="1">
      <c r="B102" s="64" t="s">
        <v>2132</v>
      </c>
      <c r="C102" s="62" t="s">
        <v>494</v>
      </c>
      <c r="E102" s="62" t="s">
        <v>476</v>
      </c>
      <c r="I102" s="22"/>
      <c r="K102" s="57">
        <v>2</v>
      </c>
      <c r="L102" s="76">
        <v>6</v>
      </c>
    </row>
    <row r="103" spans="1:18" s="62" customFormat="1">
      <c r="B103" s="64" t="s">
        <v>2133</v>
      </c>
      <c r="C103" s="62" t="s">
        <v>494</v>
      </c>
      <c r="I103" s="22"/>
      <c r="K103" s="57">
        <v>3</v>
      </c>
      <c r="L103" s="76">
        <v>6</v>
      </c>
    </row>
    <row r="104" spans="1:18" s="62" customFormat="1">
      <c r="B104" s="64" t="s">
        <v>2134</v>
      </c>
      <c r="C104" s="62" t="s">
        <v>493</v>
      </c>
      <c r="D104" s="62">
        <v>10</v>
      </c>
      <c r="I104" s="22"/>
      <c r="K104" s="57">
        <v>4</v>
      </c>
      <c r="L104" s="76">
        <v>7</v>
      </c>
    </row>
    <row r="105" spans="1:18" s="62" customFormat="1">
      <c r="B105" s="64" t="s">
        <v>2135</v>
      </c>
      <c r="C105" s="62" t="s">
        <v>494</v>
      </c>
      <c r="I105" s="22"/>
      <c r="K105" s="57">
        <v>5</v>
      </c>
      <c r="L105" s="76">
        <v>8</v>
      </c>
    </row>
    <row r="106" spans="1:18" s="62" customFormat="1">
      <c r="B106" s="64" t="s">
        <v>2136</v>
      </c>
      <c r="C106" s="62" t="s">
        <v>493</v>
      </c>
      <c r="D106" s="62">
        <v>1</v>
      </c>
      <c r="I106" s="22"/>
      <c r="K106" s="57">
        <v>6</v>
      </c>
      <c r="L106" s="76">
        <v>3</v>
      </c>
    </row>
    <row r="107" spans="1:18" s="62" customFormat="1">
      <c r="B107" s="64" t="s">
        <v>2137</v>
      </c>
      <c r="C107" s="62" t="s">
        <v>520</v>
      </c>
      <c r="I107" s="22"/>
      <c r="K107" s="57">
        <v>7</v>
      </c>
      <c r="L107" s="76"/>
    </row>
    <row r="108" spans="1:18" s="62" customFormat="1">
      <c r="B108" s="64" t="s">
        <v>2138</v>
      </c>
      <c r="C108" s="62" t="s">
        <v>494</v>
      </c>
      <c r="I108" s="22"/>
      <c r="K108" s="57">
        <v>8</v>
      </c>
      <c r="L108" s="76">
        <v>8</v>
      </c>
      <c r="M108" s="62">
        <v>1</v>
      </c>
    </row>
    <row r="109" spans="1:18" s="62" customFormat="1">
      <c r="B109" s="64"/>
      <c r="I109" s="22"/>
      <c r="K109" s="57"/>
      <c r="L109" s="76"/>
    </row>
    <row r="110" spans="1:18" s="62" customFormat="1">
      <c r="A110" s="62" t="s">
        <v>2141</v>
      </c>
      <c r="B110" s="64" t="s">
        <v>2142</v>
      </c>
      <c r="C110" s="62" t="s">
        <v>494</v>
      </c>
      <c r="E110" s="62" t="s">
        <v>476</v>
      </c>
      <c r="F110" s="62">
        <v>21</v>
      </c>
      <c r="G110" s="62">
        <v>2119</v>
      </c>
      <c r="H110" s="62" t="s">
        <v>2154</v>
      </c>
      <c r="I110" s="22"/>
      <c r="J110" s="62">
        <v>2101</v>
      </c>
      <c r="K110" s="57">
        <v>1</v>
      </c>
      <c r="L110" s="76">
        <v>52</v>
      </c>
      <c r="N110" s="62">
        <v>2108</v>
      </c>
      <c r="O110" s="62" t="s">
        <v>1964</v>
      </c>
    </row>
    <row r="111" spans="1:18" s="62" customFormat="1">
      <c r="B111" s="64" t="s">
        <v>2143</v>
      </c>
      <c r="C111" s="62" t="s">
        <v>494</v>
      </c>
      <c r="E111" s="62" t="s">
        <v>476</v>
      </c>
      <c r="I111" s="22"/>
      <c r="K111" s="57">
        <v>2</v>
      </c>
      <c r="L111" s="76">
        <v>3</v>
      </c>
      <c r="N111" s="62" t="s">
        <v>1969</v>
      </c>
      <c r="O111" s="62" t="s">
        <v>1971</v>
      </c>
      <c r="P111" s="62" t="s">
        <v>1970</v>
      </c>
    </row>
    <row r="112" spans="1:18" s="62" customFormat="1">
      <c r="B112" s="64" t="s">
        <v>2144</v>
      </c>
      <c r="C112" s="62" t="s">
        <v>494</v>
      </c>
      <c r="E112" s="62" t="s">
        <v>476</v>
      </c>
      <c r="I112" s="22"/>
      <c r="K112" s="57">
        <v>3</v>
      </c>
      <c r="L112" s="76">
        <v>6</v>
      </c>
    </row>
    <row r="113" spans="1:18" s="62" customFormat="1">
      <c r="B113" s="64" t="s">
        <v>2145</v>
      </c>
      <c r="C113" s="62" t="s">
        <v>494</v>
      </c>
      <c r="I113" s="22"/>
      <c r="K113" s="57">
        <v>4</v>
      </c>
      <c r="L113" s="76">
        <v>6</v>
      </c>
    </row>
    <row r="114" spans="1:18" s="62" customFormat="1">
      <c r="B114" s="64" t="s">
        <v>2146</v>
      </c>
      <c r="C114" s="62" t="s">
        <v>493</v>
      </c>
      <c r="D114" s="62">
        <v>10</v>
      </c>
      <c r="I114" s="22"/>
      <c r="K114" s="57">
        <v>5</v>
      </c>
      <c r="L114" s="76">
        <v>7</v>
      </c>
      <c r="M114" s="62">
        <v>1</v>
      </c>
    </row>
    <row r="115" spans="1:18" s="62" customFormat="1">
      <c r="B115" s="64" t="s">
        <v>2147</v>
      </c>
      <c r="C115" s="62" t="s">
        <v>494</v>
      </c>
      <c r="I115" s="22"/>
      <c r="K115" s="57">
        <v>6</v>
      </c>
      <c r="L115" s="76"/>
      <c r="M115" s="62">
        <v>37</v>
      </c>
    </row>
    <row r="116" spans="1:18" s="62" customFormat="1">
      <c r="B116" s="64" t="s">
        <v>2148</v>
      </c>
      <c r="C116" s="62" t="s">
        <v>494</v>
      </c>
      <c r="I116" s="22"/>
      <c r="K116" s="57">
        <v>7</v>
      </c>
      <c r="L116" s="76"/>
      <c r="M116" s="62">
        <v>74</v>
      </c>
    </row>
    <row r="117" spans="1:18" s="3" customFormat="1">
      <c r="A117" s="62"/>
      <c r="B117" s="62" t="s">
        <v>2149</v>
      </c>
      <c r="C117" s="62" t="s">
        <v>493</v>
      </c>
      <c r="D117" s="62">
        <v>10</v>
      </c>
      <c r="E117" s="62"/>
      <c r="F117" s="62"/>
      <c r="G117" s="62"/>
      <c r="H117" s="62"/>
      <c r="I117" s="62"/>
      <c r="J117" s="62"/>
      <c r="K117" s="57">
        <v>8</v>
      </c>
      <c r="L117" s="62">
        <v>7</v>
      </c>
      <c r="M117" s="62"/>
      <c r="N117" s="62"/>
      <c r="O117" s="62"/>
      <c r="P117" s="62"/>
      <c r="Q117" s="12"/>
      <c r="R117" s="12"/>
    </row>
    <row r="118" spans="1:18" s="3" customFormat="1">
      <c r="A118" s="62"/>
      <c r="B118" s="62" t="s">
        <v>2150</v>
      </c>
      <c r="C118" s="62" t="s">
        <v>494</v>
      </c>
      <c r="D118" s="62"/>
      <c r="E118" s="62"/>
      <c r="F118" s="62"/>
      <c r="G118" s="62"/>
      <c r="H118" s="62"/>
      <c r="I118" s="62"/>
      <c r="J118" s="62"/>
      <c r="K118" s="57">
        <v>9</v>
      </c>
      <c r="L118" s="62"/>
      <c r="M118" s="62">
        <v>71</v>
      </c>
      <c r="N118" s="62"/>
      <c r="O118" s="62"/>
      <c r="P118" s="62"/>
      <c r="Q118" s="12"/>
      <c r="R118" s="12"/>
    </row>
    <row r="119" spans="1:18" s="3" customFormat="1">
      <c r="A119" s="62"/>
      <c r="B119" s="62" t="s">
        <v>2151</v>
      </c>
      <c r="C119" s="62" t="s">
        <v>494</v>
      </c>
      <c r="D119" s="62"/>
      <c r="E119" s="62"/>
      <c r="F119" s="62"/>
      <c r="G119" s="62"/>
      <c r="H119" s="62"/>
      <c r="I119" s="62"/>
      <c r="J119" s="62"/>
      <c r="K119" s="57">
        <v>10</v>
      </c>
      <c r="L119" s="62"/>
      <c r="M119" s="62">
        <v>72</v>
      </c>
      <c r="N119" s="62"/>
      <c r="O119" s="62"/>
      <c r="P119" s="62"/>
      <c r="Q119" s="12"/>
      <c r="R119" s="12"/>
    </row>
    <row r="120" spans="1:18" s="3" customFormat="1">
      <c r="A120" s="62"/>
      <c r="B120" s="62" t="s">
        <v>2152</v>
      </c>
      <c r="C120" s="62" t="s">
        <v>494</v>
      </c>
      <c r="D120" s="62"/>
      <c r="E120" s="62"/>
      <c r="F120" s="62"/>
      <c r="G120" s="62"/>
      <c r="H120" s="62"/>
      <c r="I120" s="62"/>
      <c r="J120" s="62"/>
      <c r="K120" s="57">
        <v>11</v>
      </c>
      <c r="L120" s="62"/>
      <c r="M120" s="62">
        <v>71</v>
      </c>
      <c r="N120" s="62"/>
      <c r="O120" s="62"/>
      <c r="P120" s="62"/>
      <c r="Q120" s="12"/>
      <c r="R120" s="12"/>
    </row>
    <row r="121" spans="1:18" s="3" customFormat="1">
      <c r="A121" s="62"/>
      <c r="B121" s="62" t="s">
        <v>2153</v>
      </c>
      <c r="C121" s="62" t="s">
        <v>494</v>
      </c>
      <c r="D121" s="62"/>
      <c r="E121" s="62"/>
      <c r="F121" s="62"/>
      <c r="G121" s="62"/>
      <c r="H121" s="62"/>
      <c r="I121" s="62"/>
      <c r="J121" s="62"/>
      <c r="K121" s="57">
        <v>12</v>
      </c>
      <c r="L121" s="62"/>
      <c r="M121" s="62">
        <v>72</v>
      </c>
      <c r="N121" s="62"/>
      <c r="O121" s="62"/>
      <c r="P121" s="62"/>
      <c r="Q121" s="12"/>
      <c r="R121" s="12"/>
    </row>
    <row r="122" spans="1:18" s="3" customFormat="1">
      <c r="A122" s="62"/>
      <c r="B122" s="62" t="s">
        <v>2159</v>
      </c>
      <c r="C122" s="62" t="s">
        <v>493</v>
      </c>
      <c r="D122" s="62">
        <v>1</v>
      </c>
      <c r="E122" s="62"/>
      <c r="F122" s="62"/>
      <c r="G122" s="62"/>
      <c r="H122" s="62"/>
      <c r="I122" s="62"/>
      <c r="J122" s="62"/>
      <c r="K122" s="57">
        <v>13</v>
      </c>
      <c r="L122" s="62">
        <v>3</v>
      </c>
      <c r="M122" s="62"/>
      <c r="N122" s="62"/>
      <c r="O122" s="62"/>
      <c r="P122" s="62"/>
      <c r="Q122" s="12"/>
      <c r="R122" s="12"/>
    </row>
    <row r="123" spans="1:18" s="3" customFormat="1">
      <c r="A123" s="62"/>
      <c r="B123" s="62" t="s">
        <v>2167</v>
      </c>
      <c r="C123" s="62" t="s">
        <v>520</v>
      </c>
      <c r="D123" s="62"/>
      <c r="E123" s="62"/>
      <c r="F123" s="62"/>
      <c r="G123" s="62"/>
      <c r="H123" s="62"/>
      <c r="I123" s="62"/>
      <c r="J123" s="62"/>
      <c r="K123" s="57">
        <v>14</v>
      </c>
      <c r="L123" s="62"/>
      <c r="M123" s="62"/>
      <c r="N123" s="62"/>
      <c r="O123" s="62"/>
      <c r="P123" s="62"/>
      <c r="Q123" s="12"/>
      <c r="R123" s="12"/>
    </row>
    <row r="124" spans="1:18" s="62" customFormat="1">
      <c r="B124" s="64" t="s">
        <v>2894</v>
      </c>
      <c r="I124" s="22"/>
      <c r="K124" s="57"/>
      <c r="L124" s="76"/>
    </row>
    <row r="125" spans="1:18" s="62" customFormat="1">
      <c r="B125" s="64"/>
      <c r="I125" s="22"/>
      <c r="K125" s="57"/>
      <c r="L125" s="76"/>
    </row>
    <row r="126" spans="1:18" s="3" customFormat="1">
      <c r="A126" s="62" t="s">
        <v>1977</v>
      </c>
      <c r="B126" s="62" t="s">
        <v>1992</v>
      </c>
      <c r="C126" s="62" t="s">
        <v>494</v>
      </c>
      <c r="D126" s="62"/>
      <c r="E126" s="62" t="s">
        <v>476</v>
      </c>
      <c r="F126" s="62">
        <v>21</v>
      </c>
      <c r="G126" s="62">
        <v>2111</v>
      </c>
      <c r="H126" s="62" t="s">
        <v>1998</v>
      </c>
      <c r="I126" s="62"/>
      <c r="J126" s="62">
        <v>2101</v>
      </c>
      <c r="K126" s="76">
        <v>1</v>
      </c>
      <c r="L126" s="62">
        <v>52</v>
      </c>
      <c r="M126" s="62"/>
      <c r="N126" s="62">
        <v>2108</v>
      </c>
      <c r="O126" s="62" t="s">
        <v>1964</v>
      </c>
      <c r="P126" s="62"/>
      <c r="Q126" s="12"/>
      <c r="R126" s="12"/>
    </row>
    <row r="127" spans="1:18" s="3" customFormat="1">
      <c r="A127" s="62"/>
      <c r="B127" s="62" t="s">
        <v>1978</v>
      </c>
      <c r="C127" s="62" t="s">
        <v>494</v>
      </c>
      <c r="D127" s="62"/>
      <c r="E127" s="62" t="s">
        <v>476</v>
      </c>
      <c r="F127" s="62"/>
      <c r="G127" s="62"/>
      <c r="H127" s="62"/>
      <c r="I127" s="62"/>
      <c r="J127" s="62"/>
      <c r="K127" s="76">
        <v>2</v>
      </c>
      <c r="L127" s="62">
        <v>6</v>
      </c>
      <c r="M127" s="62"/>
      <c r="N127" s="62"/>
      <c r="O127" s="62"/>
      <c r="P127" s="62"/>
      <c r="Q127" s="12"/>
      <c r="R127" s="12"/>
    </row>
    <row r="128" spans="1:18" s="3" customFormat="1">
      <c r="A128" s="62"/>
      <c r="B128" s="62" t="s">
        <v>1979</v>
      </c>
      <c r="C128" s="62" t="s">
        <v>494</v>
      </c>
      <c r="D128" s="62"/>
      <c r="E128" s="62"/>
      <c r="F128" s="62"/>
      <c r="G128" s="62"/>
      <c r="H128" s="62"/>
      <c r="I128" s="62"/>
      <c r="J128" s="62"/>
      <c r="K128" s="76">
        <v>3</v>
      </c>
      <c r="L128" s="62">
        <v>6</v>
      </c>
      <c r="M128" s="62"/>
      <c r="N128" s="62"/>
      <c r="O128" s="62"/>
      <c r="P128" s="62"/>
      <c r="Q128" s="12"/>
      <c r="R128" s="12"/>
    </row>
    <row r="129" spans="1:18" s="3" customFormat="1">
      <c r="A129" s="62"/>
      <c r="B129" s="62" t="s">
        <v>1993</v>
      </c>
      <c r="C129" s="62" t="s">
        <v>494</v>
      </c>
      <c r="D129" s="62"/>
      <c r="E129" s="62"/>
      <c r="F129" s="62"/>
      <c r="G129" s="62"/>
      <c r="H129" s="62"/>
      <c r="I129" s="62"/>
      <c r="J129" s="62"/>
      <c r="K129" s="76">
        <v>4</v>
      </c>
      <c r="L129" s="62">
        <v>8</v>
      </c>
      <c r="M129" s="62"/>
      <c r="N129" s="62"/>
      <c r="O129" s="62"/>
      <c r="P129" s="62"/>
      <c r="Q129" s="12"/>
      <c r="R129" s="12"/>
    </row>
    <row r="130" spans="1:18" s="3" customFormat="1">
      <c r="A130" s="62"/>
      <c r="B130" s="62" t="s">
        <v>2000</v>
      </c>
      <c r="C130" s="62" t="s">
        <v>493</v>
      </c>
      <c r="D130" s="62">
        <v>10</v>
      </c>
      <c r="E130" s="62"/>
      <c r="F130" s="62"/>
      <c r="G130" s="62"/>
      <c r="H130" s="62"/>
      <c r="I130" s="62"/>
      <c r="J130" s="62"/>
      <c r="K130" s="76">
        <v>5</v>
      </c>
      <c r="L130" s="62">
        <v>7</v>
      </c>
      <c r="M130" s="62">
        <v>1</v>
      </c>
      <c r="N130" s="62"/>
      <c r="O130" s="62"/>
      <c r="P130" s="62"/>
      <c r="Q130" s="12"/>
      <c r="R130" s="12"/>
    </row>
    <row r="131" spans="1:18" s="3" customFormat="1">
      <c r="A131" s="62"/>
      <c r="B131" s="62" t="s">
        <v>2001</v>
      </c>
      <c r="C131" s="62" t="s">
        <v>494</v>
      </c>
      <c r="D131" s="62"/>
      <c r="E131" s="62"/>
      <c r="F131" s="62"/>
      <c r="G131" s="62"/>
      <c r="H131" s="62"/>
      <c r="I131" s="62"/>
      <c r="J131" s="62"/>
      <c r="K131" s="76">
        <v>6</v>
      </c>
      <c r="L131" s="62"/>
      <c r="M131" s="62">
        <v>71</v>
      </c>
      <c r="N131" s="62"/>
      <c r="O131" s="62"/>
      <c r="P131" s="62"/>
      <c r="Q131" s="12"/>
      <c r="R131" s="12"/>
    </row>
    <row r="132" spans="1:18" s="3" customFormat="1">
      <c r="A132" s="62"/>
      <c r="B132" s="62" t="s">
        <v>2002</v>
      </c>
      <c r="C132" s="62" t="s">
        <v>494</v>
      </c>
      <c r="D132" s="62"/>
      <c r="E132" s="62"/>
      <c r="F132" s="62"/>
      <c r="G132" s="62"/>
      <c r="H132" s="62"/>
      <c r="I132" s="62"/>
      <c r="J132" s="62"/>
      <c r="K132" s="76">
        <v>7</v>
      </c>
      <c r="L132" s="62"/>
      <c r="M132" s="62">
        <v>72</v>
      </c>
      <c r="N132" s="62"/>
      <c r="O132" s="62"/>
      <c r="P132" s="62"/>
      <c r="Q132" s="12"/>
      <c r="R132" s="12"/>
    </row>
    <row r="133" spans="1:18" s="3" customFormat="1">
      <c r="A133" s="62"/>
      <c r="B133" s="62" t="s">
        <v>2053</v>
      </c>
      <c r="C133" s="62" t="s">
        <v>493</v>
      </c>
      <c r="D133" s="62">
        <v>1</v>
      </c>
      <c r="E133" s="62"/>
      <c r="F133" s="62"/>
      <c r="G133" s="62"/>
      <c r="H133" s="62"/>
      <c r="I133" s="62"/>
      <c r="J133" s="62"/>
      <c r="K133" s="76">
        <v>8</v>
      </c>
      <c r="L133" s="62">
        <v>3</v>
      </c>
      <c r="M133" s="62"/>
      <c r="N133" s="62"/>
      <c r="O133" s="62"/>
      <c r="P133" s="62"/>
      <c r="Q133" s="12"/>
      <c r="R133" s="12"/>
    </row>
    <row r="134" spans="1:18" s="3" customFormat="1">
      <c r="A134" s="62"/>
      <c r="B134" s="62" t="s">
        <v>2052</v>
      </c>
      <c r="C134" s="62" t="s">
        <v>493</v>
      </c>
      <c r="D134" s="62">
        <v>1</v>
      </c>
      <c r="E134" s="62"/>
      <c r="F134" s="62"/>
      <c r="G134" s="62"/>
      <c r="H134" s="62"/>
      <c r="I134" s="62"/>
      <c r="J134" s="62"/>
      <c r="K134" s="76">
        <v>9</v>
      </c>
      <c r="L134" s="62">
        <v>3</v>
      </c>
      <c r="M134" s="62"/>
      <c r="N134" s="62"/>
      <c r="O134" s="62"/>
      <c r="P134" s="62"/>
      <c r="Q134" s="12"/>
      <c r="R134" s="12"/>
    </row>
    <row r="135" spans="1:18" s="3" customFormat="1">
      <c r="A135" s="62"/>
      <c r="B135" s="62" t="s">
        <v>2054</v>
      </c>
      <c r="C135" s="62" t="s">
        <v>493</v>
      </c>
      <c r="D135" s="62">
        <v>1</v>
      </c>
      <c r="E135" s="62"/>
      <c r="F135" s="62"/>
      <c r="G135" s="62"/>
      <c r="H135" s="62"/>
      <c r="I135" s="62"/>
      <c r="J135" s="62"/>
      <c r="K135" s="76">
        <v>10</v>
      </c>
      <c r="L135" s="62">
        <v>3</v>
      </c>
      <c r="M135" s="62"/>
      <c r="N135" s="62"/>
      <c r="O135" s="62"/>
      <c r="P135" s="62"/>
      <c r="Q135" s="12"/>
      <c r="R135" s="12"/>
    </row>
    <row r="136" spans="1:18" s="3" customFormat="1">
      <c r="A136" s="62"/>
      <c r="B136" s="62" t="s">
        <v>2055</v>
      </c>
      <c r="C136" s="62" t="s">
        <v>493</v>
      </c>
      <c r="D136" s="62">
        <v>1</v>
      </c>
      <c r="E136" s="62"/>
      <c r="F136" s="62"/>
      <c r="G136" s="62"/>
      <c r="H136" s="62"/>
      <c r="I136" s="62"/>
      <c r="J136" s="62"/>
      <c r="K136" s="76">
        <v>11</v>
      </c>
      <c r="L136" s="62">
        <v>3</v>
      </c>
      <c r="M136" s="62"/>
      <c r="N136" s="62"/>
      <c r="O136" s="62"/>
      <c r="P136" s="62"/>
      <c r="Q136" s="12"/>
      <c r="R136" s="12"/>
    </row>
    <row r="137" spans="1:18" s="3" customFormat="1">
      <c r="A137" s="62"/>
      <c r="B137" s="62" t="s">
        <v>2056</v>
      </c>
      <c r="C137" s="62" t="s">
        <v>493</v>
      </c>
      <c r="D137" s="62">
        <v>1</v>
      </c>
      <c r="E137" s="62"/>
      <c r="F137" s="62"/>
      <c r="G137" s="62"/>
      <c r="H137" s="62"/>
      <c r="I137" s="62"/>
      <c r="J137" s="62"/>
      <c r="K137" s="76">
        <v>12</v>
      </c>
      <c r="L137" s="62">
        <v>3</v>
      </c>
      <c r="M137" s="62"/>
      <c r="N137" s="62"/>
      <c r="O137" s="62"/>
      <c r="P137" s="62"/>
      <c r="Q137" s="12"/>
      <c r="R137" s="12"/>
    </row>
    <row r="138" spans="1:18" s="3" customFormat="1">
      <c r="A138" s="62"/>
      <c r="B138" s="62" t="s">
        <v>2058</v>
      </c>
      <c r="C138" s="62" t="s">
        <v>702</v>
      </c>
      <c r="D138" s="62"/>
      <c r="E138" s="62"/>
      <c r="F138" s="62"/>
      <c r="G138" s="62"/>
      <c r="H138" s="62"/>
      <c r="I138" s="62"/>
      <c r="J138" s="62"/>
      <c r="K138" s="76">
        <v>13</v>
      </c>
      <c r="L138" s="62"/>
      <c r="M138" s="62"/>
      <c r="N138" s="62"/>
      <c r="O138" s="62"/>
      <c r="P138" s="62"/>
      <c r="Q138" s="12"/>
      <c r="R138" s="12"/>
    </row>
    <row r="139" spans="1:18" s="3" customFormat="1">
      <c r="A139" s="62"/>
      <c r="B139" s="62" t="s">
        <v>2059</v>
      </c>
      <c r="C139" s="62" t="s">
        <v>702</v>
      </c>
      <c r="D139" s="62"/>
      <c r="E139" s="62"/>
      <c r="F139" s="62"/>
      <c r="G139" s="62"/>
      <c r="H139" s="62"/>
      <c r="I139" s="62"/>
      <c r="J139" s="62"/>
      <c r="K139" s="76">
        <v>14</v>
      </c>
      <c r="L139" s="62"/>
      <c r="M139" s="62"/>
      <c r="N139" s="62"/>
      <c r="O139" s="62"/>
      <c r="P139" s="62"/>
      <c r="Q139" s="12"/>
      <c r="R139" s="12"/>
    </row>
    <row r="140" spans="1:18" s="3" customFormat="1">
      <c r="A140" s="62"/>
      <c r="B140" s="62" t="s">
        <v>2060</v>
      </c>
      <c r="C140" s="62" t="s">
        <v>702</v>
      </c>
      <c r="D140" s="62"/>
      <c r="E140" s="62"/>
      <c r="F140" s="62"/>
      <c r="G140" s="62"/>
      <c r="H140" s="62"/>
      <c r="I140" s="62"/>
      <c r="J140" s="62"/>
      <c r="K140" s="76">
        <v>15</v>
      </c>
      <c r="L140" s="62"/>
      <c r="M140" s="62"/>
      <c r="N140" s="62"/>
      <c r="O140" s="62"/>
      <c r="P140" s="62"/>
      <c r="Q140" s="12"/>
      <c r="R140" s="12"/>
    </row>
    <row r="141" spans="1:18" s="3" customFormat="1">
      <c r="A141" s="62"/>
      <c r="B141" s="62" t="s">
        <v>2061</v>
      </c>
      <c r="C141" s="62" t="s">
        <v>702</v>
      </c>
      <c r="D141" s="62"/>
      <c r="E141" s="62"/>
      <c r="F141" s="62"/>
      <c r="G141" s="62"/>
      <c r="H141" s="62"/>
      <c r="I141" s="62"/>
      <c r="J141" s="62"/>
      <c r="K141" s="76">
        <v>16</v>
      </c>
      <c r="L141" s="62"/>
      <c r="M141" s="62"/>
      <c r="N141" s="62"/>
      <c r="O141" s="62"/>
      <c r="P141" s="62"/>
      <c r="Q141" s="12"/>
      <c r="R141" s="12"/>
    </row>
    <row r="142" spans="1:18" s="3" customFormat="1">
      <c r="A142" s="62"/>
      <c r="B142" s="62" t="s">
        <v>2062</v>
      </c>
      <c r="C142" s="62" t="s">
        <v>702</v>
      </c>
      <c r="D142" s="62"/>
      <c r="E142" s="62"/>
      <c r="F142" s="62"/>
      <c r="G142" s="62"/>
      <c r="H142" s="62"/>
      <c r="I142" s="62"/>
      <c r="J142" s="62"/>
      <c r="K142" s="76">
        <v>17</v>
      </c>
      <c r="L142" s="62"/>
      <c r="M142" s="62"/>
      <c r="N142" s="62"/>
      <c r="O142" s="62"/>
      <c r="P142" s="62"/>
      <c r="Q142" s="12"/>
      <c r="R142" s="12"/>
    </row>
    <row r="143" spans="1:18" s="3" customFormat="1">
      <c r="A143" s="62"/>
      <c r="B143" s="62" t="s">
        <v>2057</v>
      </c>
      <c r="C143" s="62" t="s">
        <v>702</v>
      </c>
      <c r="D143" s="62"/>
      <c r="E143" s="62"/>
      <c r="F143" s="62"/>
      <c r="G143" s="62"/>
      <c r="H143" s="62"/>
      <c r="I143" s="62"/>
      <c r="J143" s="62"/>
      <c r="K143" s="76">
        <v>18</v>
      </c>
      <c r="L143" s="62"/>
      <c r="M143" s="62"/>
      <c r="N143" s="62"/>
      <c r="O143" s="62"/>
      <c r="P143" s="62"/>
      <c r="Q143" s="12"/>
      <c r="R143" s="12"/>
    </row>
    <row r="144" spans="1:18" s="3" customFormat="1">
      <c r="A144" s="62"/>
      <c r="B144" s="62" t="s">
        <v>2277</v>
      </c>
      <c r="C144" s="62" t="s">
        <v>520</v>
      </c>
      <c r="D144" s="62"/>
      <c r="E144" s="62"/>
      <c r="F144" s="62"/>
      <c r="G144" s="62"/>
      <c r="H144" s="62"/>
      <c r="I144" s="62"/>
      <c r="J144" s="62"/>
      <c r="K144" s="76">
        <v>19</v>
      </c>
      <c r="L144" s="62"/>
      <c r="M144" s="62"/>
      <c r="N144" s="62"/>
      <c r="O144" s="62"/>
      <c r="P144" s="62"/>
      <c r="Q144" s="12"/>
      <c r="R144" s="12"/>
    </row>
    <row r="145" spans="1:18" s="3" customFormat="1">
      <c r="A145" s="62"/>
      <c r="B145" s="62" t="s">
        <v>2308</v>
      </c>
      <c r="C145" s="62" t="s">
        <v>494</v>
      </c>
      <c r="D145" s="62"/>
      <c r="E145" s="62"/>
      <c r="F145" s="62"/>
      <c r="G145" s="62"/>
      <c r="H145" s="62"/>
      <c r="I145" s="62"/>
      <c r="J145" s="62"/>
      <c r="K145" s="76">
        <v>20</v>
      </c>
      <c r="L145" s="62"/>
      <c r="M145" s="62"/>
      <c r="N145" s="62"/>
      <c r="O145" s="62"/>
      <c r="P145" s="62"/>
      <c r="Q145" s="12"/>
      <c r="R145" s="12"/>
    </row>
    <row r="146" spans="1:18" s="3" customFormat="1">
      <c r="A146" s="62"/>
      <c r="B146" s="62"/>
      <c r="C146" s="62"/>
      <c r="D146" s="62"/>
      <c r="E146" s="62"/>
      <c r="F146" s="62"/>
      <c r="G146" s="62"/>
      <c r="H146" s="62"/>
      <c r="I146" s="62"/>
      <c r="J146" s="62"/>
      <c r="K146" s="76"/>
      <c r="L146" s="62"/>
      <c r="M146" s="62"/>
      <c r="N146" s="62"/>
      <c r="O146" s="62"/>
      <c r="P146" s="62"/>
      <c r="Q146" s="12"/>
      <c r="R146" s="12"/>
    </row>
    <row r="147" spans="1:18" s="3" customFormat="1">
      <c r="A147" s="70" t="s">
        <v>1960</v>
      </c>
      <c r="B147" s="70" t="s">
        <v>1961</v>
      </c>
      <c r="C147" s="70" t="s">
        <v>494</v>
      </c>
      <c r="D147" s="70"/>
      <c r="E147" s="70" t="s">
        <v>476</v>
      </c>
      <c r="F147" s="62">
        <v>21</v>
      </c>
      <c r="G147" s="62">
        <v>2108</v>
      </c>
      <c r="H147" s="62" t="s">
        <v>1995</v>
      </c>
      <c r="I147" s="62" t="s">
        <v>1996</v>
      </c>
      <c r="J147" s="62">
        <v>2101</v>
      </c>
      <c r="K147" s="76">
        <v>1</v>
      </c>
      <c r="L147" s="62">
        <v>3</v>
      </c>
      <c r="M147" s="62"/>
      <c r="N147" s="64" t="s">
        <v>506</v>
      </c>
      <c r="O147" s="64" t="s">
        <v>514</v>
      </c>
      <c r="P147" s="1" t="s">
        <v>515</v>
      </c>
      <c r="Q147" s="12"/>
      <c r="R147" s="12"/>
    </row>
    <row r="148" spans="1:18" s="3" customFormat="1">
      <c r="A148" s="62"/>
      <c r="B148" s="70" t="s">
        <v>1962</v>
      </c>
      <c r="C148" s="70" t="s">
        <v>494</v>
      </c>
      <c r="D148" s="70"/>
      <c r="E148" s="70" t="s">
        <v>476</v>
      </c>
      <c r="F148" s="62"/>
      <c r="G148" s="62"/>
      <c r="H148" s="62"/>
      <c r="I148" s="62"/>
      <c r="J148" s="62"/>
      <c r="K148" s="76">
        <v>2</v>
      </c>
      <c r="L148" s="62">
        <v>9</v>
      </c>
      <c r="M148" s="62"/>
      <c r="N148" s="62" t="s">
        <v>1038</v>
      </c>
      <c r="O148" s="23" t="s">
        <v>1040</v>
      </c>
      <c r="P148" s="60" t="s">
        <v>1041</v>
      </c>
      <c r="Q148" s="23" t="s">
        <v>1040</v>
      </c>
      <c r="R148" s="14">
        <v>140</v>
      </c>
    </row>
    <row r="149" spans="1:18" s="3" customFormat="1">
      <c r="A149" s="62"/>
      <c r="B149" s="70" t="s">
        <v>1963</v>
      </c>
      <c r="C149" s="70" t="s">
        <v>494</v>
      </c>
      <c r="D149" s="70"/>
      <c r="E149" s="70" t="s">
        <v>476</v>
      </c>
      <c r="F149" s="62"/>
      <c r="G149" s="62"/>
      <c r="H149" s="62"/>
      <c r="I149" s="62"/>
      <c r="J149" s="62"/>
      <c r="K149" s="76">
        <v>3</v>
      </c>
      <c r="L149" s="62">
        <v>3</v>
      </c>
      <c r="M149" s="62">
        <v>31</v>
      </c>
      <c r="N149" s="62" t="s">
        <v>379</v>
      </c>
      <c r="O149" s="62" t="s">
        <v>698</v>
      </c>
      <c r="P149" s="62" t="s">
        <v>699</v>
      </c>
      <c r="Q149" s="14" t="s">
        <v>2003</v>
      </c>
      <c r="R149" s="14">
        <v>2</v>
      </c>
    </row>
    <row r="150" spans="1:18" s="3" customFormat="1">
      <c r="A150" s="62"/>
      <c r="B150" s="70" t="s">
        <v>1980</v>
      </c>
      <c r="C150" s="70" t="s">
        <v>494</v>
      </c>
      <c r="D150" s="70"/>
      <c r="E150" s="70" t="s">
        <v>476</v>
      </c>
      <c r="F150" s="62"/>
      <c r="G150" s="62"/>
      <c r="H150" s="62"/>
      <c r="I150" s="62"/>
      <c r="J150" s="62"/>
      <c r="K150" s="76">
        <v>4</v>
      </c>
      <c r="L150" s="62">
        <v>6</v>
      </c>
      <c r="M150" s="62"/>
      <c r="N150" s="62"/>
      <c r="O150" s="62"/>
      <c r="P150" s="62"/>
      <c r="Q150" s="12"/>
      <c r="R150" s="12"/>
    </row>
    <row r="151" spans="1:18" s="3" customFormat="1">
      <c r="A151" s="62"/>
      <c r="B151" s="70" t="s">
        <v>1964</v>
      </c>
      <c r="C151" s="70" t="s">
        <v>494</v>
      </c>
      <c r="D151" s="70"/>
      <c r="E151" s="70"/>
      <c r="F151" s="62"/>
      <c r="G151" s="62"/>
      <c r="H151" s="62"/>
      <c r="I151" s="62"/>
      <c r="J151" s="62"/>
      <c r="K151" s="76">
        <v>5</v>
      </c>
      <c r="L151" s="62">
        <v>6</v>
      </c>
      <c r="M151" s="62"/>
      <c r="N151" s="62"/>
      <c r="O151" s="62"/>
      <c r="P151" s="62"/>
      <c r="Q151" s="12"/>
      <c r="R151" s="12"/>
    </row>
    <row r="152" spans="1:18" s="3" customFormat="1">
      <c r="A152" s="62"/>
      <c r="B152" s="70" t="s">
        <v>1981</v>
      </c>
      <c r="C152" s="70" t="s">
        <v>494</v>
      </c>
      <c r="D152" s="70"/>
      <c r="E152" s="70"/>
      <c r="F152" s="62"/>
      <c r="G152" s="62"/>
      <c r="H152" s="62"/>
      <c r="I152" s="62"/>
      <c r="J152" s="62"/>
      <c r="K152" s="76">
        <v>8</v>
      </c>
      <c r="L152" s="62">
        <v>8</v>
      </c>
      <c r="M152" s="62"/>
      <c r="N152" s="62"/>
      <c r="O152" s="62"/>
      <c r="P152" s="62"/>
      <c r="Q152" s="12"/>
      <c r="R152" s="12"/>
    </row>
    <row r="153" spans="1:18" s="3" customFormat="1">
      <c r="A153" s="62"/>
      <c r="B153" s="64"/>
      <c r="C153" s="64"/>
      <c r="D153" s="64"/>
      <c r="E153" s="64"/>
      <c r="F153" s="62"/>
      <c r="G153" s="62"/>
      <c r="H153" s="62"/>
      <c r="I153" s="62"/>
      <c r="J153" s="62"/>
      <c r="K153" s="76"/>
      <c r="L153" s="62"/>
      <c r="M153" s="62"/>
      <c r="N153" s="62"/>
      <c r="O153" s="62"/>
      <c r="P153" s="62"/>
      <c r="Q153" s="12"/>
      <c r="R153" s="12"/>
    </row>
    <row r="154" spans="1:18" s="3" customFormat="1">
      <c r="A154" s="62" t="s">
        <v>4298</v>
      </c>
      <c r="B154" s="62" t="s">
        <v>2878</v>
      </c>
      <c r="C154" s="62" t="s">
        <v>494</v>
      </c>
      <c r="D154" s="64" t="s">
        <v>476</v>
      </c>
      <c r="E154" s="64"/>
      <c r="F154" s="62">
        <v>21</v>
      </c>
      <c r="G154" s="62">
        <v>2113</v>
      </c>
      <c r="H154" s="62" t="s">
        <v>4299</v>
      </c>
      <c r="I154" s="62" t="s">
        <v>4300</v>
      </c>
      <c r="J154" s="62">
        <v>11</v>
      </c>
      <c r="K154" s="76">
        <v>1</v>
      </c>
      <c r="L154" s="62"/>
      <c r="M154" s="62"/>
      <c r="N154" s="62"/>
      <c r="O154" s="62"/>
      <c r="P154" s="62"/>
      <c r="Q154" s="12"/>
      <c r="R154" s="12"/>
    </row>
    <row r="155" spans="1:18" s="3" customFormat="1">
      <c r="A155" s="62"/>
      <c r="B155" s="62"/>
      <c r="C155" s="62"/>
      <c r="D155" s="62"/>
      <c r="E155" s="62"/>
      <c r="F155" s="62"/>
      <c r="G155" s="62"/>
      <c r="H155" s="62"/>
      <c r="I155" s="62"/>
      <c r="J155" s="62"/>
      <c r="K155" s="76"/>
      <c r="L155" s="62"/>
      <c r="M155" s="62"/>
      <c r="N155" s="62"/>
      <c r="O155" s="62"/>
      <c r="P155" s="62"/>
      <c r="Q155" s="12"/>
      <c r="R155" s="12"/>
    </row>
    <row r="156" spans="1:18" s="1" customFormat="1">
      <c r="A156" s="62" t="s">
        <v>2665</v>
      </c>
      <c r="B156" s="60" t="s">
        <v>976</v>
      </c>
      <c r="C156" s="62" t="s">
        <v>494</v>
      </c>
      <c r="F156" s="14">
        <v>21</v>
      </c>
      <c r="G156" s="14">
        <v>2131</v>
      </c>
      <c r="H156" s="47" t="s">
        <v>2848</v>
      </c>
      <c r="I156" s="48" t="s">
        <v>2664</v>
      </c>
      <c r="J156" s="14">
        <v>11</v>
      </c>
      <c r="K156" s="16">
        <v>1</v>
      </c>
      <c r="L156" s="15">
        <v>3</v>
      </c>
      <c r="M156" s="14"/>
      <c r="N156" s="64" t="s">
        <v>506</v>
      </c>
      <c r="O156" s="64" t="s">
        <v>514</v>
      </c>
      <c r="P156" s="1" t="s">
        <v>515</v>
      </c>
      <c r="Q156" s="14"/>
      <c r="R156" s="14"/>
    </row>
    <row r="157" spans="1:18" s="1" customFormat="1">
      <c r="B157" s="60" t="s">
        <v>2847</v>
      </c>
      <c r="C157" s="62" t="s">
        <v>493</v>
      </c>
      <c r="D157" s="1">
        <v>1</v>
      </c>
      <c r="F157" s="14"/>
      <c r="G157" s="14"/>
      <c r="H157" s="14"/>
      <c r="I157" s="11"/>
      <c r="J157" s="14"/>
      <c r="K157" s="16">
        <v>2</v>
      </c>
      <c r="L157" s="15">
        <v>3</v>
      </c>
      <c r="M157" s="14"/>
      <c r="P157" s="14"/>
      <c r="Q157" s="14"/>
      <c r="R157" s="14"/>
    </row>
    <row r="158" spans="1:18" s="1" customFormat="1">
      <c r="B158" s="60"/>
      <c r="F158" s="14"/>
      <c r="G158" s="14"/>
      <c r="H158" s="14"/>
      <c r="I158" s="11"/>
      <c r="J158" s="14"/>
      <c r="K158" s="16"/>
      <c r="L158" s="15"/>
      <c r="M158" s="14"/>
      <c r="P158" s="14"/>
      <c r="Q158" s="14"/>
      <c r="R158" s="14"/>
    </row>
    <row r="159" spans="1:18" s="3" customFormat="1">
      <c r="A159" s="62" t="s">
        <v>2879</v>
      </c>
      <c r="B159" s="62" t="s">
        <v>2880</v>
      </c>
      <c r="C159" s="62" t="s">
        <v>494</v>
      </c>
      <c r="D159" s="62"/>
      <c r="E159" s="62" t="s">
        <v>476</v>
      </c>
      <c r="F159" s="62"/>
      <c r="G159" s="62"/>
      <c r="H159" s="62"/>
      <c r="I159" s="62"/>
      <c r="J159" s="62"/>
      <c r="K159" s="76"/>
      <c r="L159" s="62"/>
      <c r="M159" s="62"/>
      <c r="N159" s="62"/>
      <c r="O159" s="62"/>
      <c r="P159" s="62"/>
      <c r="Q159" s="12"/>
      <c r="R159" s="12"/>
    </row>
    <row r="160" spans="1:18" s="3" customFormat="1">
      <c r="A160" s="62"/>
      <c r="B160" s="62" t="s">
        <v>2881</v>
      </c>
      <c r="C160" s="62" t="s">
        <v>493</v>
      </c>
      <c r="D160" s="62">
        <v>50</v>
      </c>
      <c r="E160" s="62"/>
      <c r="F160" s="62"/>
      <c r="G160" s="62"/>
      <c r="H160" s="62"/>
      <c r="I160" s="62"/>
      <c r="J160" s="62"/>
      <c r="K160" s="76"/>
      <c r="L160" s="62"/>
      <c r="M160" s="62"/>
      <c r="N160" s="62"/>
      <c r="O160" s="62"/>
      <c r="P160" s="62"/>
      <c r="Q160" s="12"/>
      <c r="R160" s="12"/>
    </row>
    <row r="161" spans="1:18" s="3" customFormat="1">
      <c r="A161" s="62"/>
      <c r="B161" s="62"/>
      <c r="C161" s="62"/>
      <c r="D161" s="62"/>
      <c r="E161" s="62"/>
      <c r="F161" s="62"/>
      <c r="G161" s="62"/>
      <c r="H161" s="62"/>
      <c r="I161" s="62"/>
      <c r="J161" s="62"/>
      <c r="K161" s="76"/>
      <c r="L161" s="62"/>
      <c r="M161" s="62"/>
      <c r="N161" s="62"/>
      <c r="O161" s="62"/>
      <c r="P161" s="62"/>
      <c r="Q161" s="12"/>
      <c r="R161" s="12"/>
    </row>
    <row r="162" spans="1:18" s="3" customFormat="1">
      <c r="A162" s="70" t="s">
        <v>6828</v>
      </c>
      <c r="B162" s="70" t="s">
        <v>6829</v>
      </c>
      <c r="C162" s="62" t="s">
        <v>494</v>
      </c>
      <c r="D162" s="62"/>
      <c r="E162" s="62" t="s">
        <v>476</v>
      </c>
      <c r="F162" s="62">
        <v>21</v>
      </c>
      <c r="G162" s="62">
        <v>2132</v>
      </c>
      <c r="H162" s="62" t="s">
        <v>6830</v>
      </c>
      <c r="I162" s="62" t="s">
        <v>6831</v>
      </c>
      <c r="J162" s="62">
        <v>11</v>
      </c>
      <c r="K162" s="76">
        <v>1</v>
      </c>
      <c r="L162" s="62">
        <v>3</v>
      </c>
      <c r="M162" s="62"/>
      <c r="N162" s="64" t="s">
        <v>506</v>
      </c>
      <c r="O162" s="64" t="s">
        <v>514</v>
      </c>
      <c r="P162" s="1" t="s">
        <v>515</v>
      </c>
      <c r="Q162" s="12"/>
      <c r="R162" s="12"/>
    </row>
    <row r="163" spans="1:18" s="3" customFormat="1">
      <c r="A163" s="70"/>
      <c r="B163" s="70" t="s">
        <v>2879</v>
      </c>
      <c r="C163" s="62" t="s">
        <v>494</v>
      </c>
      <c r="D163" s="62"/>
      <c r="E163" s="62"/>
      <c r="F163" s="62"/>
      <c r="G163" s="62"/>
      <c r="H163" s="62"/>
      <c r="I163" s="62"/>
      <c r="J163" s="62"/>
      <c r="K163" s="76">
        <v>2</v>
      </c>
      <c r="L163" s="62">
        <v>3</v>
      </c>
      <c r="M163" s="62"/>
      <c r="N163" s="62" t="s">
        <v>2879</v>
      </c>
      <c r="O163" s="62" t="s">
        <v>2880</v>
      </c>
      <c r="P163" s="62" t="s">
        <v>2881</v>
      </c>
      <c r="Q163" s="12"/>
      <c r="R163" s="12"/>
    </row>
    <row r="164" spans="1:18" s="3" customFormat="1">
      <c r="A164" s="62"/>
      <c r="B164" s="62"/>
      <c r="C164" s="62"/>
      <c r="D164" s="62"/>
      <c r="E164" s="62"/>
      <c r="F164" s="62"/>
      <c r="G164" s="62"/>
      <c r="H164" s="62"/>
      <c r="I164" s="62"/>
      <c r="J164" s="62"/>
      <c r="K164" s="76"/>
      <c r="L164" s="62"/>
      <c r="M164" s="62"/>
      <c r="N164" s="62"/>
      <c r="P164" s="62"/>
      <c r="Q164" s="12"/>
      <c r="R164" s="12"/>
    </row>
    <row r="165" spans="1:18" s="1" customFormat="1">
      <c r="A165" s="70" t="s">
        <v>506</v>
      </c>
      <c r="B165" s="70" t="s">
        <v>514</v>
      </c>
      <c r="C165" s="10" t="s">
        <v>494</v>
      </c>
      <c r="D165" s="10"/>
      <c r="E165" s="10" t="s">
        <v>476</v>
      </c>
      <c r="F165" s="10">
        <v>21</v>
      </c>
      <c r="G165" s="10">
        <v>2135</v>
      </c>
      <c r="H165" s="64" t="s">
        <v>3004</v>
      </c>
      <c r="I165" s="64" t="s">
        <v>3005</v>
      </c>
      <c r="J165" s="10">
        <v>2</v>
      </c>
      <c r="K165" s="16">
        <v>1</v>
      </c>
      <c r="L165" s="31"/>
      <c r="M165" s="10"/>
      <c r="N165" t="s">
        <v>916</v>
      </c>
      <c r="O165" t="s">
        <v>917</v>
      </c>
      <c r="P165" t="s">
        <v>918</v>
      </c>
      <c r="Q165" s="10"/>
      <c r="R165" s="10"/>
    </row>
    <row r="166" spans="1:18" s="1" customFormat="1">
      <c r="A166" s="39"/>
      <c r="B166" s="70" t="s">
        <v>515</v>
      </c>
      <c r="C166" s="1" t="s">
        <v>493</v>
      </c>
      <c r="D166" s="1">
        <v>60</v>
      </c>
      <c r="F166" s="14"/>
      <c r="G166" s="14"/>
      <c r="H166" s="14"/>
      <c r="I166" s="11"/>
      <c r="J166" s="14"/>
      <c r="K166" s="16">
        <v>2</v>
      </c>
      <c r="L166" s="15"/>
      <c r="M166" s="14">
        <v>1</v>
      </c>
      <c r="N166" s="14"/>
      <c r="O166" s="14"/>
      <c r="P166" s="14"/>
      <c r="Q166" s="14"/>
      <c r="R166" s="14"/>
    </row>
    <row r="167" spans="1:18" s="1" customFormat="1">
      <c r="A167" s="39"/>
      <c r="B167" s="70" t="s">
        <v>516</v>
      </c>
      <c r="C167" s="1" t="s">
        <v>493</v>
      </c>
      <c r="D167" s="1">
        <v>250</v>
      </c>
      <c r="F167" s="14"/>
      <c r="G167" s="14"/>
      <c r="H167" s="47" t="s">
        <v>3006</v>
      </c>
      <c r="I167" s="11"/>
      <c r="J167" s="14"/>
      <c r="K167" s="16">
        <v>3</v>
      </c>
      <c r="L167" s="15"/>
      <c r="M167" s="14">
        <v>1</v>
      </c>
      <c r="N167" s="14"/>
      <c r="O167" s="14"/>
      <c r="P167" s="14"/>
      <c r="Q167" s="14"/>
      <c r="R167" s="14"/>
    </row>
    <row r="168" spans="1:18" s="1" customFormat="1">
      <c r="A168" s="39"/>
      <c r="B168" s="39" t="s">
        <v>517</v>
      </c>
      <c r="C168" s="1" t="s">
        <v>494</v>
      </c>
      <c r="F168" s="14"/>
      <c r="G168" s="14"/>
      <c r="H168" s="14"/>
      <c r="I168" s="11"/>
      <c r="J168" s="14"/>
      <c r="K168" s="16">
        <v>4</v>
      </c>
      <c r="L168" s="15">
        <v>3</v>
      </c>
      <c r="M168" s="14">
        <v>1</v>
      </c>
      <c r="N168" s="1" t="s">
        <v>507</v>
      </c>
      <c r="O168" s="1" t="s">
        <v>508</v>
      </c>
      <c r="P168" s="1" t="s">
        <v>509</v>
      </c>
      <c r="Q168" s="14"/>
      <c r="R168" s="14"/>
    </row>
    <row r="169" spans="1:18" s="1" customFormat="1">
      <c r="A169" s="39"/>
      <c r="B169" s="70" t="s">
        <v>512</v>
      </c>
      <c r="C169" s="1" t="s">
        <v>493</v>
      </c>
      <c r="D169" s="1">
        <v>1</v>
      </c>
      <c r="F169" s="14"/>
      <c r="G169" s="14"/>
      <c r="H169" s="14"/>
      <c r="I169" s="11"/>
      <c r="J169" s="14"/>
      <c r="K169" s="16">
        <v>5</v>
      </c>
      <c r="L169" s="15">
        <v>3</v>
      </c>
      <c r="M169" s="14">
        <v>1</v>
      </c>
      <c r="N169" s="14"/>
      <c r="O169" s="14"/>
      <c r="P169" s="14"/>
      <c r="Q169" s="14"/>
      <c r="R169" s="14"/>
    </row>
    <row r="170" spans="1:18" s="1" customFormat="1">
      <c r="A170" s="39"/>
      <c r="B170" s="70" t="s">
        <v>2515</v>
      </c>
      <c r="C170" s="64" t="s">
        <v>493</v>
      </c>
      <c r="D170" s="1">
        <v>10</v>
      </c>
      <c r="F170" s="14"/>
      <c r="G170" s="14"/>
      <c r="H170" s="14"/>
      <c r="I170" s="11"/>
      <c r="J170" s="14"/>
      <c r="K170" s="16">
        <v>14</v>
      </c>
      <c r="L170" s="15">
        <v>7</v>
      </c>
      <c r="M170" s="14"/>
      <c r="N170" s="14"/>
      <c r="O170" s="14"/>
      <c r="P170" s="14"/>
      <c r="Q170" s="14"/>
      <c r="R170" s="14"/>
    </row>
    <row r="171" spans="1:18" s="1" customFormat="1">
      <c r="A171" s="39"/>
      <c r="B171" s="70" t="s">
        <v>2516</v>
      </c>
      <c r="C171" s="64" t="s">
        <v>493</v>
      </c>
      <c r="D171" s="1">
        <v>10</v>
      </c>
      <c r="F171" s="14"/>
      <c r="G171" s="14"/>
      <c r="H171" s="14"/>
      <c r="I171" s="11"/>
      <c r="J171" s="14"/>
      <c r="K171" s="16">
        <v>15</v>
      </c>
      <c r="L171" s="15">
        <v>7</v>
      </c>
      <c r="M171" s="14"/>
      <c r="N171" s="14"/>
      <c r="O171" s="14"/>
      <c r="P171" s="14"/>
      <c r="Q171" s="14"/>
      <c r="R171" s="14"/>
    </row>
    <row r="172" spans="1:18" s="1" customFormat="1">
      <c r="A172" s="39"/>
      <c r="B172" s="70" t="s">
        <v>2517</v>
      </c>
      <c r="C172" s="64" t="s">
        <v>493</v>
      </c>
      <c r="D172" s="1">
        <v>10</v>
      </c>
      <c r="F172" s="14"/>
      <c r="G172" s="14"/>
      <c r="H172" s="14"/>
      <c r="I172" s="11"/>
      <c r="J172" s="14"/>
      <c r="K172" s="16">
        <v>16</v>
      </c>
      <c r="L172" s="15">
        <v>7</v>
      </c>
      <c r="M172" s="14"/>
      <c r="N172" s="14"/>
      <c r="O172" s="14"/>
      <c r="P172" s="14"/>
      <c r="Q172" s="14"/>
      <c r="R172" s="14"/>
    </row>
    <row r="173" spans="1:18" s="1" customFormat="1">
      <c r="A173" s="39"/>
      <c r="B173" s="70" t="s">
        <v>2518</v>
      </c>
      <c r="C173" s="64" t="s">
        <v>493</v>
      </c>
      <c r="D173" s="1">
        <v>10</v>
      </c>
      <c r="F173" s="14"/>
      <c r="G173" s="14"/>
      <c r="H173" s="14"/>
      <c r="I173" s="11"/>
      <c r="J173" s="14"/>
      <c r="K173" s="16">
        <v>17</v>
      </c>
      <c r="L173" s="15">
        <v>7</v>
      </c>
      <c r="M173" s="14"/>
      <c r="N173" s="14"/>
      <c r="O173" s="14"/>
      <c r="P173" s="14"/>
      <c r="Q173" s="14"/>
      <c r="R173" s="14"/>
    </row>
    <row r="174" spans="1:18" s="1" customFormat="1">
      <c r="A174" s="39"/>
      <c r="B174" s="70" t="s">
        <v>2896</v>
      </c>
      <c r="C174" s="64" t="s">
        <v>493</v>
      </c>
      <c r="D174" s="62">
        <v>1</v>
      </c>
      <c r="F174" s="14"/>
      <c r="G174" s="14"/>
      <c r="H174" s="14"/>
      <c r="I174" s="11"/>
      <c r="J174" s="14"/>
      <c r="K174" s="16">
        <v>18</v>
      </c>
      <c r="L174" s="15">
        <v>3</v>
      </c>
      <c r="M174" s="14"/>
      <c r="N174" s="14"/>
      <c r="O174" s="14"/>
      <c r="P174" s="14"/>
      <c r="Q174" s="14"/>
      <c r="R174" s="14"/>
    </row>
    <row r="175" spans="1:18" s="1" customFormat="1">
      <c r="B175" s="64"/>
      <c r="C175" s="64"/>
      <c r="D175" s="62"/>
      <c r="F175" s="14"/>
      <c r="G175" s="14"/>
      <c r="H175" s="14"/>
      <c r="I175" s="11"/>
      <c r="J175" s="14"/>
      <c r="K175" s="16"/>
      <c r="L175" s="15"/>
      <c r="M175" s="14"/>
      <c r="N175" s="14"/>
      <c r="O175" s="14"/>
      <c r="P175" s="14"/>
      <c r="Q175" s="14"/>
      <c r="R175" s="14"/>
    </row>
    <row r="176" spans="1:18" ht="12.75" customHeight="1">
      <c r="A176" s="62" t="s">
        <v>1906</v>
      </c>
      <c r="B176" s="62" t="s">
        <v>1907</v>
      </c>
      <c r="C176" s="62" t="s">
        <v>494</v>
      </c>
      <c r="D176" s="62"/>
      <c r="E176" s="62" t="s">
        <v>476</v>
      </c>
      <c r="F176" s="62">
        <v>21</v>
      </c>
      <c r="G176" s="62">
        <v>2133</v>
      </c>
      <c r="H176" s="62" t="s">
        <v>2883</v>
      </c>
      <c r="I176" s="62" t="s">
        <v>2884</v>
      </c>
      <c r="J176" s="62">
        <v>2102</v>
      </c>
      <c r="K176" s="76">
        <v>1</v>
      </c>
      <c r="L176" s="62">
        <v>6</v>
      </c>
      <c r="M176" s="62"/>
      <c r="N176" s="62"/>
      <c r="O176" s="62"/>
      <c r="P176" s="62"/>
    </row>
    <row r="177" spans="1:18" s="3" customFormat="1">
      <c r="A177" s="62"/>
      <c r="B177" s="62" t="s">
        <v>1908</v>
      </c>
      <c r="C177" s="62" t="s">
        <v>494</v>
      </c>
      <c r="D177" s="62"/>
      <c r="E177" s="62"/>
      <c r="F177" s="62"/>
      <c r="G177" s="62"/>
      <c r="H177" s="62"/>
      <c r="I177" s="62"/>
      <c r="J177" s="62"/>
      <c r="K177" s="76">
        <v>2</v>
      </c>
      <c r="L177" s="62">
        <v>6</v>
      </c>
      <c r="M177" s="62"/>
      <c r="N177" s="62"/>
      <c r="O177" s="62"/>
      <c r="P177" s="62"/>
      <c r="Q177" s="12"/>
      <c r="R177" s="12"/>
    </row>
    <row r="178" spans="1:18" s="3" customFormat="1">
      <c r="A178" s="62"/>
      <c r="B178" s="62" t="s">
        <v>1914</v>
      </c>
      <c r="C178" s="62" t="s">
        <v>493</v>
      </c>
      <c r="D178" s="62">
        <v>1</v>
      </c>
      <c r="E178" s="62"/>
      <c r="F178" s="62"/>
      <c r="G178" s="62"/>
      <c r="H178" s="62"/>
      <c r="I178" s="62"/>
      <c r="J178" s="62"/>
      <c r="K178" s="30">
        <v>3</v>
      </c>
      <c r="L178" s="62">
        <v>3</v>
      </c>
      <c r="M178" s="62"/>
      <c r="N178" s="62"/>
      <c r="O178" s="62"/>
      <c r="P178" s="62"/>
      <c r="Q178" s="12"/>
      <c r="R178" s="12"/>
    </row>
    <row r="179" spans="1:18" s="3" customFormat="1">
      <c r="A179" s="62"/>
      <c r="B179" s="62"/>
      <c r="C179" s="62"/>
      <c r="D179" s="62"/>
      <c r="E179" s="62"/>
      <c r="F179" s="62"/>
      <c r="G179" s="62"/>
      <c r="H179" s="62"/>
      <c r="I179" s="62"/>
      <c r="J179" s="62"/>
      <c r="K179" s="30"/>
      <c r="L179" s="62"/>
      <c r="M179" s="62"/>
      <c r="N179" s="62"/>
      <c r="O179" s="62"/>
      <c r="P179" s="62"/>
      <c r="Q179" s="12"/>
      <c r="R179" s="12"/>
    </row>
    <row r="180" spans="1:18" s="1" customFormat="1">
      <c r="A180" s="62" t="s">
        <v>2187</v>
      </c>
      <c r="B180" s="62" t="s">
        <v>2189</v>
      </c>
      <c r="C180" s="62" t="s">
        <v>494</v>
      </c>
      <c r="E180" s="62" t="s">
        <v>476</v>
      </c>
      <c r="F180" s="1">
        <v>21</v>
      </c>
      <c r="G180" s="1">
        <v>2122</v>
      </c>
      <c r="H180" s="62" t="s">
        <v>2190</v>
      </c>
      <c r="I180" s="22" t="s">
        <v>2191</v>
      </c>
      <c r="J180" s="1">
        <v>11</v>
      </c>
      <c r="K180" s="82">
        <v>1</v>
      </c>
      <c r="L180" s="9"/>
    </row>
    <row r="181" spans="1:18" s="1" customFormat="1">
      <c r="B181" s="62" t="s">
        <v>2188</v>
      </c>
      <c r="C181" s="62" t="s">
        <v>494</v>
      </c>
      <c r="I181" s="2"/>
      <c r="K181" s="82">
        <v>2</v>
      </c>
      <c r="L181" s="9">
        <v>8</v>
      </c>
    </row>
    <row r="182" spans="1:18" s="1" customFormat="1">
      <c r="B182" s="62" t="s">
        <v>2192</v>
      </c>
      <c r="C182" s="62" t="s">
        <v>493</v>
      </c>
      <c r="D182" s="1">
        <v>50</v>
      </c>
      <c r="I182" s="2"/>
      <c r="K182" s="82">
        <v>3</v>
      </c>
      <c r="L182" s="9"/>
    </row>
    <row r="183" spans="1:18" s="1" customFormat="1">
      <c r="I183" s="2"/>
      <c r="K183" s="82"/>
      <c r="L183" s="9"/>
    </row>
    <row r="184" spans="1:18" s="1" customFormat="1">
      <c r="A184" s="62" t="s">
        <v>2278</v>
      </c>
      <c r="B184" s="60" t="s">
        <v>2279</v>
      </c>
      <c r="C184" s="62" t="s">
        <v>494</v>
      </c>
      <c r="E184" s="62" t="s">
        <v>476</v>
      </c>
      <c r="F184" s="47">
        <v>21</v>
      </c>
      <c r="G184" s="14">
        <v>2124</v>
      </c>
      <c r="H184" s="47" t="s">
        <v>2291</v>
      </c>
      <c r="I184" s="48" t="s">
        <v>2292</v>
      </c>
      <c r="J184" s="14">
        <v>2101</v>
      </c>
      <c r="K184" s="16">
        <v>1</v>
      </c>
      <c r="L184" s="15">
        <v>6</v>
      </c>
      <c r="M184" s="14"/>
      <c r="N184" s="62"/>
      <c r="O184" s="60"/>
      <c r="P184" s="23"/>
      <c r="Q184" s="14"/>
      <c r="R184" s="14"/>
    </row>
    <row r="185" spans="1:18" s="1" customFormat="1">
      <c r="B185" s="60" t="s">
        <v>2280</v>
      </c>
      <c r="C185" s="62" t="s">
        <v>494</v>
      </c>
      <c r="F185" s="14"/>
      <c r="G185" s="14"/>
      <c r="H185" s="14"/>
      <c r="I185" s="11"/>
      <c r="J185" s="14"/>
      <c r="K185" s="16">
        <v>2</v>
      </c>
      <c r="L185" s="15">
        <v>6</v>
      </c>
      <c r="M185" s="14"/>
      <c r="N185" s="62"/>
      <c r="O185" s="60"/>
      <c r="P185" s="23"/>
      <c r="Q185" s="14"/>
      <c r="R185" s="14"/>
    </row>
    <row r="186" spans="1:18" s="1" customFormat="1">
      <c r="B186" s="60" t="s">
        <v>2281</v>
      </c>
      <c r="C186" s="62" t="s">
        <v>494</v>
      </c>
      <c r="F186" s="14"/>
      <c r="G186" s="14"/>
      <c r="H186" s="14"/>
      <c r="I186" s="11"/>
      <c r="J186" s="14"/>
      <c r="K186" s="16">
        <v>3</v>
      </c>
      <c r="L186" s="15">
        <v>8</v>
      </c>
      <c r="M186" s="14"/>
      <c r="N186" s="62"/>
      <c r="O186" s="60"/>
      <c r="P186" s="23"/>
      <c r="Q186" s="14"/>
      <c r="R186" s="14"/>
    </row>
    <row r="187" spans="1:18" s="1" customFormat="1">
      <c r="B187" s="60" t="s">
        <v>2282</v>
      </c>
      <c r="C187" s="62" t="s">
        <v>494</v>
      </c>
      <c r="F187" s="14"/>
      <c r="G187" s="14"/>
      <c r="H187" s="14"/>
      <c r="I187" s="11"/>
      <c r="J187" s="14"/>
      <c r="K187" s="16">
        <v>4</v>
      </c>
      <c r="L187" s="15">
        <v>3</v>
      </c>
      <c r="M187" s="14"/>
      <c r="N187" s="64" t="s">
        <v>506</v>
      </c>
      <c r="O187" s="64" t="s">
        <v>514</v>
      </c>
      <c r="P187" s="1" t="s">
        <v>515</v>
      </c>
      <c r="Q187" s="14"/>
      <c r="R187" s="14"/>
    </row>
    <row r="188" spans="1:18" s="1" customFormat="1">
      <c r="B188" s="60" t="s">
        <v>2283</v>
      </c>
      <c r="C188" s="62" t="s">
        <v>494</v>
      </c>
      <c r="F188" s="14"/>
      <c r="G188" s="14"/>
      <c r="H188" s="14"/>
      <c r="I188" s="11"/>
      <c r="J188" s="14"/>
      <c r="K188" s="16">
        <v>5</v>
      </c>
      <c r="L188" s="15">
        <v>3</v>
      </c>
      <c r="M188" s="14">
        <v>31</v>
      </c>
      <c r="N188" s="62" t="s">
        <v>1038</v>
      </c>
      <c r="O188" s="23" t="s">
        <v>1040</v>
      </c>
      <c r="P188" s="60" t="s">
        <v>1041</v>
      </c>
      <c r="Q188" s="47" t="s">
        <v>2003</v>
      </c>
      <c r="R188" s="14">
        <v>4</v>
      </c>
    </row>
    <row r="189" spans="1:18" s="1" customFormat="1">
      <c r="B189" s="60" t="s">
        <v>2293</v>
      </c>
      <c r="C189" s="62" t="s">
        <v>494</v>
      </c>
      <c r="F189" s="14"/>
      <c r="G189" s="14"/>
      <c r="H189" s="14"/>
      <c r="I189" s="11"/>
      <c r="J189" s="14"/>
      <c r="K189" s="16">
        <v>6</v>
      </c>
      <c r="L189" s="15">
        <v>3</v>
      </c>
      <c r="M189" s="62">
        <v>31</v>
      </c>
      <c r="N189" s="62" t="s">
        <v>379</v>
      </c>
      <c r="O189" s="62" t="s">
        <v>698</v>
      </c>
      <c r="P189" s="1" t="s">
        <v>699</v>
      </c>
      <c r="Q189" s="14" t="s">
        <v>2003</v>
      </c>
      <c r="R189" s="14">
        <v>5</v>
      </c>
    </row>
    <row r="190" spans="1:18" s="1" customFormat="1">
      <c r="B190" s="60" t="s">
        <v>2284</v>
      </c>
      <c r="C190" s="62" t="s">
        <v>494</v>
      </c>
      <c r="F190" s="14"/>
      <c r="G190" s="14"/>
      <c r="H190" s="14"/>
      <c r="I190" s="11"/>
      <c r="J190" s="14"/>
      <c r="K190" s="16">
        <v>7</v>
      </c>
      <c r="L190" s="15">
        <v>3</v>
      </c>
      <c r="M190" s="14">
        <v>31</v>
      </c>
      <c r="N190" s="62" t="s">
        <v>1960</v>
      </c>
      <c r="O190" s="60" t="s">
        <v>1964</v>
      </c>
      <c r="P190" s="60" t="s">
        <v>1980</v>
      </c>
      <c r="Q190" s="47" t="s">
        <v>1963</v>
      </c>
      <c r="R190" s="14">
        <v>6</v>
      </c>
    </row>
    <row r="191" spans="1:18" s="1" customFormat="1">
      <c r="B191" s="60" t="s">
        <v>2288</v>
      </c>
      <c r="C191" s="62" t="s">
        <v>494</v>
      </c>
      <c r="F191" s="14"/>
      <c r="G191" s="14"/>
      <c r="H191" s="14"/>
      <c r="I191" s="11"/>
      <c r="J191" s="14"/>
      <c r="K191" s="16">
        <v>8</v>
      </c>
      <c r="L191" s="15">
        <v>3</v>
      </c>
      <c r="M191" s="14">
        <v>31</v>
      </c>
      <c r="N191" s="62" t="s">
        <v>1977</v>
      </c>
      <c r="O191" s="62" t="s">
        <v>1979</v>
      </c>
      <c r="P191" s="62" t="s">
        <v>1979</v>
      </c>
      <c r="Q191" s="62" t="s">
        <v>1992</v>
      </c>
      <c r="R191" s="1">
        <v>7</v>
      </c>
    </row>
    <row r="192" spans="1:18" s="1" customFormat="1">
      <c r="B192" s="60" t="s">
        <v>2289</v>
      </c>
      <c r="C192" s="62" t="s">
        <v>520</v>
      </c>
      <c r="F192" s="14"/>
      <c r="G192" s="14"/>
      <c r="H192" s="14"/>
      <c r="I192" s="11"/>
      <c r="J192" s="14"/>
      <c r="K192" s="16">
        <v>9</v>
      </c>
      <c r="L192" s="15"/>
      <c r="M192" s="14"/>
      <c r="N192" s="62"/>
      <c r="O192" s="60"/>
      <c r="P192" s="23"/>
      <c r="Q192" s="14"/>
      <c r="R192" s="14"/>
    </row>
    <row r="193" spans="1:18" s="1" customFormat="1">
      <c r="B193" s="60" t="s">
        <v>2285</v>
      </c>
      <c r="C193" s="62" t="s">
        <v>494</v>
      </c>
      <c r="F193" s="14"/>
      <c r="G193" s="14"/>
      <c r="H193" s="14"/>
      <c r="I193" s="11"/>
      <c r="J193" s="14"/>
      <c r="K193" s="16">
        <v>10</v>
      </c>
      <c r="L193" s="15">
        <v>8</v>
      </c>
      <c r="M193" s="14">
        <v>1</v>
      </c>
      <c r="N193" s="62"/>
      <c r="O193" s="60"/>
      <c r="P193" s="23"/>
      <c r="Q193" s="14"/>
      <c r="R193" s="14"/>
    </row>
    <row r="194" spans="1:18" s="1" customFormat="1">
      <c r="B194" s="60" t="s">
        <v>2286</v>
      </c>
      <c r="C194" s="62" t="s">
        <v>493</v>
      </c>
      <c r="D194" s="1">
        <v>10</v>
      </c>
      <c r="F194" s="14"/>
      <c r="G194" s="14"/>
      <c r="H194" s="14"/>
      <c r="I194" s="11"/>
      <c r="J194" s="14"/>
      <c r="K194" s="16">
        <v>11</v>
      </c>
      <c r="L194" s="15">
        <v>7</v>
      </c>
      <c r="M194" s="14">
        <v>1</v>
      </c>
      <c r="N194" s="62"/>
      <c r="O194" s="60"/>
      <c r="P194" s="23"/>
      <c r="Q194" s="14"/>
      <c r="R194" s="14"/>
    </row>
    <row r="195" spans="1:18" s="1" customFormat="1">
      <c r="B195" s="60" t="s">
        <v>2287</v>
      </c>
      <c r="C195" s="62" t="s">
        <v>494</v>
      </c>
      <c r="F195" s="14"/>
      <c r="G195" s="14"/>
      <c r="H195" s="14"/>
      <c r="I195" s="11"/>
      <c r="J195" s="14"/>
      <c r="K195" s="16">
        <v>12</v>
      </c>
      <c r="L195" s="15"/>
      <c r="M195" s="14">
        <v>73</v>
      </c>
      <c r="N195" s="62"/>
      <c r="O195" s="60"/>
      <c r="P195" s="23"/>
      <c r="Q195" s="14"/>
      <c r="R195" s="14"/>
    </row>
    <row r="196" spans="1:18" s="1" customFormat="1">
      <c r="B196" s="60" t="s">
        <v>2290</v>
      </c>
      <c r="C196" s="62" t="s">
        <v>494</v>
      </c>
      <c r="F196" s="14"/>
      <c r="G196" s="14"/>
      <c r="H196" s="14"/>
      <c r="I196" s="11"/>
      <c r="J196" s="14"/>
      <c r="K196" s="16">
        <v>13</v>
      </c>
      <c r="L196" s="15"/>
      <c r="M196" s="14">
        <v>74</v>
      </c>
      <c r="N196" s="62"/>
      <c r="O196" s="60"/>
      <c r="P196" s="23"/>
      <c r="Q196" s="14"/>
      <c r="R196" s="14"/>
    </row>
    <row r="197" spans="1:18" s="1" customFormat="1">
      <c r="B197" s="60"/>
      <c r="C197" s="62"/>
      <c r="F197" s="14"/>
      <c r="G197" s="14"/>
      <c r="H197" s="14"/>
      <c r="I197" s="11"/>
      <c r="J197" s="14"/>
      <c r="K197" s="16"/>
      <c r="L197" s="15"/>
      <c r="M197" s="14"/>
      <c r="N197" s="62"/>
      <c r="O197" s="60"/>
      <c r="P197" s="23"/>
      <c r="Q197" s="14"/>
      <c r="R197" s="14"/>
    </row>
    <row r="198" spans="1:18" s="1" customFormat="1">
      <c r="A198" s="70" t="s">
        <v>2294</v>
      </c>
      <c r="B198" s="67" t="s">
        <v>2296</v>
      </c>
      <c r="C198" s="70" t="s">
        <v>494</v>
      </c>
      <c r="E198" s="62" t="s">
        <v>476</v>
      </c>
      <c r="F198" s="14">
        <v>21</v>
      </c>
      <c r="G198" s="14">
        <v>2125</v>
      </c>
      <c r="H198" s="47" t="s">
        <v>2306</v>
      </c>
      <c r="I198" s="48" t="s">
        <v>2307</v>
      </c>
      <c r="J198" s="14">
        <v>2101</v>
      </c>
      <c r="K198" s="16">
        <v>1</v>
      </c>
      <c r="L198" s="62">
        <v>3</v>
      </c>
      <c r="M198" s="62"/>
      <c r="N198" s="64" t="s">
        <v>506</v>
      </c>
      <c r="O198" s="64" t="s">
        <v>514</v>
      </c>
      <c r="P198" s="1" t="s">
        <v>515</v>
      </c>
      <c r="Q198" s="12"/>
      <c r="R198" s="12"/>
    </row>
    <row r="199" spans="1:18" s="1" customFormat="1">
      <c r="A199" s="39"/>
      <c r="B199" s="67" t="s">
        <v>2295</v>
      </c>
      <c r="C199" s="70" t="s">
        <v>494</v>
      </c>
      <c r="E199" s="62" t="s">
        <v>476</v>
      </c>
      <c r="F199" s="14"/>
      <c r="G199" s="14"/>
      <c r="H199" s="14"/>
      <c r="I199" s="11"/>
      <c r="J199" s="14"/>
      <c r="K199" s="16">
        <v>2</v>
      </c>
      <c r="L199" s="62">
        <v>9</v>
      </c>
      <c r="M199" s="62"/>
      <c r="N199" s="62" t="s">
        <v>1038</v>
      </c>
      <c r="O199" s="23" t="s">
        <v>1040</v>
      </c>
      <c r="P199" s="60" t="s">
        <v>1041</v>
      </c>
      <c r="Q199" s="23" t="s">
        <v>1040</v>
      </c>
      <c r="R199" s="14">
        <v>140</v>
      </c>
    </row>
    <row r="200" spans="1:18" s="1" customFormat="1">
      <c r="A200" s="39"/>
      <c r="B200" s="67" t="s">
        <v>2297</v>
      </c>
      <c r="C200" s="70" t="s">
        <v>494</v>
      </c>
      <c r="F200" s="14"/>
      <c r="G200" s="14"/>
      <c r="H200" s="14"/>
      <c r="I200" s="11"/>
      <c r="J200" s="14"/>
      <c r="K200" s="16">
        <v>3</v>
      </c>
      <c r="L200" s="15">
        <v>6</v>
      </c>
      <c r="M200" s="14"/>
      <c r="N200" s="62"/>
      <c r="O200" s="60"/>
      <c r="P200" s="23"/>
      <c r="Q200" s="14"/>
      <c r="R200" s="14"/>
    </row>
    <row r="201" spans="1:18" s="1" customFormat="1">
      <c r="A201" s="39"/>
      <c r="B201" s="67" t="s">
        <v>2309</v>
      </c>
      <c r="C201" s="70" t="s">
        <v>494</v>
      </c>
      <c r="F201" s="14"/>
      <c r="G201" s="14"/>
      <c r="H201" s="14"/>
      <c r="I201" s="11"/>
      <c r="J201" s="14"/>
      <c r="K201" s="16">
        <v>4</v>
      </c>
      <c r="L201" s="15">
        <v>3</v>
      </c>
      <c r="M201" s="14">
        <v>3</v>
      </c>
      <c r="N201" s="1" t="s">
        <v>995</v>
      </c>
      <c r="O201" s="23" t="s">
        <v>997</v>
      </c>
      <c r="P201" s="23" t="s">
        <v>996</v>
      </c>
      <c r="Q201" s="14"/>
      <c r="R201" s="14"/>
    </row>
    <row r="202" spans="1:18" s="1" customFormat="1">
      <c r="A202" s="39"/>
      <c r="B202" s="67" t="s">
        <v>2302</v>
      </c>
      <c r="C202" s="70" t="s">
        <v>493</v>
      </c>
      <c r="D202" s="1">
        <v>1</v>
      </c>
      <c r="F202" s="14"/>
      <c r="G202" s="14"/>
      <c r="H202" s="14"/>
      <c r="I202" s="11"/>
      <c r="J202" s="14"/>
      <c r="K202" s="16">
        <v>5</v>
      </c>
      <c r="L202" s="15">
        <v>30</v>
      </c>
      <c r="M202" s="14"/>
      <c r="N202" s="62"/>
      <c r="O202" s="60"/>
      <c r="P202" s="23"/>
      <c r="Q202" s="14"/>
      <c r="R202" s="14"/>
    </row>
    <row r="203" spans="1:18" s="1" customFormat="1">
      <c r="A203" s="39"/>
      <c r="B203" s="67" t="s">
        <v>2299</v>
      </c>
      <c r="C203" s="70" t="s">
        <v>494</v>
      </c>
      <c r="F203" s="14"/>
      <c r="G203" s="77"/>
      <c r="H203" s="14"/>
      <c r="I203" s="11"/>
      <c r="J203" s="14"/>
      <c r="K203" s="16">
        <v>6</v>
      </c>
      <c r="L203" s="15"/>
      <c r="M203" s="14"/>
      <c r="N203" s="62"/>
      <c r="O203" s="60"/>
      <c r="P203" s="23"/>
      <c r="Q203" s="14"/>
      <c r="R203" s="14"/>
    </row>
    <row r="204" spans="1:18" s="1" customFormat="1">
      <c r="A204" s="39"/>
      <c r="B204" s="67" t="s">
        <v>2298</v>
      </c>
      <c r="C204" s="70" t="s">
        <v>493</v>
      </c>
      <c r="D204" s="1">
        <v>10</v>
      </c>
      <c r="F204" s="14"/>
      <c r="G204" s="14"/>
      <c r="H204" s="14"/>
      <c r="I204" s="11"/>
      <c r="J204" s="14"/>
      <c r="K204" s="16">
        <v>7</v>
      </c>
      <c r="L204" s="15">
        <v>7</v>
      </c>
      <c r="M204" s="14"/>
      <c r="N204" s="62"/>
      <c r="O204" s="60"/>
      <c r="P204" s="23"/>
      <c r="Q204" s="14"/>
      <c r="R204" s="14"/>
    </row>
    <row r="205" spans="1:18" s="1" customFormat="1">
      <c r="A205" s="39"/>
      <c r="B205" s="67" t="s">
        <v>2303</v>
      </c>
      <c r="C205" s="70" t="s">
        <v>493</v>
      </c>
      <c r="D205" s="1">
        <v>10</v>
      </c>
      <c r="F205" s="14"/>
      <c r="G205" s="14"/>
      <c r="H205" s="14"/>
      <c r="I205" s="11"/>
      <c r="J205" s="14"/>
      <c r="K205" s="16">
        <v>8</v>
      </c>
      <c r="L205" s="15">
        <v>7</v>
      </c>
      <c r="M205" s="14">
        <v>1</v>
      </c>
      <c r="N205" s="62"/>
      <c r="O205" s="60"/>
      <c r="P205" s="23"/>
      <c r="Q205" s="14"/>
      <c r="R205" s="14"/>
    </row>
    <row r="206" spans="1:18" s="1" customFormat="1">
      <c r="A206" s="39"/>
      <c r="B206" s="67" t="s">
        <v>2304</v>
      </c>
      <c r="C206" s="70" t="s">
        <v>494</v>
      </c>
      <c r="F206" s="14"/>
      <c r="G206" s="14"/>
      <c r="H206" s="14"/>
      <c r="I206" s="11"/>
      <c r="J206" s="14"/>
      <c r="K206" s="16">
        <v>9</v>
      </c>
      <c r="L206" s="15"/>
      <c r="M206" s="14">
        <v>73</v>
      </c>
      <c r="N206" s="62"/>
      <c r="O206" s="60"/>
      <c r="P206" s="23"/>
      <c r="Q206" s="14"/>
      <c r="R206" s="14"/>
    </row>
    <row r="207" spans="1:18" s="1" customFormat="1">
      <c r="A207" s="39"/>
      <c r="B207" s="67" t="s">
        <v>2305</v>
      </c>
      <c r="C207" s="70" t="s">
        <v>494</v>
      </c>
      <c r="F207" s="14"/>
      <c r="G207" s="47"/>
      <c r="H207" s="14"/>
      <c r="I207" s="11"/>
      <c r="J207" s="14"/>
      <c r="K207" s="16">
        <v>10</v>
      </c>
      <c r="L207" s="15"/>
      <c r="M207" s="14">
        <v>74</v>
      </c>
      <c r="N207" s="62"/>
      <c r="O207" s="60"/>
      <c r="P207" s="23"/>
      <c r="Q207" s="14"/>
      <c r="R207" s="14"/>
    </row>
    <row r="208" spans="1:18" s="1" customFormat="1">
      <c r="A208" s="39"/>
      <c r="B208" s="67" t="s">
        <v>2300</v>
      </c>
      <c r="C208" s="70" t="s">
        <v>494</v>
      </c>
      <c r="F208" s="14"/>
      <c r="G208" s="14"/>
      <c r="H208" s="14"/>
      <c r="I208" s="11"/>
      <c r="J208" s="14"/>
      <c r="K208" s="16">
        <v>11</v>
      </c>
      <c r="L208" s="15"/>
      <c r="M208" s="14">
        <v>1</v>
      </c>
      <c r="N208" s="62"/>
      <c r="O208" s="60"/>
      <c r="P208" s="23"/>
      <c r="Q208" s="14"/>
      <c r="R208" s="14"/>
    </row>
    <row r="209" spans="1:18" s="1" customFormat="1">
      <c r="A209" s="39"/>
      <c r="B209" s="67" t="s">
        <v>2301</v>
      </c>
      <c r="C209" s="70" t="s">
        <v>494</v>
      </c>
      <c r="F209" s="14"/>
      <c r="G209" s="14"/>
      <c r="H209" s="14"/>
      <c r="I209" s="11"/>
      <c r="J209" s="14"/>
      <c r="K209" s="16">
        <v>12</v>
      </c>
      <c r="L209" s="15"/>
      <c r="M209" s="14">
        <v>1</v>
      </c>
      <c r="N209" s="62"/>
      <c r="O209" s="60"/>
      <c r="P209" s="23"/>
      <c r="Q209" s="14"/>
      <c r="R209" s="14"/>
    </row>
    <row r="210" spans="1:18" s="1" customFormat="1">
      <c r="A210" s="39"/>
      <c r="B210" s="67" t="s">
        <v>2322</v>
      </c>
      <c r="C210" s="70" t="s">
        <v>493</v>
      </c>
      <c r="D210" s="1">
        <v>1</v>
      </c>
      <c r="F210" s="14"/>
      <c r="G210" s="14"/>
      <c r="H210" s="14"/>
      <c r="I210" s="11"/>
      <c r="J210" s="14"/>
      <c r="K210" s="16">
        <v>13</v>
      </c>
      <c r="L210" s="15">
        <v>3</v>
      </c>
      <c r="M210" s="14"/>
      <c r="N210" s="62"/>
      <c r="O210" s="60"/>
      <c r="P210" s="23"/>
      <c r="Q210" s="14"/>
      <c r="R210" s="14"/>
    </row>
    <row r="211" spans="1:18" s="1" customFormat="1">
      <c r="A211" s="39"/>
      <c r="B211" s="67" t="s">
        <v>2326</v>
      </c>
      <c r="C211" s="70" t="s">
        <v>493</v>
      </c>
      <c r="D211" s="1">
        <v>1</v>
      </c>
      <c r="F211" s="14"/>
      <c r="G211" s="14"/>
      <c r="H211" s="14"/>
      <c r="I211" s="11"/>
      <c r="J211" s="14"/>
      <c r="K211" s="16">
        <v>14</v>
      </c>
      <c r="L211" s="15">
        <v>3</v>
      </c>
      <c r="M211" s="14"/>
      <c r="N211" s="62"/>
      <c r="O211" s="60"/>
      <c r="P211" s="23"/>
      <c r="Q211" s="14"/>
      <c r="R211" s="14"/>
    </row>
    <row r="212" spans="1:18" s="1" customFormat="1">
      <c r="A212" s="39"/>
      <c r="B212" s="67" t="s">
        <v>2328</v>
      </c>
      <c r="C212" s="70" t="s">
        <v>494</v>
      </c>
      <c r="F212" s="14"/>
      <c r="G212" s="14"/>
      <c r="H212" s="14"/>
      <c r="I212" s="11"/>
      <c r="J212" s="14"/>
      <c r="K212" s="16">
        <v>15</v>
      </c>
      <c r="L212" s="15">
        <v>8</v>
      </c>
      <c r="M212" s="14"/>
      <c r="N212" s="62"/>
      <c r="O212" s="60"/>
      <c r="P212" s="23"/>
      <c r="Q212" s="14"/>
      <c r="R212" s="14"/>
    </row>
    <row r="213" spans="1:18" s="1" customFormat="1">
      <c r="A213" s="39"/>
      <c r="B213" s="67" t="s">
        <v>2327</v>
      </c>
      <c r="C213" s="70" t="s">
        <v>493</v>
      </c>
      <c r="D213" s="1">
        <v>10</v>
      </c>
      <c r="F213" s="14"/>
      <c r="G213" s="14"/>
      <c r="H213" s="14"/>
      <c r="I213" s="11"/>
      <c r="J213" s="14"/>
      <c r="K213" s="16">
        <v>16</v>
      </c>
      <c r="L213" s="15">
        <v>7</v>
      </c>
      <c r="M213" s="14"/>
      <c r="N213" s="62"/>
      <c r="O213" s="60"/>
      <c r="P213" s="23"/>
      <c r="Q213" s="14"/>
      <c r="R213" s="14"/>
    </row>
    <row r="214" spans="1:18" s="1" customFormat="1">
      <c r="A214" s="39"/>
      <c r="B214" s="67" t="s">
        <v>2904</v>
      </c>
      <c r="C214" s="70" t="s">
        <v>494</v>
      </c>
      <c r="F214" s="14"/>
      <c r="G214" s="14"/>
      <c r="H214" s="14"/>
      <c r="I214" s="11"/>
      <c r="J214" s="14"/>
      <c r="K214" s="16">
        <v>17</v>
      </c>
      <c r="L214" s="15"/>
      <c r="M214" s="14"/>
      <c r="N214" s="62"/>
      <c r="O214" s="60"/>
      <c r="P214" s="23"/>
      <c r="Q214" s="14"/>
      <c r="R214" s="14"/>
    </row>
    <row r="215" spans="1:18" s="1" customFormat="1">
      <c r="B215" s="60"/>
      <c r="F215" s="14"/>
      <c r="G215" s="14"/>
      <c r="H215" s="14"/>
      <c r="I215" s="11"/>
      <c r="J215" s="14"/>
      <c r="K215" s="16"/>
      <c r="L215" s="15"/>
      <c r="M215" s="14"/>
      <c r="N215" s="62"/>
      <c r="O215" s="60"/>
      <c r="P215" s="23"/>
      <c r="Q215" s="14"/>
      <c r="R215" s="14"/>
    </row>
    <row r="216" spans="1:18" s="3" customFormat="1">
      <c r="A216" s="70" t="s">
        <v>1977</v>
      </c>
      <c r="B216" s="70" t="s">
        <v>1992</v>
      </c>
      <c r="C216" s="70" t="s">
        <v>494</v>
      </c>
      <c r="D216" s="70"/>
      <c r="E216" s="70" t="s">
        <v>476</v>
      </c>
      <c r="F216" s="62">
        <v>21</v>
      </c>
      <c r="G216" s="62">
        <v>2111</v>
      </c>
      <c r="H216" s="62" t="s">
        <v>1998</v>
      </c>
      <c r="I216" s="62" t="s">
        <v>1999</v>
      </c>
      <c r="J216" s="62">
        <v>2101</v>
      </c>
      <c r="K216" s="76">
        <v>1</v>
      </c>
      <c r="L216" s="62">
        <v>52</v>
      </c>
      <c r="M216" s="62"/>
      <c r="N216" s="62">
        <v>2125</v>
      </c>
      <c r="O216" s="62" t="s">
        <v>2295</v>
      </c>
      <c r="P216" s="62"/>
      <c r="Q216" s="12"/>
      <c r="R216" s="12"/>
    </row>
    <row r="217" spans="1:18" s="3" customFormat="1">
      <c r="A217" s="70"/>
      <c r="B217" s="70" t="s">
        <v>1978</v>
      </c>
      <c r="C217" s="70" t="s">
        <v>494</v>
      </c>
      <c r="D217" s="70"/>
      <c r="E217" s="70" t="s">
        <v>476</v>
      </c>
      <c r="F217" s="62"/>
      <c r="G217" s="62"/>
      <c r="H217" s="62"/>
      <c r="I217" s="62"/>
      <c r="J217" s="62"/>
      <c r="K217" s="76">
        <v>2</v>
      </c>
      <c r="L217" s="62">
        <v>6</v>
      </c>
      <c r="M217" s="62"/>
      <c r="N217" s="62"/>
      <c r="O217" s="62"/>
      <c r="P217" s="62"/>
      <c r="Q217" s="12"/>
      <c r="R217" s="12"/>
    </row>
    <row r="218" spans="1:18" s="3" customFormat="1">
      <c r="A218" s="70"/>
      <c r="B218" s="70" t="s">
        <v>1979</v>
      </c>
      <c r="C218" s="70" t="s">
        <v>494</v>
      </c>
      <c r="D218" s="70"/>
      <c r="E218" s="70"/>
      <c r="F218" s="62"/>
      <c r="G218" s="62"/>
      <c r="H218" s="62"/>
      <c r="I218" s="62"/>
      <c r="J218" s="62"/>
      <c r="K218" s="76">
        <v>3</v>
      </c>
      <c r="L218" s="62">
        <v>6</v>
      </c>
      <c r="M218" s="62"/>
      <c r="N218" s="62"/>
      <c r="O218" s="62"/>
      <c r="P218" s="62"/>
      <c r="Q218" s="12"/>
      <c r="R218" s="12"/>
    </row>
    <row r="219" spans="1:18" s="3" customFormat="1">
      <c r="A219" s="70"/>
      <c r="B219" s="70" t="s">
        <v>1993</v>
      </c>
      <c r="C219" s="70" t="s">
        <v>494</v>
      </c>
      <c r="D219" s="70"/>
      <c r="E219" s="70"/>
      <c r="F219" s="62"/>
      <c r="G219" s="62"/>
      <c r="H219" s="62"/>
      <c r="I219" s="62"/>
      <c r="J219" s="62"/>
      <c r="K219" s="76">
        <v>4</v>
      </c>
      <c r="L219" s="62">
        <v>8</v>
      </c>
      <c r="M219" s="62"/>
      <c r="N219" s="62"/>
      <c r="O219" s="62"/>
      <c r="P219" s="62"/>
      <c r="Q219" s="12"/>
      <c r="R219" s="12"/>
    </row>
    <row r="220" spans="1:18" s="3" customFormat="1">
      <c r="A220" s="62"/>
      <c r="B220" s="62" t="s">
        <v>2057</v>
      </c>
      <c r="C220" s="62" t="s">
        <v>702</v>
      </c>
      <c r="D220" s="62"/>
      <c r="E220" s="62"/>
      <c r="F220" s="62"/>
      <c r="G220" s="62"/>
      <c r="H220" s="62"/>
      <c r="I220" s="62"/>
      <c r="J220" s="62"/>
      <c r="K220" s="76">
        <v>5</v>
      </c>
      <c r="L220" s="62"/>
      <c r="M220" s="62"/>
      <c r="N220" s="62"/>
      <c r="O220" s="62"/>
      <c r="P220" s="62"/>
      <c r="Q220" s="12"/>
      <c r="R220" s="12"/>
    </row>
    <row r="221" spans="1:18" s="1" customFormat="1">
      <c r="B221" s="67" t="s">
        <v>2308</v>
      </c>
      <c r="C221" s="70" t="s">
        <v>494</v>
      </c>
      <c r="F221" s="14"/>
      <c r="G221" s="14"/>
      <c r="H221" s="14"/>
      <c r="I221" s="11"/>
      <c r="J221" s="14"/>
      <c r="K221" s="76">
        <v>6</v>
      </c>
      <c r="L221" s="15"/>
      <c r="M221" s="14"/>
      <c r="N221" s="62"/>
      <c r="O221" s="60"/>
      <c r="P221" s="23"/>
      <c r="Q221" s="14"/>
      <c r="R221" s="14"/>
    </row>
    <row r="222" spans="1:18" s="1" customFormat="1">
      <c r="B222" s="67"/>
      <c r="C222" s="70"/>
      <c r="F222" s="14"/>
      <c r="G222" s="14"/>
      <c r="H222" s="14"/>
      <c r="I222" s="11"/>
      <c r="J222" s="14"/>
      <c r="K222" s="76"/>
      <c r="L222" s="15"/>
      <c r="M222" s="14"/>
      <c r="N222" s="62"/>
      <c r="O222" s="60"/>
      <c r="P222" s="23"/>
      <c r="Q222" s="14"/>
      <c r="R222" s="14"/>
    </row>
    <row r="223" spans="1:18" s="1" customFormat="1">
      <c r="A223" s="62" t="s">
        <v>2294</v>
      </c>
      <c r="B223" s="60" t="s">
        <v>2296</v>
      </c>
      <c r="C223" s="62" t="s">
        <v>494</v>
      </c>
      <c r="E223" s="62" t="s">
        <v>476</v>
      </c>
      <c r="F223" s="14">
        <v>21</v>
      </c>
      <c r="G223" s="14">
        <v>2125</v>
      </c>
      <c r="H223" s="47" t="s">
        <v>2324</v>
      </c>
      <c r="I223" s="48" t="s">
        <v>2325</v>
      </c>
      <c r="J223" s="14">
        <v>1501</v>
      </c>
      <c r="K223" s="16">
        <v>1</v>
      </c>
      <c r="L223" s="62">
        <v>3</v>
      </c>
      <c r="M223" s="62"/>
      <c r="N223" s="64" t="s">
        <v>506</v>
      </c>
      <c r="O223" s="64" t="s">
        <v>514</v>
      </c>
      <c r="P223" s="1" t="s">
        <v>515</v>
      </c>
      <c r="Q223" s="12"/>
      <c r="R223" s="12"/>
    </row>
    <row r="224" spans="1:18" s="1" customFormat="1">
      <c r="B224" s="60" t="s">
        <v>2295</v>
      </c>
      <c r="C224" s="62" t="s">
        <v>494</v>
      </c>
      <c r="E224" s="62" t="s">
        <v>476</v>
      </c>
      <c r="F224" s="14"/>
      <c r="G224" s="14"/>
      <c r="H224" s="14"/>
      <c r="I224" s="11"/>
      <c r="J224" s="14"/>
      <c r="K224" s="16">
        <v>2</v>
      </c>
      <c r="L224" s="62">
        <v>9</v>
      </c>
      <c r="M224" s="62"/>
      <c r="N224" s="62" t="s">
        <v>1038</v>
      </c>
      <c r="O224" s="23" t="s">
        <v>1040</v>
      </c>
      <c r="P224" s="60" t="s">
        <v>1041</v>
      </c>
      <c r="Q224" s="23" t="s">
        <v>1040</v>
      </c>
      <c r="R224" s="14">
        <v>140</v>
      </c>
    </row>
    <row r="225" spans="2:18" s="1" customFormat="1">
      <c r="B225" s="60" t="s">
        <v>2297</v>
      </c>
      <c r="C225" s="62" t="s">
        <v>494</v>
      </c>
      <c r="F225" s="14"/>
      <c r="G225" s="14"/>
      <c r="H225" s="14"/>
      <c r="I225" s="11"/>
      <c r="J225" s="14"/>
      <c r="K225" s="16">
        <v>3</v>
      </c>
      <c r="L225" s="15">
        <v>6</v>
      </c>
      <c r="M225" s="14"/>
      <c r="N225" s="62"/>
      <c r="O225" s="60"/>
      <c r="P225" s="23"/>
      <c r="Q225" s="14"/>
      <c r="R225" s="14"/>
    </row>
    <row r="226" spans="2:18" s="1" customFormat="1">
      <c r="B226" s="60" t="s">
        <v>2309</v>
      </c>
      <c r="C226" s="62" t="s">
        <v>494</v>
      </c>
      <c r="F226" s="14"/>
      <c r="G226" s="14"/>
      <c r="H226" s="14"/>
      <c r="I226" s="11"/>
      <c r="J226" s="14"/>
      <c r="K226" s="16">
        <v>4</v>
      </c>
      <c r="L226" s="15">
        <v>3</v>
      </c>
      <c r="M226" s="14">
        <v>3</v>
      </c>
      <c r="N226" s="1" t="s">
        <v>995</v>
      </c>
      <c r="O226" s="23" t="s">
        <v>997</v>
      </c>
      <c r="P226" s="23" t="s">
        <v>996</v>
      </c>
      <c r="Q226" s="14"/>
      <c r="R226" s="14"/>
    </row>
    <row r="227" spans="2:18" s="1" customFormat="1">
      <c r="B227" s="60" t="s">
        <v>2302</v>
      </c>
      <c r="C227" s="62" t="s">
        <v>493</v>
      </c>
      <c r="D227" s="1">
        <v>1</v>
      </c>
      <c r="F227" s="14"/>
      <c r="G227" s="14"/>
      <c r="H227" s="14"/>
      <c r="I227" s="11"/>
      <c r="J227" s="14"/>
      <c r="K227" s="16">
        <v>5</v>
      </c>
      <c r="L227" s="15">
        <v>30</v>
      </c>
      <c r="M227" s="14"/>
      <c r="N227" s="62"/>
      <c r="O227" s="60"/>
      <c r="P227" s="23"/>
      <c r="Q227" s="14"/>
      <c r="R227" s="14"/>
    </row>
    <row r="228" spans="2:18" s="1" customFormat="1">
      <c r="B228" s="60" t="s">
        <v>2299</v>
      </c>
      <c r="C228" s="62" t="s">
        <v>494</v>
      </c>
      <c r="F228" s="14"/>
      <c r="G228" s="77"/>
      <c r="H228" s="14"/>
      <c r="I228" s="11"/>
      <c r="J228" s="14"/>
      <c r="K228" s="16">
        <v>6</v>
      </c>
      <c r="L228" s="15"/>
      <c r="M228" s="14"/>
      <c r="N228" s="62"/>
      <c r="O228" s="60"/>
      <c r="P228" s="23"/>
      <c r="Q228" s="14"/>
      <c r="R228" s="14"/>
    </row>
    <row r="229" spans="2:18" s="1" customFormat="1">
      <c r="B229" s="60" t="s">
        <v>2298</v>
      </c>
      <c r="C229" s="62" t="s">
        <v>493</v>
      </c>
      <c r="D229" s="1">
        <v>10</v>
      </c>
      <c r="F229" s="14"/>
      <c r="G229" s="14"/>
      <c r="H229" s="14"/>
      <c r="I229" s="11"/>
      <c r="J229" s="14"/>
      <c r="K229" s="16">
        <v>7</v>
      </c>
      <c r="L229" s="15">
        <v>7</v>
      </c>
      <c r="M229" s="14"/>
      <c r="N229" s="62"/>
      <c r="O229" s="60"/>
      <c r="P229" s="23"/>
      <c r="Q229" s="14"/>
      <c r="R229" s="14"/>
    </row>
    <row r="230" spans="2:18" s="1" customFormat="1">
      <c r="B230" s="60" t="s">
        <v>2303</v>
      </c>
      <c r="C230" s="62" t="s">
        <v>493</v>
      </c>
      <c r="D230" s="1">
        <v>10</v>
      </c>
      <c r="F230" s="14"/>
      <c r="G230" s="14"/>
      <c r="H230" s="14"/>
      <c r="I230" s="11"/>
      <c r="J230" s="14"/>
      <c r="K230" s="16">
        <v>8</v>
      </c>
      <c r="L230" s="15">
        <v>7</v>
      </c>
      <c r="M230" s="14">
        <v>1</v>
      </c>
      <c r="N230" s="62"/>
      <c r="O230" s="60"/>
      <c r="P230" s="23"/>
      <c r="Q230" s="14"/>
      <c r="R230" s="14"/>
    </row>
    <row r="231" spans="2:18" s="1" customFormat="1">
      <c r="B231" s="60" t="s">
        <v>2304</v>
      </c>
      <c r="C231" s="62" t="s">
        <v>494</v>
      </c>
      <c r="F231" s="14"/>
      <c r="G231" s="14"/>
      <c r="H231" s="14"/>
      <c r="I231" s="11"/>
      <c r="J231" s="14"/>
      <c r="K231" s="16">
        <v>9</v>
      </c>
      <c r="L231" s="15"/>
      <c r="M231" s="14">
        <v>73</v>
      </c>
      <c r="N231" s="62"/>
      <c r="O231" s="60"/>
      <c r="P231" s="23"/>
      <c r="Q231" s="14"/>
      <c r="R231" s="14"/>
    </row>
    <row r="232" spans="2:18" s="1" customFormat="1">
      <c r="B232" s="60" t="s">
        <v>2305</v>
      </c>
      <c r="C232" s="62" t="s">
        <v>494</v>
      </c>
      <c r="F232" s="14"/>
      <c r="G232" s="47"/>
      <c r="H232" s="14"/>
      <c r="I232" s="11"/>
      <c r="J232" s="14"/>
      <c r="K232" s="16">
        <v>10</v>
      </c>
      <c r="L232" s="15"/>
      <c r="M232" s="14">
        <v>74</v>
      </c>
      <c r="N232" s="62"/>
      <c r="O232" s="60"/>
      <c r="P232" s="23"/>
      <c r="Q232" s="14"/>
      <c r="R232" s="14"/>
    </row>
    <row r="233" spans="2:18" s="1" customFormat="1">
      <c r="B233" s="60" t="s">
        <v>2300</v>
      </c>
      <c r="C233" s="62" t="s">
        <v>494</v>
      </c>
      <c r="F233" s="14"/>
      <c r="G233" s="14"/>
      <c r="H233" s="14"/>
      <c r="I233" s="11"/>
      <c r="J233" s="14"/>
      <c r="K233" s="16">
        <v>11</v>
      </c>
      <c r="L233" s="15"/>
      <c r="M233" s="14">
        <v>1</v>
      </c>
      <c r="N233" s="62"/>
      <c r="O233" s="60"/>
      <c r="P233" s="23"/>
      <c r="Q233" s="14"/>
      <c r="R233" s="14"/>
    </row>
    <row r="234" spans="2:18" s="1" customFormat="1">
      <c r="B234" s="60" t="s">
        <v>2301</v>
      </c>
      <c r="C234" s="62" t="s">
        <v>494</v>
      </c>
      <c r="F234" s="14"/>
      <c r="G234" s="14"/>
      <c r="H234" s="14"/>
      <c r="I234" s="11"/>
      <c r="J234" s="14"/>
      <c r="K234" s="16">
        <v>12</v>
      </c>
      <c r="L234" s="15"/>
      <c r="M234" s="14">
        <v>1</v>
      </c>
      <c r="N234" s="62"/>
      <c r="O234" s="60"/>
      <c r="P234" s="23"/>
      <c r="Q234" s="14"/>
      <c r="R234" s="14"/>
    </row>
    <row r="235" spans="2:18" s="1" customFormat="1">
      <c r="B235" s="60" t="s">
        <v>2322</v>
      </c>
      <c r="C235" s="62" t="s">
        <v>493</v>
      </c>
      <c r="D235" s="1">
        <v>1</v>
      </c>
      <c r="F235" s="14"/>
      <c r="G235" s="14"/>
      <c r="H235" s="14"/>
      <c r="I235" s="11"/>
      <c r="J235" s="14"/>
      <c r="K235" s="16">
        <v>13</v>
      </c>
      <c r="L235" s="15">
        <v>3</v>
      </c>
      <c r="M235" s="14"/>
      <c r="N235" s="62"/>
      <c r="O235" s="60"/>
      <c r="P235" s="23"/>
      <c r="Q235" s="14"/>
      <c r="R235" s="14"/>
    </row>
    <row r="236" spans="2:18" s="1" customFormat="1">
      <c r="B236" s="60" t="s">
        <v>2326</v>
      </c>
      <c r="C236" s="62" t="s">
        <v>493</v>
      </c>
      <c r="D236" s="1">
        <v>1</v>
      </c>
      <c r="F236" s="14"/>
      <c r="G236" s="14"/>
      <c r="H236" s="14"/>
      <c r="I236" s="11"/>
      <c r="J236" s="14"/>
      <c r="K236" s="16">
        <v>14</v>
      </c>
      <c r="L236" s="15">
        <v>3</v>
      </c>
      <c r="M236" s="14"/>
      <c r="N236" s="62"/>
      <c r="O236" s="60"/>
      <c r="P236" s="23"/>
      <c r="Q236" s="14"/>
      <c r="R236" s="14"/>
    </row>
    <row r="237" spans="2:18" s="1" customFormat="1">
      <c r="B237" s="60" t="s">
        <v>2328</v>
      </c>
      <c r="C237" s="62" t="s">
        <v>494</v>
      </c>
      <c r="F237" s="14"/>
      <c r="G237" s="14"/>
      <c r="H237" s="14"/>
      <c r="I237" s="11"/>
      <c r="J237" s="14"/>
      <c r="K237" s="16">
        <v>15</v>
      </c>
      <c r="L237" s="15">
        <v>8</v>
      </c>
      <c r="M237" s="14"/>
      <c r="N237" s="62"/>
      <c r="O237" s="60"/>
      <c r="P237" s="23"/>
      <c r="Q237" s="14"/>
      <c r="R237" s="14"/>
    </row>
    <row r="238" spans="2:18" s="1" customFormat="1">
      <c r="B238" s="60" t="s">
        <v>2327</v>
      </c>
      <c r="C238" s="62" t="s">
        <v>493</v>
      </c>
      <c r="D238" s="1">
        <v>10</v>
      </c>
      <c r="F238" s="14"/>
      <c r="G238" s="14"/>
      <c r="H238" s="14"/>
      <c r="I238" s="11"/>
      <c r="J238" s="14"/>
      <c r="K238" s="16">
        <v>16</v>
      </c>
      <c r="L238" s="15">
        <v>7</v>
      </c>
      <c r="M238" s="14"/>
      <c r="N238" s="62"/>
      <c r="O238" s="60"/>
      <c r="P238" s="23"/>
      <c r="Q238" s="14"/>
      <c r="R238" s="14"/>
    </row>
    <row r="239" spans="2:18" s="1" customFormat="1">
      <c r="B239" s="60" t="s">
        <v>2904</v>
      </c>
      <c r="C239" s="62" t="s">
        <v>494</v>
      </c>
      <c r="F239" s="14"/>
      <c r="G239" s="14"/>
      <c r="H239" s="14"/>
      <c r="I239" s="11"/>
      <c r="J239" s="14"/>
      <c r="K239" s="16">
        <v>17</v>
      </c>
      <c r="L239" s="15"/>
      <c r="M239" s="14"/>
      <c r="N239" s="62"/>
      <c r="O239" s="60"/>
      <c r="P239" s="23"/>
      <c r="Q239" s="14"/>
      <c r="R239" s="14"/>
    </row>
    <row r="240" spans="2:18" s="1" customFormat="1">
      <c r="B240" s="60"/>
      <c r="F240" s="14"/>
      <c r="G240" s="14"/>
      <c r="H240" s="14"/>
      <c r="I240" s="11"/>
      <c r="J240" s="14"/>
      <c r="K240" s="16"/>
      <c r="L240" s="15"/>
      <c r="M240" s="14"/>
      <c r="N240" s="62"/>
      <c r="O240" s="60"/>
      <c r="P240" s="23"/>
      <c r="Q240" s="14"/>
      <c r="R240" s="14"/>
    </row>
    <row r="241" spans="1:18" s="3" customFormat="1">
      <c r="A241" s="70" t="s">
        <v>1977</v>
      </c>
      <c r="B241" s="70" t="s">
        <v>1992</v>
      </c>
      <c r="C241" s="70" t="s">
        <v>494</v>
      </c>
      <c r="D241" s="70"/>
      <c r="E241" s="70" t="s">
        <v>476</v>
      </c>
      <c r="F241" s="62">
        <v>21</v>
      </c>
      <c r="G241" s="62">
        <v>2111</v>
      </c>
      <c r="H241" s="62" t="s">
        <v>1998</v>
      </c>
      <c r="I241" s="62"/>
      <c r="J241" s="62">
        <v>2101</v>
      </c>
      <c r="K241" s="76">
        <v>1</v>
      </c>
      <c r="L241" s="62">
        <v>52</v>
      </c>
      <c r="M241" s="62"/>
      <c r="N241" s="62">
        <v>2125</v>
      </c>
      <c r="O241" s="62" t="s">
        <v>2295</v>
      </c>
      <c r="P241" s="62"/>
      <c r="Q241" s="12"/>
      <c r="R241" s="12"/>
    </row>
    <row r="242" spans="1:18" s="3" customFormat="1">
      <c r="A242" s="70"/>
      <c r="B242" s="70" t="s">
        <v>1978</v>
      </c>
      <c r="C242" s="70" t="s">
        <v>494</v>
      </c>
      <c r="D242" s="70"/>
      <c r="E242" s="70" t="s">
        <v>476</v>
      </c>
      <c r="F242" s="62"/>
      <c r="G242" s="62"/>
      <c r="H242" s="62"/>
      <c r="I242" s="62"/>
      <c r="J242" s="62"/>
      <c r="K242" s="76">
        <v>2</v>
      </c>
      <c r="L242" s="62">
        <v>6</v>
      </c>
      <c r="M242" s="62"/>
      <c r="N242" s="62"/>
      <c r="O242" s="62"/>
      <c r="P242" s="62"/>
      <c r="Q242" s="12"/>
      <c r="R242" s="12"/>
    </row>
    <row r="243" spans="1:18" s="3" customFormat="1">
      <c r="A243" s="70"/>
      <c r="B243" s="70" t="s">
        <v>1979</v>
      </c>
      <c r="C243" s="70" t="s">
        <v>494</v>
      </c>
      <c r="D243" s="70"/>
      <c r="E243" s="70"/>
      <c r="F243" s="62"/>
      <c r="G243" s="62"/>
      <c r="H243" s="62"/>
      <c r="I243" s="62"/>
      <c r="J243" s="62"/>
      <c r="K243" s="76">
        <v>3</v>
      </c>
      <c r="L243" s="62">
        <v>6</v>
      </c>
      <c r="M243" s="62"/>
      <c r="N243" s="62"/>
      <c r="O243" s="62"/>
      <c r="P243" s="62"/>
      <c r="Q243" s="12"/>
      <c r="R243" s="12"/>
    </row>
    <row r="244" spans="1:18" s="3" customFormat="1">
      <c r="A244" s="70"/>
      <c r="B244" s="70" t="s">
        <v>1993</v>
      </c>
      <c r="C244" s="70" t="s">
        <v>494</v>
      </c>
      <c r="D244" s="70"/>
      <c r="E244" s="70"/>
      <c r="F244" s="62"/>
      <c r="G244" s="62"/>
      <c r="H244" s="62"/>
      <c r="I244" s="62"/>
      <c r="J244" s="62"/>
      <c r="K244" s="76">
        <v>4</v>
      </c>
      <c r="L244" s="62">
        <v>8</v>
      </c>
      <c r="M244" s="62"/>
      <c r="N244" s="62"/>
      <c r="O244" s="62"/>
      <c r="P244" s="62"/>
      <c r="Q244" s="12"/>
      <c r="R244" s="12"/>
    </row>
    <row r="245" spans="1:18" s="3" customFormat="1">
      <c r="A245" s="62"/>
      <c r="B245" s="62" t="s">
        <v>2057</v>
      </c>
      <c r="C245" s="62" t="s">
        <v>702</v>
      </c>
      <c r="D245" s="62"/>
      <c r="E245" s="62"/>
      <c r="F245" s="62"/>
      <c r="G245" s="62"/>
      <c r="H245" s="62"/>
      <c r="I245" s="62"/>
      <c r="J245" s="62"/>
      <c r="K245" s="76">
        <v>5</v>
      </c>
      <c r="L245" s="62"/>
      <c r="M245" s="62"/>
      <c r="N245" s="62"/>
      <c r="O245" s="62"/>
      <c r="P245" s="62"/>
      <c r="Q245" s="12"/>
      <c r="R245" s="12"/>
    </row>
    <row r="246" spans="1:18" s="1" customFormat="1">
      <c r="B246" s="67" t="s">
        <v>2308</v>
      </c>
      <c r="C246" s="70" t="s">
        <v>494</v>
      </c>
      <c r="F246" s="14"/>
      <c r="G246" s="14"/>
      <c r="H246" s="14"/>
      <c r="I246" s="11"/>
      <c r="J246" s="14"/>
      <c r="K246" s="76">
        <v>6</v>
      </c>
      <c r="L246" s="15"/>
      <c r="M246" s="14"/>
      <c r="N246" s="62"/>
      <c r="O246" s="60"/>
      <c r="P246" s="23"/>
      <c r="Q246" s="14"/>
      <c r="R246" s="14"/>
    </row>
    <row r="247" spans="1:18" s="1" customFormat="1">
      <c r="B247" s="66"/>
      <c r="C247" s="64"/>
      <c r="F247" s="14"/>
      <c r="G247" s="14"/>
      <c r="H247" s="14"/>
      <c r="I247" s="11"/>
      <c r="J247" s="14"/>
      <c r="K247" s="76"/>
      <c r="L247" s="15"/>
      <c r="M247" s="14"/>
      <c r="N247" s="62"/>
      <c r="O247" s="60"/>
      <c r="P247" s="23"/>
      <c r="Q247" s="14"/>
      <c r="R247" s="14"/>
    </row>
    <row r="248" spans="1:18" s="62" customFormat="1">
      <c r="A248" s="62" t="s">
        <v>3086</v>
      </c>
      <c r="B248" s="62" t="s">
        <v>3087</v>
      </c>
      <c r="C248" s="62" t="s">
        <v>494</v>
      </c>
      <c r="E248" s="62" t="s">
        <v>476</v>
      </c>
      <c r="G248" s="62">
        <v>2137</v>
      </c>
      <c r="H248" s="62" t="s">
        <v>3093</v>
      </c>
      <c r="I248" s="22" t="s">
        <v>3094</v>
      </c>
      <c r="J248" s="62">
        <v>2103</v>
      </c>
      <c r="K248" s="32">
        <v>1</v>
      </c>
      <c r="L248" s="76">
        <v>3</v>
      </c>
      <c r="N248" s="64" t="s">
        <v>506</v>
      </c>
      <c r="O248" s="64" t="s">
        <v>514</v>
      </c>
      <c r="P248" s="1" t="s">
        <v>515</v>
      </c>
    </row>
    <row r="249" spans="1:18" s="1" customFormat="1">
      <c r="B249" s="62" t="s">
        <v>3088</v>
      </c>
      <c r="C249" s="62" t="s">
        <v>494</v>
      </c>
      <c r="E249" s="62" t="s">
        <v>476</v>
      </c>
      <c r="I249" s="2"/>
      <c r="K249" s="82">
        <v>2</v>
      </c>
      <c r="L249" s="9"/>
    </row>
    <row r="250" spans="1:18" s="1" customFormat="1">
      <c r="B250" s="62" t="s">
        <v>3089</v>
      </c>
      <c r="C250" s="62" t="s">
        <v>494</v>
      </c>
      <c r="E250" s="62" t="s">
        <v>476</v>
      </c>
      <c r="I250" s="2"/>
      <c r="K250" s="82">
        <v>3</v>
      </c>
      <c r="L250" s="9">
        <v>8</v>
      </c>
    </row>
    <row r="251" spans="1:18" s="1" customFormat="1">
      <c r="B251" s="62" t="s">
        <v>3090</v>
      </c>
      <c r="C251" s="62" t="s">
        <v>494</v>
      </c>
      <c r="I251" s="2"/>
      <c r="K251" s="82">
        <v>4</v>
      </c>
      <c r="L251" s="9">
        <v>6</v>
      </c>
    </row>
    <row r="252" spans="1:18" s="1" customFormat="1">
      <c r="B252" s="62" t="s">
        <v>3091</v>
      </c>
      <c r="C252" s="62" t="s">
        <v>493</v>
      </c>
      <c r="D252" s="1">
        <v>1</v>
      </c>
      <c r="I252" s="2"/>
      <c r="K252" s="82">
        <v>5</v>
      </c>
      <c r="L252" s="9">
        <v>3</v>
      </c>
    </row>
    <row r="253" spans="1:18" s="1" customFormat="1">
      <c r="B253" s="62" t="s">
        <v>3092</v>
      </c>
      <c r="C253" s="62" t="s">
        <v>520</v>
      </c>
      <c r="I253" s="2"/>
      <c r="K253" s="82">
        <v>6</v>
      </c>
      <c r="L253" s="9"/>
    </row>
    <row r="254" spans="1:18" s="1" customFormat="1">
      <c r="B254" s="62"/>
      <c r="I254" s="2"/>
      <c r="K254" s="82"/>
      <c r="L254" s="9"/>
    </row>
    <row r="255" spans="1:18" s="1" customFormat="1">
      <c r="A255" s="70" t="s">
        <v>579</v>
      </c>
      <c r="B255" s="39" t="s">
        <v>580</v>
      </c>
      <c r="C255" s="39" t="s">
        <v>493</v>
      </c>
      <c r="D255" s="1">
        <v>2</v>
      </c>
      <c r="E255" s="1" t="s">
        <v>476</v>
      </c>
      <c r="F255" s="1">
        <v>21</v>
      </c>
      <c r="G255" s="1">
        <v>2138</v>
      </c>
      <c r="H255" s="62" t="s">
        <v>3185</v>
      </c>
      <c r="I255" s="22" t="s">
        <v>3186</v>
      </c>
      <c r="J255" s="1">
        <v>1</v>
      </c>
      <c r="K255" s="82">
        <v>1</v>
      </c>
      <c r="L255" s="9">
        <v>3</v>
      </c>
      <c r="N255"/>
    </row>
    <row r="256" spans="1:18" s="1" customFormat="1">
      <c r="A256" s="39"/>
      <c r="B256" s="70" t="s">
        <v>581</v>
      </c>
      <c r="C256" s="39" t="s">
        <v>493</v>
      </c>
      <c r="D256" s="1">
        <v>13</v>
      </c>
      <c r="E256" s="1" t="s">
        <v>476</v>
      </c>
      <c r="I256" s="2"/>
      <c r="K256" s="82">
        <v>2</v>
      </c>
      <c r="L256" s="9"/>
    </row>
    <row r="257" spans="1:18" s="1" customFormat="1">
      <c r="A257" s="39"/>
      <c r="B257" s="39" t="s">
        <v>582</v>
      </c>
      <c r="C257" s="39" t="s">
        <v>494</v>
      </c>
      <c r="I257" s="2"/>
      <c r="K257" s="82">
        <v>3</v>
      </c>
      <c r="L257" s="9">
        <v>6</v>
      </c>
    </row>
    <row r="258" spans="1:18" s="1" customFormat="1">
      <c r="A258" s="39"/>
      <c r="B258" s="70" t="s">
        <v>584</v>
      </c>
      <c r="C258" s="39" t="s">
        <v>493</v>
      </c>
      <c r="D258" s="1">
        <v>30</v>
      </c>
      <c r="I258" s="2"/>
      <c r="K258" s="82">
        <v>4</v>
      </c>
      <c r="L258" s="9"/>
      <c r="M258" s="1">
        <v>1</v>
      </c>
    </row>
    <row r="259" spans="1:18" s="1" customFormat="1">
      <c r="A259" s="39"/>
      <c r="B259" s="39" t="s">
        <v>586</v>
      </c>
      <c r="C259" s="39" t="s">
        <v>493</v>
      </c>
      <c r="D259" s="1">
        <v>30</v>
      </c>
      <c r="I259" s="2"/>
      <c r="K259" s="82">
        <v>5</v>
      </c>
      <c r="L259" s="9"/>
    </row>
    <row r="260" spans="1:18" s="1" customFormat="1">
      <c r="A260" s="39"/>
      <c r="B260" s="39" t="s">
        <v>587</v>
      </c>
      <c r="C260" s="39" t="s">
        <v>493</v>
      </c>
      <c r="D260" s="1">
        <v>30</v>
      </c>
      <c r="I260" s="2"/>
      <c r="K260" s="82">
        <v>6</v>
      </c>
      <c r="L260" s="9"/>
    </row>
    <row r="261" spans="1:18" s="1" customFormat="1">
      <c r="A261" s="39"/>
      <c r="B261" s="39" t="s">
        <v>588</v>
      </c>
      <c r="C261" s="39" t="s">
        <v>493</v>
      </c>
      <c r="D261" s="1">
        <v>30</v>
      </c>
      <c r="I261" s="2"/>
      <c r="K261" s="82">
        <v>7</v>
      </c>
      <c r="L261" s="9"/>
    </row>
    <row r="262" spans="1:18" s="1" customFormat="1">
      <c r="A262" s="39"/>
      <c r="B262" s="39" t="s">
        <v>589</v>
      </c>
      <c r="C262" s="39" t="s">
        <v>493</v>
      </c>
      <c r="D262" s="1">
        <v>30</v>
      </c>
      <c r="I262" s="2"/>
      <c r="K262" s="82">
        <v>8</v>
      </c>
      <c r="L262" s="9"/>
    </row>
    <row r="263" spans="1:18" s="1" customFormat="1">
      <c r="A263" s="39"/>
      <c r="B263" s="39" t="s">
        <v>590</v>
      </c>
      <c r="C263" s="39" t="s">
        <v>493</v>
      </c>
      <c r="D263" s="1">
        <v>1</v>
      </c>
      <c r="I263" s="2"/>
      <c r="K263" s="82">
        <v>9</v>
      </c>
      <c r="L263" s="9">
        <v>3</v>
      </c>
      <c r="O263" s="1">
        <v>111</v>
      </c>
      <c r="P263" s="1">
        <v>1</v>
      </c>
    </row>
    <row r="264" spans="1:18" s="1" customFormat="1">
      <c r="A264" s="39"/>
      <c r="B264" s="70" t="s">
        <v>591</v>
      </c>
      <c r="C264" s="39" t="s">
        <v>493</v>
      </c>
      <c r="D264" s="1">
        <v>10</v>
      </c>
      <c r="I264" s="2"/>
      <c r="K264" s="82">
        <v>10</v>
      </c>
      <c r="L264" s="9">
        <v>7</v>
      </c>
    </row>
    <row r="265" spans="1:18" s="1" customFormat="1">
      <c r="A265" s="39"/>
      <c r="B265" s="39" t="s">
        <v>595</v>
      </c>
      <c r="C265" s="39" t="s">
        <v>493</v>
      </c>
      <c r="D265" s="1">
        <v>100</v>
      </c>
      <c r="I265" s="2"/>
      <c r="K265" s="82">
        <v>11</v>
      </c>
      <c r="L265" s="9"/>
    </row>
    <row r="266" spans="1:18" s="1" customFormat="1">
      <c r="A266" s="39"/>
      <c r="B266" s="70" t="s">
        <v>596</v>
      </c>
      <c r="C266" s="39" t="s">
        <v>493</v>
      </c>
      <c r="D266" s="1">
        <v>30</v>
      </c>
      <c r="I266" s="2"/>
      <c r="K266" s="82">
        <v>12</v>
      </c>
      <c r="L266" s="9"/>
    </row>
    <row r="267" spans="1:18" s="1" customFormat="1">
      <c r="A267" s="39"/>
      <c r="B267" s="70" t="s">
        <v>597</v>
      </c>
      <c r="C267" s="39" t="s">
        <v>493</v>
      </c>
      <c r="D267" s="1">
        <v>50</v>
      </c>
      <c r="I267" s="2"/>
      <c r="K267" s="82">
        <v>13</v>
      </c>
      <c r="L267" s="9"/>
    </row>
    <row r="268" spans="1:18" s="62" customFormat="1">
      <c r="I268" s="22"/>
      <c r="K268" s="57"/>
      <c r="L268" s="76"/>
      <c r="O268" s="60"/>
      <c r="P268" s="60"/>
    </row>
    <row r="270" spans="1:18" s="1" customFormat="1">
      <c r="A270" s="62" t="s">
        <v>975</v>
      </c>
      <c r="B270" s="60" t="s">
        <v>976</v>
      </c>
      <c r="C270" s="1" t="s">
        <v>494</v>
      </c>
      <c r="E270" s="1" t="s">
        <v>476</v>
      </c>
      <c r="F270" s="14">
        <v>21</v>
      </c>
      <c r="G270" s="14">
        <v>2139</v>
      </c>
      <c r="H270" s="47" t="s">
        <v>4276</v>
      </c>
      <c r="I270" s="48" t="s">
        <v>4277</v>
      </c>
      <c r="J270" s="14">
        <v>2103</v>
      </c>
      <c r="K270" s="16">
        <v>1</v>
      </c>
      <c r="L270" s="15">
        <v>3</v>
      </c>
      <c r="M270" s="14"/>
      <c r="N270" s="64" t="s">
        <v>506</v>
      </c>
      <c r="O270" s="64" t="s">
        <v>514</v>
      </c>
      <c r="P270" s="62" t="s">
        <v>515</v>
      </c>
      <c r="Q270" s="14"/>
      <c r="R270" s="14"/>
    </row>
    <row r="271" spans="1:18" s="1" customFormat="1">
      <c r="B271" s="60" t="s">
        <v>977</v>
      </c>
      <c r="C271" s="1" t="s">
        <v>494</v>
      </c>
      <c r="E271" s="1" t="s">
        <v>476</v>
      </c>
      <c r="F271" s="14"/>
      <c r="G271" s="14"/>
      <c r="H271" s="14"/>
      <c r="I271" s="11"/>
      <c r="J271" s="14"/>
      <c r="K271" s="16">
        <v>2</v>
      </c>
      <c r="L271" s="15">
        <v>9</v>
      </c>
      <c r="M271" s="14"/>
      <c r="N271" s="62" t="s">
        <v>1038</v>
      </c>
      <c r="O271" s="23" t="s">
        <v>1040</v>
      </c>
      <c r="P271" s="23" t="s">
        <v>1041</v>
      </c>
      <c r="Q271" s="23" t="s">
        <v>1040</v>
      </c>
      <c r="R271" s="14">
        <v>140</v>
      </c>
    </row>
    <row r="272" spans="1:18" s="1" customFormat="1">
      <c r="B272" s="60" t="s">
        <v>978</v>
      </c>
      <c r="C272" s="1" t="s">
        <v>494</v>
      </c>
      <c r="E272" s="1" t="s">
        <v>476</v>
      </c>
      <c r="F272" s="14"/>
      <c r="G272" s="14"/>
      <c r="H272" s="14"/>
      <c r="I272" s="11"/>
      <c r="J272" s="14"/>
      <c r="K272" s="16">
        <v>3</v>
      </c>
      <c r="L272" s="15">
        <v>3</v>
      </c>
      <c r="M272" s="14"/>
      <c r="N272" s="1" t="s">
        <v>379</v>
      </c>
      <c r="O272" s="62" t="s">
        <v>698</v>
      </c>
      <c r="P272" s="62" t="s">
        <v>699</v>
      </c>
      <c r="Q272" s="14"/>
      <c r="R272" s="14"/>
    </row>
    <row r="273" spans="1:18" s="1" customFormat="1">
      <c r="B273" s="60" t="s">
        <v>979</v>
      </c>
      <c r="C273" s="1" t="s">
        <v>494</v>
      </c>
      <c r="F273" s="14"/>
      <c r="G273" s="14"/>
      <c r="H273" s="14"/>
      <c r="I273" s="11"/>
      <c r="J273" s="14"/>
      <c r="K273" s="16">
        <v>4</v>
      </c>
      <c r="L273" s="15">
        <v>6</v>
      </c>
      <c r="M273" s="14"/>
      <c r="P273" s="14"/>
      <c r="Q273" s="14"/>
      <c r="R273" s="14"/>
    </row>
    <row r="274" spans="1:18" s="1" customFormat="1">
      <c r="B274" s="60" t="s">
        <v>980</v>
      </c>
      <c r="C274" s="1" t="s">
        <v>494</v>
      </c>
      <c r="F274" s="14"/>
      <c r="G274" s="14"/>
      <c r="H274" s="14"/>
      <c r="I274" s="11"/>
      <c r="J274" s="14"/>
      <c r="K274" s="16">
        <v>5</v>
      </c>
      <c r="L274" s="15">
        <v>3</v>
      </c>
      <c r="M274" s="14">
        <v>1</v>
      </c>
      <c r="N274" s="62" t="s">
        <v>974</v>
      </c>
      <c r="O274" s="60" t="s">
        <v>954</v>
      </c>
      <c r="P274" s="23" t="s">
        <v>984</v>
      </c>
      <c r="Q274" s="14"/>
      <c r="R274" s="14"/>
    </row>
    <row r="275" spans="1:18" s="1" customFormat="1">
      <c r="B275" s="60" t="s">
        <v>268</v>
      </c>
      <c r="C275" s="1" t="s">
        <v>494</v>
      </c>
      <c r="F275" s="14"/>
      <c r="G275" s="14"/>
      <c r="H275" s="14"/>
      <c r="I275" s="11"/>
      <c r="J275" s="14"/>
      <c r="K275" s="16">
        <v>6</v>
      </c>
      <c r="L275" s="15">
        <v>3</v>
      </c>
      <c r="M275" s="14">
        <v>1</v>
      </c>
      <c r="N275" s="62" t="s">
        <v>269</v>
      </c>
      <c r="O275" s="23" t="s">
        <v>270</v>
      </c>
      <c r="P275" s="23" t="s">
        <v>271</v>
      </c>
      <c r="Q275" s="14"/>
      <c r="R275" s="14"/>
    </row>
    <row r="276" spans="1:18" s="1" customFormat="1">
      <c r="B276" s="66" t="s">
        <v>4270</v>
      </c>
      <c r="C276" s="64" t="s">
        <v>494</v>
      </c>
      <c r="D276" s="16"/>
      <c r="F276" s="14"/>
      <c r="G276" s="14"/>
      <c r="H276" s="47"/>
      <c r="I276" s="11"/>
      <c r="J276" s="14"/>
      <c r="K276" s="16">
        <v>7</v>
      </c>
      <c r="L276" s="32">
        <v>3</v>
      </c>
      <c r="M276" s="62"/>
      <c r="N276" s="62"/>
      <c r="O276" s="62"/>
      <c r="P276" s="62"/>
      <c r="Q276" s="62"/>
      <c r="R276" s="14"/>
    </row>
    <row r="277" spans="1:18" s="1" customFormat="1">
      <c r="B277" s="66" t="s">
        <v>4271</v>
      </c>
      <c r="C277" s="64" t="s">
        <v>494</v>
      </c>
      <c r="D277" s="16"/>
      <c r="F277" s="14"/>
      <c r="G277" s="14"/>
      <c r="H277" s="47"/>
      <c r="I277" s="11"/>
      <c r="J277" s="14"/>
      <c r="K277" s="16">
        <v>8</v>
      </c>
      <c r="L277" s="32">
        <v>3</v>
      </c>
      <c r="M277" s="62"/>
      <c r="N277" s="62"/>
      <c r="O277" s="62"/>
      <c r="P277" s="62"/>
      <c r="Q277" s="62"/>
      <c r="R277" s="14"/>
    </row>
    <row r="278" spans="1:18" s="1" customFormat="1">
      <c r="B278" s="66" t="s">
        <v>4272</v>
      </c>
      <c r="C278" s="64" t="s">
        <v>702</v>
      </c>
      <c r="D278" s="16"/>
      <c r="F278" s="14"/>
      <c r="G278" s="14"/>
      <c r="H278" s="47"/>
      <c r="I278" s="11"/>
      <c r="J278" s="14"/>
      <c r="K278" s="16">
        <v>9</v>
      </c>
      <c r="L278" s="32"/>
      <c r="M278" s="62"/>
      <c r="N278" s="62"/>
      <c r="O278" s="62"/>
      <c r="P278" s="62"/>
      <c r="Q278" s="62"/>
      <c r="R278" s="14"/>
    </row>
    <row r="279" spans="1:18" s="1" customFormat="1">
      <c r="B279" s="66" t="s">
        <v>4273</v>
      </c>
      <c r="C279" s="64" t="s">
        <v>702</v>
      </c>
      <c r="D279" s="16"/>
      <c r="F279" s="14"/>
      <c r="G279" s="14"/>
      <c r="H279" s="47"/>
      <c r="I279" s="11"/>
      <c r="J279" s="14"/>
      <c r="K279" s="16">
        <v>10</v>
      </c>
      <c r="L279" s="32"/>
      <c r="M279" s="62"/>
      <c r="N279" s="62"/>
      <c r="O279" s="62"/>
      <c r="P279" s="62"/>
      <c r="Q279" s="62"/>
      <c r="R279" s="14"/>
    </row>
    <row r="280" spans="1:18" s="1" customFormat="1">
      <c r="B280" s="66" t="s">
        <v>4274</v>
      </c>
      <c r="C280" s="64" t="s">
        <v>702</v>
      </c>
      <c r="D280" s="16"/>
      <c r="F280" s="14"/>
      <c r="G280" s="14"/>
      <c r="H280" s="47"/>
      <c r="I280" s="11"/>
      <c r="J280" s="14"/>
      <c r="K280" s="16">
        <v>11</v>
      </c>
      <c r="L280" s="32"/>
      <c r="M280" s="62"/>
      <c r="N280" s="62"/>
      <c r="O280" s="62"/>
      <c r="P280" s="62"/>
      <c r="Q280" s="62"/>
      <c r="R280" s="14"/>
    </row>
    <row r="281" spans="1:18" s="1" customFormat="1">
      <c r="B281" s="66" t="s">
        <v>4275</v>
      </c>
      <c r="C281" s="64" t="s">
        <v>702</v>
      </c>
      <c r="D281" s="16"/>
      <c r="F281" s="14"/>
      <c r="G281" s="14"/>
      <c r="H281" s="47"/>
      <c r="I281" s="11"/>
      <c r="J281" s="14"/>
      <c r="K281" s="16">
        <v>12</v>
      </c>
      <c r="L281" s="32"/>
      <c r="M281" s="62"/>
      <c r="N281" s="62"/>
      <c r="O281" s="62"/>
      <c r="P281" s="62"/>
      <c r="Q281" s="62"/>
      <c r="R281" s="14"/>
    </row>
    <row r="283" spans="1:18">
      <c r="A283" s="62" t="s">
        <v>5016</v>
      </c>
      <c r="B283" s="66" t="s">
        <v>5017</v>
      </c>
      <c r="C283" s="62" t="s">
        <v>494</v>
      </c>
      <c r="E283" s="62" t="s">
        <v>476</v>
      </c>
      <c r="F283">
        <v>21</v>
      </c>
      <c r="G283">
        <v>2140</v>
      </c>
      <c r="H283" s="62" t="s">
        <v>5019</v>
      </c>
      <c r="I283" s="62" t="s">
        <v>5020</v>
      </c>
      <c r="J283">
        <v>11</v>
      </c>
      <c r="K283" s="57">
        <v>1</v>
      </c>
      <c r="L283">
        <v>3</v>
      </c>
      <c r="N283" s="64" t="s">
        <v>506</v>
      </c>
      <c r="O283" s="64" t="s">
        <v>514</v>
      </c>
      <c r="P283" s="62" t="s">
        <v>515</v>
      </c>
      <c r="Q283" s="14"/>
    </row>
    <row r="284" spans="1:18">
      <c r="B284" s="66" t="s">
        <v>5018</v>
      </c>
      <c r="C284" s="62" t="s">
        <v>494</v>
      </c>
      <c r="K284" s="57">
        <v>2</v>
      </c>
      <c r="L284">
        <v>3</v>
      </c>
      <c r="N284" s="62" t="s">
        <v>1038</v>
      </c>
      <c r="O284" s="23" t="s">
        <v>1040</v>
      </c>
      <c r="P284" s="23" t="s">
        <v>1041</v>
      </c>
      <c r="Q284" s="23" t="s">
        <v>1040</v>
      </c>
    </row>
    <row r="285" spans="1:18">
      <c r="B285" s="66"/>
      <c r="C285" s="62"/>
      <c r="K285" s="57"/>
      <c r="N285" s="62"/>
      <c r="O285" s="23"/>
      <c r="P285" s="23"/>
      <c r="Q285" s="23"/>
    </row>
    <row r="310" spans="1:18">
      <c r="B310" s="66"/>
      <c r="C310" s="62"/>
      <c r="N310" s="62"/>
      <c r="O310" s="62"/>
      <c r="P310" s="62"/>
    </row>
    <row r="312" spans="1:18" s="1" customFormat="1">
      <c r="A312" s="70" t="s">
        <v>551</v>
      </c>
      <c r="B312" s="70" t="s">
        <v>552</v>
      </c>
      <c r="C312" s="1" t="s">
        <v>494</v>
      </c>
      <c r="E312" s="1" t="s">
        <v>476</v>
      </c>
      <c r="F312" s="14">
        <v>21</v>
      </c>
      <c r="G312" s="14">
        <v>2191</v>
      </c>
      <c r="H312" s="14" t="s">
        <v>525</v>
      </c>
      <c r="I312" s="11" t="s">
        <v>650</v>
      </c>
      <c r="J312" s="14">
        <v>2</v>
      </c>
      <c r="K312" s="16">
        <v>1</v>
      </c>
      <c r="L312" s="15"/>
      <c r="M312" s="14"/>
      <c r="N312" s="14"/>
      <c r="O312" s="14"/>
      <c r="P312" s="14"/>
    </row>
    <row r="313" spans="1:18" s="62" customFormat="1">
      <c r="I313" s="22"/>
      <c r="K313" s="57"/>
      <c r="L313" s="76"/>
      <c r="O313" s="60"/>
      <c r="P313" s="60"/>
    </row>
    <row r="314" spans="1:18" s="3" customFormat="1">
      <c r="A314" s="62" t="s">
        <v>4245</v>
      </c>
      <c r="B314" s="62" t="s">
        <v>563</v>
      </c>
      <c r="C314" s="62" t="s">
        <v>494</v>
      </c>
      <c r="D314" s="62"/>
      <c r="E314" s="62"/>
      <c r="F314" s="62">
        <v>21</v>
      </c>
      <c r="G314" s="62">
        <v>2192</v>
      </c>
      <c r="H314" s="62" t="s">
        <v>473</v>
      </c>
      <c r="I314" s="62" t="s">
        <v>998</v>
      </c>
      <c r="J314" s="62">
        <v>1</v>
      </c>
      <c r="K314" s="76">
        <v>1</v>
      </c>
      <c r="L314" s="75"/>
      <c r="M314" s="62"/>
      <c r="N314" s="62"/>
      <c r="O314" s="62"/>
      <c r="P314" s="62"/>
      <c r="Q314" s="12"/>
      <c r="R314" s="12"/>
    </row>
    <row r="315" spans="1:18" s="3" customFormat="1">
      <c r="A315" s="62"/>
      <c r="B315" s="62"/>
      <c r="C315" s="62"/>
      <c r="D315" s="62"/>
      <c r="E315" s="62"/>
      <c r="F315" s="62"/>
      <c r="G315" s="62"/>
      <c r="H315" s="62"/>
      <c r="I315" s="62"/>
      <c r="J315" s="62"/>
      <c r="K315" s="76"/>
      <c r="L315" s="75"/>
      <c r="M315" s="62"/>
      <c r="N315" s="62"/>
      <c r="O315" s="62"/>
      <c r="P315" s="62"/>
      <c r="Q315" s="12"/>
      <c r="R315" s="12"/>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sheetPr codeName="Hoja14">
    <tabColor rgb="FF00B050"/>
  </sheetPr>
  <dimension ref="A1:R1131"/>
  <sheetViews>
    <sheetView workbookViewId="0">
      <pane ySplit="1" topLeftCell="A454" activePane="bottomLeft" state="frozenSplit"/>
      <selection pane="bottomLeft" activeCell="A462" sqref="A462:XFD462"/>
    </sheetView>
  </sheetViews>
  <sheetFormatPr baseColWidth="10" defaultRowHeight="12.75"/>
  <cols>
    <col min="1" max="1" width="21.42578125" bestFit="1" customWidth="1"/>
    <col min="2" max="2" width="31.28515625" customWidth="1"/>
    <col min="3" max="3" width="7.42578125" bestFit="1" customWidth="1"/>
    <col min="4" max="4" width="4.140625" customWidth="1"/>
    <col min="5" max="5" width="3.140625" customWidth="1"/>
    <col min="6" max="6" width="4.5703125" bestFit="1" customWidth="1"/>
    <col min="8" max="8" width="20.5703125" customWidth="1"/>
    <col min="9" max="9" width="21.85546875" bestFit="1" customWidth="1"/>
    <col min="10" max="10" width="7" customWidth="1"/>
    <col min="11" max="11" width="4" customWidth="1"/>
    <col min="12" max="13" width="3.7109375" customWidth="1"/>
    <col min="14" max="14" width="19.7109375" customWidth="1"/>
    <col min="15" max="15" width="13.85546875" bestFit="1" customWidth="1"/>
    <col min="16" max="16" width="14.5703125" bestFit="1" customWidth="1"/>
    <col min="17" max="17" width="17.7109375" bestFit="1" customWidth="1"/>
    <col min="18" max="18" width="5" customWidth="1"/>
  </cols>
  <sheetData>
    <row r="1" spans="1:18" s="3" customFormat="1">
      <c r="A1" s="3" t="s">
        <v>3242</v>
      </c>
      <c r="B1" s="3" t="s">
        <v>3243</v>
      </c>
      <c r="C1" s="3" t="s">
        <v>3244</v>
      </c>
      <c r="D1" s="3" t="s">
        <v>3245</v>
      </c>
      <c r="E1" s="3" t="s">
        <v>3246</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4373</v>
      </c>
      <c r="B2" s="62" t="s">
        <v>4375</v>
      </c>
      <c r="C2" s="64" t="s">
        <v>494</v>
      </c>
      <c r="E2" s="62" t="s">
        <v>476</v>
      </c>
      <c r="F2">
        <v>22</v>
      </c>
      <c r="G2">
        <v>2200</v>
      </c>
      <c r="H2" s="62" t="s">
        <v>800</v>
      </c>
      <c r="I2" s="62" t="s">
        <v>4374</v>
      </c>
      <c r="J2">
        <v>2</v>
      </c>
      <c r="K2" s="55">
        <v>1</v>
      </c>
    </row>
    <row r="3" spans="1:18">
      <c r="B3" s="62" t="s">
        <v>4376</v>
      </c>
      <c r="C3" s="64" t="s">
        <v>494</v>
      </c>
      <c r="K3" s="55">
        <v>2</v>
      </c>
      <c r="L3" s="15">
        <v>3</v>
      </c>
      <c r="M3" s="14"/>
      <c r="N3" s="1" t="s">
        <v>551</v>
      </c>
      <c r="O3" s="1" t="s">
        <v>552</v>
      </c>
      <c r="P3" s="1" t="s">
        <v>553</v>
      </c>
    </row>
    <row r="4" spans="1:18">
      <c r="B4" s="62" t="s">
        <v>4377</v>
      </c>
      <c r="C4" s="64" t="s">
        <v>494</v>
      </c>
      <c r="K4" s="55">
        <v>3</v>
      </c>
      <c r="L4" s="15">
        <v>3</v>
      </c>
      <c r="M4" s="14"/>
      <c r="N4" s="1" t="s">
        <v>551</v>
      </c>
      <c r="O4" s="1" t="s">
        <v>552</v>
      </c>
      <c r="P4" s="1" t="s">
        <v>553</v>
      </c>
    </row>
    <row r="5" spans="1:18">
      <c r="B5" s="62" t="s">
        <v>4378</v>
      </c>
      <c r="C5" s="64" t="s">
        <v>494</v>
      </c>
      <c r="K5" s="55">
        <v>4</v>
      </c>
      <c r="L5" s="15">
        <v>3</v>
      </c>
      <c r="M5" s="14"/>
      <c r="N5" s="1" t="s">
        <v>551</v>
      </c>
      <c r="O5" s="1" t="s">
        <v>552</v>
      </c>
      <c r="P5" s="1" t="s">
        <v>553</v>
      </c>
    </row>
    <row r="6" spans="1:18">
      <c r="B6" s="62" t="s">
        <v>4379</v>
      </c>
      <c r="C6" s="64" t="s">
        <v>494</v>
      </c>
      <c r="K6" s="55">
        <v>5</v>
      </c>
      <c r="L6" s="15">
        <v>3</v>
      </c>
      <c r="M6" s="14"/>
      <c r="N6" s="1" t="s">
        <v>551</v>
      </c>
      <c r="O6" s="1" t="s">
        <v>552</v>
      </c>
      <c r="P6" s="1" t="s">
        <v>553</v>
      </c>
    </row>
    <row r="7" spans="1:18">
      <c r="B7" s="62" t="s">
        <v>5094</v>
      </c>
      <c r="C7" s="64" t="s">
        <v>494</v>
      </c>
      <c r="K7" s="55">
        <v>6</v>
      </c>
      <c r="L7" s="15">
        <v>3</v>
      </c>
      <c r="M7" s="14"/>
      <c r="N7" s="1" t="s">
        <v>551</v>
      </c>
      <c r="O7" s="1" t="s">
        <v>552</v>
      </c>
      <c r="P7" s="1" t="s">
        <v>553</v>
      </c>
    </row>
    <row r="8" spans="1:18">
      <c r="B8" s="62"/>
      <c r="C8" s="64"/>
      <c r="K8" s="55"/>
    </row>
    <row r="9" spans="1:18">
      <c r="A9" s="62" t="s">
        <v>3210</v>
      </c>
      <c r="B9" s="62" t="s">
        <v>3211</v>
      </c>
      <c r="C9" s="62" t="s">
        <v>494</v>
      </c>
      <c r="E9" s="62" t="s">
        <v>476</v>
      </c>
      <c r="F9">
        <v>22</v>
      </c>
      <c r="G9">
        <v>2202</v>
      </c>
      <c r="H9" s="62" t="s">
        <v>3234</v>
      </c>
      <c r="I9" s="62" t="s">
        <v>3235</v>
      </c>
      <c r="J9">
        <v>2201</v>
      </c>
      <c r="K9" s="55">
        <v>1</v>
      </c>
      <c r="L9">
        <v>8</v>
      </c>
    </row>
    <row r="10" spans="1:18">
      <c r="B10" s="62" t="s">
        <v>3212</v>
      </c>
      <c r="C10" s="62" t="s">
        <v>494</v>
      </c>
      <c r="E10" s="62" t="s">
        <v>476</v>
      </c>
      <c r="K10" s="55">
        <v>2</v>
      </c>
      <c r="L10">
        <v>3</v>
      </c>
      <c r="M10" s="14">
        <v>31</v>
      </c>
      <c r="N10" s="62" t="s">
        <v>3655</v>
      </c>
      <c r="O10" s="62" t="s">
        <v>3648</v>
      </c>
      <c r="P10" s="62" t="s">
        <v>3657</v>
      </c>
      <c r="Q10" s="47" t="s">
        <v>3658</v>
      </c>
      <c r="R10" s="14">
        <v>4</v>
      </c>
    </row>
    <row r="11" spans="1:18">
      <c r="B11" s="62" t="s">
        <v>3213</v>
      </c>
      <c r="C11" s="62" t="s">
        <v>494</v>
      </c>
      <c r="H11" s="62" t="s">
        <v>4559</v>
      </c>
      <c r="K11" s="55">
        <v>3</v>
      </c>
      <c r="L11">
        <v>6</v>
      </c>
    </row>
    <row r="12" spans="1:18">
      <c r="B12" s="62" t="s">
        <v>3230</v>
      </c>
      <c r="C12" s="62" t="s">
        <v>494</v>
      </c>
      <c r="K12" s="55">
        <v>4</v>
      </c>
      <c r="L12">
        <v>3</v>
      </c>
      <c r="M12">
        <v>3</v>
      </c>
      <c r="N12" s="62" t="s">
        <v>3664</v>
      </c>
      <c r="O12" s="62" t="s">
        <v>3666</v>
      </c>
      <c r="P12" s="62" t="s">
        <v>3667</v>
      </c>
    </row>
    <row r="13" spans="1:18" s="1" customFormat="1">
      <c r="B13" s="66" t="s">
        <v>3231</v>
      </c>
      <c r="C13" s="64" t="s">
        <v>494</v>
      </c>
      <c r="F13" s="14"/>
      <c r="G13" s="14"/>
      <c r="H13" s="14"/>
      <c r="I13" s="11"/>
      <c r="J13" s="14"/>
      <c r="K13" s="55">
        <v>5</v>
      </c>
      <c r="L13" s="15">
        <v>3</v>
      </c>
      <c r="M13" s="14"/>
      <c r="N13" s="62" t="s">
        <v>693</v>
      </c>
      <c r="O13" s="1" t="s">
        <v>695</v>
      </c>
      <c r="P13" s="1" t="s">
        <v>696</v>
      </c>
      <c r="Q13" s="62"/>
      <c r="R13" s="14"/>
    </row>
    <row r="14" spans="1:18" s="1" customFormat="1">
      <c r="B14" s="66" t="s">
        <v>3232</v>
      </c>
      <c r="C14" s="64" t="s">
        <v>494</v>
      </c>
      <c r="F14" s="14"/>
      <c r="G14" s="14"/>
      <c r="H14" s="14"/>
      <c r="I14" s="11"/>
      <c r="J14" s="14"/>
      <c r="K14" s="55">
        <v>6</v>
      </c>
      <c r="L14" s="15">
        <v>3</v>
      </c>
      <c r="M14" s="14">
        <v>31</v>
      </c>
      <c r="N14" s="62" t="s">
        <v>379</v>
      </c>
      <c r="O14" s="62" t="s">
        <v>698</v>
      </c>
      <c r="P14" s="62" t="s">
        <v>699</v>
      </c>
      <c r="Q14" s="62" t="s">
        <v>383</v>
      </c>
      <c r="R14" s="14">
        <v>5</v>
      </c>
    </row>
    <row r="15" spans="1:18">
      <c r="B15" s="62" t="s">
        <v>3214</v>
      </c>
      <c r="C15" s="64" t="s">
        <v>494</v>
      </c>
      <c r="K15" s="55">
        <v>7</v>
      </c>
      <c r="L15">
        <v>7</v>
      </c>
    </row>
    <row r="16" spans="1:18">
      <c r="B16" s="62" t="s">
        <v>3221</v>
      </c>
      <c r="C16" s="64" t="s">
        <v>494</v>
      </c>
      <c r="H16" s="62" t="s">
        <v>3222</v>
      </c>
      <c r="K16" s="55">
        <v>8</v>
      </c>
      <c r="L16" s="9">
        <v>3</v>
      </c>
      <c r="M16" s="1"/>
      <c r="N16" s="10" t="s">
        <v>506</v>
      </c>
      <c r="O16" s="10" t="s">
        <v>514</v>
      </c>
      <c r="P16" s="1" t="s">
        <v>515</v>
      </c>
    </row>
    <row r="17" spans="2:18">
      <c r="B17" s="62" t="s">
        <v>3355</v>
      </c>
      <c r="C17" s="64" t="s">
        <v>494</v>
      </c>
      <c r="H17" s="62"/>
      <c r="K17" s="55">
        <v>9</v>
      </c>
      <c r="L17" s="9"/>
      <c r="M17" s="1"/>
      <c r="N17" s="10"/>
      <c r="O17" s="10"/>
      <c r="P17" s="1"/>
    </row>
    <row r="18" spans="2:18">
      <c r="B18" s="62" t="s">
        <v>3215</v>
      </c>
      <c r="C18" s="64" t="s">
        <v>494</v>
      </c>
      <c r="K18" s="55">
        <v>10</v>
      </c>
      <c r="L18" s="32">
        <v>3</v>
      </c>
      <c r="M18">
        <v>31</v>
      </c>
      <c r="N18" s="62" t="s">
        <v>3649</v>
      </c>
      <c r="O18" s="64" t="s">
        <v>3652</v>
      </c>
      <c r="P18" s="66" t="s">
        <v>3651</v>
      </c>
      <c r="Q18" s="66" t="s">
        <v>3650</v>
      </c>
      <c r="R18">
        <v>2</v>
      </c>
    </row>
    <row r="19" spans="2:18">
      <c r="B19" s="62" t="s">
        <v>3225</v>
      </c>
      <c r="C19" s="64" t="s">
        <v>494</v>
      </c>
      <c r="K19" s="55">
        <v>11</v>
      </c>
    </row>
    <row r="20" spans="2:18">
      <c r="B20" s="62" t="s">
        <v>3224</v>
      </c>
      <c r="C20" s="64" t="s">
        <v>494</v>
      </c>
      <c r="K20" s="55">
        <v>12</v>
      </c>
    </row>
    <row r="21" spans="2:18" s="1" customFormat="1">
      <c r="B21" s="67" t="s">
        <v>4534</v>
      </c>
      <c r="C21" s="70" t="s">
        <v>494</v>
      </c>
      <c r="I21" s="2"/>
      <c r="K21" s="55">
        <v>13</v>
      </c>
      <c r="L21" s="32"/>
    </row>
    <row r="22" spans="2:18" s="1" customFormat="1">
      <c r="B22" s="67" t="s">
        <v>4535</v>
      </c>
      <c r="C22" s="70" t="s">
        <v>494</v>
      </c>
      <c r="I22" s="2"/>
      <c r="K22" s="55">
        <v>14</v>
      </c>
      <c r="L22" s="32"/>
    </row>
    <row r="23" spans="2:18" s="1" customFormat="1">
      <c r="B23" s="67" t="s">
        <v>4536</v>
      </c>
      <c r="C23" s="70" t="s">
        <v>494</v>
      </c>
      <c r="I23" s="2"/>
      <c r="K23" s="55">
        <v>15</v>
      </c>
      <c r="L23" s="32"/>
    </row>
    <row r="24" spans="2:18" s="1" customFormat="1">
      <c r="B24" s="67" t="s">
        <v>4537</v>
      </c>
      <c r="C24" s="70" t="s">
        <v>494</v>
      </c>
      <c r="I24" s="2"/>
      <c r="K24" s="55">
        <v>16</v>
      </c>
      <c r="L24" s="32"/>
    </row>
    <row r="25" spans="2:18">
      <c r="B25" s="62" t="s">
        <v>3223</v>
      </c>
      <c r="C25" s="64" t="s">
        <v>494</v>
      </c>
      <c r="K25" s="55">
        <v>17</v>
      </c>
    </row>
    <row r="26" spans="2:18">
      <c r="B26" s="62" t="s">
        <v>3217</v>
      </c>
      <c r="C26" s="64" t="s">
        <v>494</v>
      </c>
      <c r="K26" s="55">
        <v>18</v>
      </c>
      <c r="L26">
        <v>3</v>
      </c>
      <c r="N26" s="62" t="s">
        <v>3218</v>
      </c>
      <c r="O26" s="62" t="s">
        <v>3219</v>
      </c>
      <c r="P26" s="62" t="s">
        <v>3220</v>
      </c>
      <c r="Q26" s="66"/>
    </row>
    <row r="27" spans="2:18">
      <c r="B27" s="62" t="s">
        <v>3226</v>
      </c>
      <c r="C27" s="64" t="s">
        <v>494</v>
      </c>
      <c r="K27" s="55">
        <v>19</v>
      </c>
    </row>
    <row r="28" spans="2:18">
      <c r="B28" s="62" t="s">
        <v>3227</v>
      </c>
      <c r="C28" s="64" t="s">
        <v>494</v>
      </c>
      <c r="K28" s="55">
        <v>20</v>
      </c>
    </row>
    <row r="29" spans="2:18" s="1" customFormat="1">
      <c r="B29" s="67" t="s">
        <v>4538</v>
      </c>
      <c r="C29" s="70" t="s">
        <v>494</v>
      </c>
      <c r="I29" s="2"/>
      <c r="K29" s="55">
        <v>21</v>
      </c>
      <c r="L29" s="32"/>
    </row>
    <row r="30" spans="2:18" s="1" customFormat="1">
      <c r="B30" s="67" t="s">
        <v>4539</v>
      </c>
      <c r="C30" s="70" t="s">
        <v>494</v>
      </c>
      <c r="I30" s="2"/>
      <c r="K30" s="55">
        <v>22</v>
      </c>
      <c r="L30" s="32"/>
    </row>
    <row r="31" spans="2:18" s="1" customFormat="1">
      <c r="B31" s="67" t="s">
        <v>4540</v>
      </c>
      <c r="C31" s="70" t="s">
        <v>494</v>
      </c>
      <c r="I31" s="2"/>
      <c r="K31" s="55">
        <v>23</v>
      </c>
      <c r="L31" s="32"/>
    </row>
    <row r="32" spans="2:18" s="1" customFormat="1">
      <c r="B32" s="67" t="s">
        <v>4541</v>
      </c>
      <c r="C32" s="70" t="s">
        <v>494</v>
      </c>
      <c r="I32" s="2"/>
      <c r="K32" s="55">
        <v>24</v>
      </c>
      <c r="L32" s="32"/>
    </row>
    <row r="33" spans="2:16">
      <c r="B33" s="62" t="s">
        <v>3228</v>
      </c>
      <c r="C33" s="64" t="s">
        <v>494</v>
      </c>
      <c r="K33" s="55">
        <v>25</v>
      </c>
    </row>
    <row r="34" spans="2:16">
      <c r="B34" s="62" t="s">
        <v>3258</v>
      </c>
      <c r="C34" s="64" t="s">
        <v>702</v>
      </c>
      <c r="K34" s="55">
        <v>26</v>
      </c>
      <c r="M34">
        <v>2</v>
      </c>
    </row>
    <row r="35" spans="2:16">
      <c r="B35" s="62" t="s">
        <v>3259</v>
      </c>
      <c r="C35" s="64" t="s">
        <v>702</v>
      </c>
      <c r="K35" s="55">
        <v>27</v>
      </c>
      <c r="M35">
        <v>2</v>
      </c>
    </row>
    <row r="36" spans="2:16">
      <c r="B36" s="62" t="s">
        <v>3216</v>
      </c>
      <c r="C36" s="64" t="s">
        <v>494</v>
      </c>
      <c r="K36" s="55">
        <v>28</v>
      </c>
      <c r="L36">
        <v>7</v>
      </c>
    </row>
    <row r="37" spans="2:16">
      <c r="B37" s="62" t="s">
        <v>3229</v>
      </c>
      <c r="C37" s="64" t="s">
        <v>494</v>
      </c>
      <c r="K37" s="55">
        <v>29</v>
      </c>
      <c r="M37">
        <v>1</v>
      </c>
    </row>
    <row r="38" spans="2:16">
      <c r="B38" s="70" t="s">
        <v>4321</v>
      </c>
      <c r="C38" s="70" t="s">
        <v>702</v>
      </c>
      <c r="K38" s="55">
        <v>30</v>
      </c>
      <c r="M38">
        <v>1</v>
      </c>
    </row>
    <row r="39" spans="2:16">
      <c r="B39" s="70" t="s">
        <v>4393</v>
      </c>
      <c r="C39" s="70" t="s">
        <v>494</v>
      </c>
      <c r="K39" s="55">
        <v>31</v>
      </c>
      <c r="L39">
        <v>8</v>
      </c>
    </row>
    <row r="40" spans="2:16">
      <c r="B40" s="70" t="s">
        <v>4394</v>
      </c>
      <c r="C40" s="70" t="s">
        <v>494</v>
      </c>
      <c r="K40" s="55">
        <v>32</v>
      </c>
      <c r="L40">
        <v>7</v>
      </c>
    </row>
    <row r="41" spans="2:16">
      <c r="B41" s="70" t="s">
        <v>4327</v>
      </c>
      <c r="C41" s="70" t="s">
        <v>494</v>
      </c>
      <c r="H41" s="62" t="s">
        <v>4357</v>
      </c>
      <c r="K41" s="55">
        <v>33</v>
      </c>
      <c r="L41">
        <v>3</v>
      </c>
      <c r="M41">
        <v>1</v>
      </c>
      <c r="N41" s="62" t="s">
        <v>4452</v>
      </c>
      <c r="O41" s="62" t="s">
        <v>4453</v>
      </c>
      <c r="P41" s="62" t="s">
        <v>4454</v>
      </c>
    </row>
    <row r="42" spans="2:16">
      <c r="B42" s="70" t="s">
        <v>4322</v>
      </c>
      <c r="C42" s="70" t="s">
        <v>494</v>
      </c>
      <c r="K42" s="55">
        <v>34</v>
      </c>
      <c r="L42">
        <v>3</v>
      </c>
      <c r="N42" s="62" t="s">
        <v>4466</v>
      </c>
      <c r="O42" s="62" t="s">
        <v>4467</v>
      </c>
      <c r="P42" t="s">
        <v>4468</v>
      </c>
    </row>
    <row r="43" spans="2:16">
      <c r="B43" s="70" t="s">
        <v>4323</v>
      </c>
      <c r="C43" s="70" t="s">
        <v>494</v>
      </c>
      <c r="K43" s="55">
        <v>35</v>
      </c>
      <c r="L43">
        <v>7</v>
      </c>
    </row>
    <row r="44" spans="2:16">
      <c r="B44" s="70" t="s">
        <v>4325</v>
      </c>
      <c r="C44" s="70" t="s">
        <v>494</v>
      </c>
      <c r="K44" s="55">
        <v>36</v>
      </c>
      <c r="L44">
        <v>91</v>
      </c>
    </row>
    <row r="45" spans="2:16">
      <c r="B45" s="70" t="s">
        <v>4324</v>
      </c>
      <c r="C45" s="70" t="s">
        <v>494</v>
      </c>
      <c r="K45" s="55">
        <v>37</v>
      </c>
      <c r="L45">
        <v>92</v>
      </c>
    </row>
    <row r="46" spans="2:16">
      <c r="B46" s="70" t="s">
        <v>4326</v>
      </c>
      <c r="C46" s="70" t="s">
        <v>494</v>
      </c>
      <c r="K46" s="55">
        <v>38</v>
      </c>
      <c r="L46">
        <v>8</v>
      </c>
    </row>
    <row r="47" spans="2:16">
      <c r="B47" s="70" t="s">
        <v>4328</v>
      </c>
      <c r="C47" s="70" t="s">
        <v>494</v>
      </c>
      <c r="K47" s="55">
        <v>39</v>
      </c>
      <c r="L47">
        <v>8</v>
      </c>
    </row>
    <row r="48" spans="2:16">
      <c r="B48" s="70" t="s">
        <v>4329</v>
      </c>
      <c r="C48" s="70" t="s">
        <v>494</v>
      </c>
      <c r="K48" s="55">
        <v>40</v>
      </c>
      <c r="L48">
        <v>8</v>
      </c>
    </row>
    <row r="49" spans="2:13">
      <c r="B49" s="70" t="s">
        <v>4330</v>
      </c>
      <c r="C49" s="70" t="s">
        <v>494</v>
      </c>
      <c r="K49" s="55">
        <v>41</v>
      </c>
      <c r="L49">
        <v>8</v>
      </c>
    </row>
    <row r="50" spans="2:13">
      <c r="B50" s="70" t="s">
        <v>4331</v>
      </c>
      <c r="C50" s="70" t="s">
        <v>494</v>
      </c>
      <c r="K50" s="55">
        <v>42</v>
      </c>
      <c r="L50">
        <v>8</v>
      </c>
    </row>
    <row r="51" spans="2:13">
      <c r="B51" s="70" t="s">
        <v>4343</v>
      </c>
      <c r="C51" s="70" t="s">
        <v>494</v>
      </c>
      <c r="K51" s="55">
        <v>43</v>
      </c>
      <c r="L51">
        <v>91</v>
      </c>
    </row>
    <row r="52" spans="2:13">
      <c r="B52" s="70" t="s">
        <v>4344</v>
      </c>
      <c r="C52" s="70" t="s">
        <v>494</v>
      </c>
      <c r="K52" s="55">
        <v>44</v>
      </c>
      <c r="L52">
        <v>92</v>
      </c>
    </row>
    <row r="53" spans="2:13">
      <c r="B53" s="70" t="s">
        <v>4346</v>
      </c>
      <c r="C53" s="70" t="s">
        <v>702</v>
      </c>
      <c r="K53" s="55">
        <v>45</v>
      </c>
    </row>
    <row r="54" spans="2:13">
      <c r="B54" s="70" t="s">
        <v>4345</v>
      </c>
      <c r="C54" s="70" t="s">
        <v>702</v>
      </c>
      <c r="K54" s="55">
        <v>46</v>
      </c>
    </row>
    <row r="55" spans="2:13">
      <c r="B55" s="70" t="s">
        <v>4348</v>
      </c>
      <c r="C55" s="70" t="s">
        <v>702</v>
      </c>
      <c r="K55" s="55">
        <v>47</v>
      </c>
    </row>
    <row r="56" spans="2:13">
      <c r="B56" s="70" t="s">
        <v>4347</v>
      </c>
      <c r="C56" s="70" t="s">
        <v>702</v>
      </c>
      <c r="K56" s="55">
        <v>48</v>
      </c>
    </row>
    <row r="57" spans="2:13">
      <c r="B57" s="70" t="s">
        <v>4341</v>
      </c>
      <c r="C57" s="70" t="s">
        <v>494</v>
      </c>
      <c r="K57" s="55">
        <v>49</v>
      </c>
      <c r="L57">
        <v>7</v>
      </c>
    </row>
    <row r="58" spans="2:13">
      <c r="B58" s="70" t="s">
        <v>4342</v>
      </c>
      <c r="C58" s="70" t="s">
        <v>494</v>
      </c>
      <c r="K58" s="55">
        <v>50</v>
      </c>
    </row>
    <row r="59" spans="2:13">
      <c r="B59" s="96" t="s">
        <v>5152</v>
      </c>
      <c r="C59" s="96" t="s">
        <v>494</v>
      </c>
      <c r="K59" s="55">
        <v>51</v>
      </c>
    </row>
    <row r="60" spans="2:13">
      <c r="B60" s="70" t="s">
        <v>4340</v>
      </c>
      <c r="C60" s="70" t="s">
        <v>494</v>
      </c>
      <c r="K60" s="55">
        <v>52</v>
      </c>
    </row>
    <row r="61" spans="2:13">
      <c r="B61" s="96" t="s">
        <v>5153</v>
      </c>
      <c r="C61" s="96" t="s">
        <v>494</v>
      </c>
      <c r="K61" s="55">
        <v>53</v>
      </c>
    </row>
    <row r="62" spans="2:13">
      <c r="B62" s="96" t="s">
        <v>5154</v>
      </c>
      <c r="C62" s="112" t="s">
        <v>494</v>
      </c>
      <c r="K62" s="55">
        <v>54</v>
      </c>
    </row>
    <row r="63" spans="2:13">
      <c r="B63" s="70" t="s">
        <v>4358</v>
      </c>
      <c r="C63" s="70" t="s">
        <v>493</v>
      </c>
      <c r="D63">
        <v>50</v>
      </c>
      <c r="K63" s="55">
        <v>55</v>
      </c>
      <c r="M63">
        <v>1</v>
      </c>
    </row>
    <row r="64" spans="2:13">
      <c r="B64" s="100" t="s">
        <v>4546</v>
      </c>
      <c r="C64" s="100" t="s">
        <v>493</v>
      </c>
      <c r="D64">
        <v>200</v>
      </c>
      <c r="K64" s="55">
        <v>56</v>
      </c>
    </row>
    <row r="65" spans="2:16">
      <c r="B65" s="100" t="s">
        <v>4545</v>
      </c>
      <c r="C65" s="100" t="s">
        <v>494</v>
      </c>
      <c r="K65" s="55">
        <v>57</v>
      </c>
      <c r="L65">
        <v>8</v>
      </c>
    </row>
    <row r="66" spans="2:16">
      <c r="B66" s="100" t="s">
        <v>4544</v>
      </c>
      <c r="C66" s="100" t="s">
        <v>494</v>
      </c>
      <c r="K66" s="55">
        <v>58</v>
      </c>
      <c r="L66">
        <v>7</v>
      </c>
    </row>
    <row r="67" spans="2:16">
      <c r="B67" s="100" t="s">
        <v>5066</v>
      </c>
      <c r="C67" s="100" t="s">
        <v>494</v>
      </c>
      <c r="K67" s="55">
        <v>59</v>
      </c>
      <c r="L67">
        <v>3</v>
      </c>
      <c r="M67">
        <v>2</v>
      </c>
      <c r="N67" s="62" t="s">
        <v>5022</v>
      </c>
      <c r="O67" s="66" t="s">
        <v>5026</v>
      </c>
      <c r="P67" s="66" t="s">
        <v>5065</v>
      </c>
    </row>
    <row r="68" spans="2:16">
      <c r="B68" s="100" t="s">
        <v>5140</v>
      </c>
      <c r="C68" s="100" t="s">
        <v>494</v>
      </c>
      <c r="K68" s="55">
        <v>60</v>
      </c>
      <c r="M68">
        <v>1</v>
      </c>
      <c r="N68" s="62"/>
      <c r="O68" s="66"/>
      <c r="P68" s="66"/>
    </row>
    <row r="69" spans="2:16">
      <c r="B69" s="100" t="s">
        <v>5141</v>
      </c>
      <c r="C69" s="100" t="s">
        <v>494</v>
      </c>
      <c r="K69" s="55">
        <v>61</v>
      </c>
      <c r="L69">
        <v>7</v>
      </c>
      <c r="M69">
        <v>1</v>
      </c>
      <c r="N69" s="62"/>
      <c r="O69" s="66"/>
      <c r="P69" s="66"/>
    </row>
    <row r="70" spans="2:16">
      <c r="B70" s="100" t="s">
        <v>5142</v>
      </c>
      <c r="C70" s="100" t="s">
        <v>494</v>
      </c>
      <c r="K70" s="55">
        <v>62</v>
      </c>
      <c r="L70">
        <v>8</v>
      </c>
      <c r="M70">
        <v>1</v>
      </c>
      <c r="N70" s="62"/>
      <c r="O70" s="66"/>
      <c r="P70" s="66"/>
    </row>
    <row r="71" spans="2:16">
      <c r="B71" s="100" t="s">
        <v>5150</v>
      </c>
      <c r="C71" s="100" t="s">
        <v>493</v>
      </c>
      <c r="D71">
        <v>100</v>
      </c>
      <c r="K71" s="55">
        <v>63</v>
      </c>
    </row>
    <row r="72" spans="2:16">
      <c r="B72" s="96" t="s">
        <v>5151</v>
      </c>
      <c r="C72" s="96" t="s">
        <v>493</v>
      </c>
      <c r="D72">
        <v>200</v>
      </c>
      <c r="K72" s="55">
        <v>64</v>
      </c>
    </row>
    <row r="73" spans="2:16">
      <c r="B73" s="64" t="s">
        <v>5177</v>
      </c>
      <c r="C73" s="64" t="s">
        <v>494</v>
      </c>
      <c r="K73" s="55">
        <v>65</v>
      </c>
      <c r="M73">
        <v>2</v>
      </c>
      <c r="O73" s="62"/>
    </row>
    <row r="74" spans="2:16">
      <c r="B74" s="64" t="s">
        <v>5178</v>
      </c>
      <c r="C74" s="64" t="s">
        <v>494</v>
      </c>
      <c r="K74" s="55">
        <v>66</v>
      </c>
      <c r="M74">
        <v>2</v>
      </c>
      <c r="O74" s="62"/>
    </row>
    <row r="75" spans="2:16">
      <c r="B75" s="64" t="s">
        <v>5179</v>
      </c>
      <c r="C75" s="64" t="s">
        <v>494</v>
      </c>
      <c r="K75" s="55">
        <v>67</v>
      </c>
      <c r="M75">
        <v>2</v>
      </c>
      <c r="O75" s="62"/>
    </row>
    <row r="76" spans="2:16">
      <c r="B76" s="64" t="s">
        <v>5180</v>
      </c>
      <c r="C76" s="64" t="s">
        <v>494</v>
      </c>
      <c r="K76" s="55">
        <v>68</v>
      </c>
      <c r="M76">
        <v>2</v>
      </c>
      <c r="O76" s="62"/>
    </row>
    <row r="77" spans="2:16">
      <c r="B77" s="64" t="s">
        <v>5181</v>
      </c>
      <c r="C77" s="64" t="s">
        <v>494</v>
      </c>
      <c r="K77" s="55">
        <v>69</v>
      </c>
      <c r="M77">
        <v>2</v>
      </c>
      <c r="O77" s="62"/>
    </row>
    <row r="78" spans="2:16">
      <c r="B78" s="64" t="s">
        <v>5182</v>
      </c>
      <c r="C78" s="64" t="s">
        <v>494</v>
      </c>
      <c r="K78" s="55">
        <v>70</v>
      </c>
      <c r="M78">
        <v>2</v>
      </c>
      <c r="O78" s="62"/>
    </row>
    <row r="79" spans="2:16">
      <c r="B79" s="64" t="s">
        <v>5183</v>
      </c>
      <c r="C79" s="64" t="s">
        <v>494</v>
      </c>
      <c r="K79" s="55">
        <v>71</v>
      </c>
      <c r="M79">
        <v>2</v>
      </c>
      <c r="O79" s="62"/>
    </row>
    <row r="80" spans="2:16">
      <c r="B80" s="64" t="s">
        <v>5184</v>
      </c>
      <c r="C80" s="64" t="s">
        <v>494</v>
      </c>
      <c r="K80" s="55">
        <v>72</v>
      </c>
      <c r="M80">
        <v>2</v>
      </c>
      <c r="O80" s="62"/>
    </row>
    <row r="81" spans="2:15">
      <c r="B81" s="64" t="s">
        <v>5185</v>
      </c>
      <c r="C81" s="64" t="s">
        <v>494</v>
      </c>
      <c r="K81" s="55">
        <v>73</v>
      </c>
      <c r="M81">
        <v>2</v>
      </c>
      <c r="O81" s="62"/>
    </row>
    <row r="82" spans="2:15">
      <c r="B82" s="64" t="s">
        <v>5186</v>
      </c>
      <c r="C82" s="64" t="s">
        <v>494</v>
      </c>
      <c r="K82" s="55">
        <v>74</v>
      </c>
      <c r="M82">
        <v>2</v>
      </c>
      <c r="O82" s="62"/>
    </row>
    <row r="83" spans="2:15">
      <c r="B83" s="64" t="s">
        <v>5187</v>
      </c>
      <c r="C83" s="64" t="s">
        <v>494</v>
      </c>
      <c r="K83" s="55">
        <v>75</v>
      </c>
      <c r="M83">
        <v>2</v>
      </c>
      <c r="O83" s="62"/>
    </row>
    <row r="84" spans="2:15">
      <c r="B84" s="64" t="s">
        <v>5188</v>
      </c>
      <c r="C84" s="64" t="s">
        <v>494</v>
      </c>
      <c r="K84" s="55">
        <v>76</v>
      </c>
      <c r="M84">
        <v>2</v>
      </c>
      <c r="O84" s="62"/>
    </row>
    <row r="85" spans="2:15">
      <c r="B85" s="64" t="s">
        <v>5189</v>
      </c>
      <c r="C85" s="64" t="s">
        <v>494</v>
      </c>
      <c r="K85" s="55">
        <v>77</v>
      </c>
      <c r="M85">
        <v>2</v>
      </c>
      <c r="O85" s="62"/>
    </row>
    <row r="86" spans="2:15">
      <c r="B86" s="64" t="s">
        <v>5190</v>
      </c>
      <c r="C86" s="64" t="s">
        <v>494</v>
      </c>
      <c r="K86" s="55">
        <v>78</v>
      </c>
      <c r="M86">
        <v>2</v>
      </c>
      <c r="O86" s="62"/>
    </row>
    <row r="87" spans="2:15">
      <c r="B87" s="64" t="s">
        <v>5191</v>
      </c>
      <c r="C87" s="64" t="s">
        <v>494</v>
      </c>
      <c r="K87" s="55">
        <v>79</v>
      </c>
      <c r="M87">
        <v>2</v>
      </c>
      <c r="O87" s="62"/>
    </row>
    <row r="88" spans="2:15">
      <c r="B88" s="64" t="s">
        <v>5192</v>
      </c>
      <c r="C88" s="64" t="s">
        <v>494</v>
      </c>
      <c r="K88" s="55">
        <v>80</v>
      </c>
      <c r="M88">
        <v>2</v>
      </c>
      <c r="O88" s="62"/>
    </row>
    <row r="89" spans="2:15">
      <c r="B89" s="64" t="s">
        <v>5193</v>
      </c>
      <c r="C89" s="64" t="s">
        <v>494</v>
      </c>
      <c r="K89" s="55">
        <v>81</v>
      </c>
      <c r="M89">
        <v>2</v>
      </c>
      <c r="O89" s="62"/>
    </row>
    <row r="90" spans="2:15">
      <c r="B90" s="64" t="s">
        <v>5194</v>
      </c>
      <c r="C90" s="64" t="s">
        <v>494</v>
      </c>
      <c r="K90" s="55">
        <v>82</v>
      </c>
      <c r="M90">
        <v>2</v>
      </c>
      <c r="O90" s="62"/>
    </row>
    <row r="91" spans="2:15">
      <c r="B91" s="64" t="s">
        <v>5195</v>
      </c>
      <c r="C91" s="64" t="s">
        <v>494</v>
      </c>
      <c r="K91" s="55">
        <v>83</v>
      </c>
      <c r="M91">
        <v>2</v>
      </c>
      <c r="O91" s="62"/>
    </row>
    <row r="92" spans="2:15">
      <c r="B92" s="64" t="s">
        <v>5196</v>
      </c>
      <c r="C92" s="64" t="s">
        <v>494</v>
      </c>
      <c r="K92" s="55">
        <v>84</v>
      </c>
      <c r="M92">
        <v>2</v>
      </c>
      <c r="O92" s="62"/>
    </row>
    <row r="93" spans="2:15">
      <c r="B93" s="64" t="s">
        <v>5197</v>
      </c>
      <c r="C93" s="64" t="s">
        <v>494</v>
      </c>
      <c r="K93" s="55">
        <v>85</v>
      </c>
      <c r="M93">
        <v>2</v>
      </c>
      <c r="O93" s="62"/>
    </row>
    <row r="94" spans="2:15">
      <c r="B94" s="64" t="s">
        <v>5198</v>
      </c>
      <c r="C94" s="64" t="s">
        <v>494</v>
      </c>
      <c r="K94" s="55">
        <v>86</v>
      </c>
      <c r="M94">
        <v>2</v>
      </c>
      <c r="O94" s="62"/>
    </row>
    <row r="95" spans="2:15">
      <c r="B95" s="64" t="s">
        <v>5199</v>
      </c>
      <c r="C95" s="64" t="s">
        <v>494</v>
      </c>
      <c r="K95" s="55">
        <v>87</v>
      </c>
      <c r="M95">
        <v>2</v>
      </c>
      <c r="O95" s="62"/>
    </row>
    <row r="96" spans="2:15">
      <c r="B96" s="64" t="s">
        <v>5200</v>
      </c>
      <c r="C96" s="64" t="s">
        <v>494</v>
      </c>
      <c r="K96" s="55">
        <v>88</v>
      </c>
      <c r="M96">
        <v>2</v>
      </c>
      <c r="O96" s="62"/>
    </row>
    <row r="97" spans="2:15">
      <c r="B97" s="64" t="s">
        <v>5201</v>
      </c>
      <c r="C97" s="64" t="s">
        <v>494</v>
      </c>
      <c r="K97" s="55">
        <v>89</v>
      </c>
      <c r="M97">
        <v>2</v>
      </c>
      <c r="O97" s="62"/>
    </row>
    <row r="98" spans="2:15">
      <c r="B98" s="64" t="s">
        <v>5202</v>
      </c>
      <c r="C98" s="64" t="s">
        <v>494</v>
      </c>
      <c r="K98" s="55">
        <v>90</v>
      </c>
      <c r="M98">
        <v>2</v>
      </c>
      <c r="O98" s="62"/>
    </row>
    <row r="99" spans="2:15">
      <c r="B99" s="64" t="s">
        <v>5203</v>
      </c>
      <c r="C99" s="64" t="s">
        <v>494</v>
      </c>
      <c r="K99" s="55">
        <v>91</v>
      </c>
      <c r="M99">
        <v>2</v>
      </c>
      <c r="O99" s="62"/>
    </row>
    <row r="100" spans="2:15">
      <c r="B100" s="64" t="s">
        <v>5204</v>
      </c>
      <c r="C100" s="64" t="s">
        <v>494</v>
      </c>
      <c r="K100" s="55">
        <v>92</v>
      </c>
      <c r="M100">
        <v>2</v>
      </c>
      <c r="O100" s="62"/>
    </row>
    <row r="101" spans="2:15">
      <c r="B101" s="64" t="s">
        <v>5205</v>
      </c>
      <c r="C101" s="64" t="s">
        <v>494</v>
      </c>
      <c r="K101" s="55">
        <v>93</v>
      </c>
      <c r="M101">
        <v>2</v>
      </c>
      <c r="O101" s="62"/>
    </row>
    <row r="102" spans="2:15">
      <c r="B102" s="64" t="s">
        <v>5206</v>
      </c>
      <c r="C102" s="64" t="s">
        <v>494</v>
      </c>
      <c r="K102" s="55">
        <v>94</v>
      </c>
      <c r="M102">
        <v>2</v>
      </c>
      <c r="O102" s="62"/>
    </row>
    <row r="103" spans="2:15">
      <c r="B103" s="64" t="s">
        <v>5207</v>
      </c>
      <c r="C103" s="64" t="s">
        <v>494</v>
      </c>
      <c r="K103" s="55">
        <v>95</v>
      </c>
      <c r="M103">
        <v>2</v>
      </c>
      <c r="O103" s="62"/>
    </row>
    <row r="104" spans="2:15">
      <c r="B104" s="64" t="s">
        <v>5208</v>
      </c>
      <c r="C104" s="64" t="s">
        <v>494</v>
      </c>
      <c r="K104" s="55">
        <v>96</v>
      </c>
      <c r="M104">
        <v>2</v>
      </c>
      <c r="O104" s="62"/>
    </row>
    <row r="105" spans="2:15">
      <c r="B105" s="64" t="s">
        <v>5209</v>
      </c>
      <c r="C105" s="64" t="s">
        <v>494</v>
      </c>
      <c r="K105" s="55">
        <v>97</v>
      </c>
      <c r="M105">
        <v>2</v>
      </c>
      <c r="O105" s="62"/>
    </row>
    <row r="106" spans="2:15">
      <c r="B106" s="64" t="s">
        <v>5210</v>
      </c>
      <c r="C106" s="64" t="s">
        <v>494</v>
      </c>
      <c r="K106" s="55">
        <v>98</v>
      </c>
      <c r="M106">
        <v>2</v>
      </c>
      <c r="O106" s="62"/>
    </row>
    <row r="107" spans="2:15">
      <c r="B107" s="64" t="s">
        <v>5211</v>
      </c>
      <c r="C107" s="64" t="s">
        <v>494</v>
      </c>
      <c r="K107" s="55">
        <v>99</v>
      </c>
      <c r="M107">
        <v>2</v>
      </c>
      <c r="O107" s="62"/>
    </row>
    <row r="108" spans="2:15">
      <c r="B108" s="64" t="s">
        <v>5212</v>
      </c>
      <c r="C108" s="64" t="s">
        <v>494</v>
      </c>
      <c r="K108" s="55">
        <v>100</v>
      </c>
      <c r="M108">
        <v>2</v>
      </c>
      <c r="O108" s="62"/>
    </row>
    <row r="109" spans="2:15">
      <c r="B109" s="64" t="s">
        <v>5213</v>
      </c>
      <c r="C109" s="64" t="s">
        <v>494</v>
      </c>
      <c r="K109" s="55">
        <v>101</v>
      </c>
      <c r="M109">
        <v>2</v>
      </c>
      <c r="O109" s="62"/>
    </row>
    <row r="110" spans="2:15">
      <c r="B110" s="64" t="s">
        <v>5214</v>
      </c>
      <c r="C110" s="64" t="s">
        <v>494</v>
      </c>
      <c r="K110" s="55">
        <v>102</v>
      </c>
      <c r="M110">
        <v>2</v>
      </c>
      <c r="O110" s="62"/>
    </row>
    <row r="111" spans="2:15">
      <c r="B111" s="64" t="s">
        <v>5215</v>
      </c>
      <c r="C111" s="64" t="s">
        <v>494</v>
      </c>
      <c r="K111" s="55">
        <v>103</v>
      </c>
      <c r="M111">
        <v>2</v>
      </c>
      <c r="O111" s="62"/>
    </row>
    <row r="112" spans="2:15">
      <c r="B112" s="64" t="s">
        <v>5216</v>
      </c>
      <c r="C112" s="64" t="s">
        <v>494</v>
      </c>
      <c r="K112" s="55">
        <v>104</v>
      </c>
      <c r="M112">
        <v>2</v>
      </c>
      <c r="O112" s="62"/>
    </row>
    <row r="113" spans="2:15">
      <c r="B113" s="64" t="s">
        <v>5217</v>
      </c>
      <c r="C113" s="64" t="s">
        <v>494</v>
      </c>
      <c r="K113" s="55">
        <v>105</v>
      </c>
      <c r="M113">
        <v>2</v>
      </c>
      <c r="O113" s="62"/>
    </row>
    <row r="114" spans="2:15">
      <c r="B114" s="64" t="s">
        <v>5218</v>
      </c>
      <c r="C114" s="64" t="s">
        <v>494</v>
      </c>
      <c r="K114" s="55">
        <v>106</v>
      </c>
      <c r="M114">
        <v>2</v>
      </c>
      <c r="O114" s="62"/>
    </row>
    <row r="115" spans="2:15">
      <c r="B115" s="64" t="s">
        <v>5219</v>
      </c>
      <c r="C115" s="64" t="s">
        <v>494</v>
      </c>
      <c r="K115" s="55">
        <v>107</v>
      </c>
      <c r="M115">
        <v>2</v>
      </c>
      <c r="O115" s="62"/>
    </row>
    <row r="116" spans="2:15">
      <c r="B116" s="64" t="s">
        <v>5220</v>
      </c>
      <c r="C116" s="64" t="s">
        <v>494</v>
      </c>
      <c r="K116" s="55">
        <v>108</v>
      </c>
      <c r="M116">
        <v>2</v>
      </c>
      <c r="O116" s="62"/>
    </row>
    <row r="117" spans="2:15">
      <c r="B117" s="64" t="s">
        <v>5221</v>
      </c>
      <c r="C117" s="64" t="s">
        <v>494</v>
      </c>
      <c r="K117" s="55">
        <v>109</v>
      </c>
      <c r="M117">
        <v>2</v>
      </c>
      <c r="O117" s="62"/>
    </row>
    <row r="118" spans="2:15">
      <c r="B118" s="64" t="s">
        <v>5222</v>
      </c>
      <c r="C118" s="64" t="s">
        <v>494</v>
      </c>
      <c r="K118" s="55">
        <v>110</v>
      </c>
      <c r="M118">
        <v>2</v>
      </c>
      <c r="O118" s="62"/>
    </row>
    <row r="119" spans="2:15">
      <c r="B119" s="64" t="s">
        <v>5223</v>
      </c>
      <c r="C119" s="64" t="s">
        <v>494</v>
      </c>
      <c r="K119" s="55">
        <v>111</v>
      </c>
      <c r="M119">
        <v>2</v>
      </c>
      <c r="O119" s="62"/>
    </row>
    <row r="120" spans="2:15">
      <c r="B120" s="64" t="s">
        <v>5224</v>
      </c>
      <c r="C120" s="64" t="s">
        <v>494</v>
      </c>
      <c r="K120" s="55">
        <v>112</v>
      </c>
      <c r="M120">
        <v>2</v>
      </c>
      <c r="O120" s="62"/>
    </row>
    <row r="121" spans="2:15">
      <c r="B121" s="64" t="s">
        <v>5225</v>
      </c>
      <c r="C121" s="64" t="s">
        <v>494</v>
      </c>
      <c r="K121" s="55">
        <v>113</v>
      </c>
      <c r="M121">
        <v>2</v>
      </c>
      <c r="O121" s="62"/>
    </row>
    <row r="122" spans="2:15">
      <c r="B122" s="64" t="s">
        <v>5226</v>
      </c>
      <c r="C122" s="64" t="s">
        <v>494</v>
      </c>
      <c r="K122" s="55">
        <v>114</v>
      </c>
      <c r="M122">
        <v>2</v>
      </c>
      <c r="O122" s="62"/>
    </row>
    <row r="123" spans="2:15">
      <c r="B123" s="64" t="s">
        <v>5227</v>
      </c>
      <c r="C123" s="64" t="s">
        <v>494</v>
      </c>
      <c r="K123" s="55">
        <v>115</v>
      </c>
      <c r="M123">
        <v>2</v>
      </c>
      <c r="O123" s="62"/>
    </row>
    <row r="124" spans="2:15">
      <c r="B124" s="64" t="s">
        <v>5228</v>
      </c>
      <c r="C124" s="64" t="s">
        <v>494</v>
      </c>
      <c r="K124" s="55">
        <v>116</v>
      </c>
      <c r="M124">
        <v>2</v>
      </c>
      <c r="O124" s="62"/>
    </row>
    <row r="125" spans="2:15">
      <c r="B125" s="64" t="s">
        <v>5229</v>
      </c>
      <c r="C125" s="64" t="s">
        <v>494</v>
      </c>
      <c r="K125" s="55">
        <v>117</v>
      </c>
      <c r="M125">
        <v>2</v>
      </c>
      <c r="O125" s="62"/>
    </row>
    <row r="126" spans="2:15">
      <c r="B126" s="64" t="s">
        <v>5230</v>
      </c>
      <c r="C126" s="64" t="s">
        <v>494</v>
      </c>
      <c r="K126" s="55">
        <v>118</v>
      </c>
      <c r="M126">
        <v>2</v>
      </c>
      <c r="O126" s="62"/>
    </row>
    <row r="127" spans="2:15">
      <c r="B127" s="64" t="s">
        <v>5231</v>
      </c>
      <c r="C127" s="64" t="s">
        <v>494</v>
      </c>
      <c r="K127" s="55">
        <v>119</v>
      </c>
      <c r="M127">
        <v>2</v>
      </c>
      <c r="O127" s="62"/>
    </row>
    <row r="128" spans="2:15">
      <c r="B128" s="64" t="s">
        <v>5232</v>
      </c>
      <c r="C128" s="64" t="s">
        <v>494</v>
      </c>
      <c r="K128" s="55">
        <v>120</v>
      </c>
      <c r="M128">
        <v>2</v>
      </c>
      <c r="O128" s="62"/>
    </row>
    <row r="129" spans="1:16">
      <c r="B129" s="64" t="s">
        <v>5233</v>
      </c>
      <c r="C129" s="64" t="s">
        <v>494</v>
      </c>
      <c r="K129" s="55">
        <v>121</v>
      </c>
      <c r="M129">
        <v>2</v>
      </c>
      <c r="O129" s="62"/>
    </row>
    <row r="130" spans="1:16">
      <c r="B130" s="64" t="s">
        <v>5234</v>
      </c>
      <c r="C130" s="64" t="s">
        <v>494</v>
      </c>
      <c r="K130" s="55">
        <v>122</v>
      </c>
      <c r="M130">
        <v>2</v>
      </c>
      <c r="O130" s="62"/>
    </row>
    <row r="131" spans="1:16">
      <c r="B131" s="64" t="s">
        <v>5235</v>
      </c>
      <c r="C131" s="64" t="s">
        <v>494</v>
      </c>
      <c r="K131" s="55">
        <v>123</v>
      </c>
      <c r="M131">
        <v>2</v>
      </c>
      <c r="O131" s="62"/>
    </row>
    <row r="132" spans="1:16">
      <c r="B132" s="64" t="s">
        <v>5236</v>
      </c>
      <c r="C132" s="64" t="s">
        <v>494</v>
      </c>
      <c r="K132" s="55">
        <v>124</v>
      </c>
      <c r="M132">
        <v>2</v>
      </c>
      <c r="O132" s="62"/>
    </row>
    <row r="133" spans="1:16">
      <c r="B133" s="64" t="s">
        <v>5237</v>
      </c>
      <c r="C133" s="64" t="s">
        <v>494</v>
      </c>
      <c r="H133" t="s">
        <v>5239</v>
      </c>
      <c r="K133" s="55">
        <v>125</v>
      </c>
      <c r="L133">
        <v>3</v>
      </c>
      <c r="M133">
        <v>1</v>
      </c>
      <c r="O133" s="62"/>
    </row>
    <row r="134" spans="1:16">
      <c r="B134" s="96" t="s">
        <v>5591</v>
      </c>
      <c r="C134" s="96" t="s">
        <v>494</v>
      </c>
      <c r="K134" s="55">
        <v>126</v>
      </c>
      <c r="L134">
        <v>3</v>
      </c>
      <c r="M134">
        <v>1</v>
      </c>
      <c r="N134" t="s">
        <v>5592</v>
      </c>
      <c r="O134" s="66" t="s">
        <v>5593</v>
      </c>
      <c r="P134" s="66" t="s">
        <v>5594</v>
      </c>
    </row>
    <row r="135" spans="1:16">
      <c r="B135" s="64" t="s">
        <v>5838</v>
      </c>
      <c r="C135" s="64" t="s">
        <v>494</v>
      </c>
      <c r="K135" s="55">
        <v>127</v>
      </c>
      <c r="L135" s="80">
        <v>3</v>
      </c>
      <c r="M135" s="10">
        <v>1</v>
      </c>
      <c r="N135" t="s">
        <v>5567</v>
      </c>
      <c r="O135" s="66" t="s">
        <v>5569</v>
      </c>
      <c r="P135" s="66" t="s">
        <v>5571</v>
      </c>
    </row>
    <row r="136" spans="1:16">
      <c r="B136" s="62"/>
      <c r="C136" s="64"/>
      <c r="K136" s="55"/>
      <c r="L136" s="80"/>
      <c r="M136" s="10"/>
      <c r="O136" s="66"/>
      <c r="P136" s="66"/>
    </row>
    <row r="137" spans="1:16">
      <c r="A137" s="91" t="s">
        <v>3233</v>
      </c>
      <c r="B137" s="62" t="s">
        <v>3347</v>
      </c>
      <c r="C137" s="62" t="s">
        <v>494</v>
      </c>
      <c r="E137" s="62" t="s">
        <v>476</v>
      </c>
      <c r="F137">
        <v>22</v>
      </c>
      <c r="G137">
        <v>2203</v>
      </c>
      <c r="H137" s="62" t="s">
        <v>3260</v>
      </c>
      <c r="I137" s="62"/>
      <c r="J137">
        <v>2201</v>
      </c>
      <c r="K137" s="55">
        <v>1</v>
      </c>
      <c r="L137">
        <v>52</v>
      </c>
      <c r="N137">
        <v>2201</v>
      </c>
      <c r="O137" s="62" t="s">
        <v>3213</v>
      </c>
    </row>
    <row r="138" spans="1:16">
      <c r="B138" s="62" t="s">
        <v>3237</v>
      </c>
      <c r="C138" s="62" t="s">
        <v>494</v>
      </c>
      <c r="E138" s="62" t="s">
        <v>476</v>
      </c>
      <c r="K138" s="55">
        <v>2</v>
      </c>
      <c r="L138">
        <v>9</v>
      </c>
    </row>
    <row r="139" spans="1:16">
      <c r="B139" s="62" t="s">
        <v>3238</v>
      </c>
      <c r="C139" s="62" t="s">
        <v>494</v>
      </c>
      <c r="D139" s="62"/>
      <c r="E139" s="62"/>
      <c r="F139" s="62"/>
      <c r="G139" s="62"/>
      <c r="K139" s="55">
        <v>3</v>
      </c>
      <c r="L139">
        <v>6</v>
      </c>
    </row>
    <row r="140" spans="1:16">
      <c r="B140" s="62" t="s">
        <v>3236</v>
      </c>
      <c r="C140" s="62" t="s">
        <v>494</v>
      </c>
      <c r="K140" s="55">
        <v>4</v>
      </c>
      <c r="L140">
        <v>8</v>
      </c>
      <c r="M140">
        <v>2</v>
      </c>
    </row>
    <row r="141" spans="1:16">
      <c r="B141" s="62" t="s">
        <v>3239</v>
      </c>
      <c r="C141" s="62" t="s">
        <v>494</v>
      </c>
      <c r="G141" s="89"/>
      <c r="J141" s="90"/>
      <c r="K141" s="55">
        <v>5</v>
      </c>
      <c r="L141">
        <v>3</v>
      </c>
      <c r="M141">
        <v>2</v>
      </c>
    </row>
    <row r="142" spans="1:16">
      <c r="B142" s="62" t="s">
        <v>3240</v>
      </c>
      <c r="C142" s="62" t="s">
        <v>494</v>
      </c>
      <c r="G142" s="62" t="s">
        <v>3241</v>
      </c>
      <c r="K142" s="55">
        <v>6</v>
      </c>
      <c r="L142">
        <v>3</v>
      </c>
      <c r="N142" s="62" t="s">
        <v>3677</v>
      </c>
      <c r="O142" s="62" t="s">
        <v>3678</v>
      </c>
      <c r="P142" s="62" t="s">
        <v>3679</v>
      </c>
    </row>
    <row r="143" spans="1:16">
      <c r="B143" s="62" t="s">
        <v>3353</v>
      </c>
      <c r="C143" s="62" t="s">
        <v>494</v>
      </c>
      <c r="G143" s="62"/>
      <c r="K143" s="55">
        <v>7</v>
      </c>
      <c r="L143">
        <v>3</v>
      </c>
    </row>
    <row r="144" spans="1:16">
      <c r="B144" s="62" t="s">
        <v>3354</v>
      </c>
      <c r="C144" s="62" t="s">
        <v>494</v>
      </c>
      <c r="G144" s="62"/>
      <c r="K144" s="55">
        <v>8</v>
      </c>
    </row>
    <row r="145" spans="2:16">
      <c r="B145" s="62" t="s">
        <v>3348</v>
      </c>
      <c r="C145" s="62" t="s">
        <v>494</v>
      </c>
      <c r="G145" s="62"/>
      <c r="K145" s="55">
        <v>9</v>
      </c>
    </row>
    <row r="146" spans="2:16">
      <c r="B146" s="62" t="s">
        <v>3349</v>
      </c>
      <c r="C146" s="62" t="s">
        <v>494</v>
      </c>
      <c r="G146" s="62"/>
      <c r="K146" s="55">
        <v>10</v>
      </c>
      <c r="L146" s="9">
        <v>3</v>
      </c>
      <c r="M146" s="1">
        <v>1</v>
      </c>
      <c r="N146" s="10" t="s">
        <v>506</v>
      </c>
      <c r="O146" s="10" t="s">
        <v>514</v>
      </c>
      <c r="P146" s="1" t="s">
        <v>515</v>
      </c>
    </row>
    <row r="147" spans="2:16">
      <c r="B147" s="62" t="s">
        <v>3247</v>
      </c>
      <c r="C147" s="62" t="s">
        <v>702</v>
      </c>
      <c r="K147" s="55">
        <v>11</v>
      </c>
    </row>
    <row r="148" spans="2:16">
      <c r="B148" s="62" t="s">
        <v>3249</v>
      </c>
      <c r="C148" s="62" t="s">
        <v>494</v>
      </c>
      <c r="K148" s="55">
        <v>12</v>
      </c>
    </row>
    <row r="149" spans="2:16">
      <c r="B149" s="62" t="s">
        <v>3253</v>
      </c>
      <c r="C149" s="62" t="s">
        <v>494</v>
      </c>
      <c r="K149" s="55">
        <v>13</v>
      </c>
      <c r="L149">
        <v>8</v>
      </c>
    </row>
    <row r="150" spans="2:16">
      <c r="B150" s="62" t="s">
        <v>3248</v>
      </c>
      <c r="C150" s="62" t="s">
        <v>702</v>
      </c>
      <c r="H150" s="89"/>
      <c r="K150" s="55">
        <v>14</v>
      </c>
    </row>
    <row r="151" spans="2:16">
      <c r="B151" s="62" t="s">
        <v>3250</v>
      </c>
      <c r="C151" s="62" t="s">
        <v>494</v>
      </c>
      <c r="K151" s="55">
        <v>15</v>
      </c>
    </row>
    <row r="152" spans="2:16">
      <c r="B152" s="62" t="s">
        <v>3254</v>
      </c>
      <c r="C152" s="62" t="s">
        <v>494</v>
      </c>
      <c r="K152" s="55">
        <v>16</v>
      </c>
      <c r="L152">
        <v>8</v>
      </c>
    </row>
    <row r="153" spans="2:16">
      <c r="B153" s="62" t="s">
        <v>3332</v>
      </c>
      <c r="C153" s="62" t="s">
        <v>702</v>
      </c>
      <c r="K153" s="55">
        <v>17</v>
      </c>
    </row>
    <row r="154" spans="2:16">
      <c r="B154" s="62" t="s">
        <v>3333</v>
      </c>
      <c r="C154" s="62" t="s">
        <v>494</v>
      </c>
      <c r="K154" s="55">
        <v>18</v>
      </c>
    </row>
    <row r="155" spans="2:16">
      <c r="B155" s="62" t="s">
        <v>3334</v>
      </c>
      <c r="C155" s="62" t="s">
        <v>494</v>
      </c>
      <c r="K155" s="55">
        <v>19</v>
      </c>
      <c r="L155">
        <v>8</v>
      </c>
    </row>
    <row r="156" spans="2:16">
      <c r="B156" s="62" t="s">
        <v>3336</v>
      </c>
      <c r="C156" s="62" t="s">
        <v>520</v>
      </c>
      <c r="K156" s="55">
        <v>20</v>
      </c>
    </row>
    <row r="157" spans="2:16">
      <c r="B157" s="62" t="s">
        <v>3251</v>
      </c>
      <c r="C157" s="62" t="s">
        <v>494</v>
      </c>
      <c r="G157" s="62" t="s">
        <v>3252</v>
      </c>
      <c r="K157" s="55">
        <v>21</v>
      </c>
    </row>
    <row r="158" spans="2:16">
      <c r="B158" s="62" t="s">
        <v>3255</v>
      </c>
      <c r="C158" s="62" t="s">
        <v>702</v>
      </c>
      <c r="K158" s="55">
        <v>22</v>
      </c>
    </row>
    <row r="159" spans="2:16">
      <c r="B159" s="62" t="s">
        <v>3335</v>
      </c>
      <c r="C159" s="62" t="s">
        <v>494</v>
      </c>
      <c r="G159" s="62" t="s">
        <v>3350</v>
      </c>
      <c r="K159" s="55">
        <v>23</v>
      </c>
    </row>
    <row r="160" spans="2:16">
      <c r="B160" s="62" t="s">
        <v>3256</v>
      </c>
      <c r="C160" s="62" t="s">
        <v>494</v>
      </c>
      <c r="G160" s="62" t="s">
        <v>3257</v>
      </c>
      <c r="K160" s="55">
        <v>24</v>
      </c>
      <c r="L160">
        <v>3</v>
      </c>
      <c r="M160">
        <v>1</v>
      </c>
    </row>
    <row r="162" spans="1:16">
      <c r="A162" s="62" t="s">
        <v>4332</v>
      </c>
      <c r="B162" s="62" t="s">
        <v>4334</v>
      </c>
      <c r="C162" s="64" t="s">
        <v>494</v>
      </c>
      <c r="E162" t="s">
        <v>476</v>
      </c>
      <c r="F162">
        <v>22</v>
      </c>
      <c r="G162">
        <v>2222</v>
      </c>
      <c r="H162" t="s">
        <v>4443</v>
      </c>
      <c r="J162">
        <v>2201</v>
      </c>
      <c r="K162" s="55">
        <v>1</v>
      </c>
      <c r="L162">
        <v>52</v>
      </c>
      <c r="N162">
        <v>2201</v>
      </c>
      <c r="O162" s="62" t="s">
        <v>3213</v>
      </c>
    </row>
    <row r="163" spans="1:16">
      <c r="B163" s="62" t="s">
        <v>4333</v>
      </c>
      <c r="C163" s="64" t="s">
        <v>494</v>
      </c>
      <c r="E163" t="s">
        <v>476</v>
      </c>
      <c r="K163" s="55">
        <v>2</v>
      </c>
      <c r="L163">
        <v>6</v>
      </c>
    </row>
    <row r="164" spans="1:16">
      <c r="B164" s="62" t="s">
        <v>4335</v>
      </c>
      <c r="C164" s="64" t="s">
        <v>494</v>
      </c>
      <c r="K164" s="55">
        <v>3</v>
      </c>
      <c r="L164">
        <v>6</v>
      </c>
    </row>
    <row r="165" spans="1:16">
      <c r="B165" s="62" t="s">
        <v>4336</v>
      </c>
      <c r="C165" s="64" t="s">
        <v>494</v>
      </c>
      <c r="K165" s="55">
        <v>4</v>
      </c>
      <c r="L165">
        <v>3</v>
      </c>
      <c r="N165" s="62" t="s">
        <v>3218</v>
      </c>
      <c r="O165" s="62" t="s">
        <v>3219</v>
      </c>
      <c r="P165" s="62" t="s">
        <v>3220</v>
      </c>
    </row>
    <row r="166" spans="1:16">
      <c r="B166" s="62" t="s">
        <v>4337</v>
      </c>
      <c r="C166" s="64" t="s">
        <v>494</v>
      </c>
      <c r="K166" s="55">
        <v>5</v>
      </c>
      <c r="L166">
        <v>3</v>
      </c>
      <c r="N166" s="62" t="s">
        <v>3218</v>
      </c>
      <c r="O166" s="62" t="s">
        <v>3219</v>
      </c>
      <c r="P166" s="62" t="s">
        <v>3220</v>
      </c>
    </row>
    <row r="167" spans="1:16">
      <c r="B167" s="62" t="s">
        <v>4338</v>
      </c>
      <c r="C167" s="64" t="s">
        <v>494</v>
      </c>
      <c r="K167" s="55">
        <v>6</v>
      </c>
      <c r="L167">
        <v>7</v>
      </c>
    </row>
    <row r="168" spans="1:16">
      <c r="B168" s="62" t="s">
        <v>4339</v>
      </c>
      <c r="C168" s="64" t="s">
        <v>520</v>
      </c>
      <c r="K168" s="55">
        <v>7</v>
      </c>
    </row>
    <row r="169" spans="1:16">
      <c r="B169" s="62"/>
      <c r="C169" s="64"/>
      <c r="K169" s="55"/>
    </row>
    <row r="170" spans="1:16">
      <c r="A170" s="62" t="s">
        <v>4349</v>
      </c>
      <c r="B170" s="62" t="s">
        <v>4350</v>
      </c>
      <c r="C170" s="64" t="s">
        <v>494</v>
      </c>
      <c r="E170" t="s">
        <v>476</v>
      </c>
      <c r="F170">
        <v>22</v>
      </c>
      <c r="G170">
        <v>2224</v>
      </c>
      <c r="H170" t="s">
        <v>4455</v>
      </c>
      <c r="J170">
        <v>2201</v>
      </c>
      <c r="K170" s="55">
        <v>1</v>
      </c>
      <c r="L170">
        <v>52</v>
      </c>
      <c r="N170">
        <v>2201</v>
      </c>
      <c r="O170" s="62" t="s">
        <v>3213</v>
      </c>
    </row>
    <row r="171" spans="1:16">
      <c r="B171" s="62" t="s">
        <v>4351</v>
      </c>
      <c r="C171" s="64" t="s">
        <v>494</v>
      </c>
      <c r="E171" t="s">
        <v>476</v>
      </c>
      <c r="K171" s="55">
        <v>2</v>
      </c>
      <c r="L171">
        <v>6</v>
      </c>
    </row>
    <row r="172" spans="1:16">
      <c r="B172" s="62" t="s">
        <v>4352</v>
      </c>
      <c r="C172" s="64" t="s">
        <v>494</v>
      </c>
      <c r="K172" s="55">
        <v>3</v>
      </c>
      <c r="L172">
        <v>6</v>
      </c>
    </row>
    <row r="173" spans="1:16">
      <c r="B173" s="62" t="s">
        <v>4353</v>
      </c>
      <c r="C173" s="64" t="s">
        <v>494</v>
      </c>
      <c r="K173" s="55">
        <v>4</v>
      </c>
      <c r="L173">
        <v>3</v>
      </c>
      <c r="N173" t="s">
        <v>4446</v>
      </c>
      <c r="O173" s="64" t="s">
        <v>4447</v>
      </c>
      <c r="P173" s="64" t="s">
        <v>4448</v>
      </c>
    </row>
    <row r="174" spans="1:16">
      <c r="B174" s="62" t="s">
        <v>4354</v>
      </c>
      <c r="C174" s="64" t="s">
        <v>494</v>
      </c>
      <c r="K174" s="55">
        <v>5</v>
      </c>
      <c r="L174">
        <v>8</v>
      </c>
    </row>
    <row r="175" spans="1:16">
      <c r="B175" s="62" t="s">
        <v>4355</v>
      </c>
      <c r="C175" s="64" t="s">
        <v>494</v>
      </c>
      <c r="K175" s="55">
        <v>6</v>
      </c>
      <c r="L175">
        <v>8</v>
      </c>
    </row>
    <row r="176" spans="1:16">
      <c r="B176" s="62" t="s">
        <v>4356</v>
      </c>
      <c r="C176" s="64" t="s">
        <v>494</v>
      </c>
      <c r="K176" s="55">
        <v>7</v>
      </c>
      <c r="L176">
        <v>7</v>
      </c>
    </row>
    <row r="177" spans="1:18">
      <c r="B177" s="62"/>
      <c r="C177" s="62"/>
      <c r="K177" s="55"/>
    </row>
    <row r="178" spans="1:18">
      <c r="A178" s="70" t="s">
        <v>3210</v>
      </c>
      <c r="B178" s="70" t="s">
        <v>3211</v>
      </c>
      <c r="C178" s="70" t="s">
        <v>494</v>
      </c>
      <c r="E178" s="62" t="s">
        <v>476</v>
      </c>
      <c r="F178">
        <v>1</v>
      </c>
      <c r="G178">
        <v>2200</v>
      </c>
      <c r="H178" s="62" t="s">
        <v>4542</v>
      </c>
      <c r="I178" s="62" t="s">
        <v>4543</v>
      </c>
      <c r="J178">
        <v>2201</v>
      </c>
      <c r="K178" s="55">
        <v>1</v>
      </c>
      <c r="L178">
        <v>8</v>
      </c>
    </row>
    <row r="179" spans="1:18">
      <c r="A179" s="94"/>
      <c r="B179" s="70" t="s">
        <v>3212</v>
      </c>
      <c r="C179" s="70" t="s">
        <v>494</v>
      </c>
      <c r="E179" s="62" t="s">
        <v>476</v>
      </c>
      <c r="K179" s="55">
        <v>2</v>
      </c>
      <c r="L179">
        <v>3</v>
      </c>
      <c r="M179" s="14">
        <v>31</v>
      </c>
      <c r="N179" s="62" t="s">
        <v>3655</v>
      </c>
      <c r="O179" s="62" t="s">
        <v>3648</v>
      </c>
      <c r="P179" s="62" t="s">
        <v>3657</v>
      </c>
      <c r="Q179" s="47" t="s">
        <v>3658</v>
      </c>
      <c r="R179" s="14">
        <v>4</v>
      </c>
    </row>
    <row r="180" spans="1:18">
      <c r="A180" s="94"/>
      <c r="B180" s="70" t="s">
        <v>3213</v>
      </c>
      <c r="C180" s="70" t="s">
        <v>494</v>
      </c>
      <c r="K180" s="55">
        <v>3</v>
      </c>
      <c r="L180">
        <v>6</v>
      </c>
    </row>
    <row r="181" spans="1:18">
      <c r="A181" s="94"/>
      <c r="B181" s="70" t="s">
        <v>3230</v>
      </c>
      <c r="C181" s="70" t="s">
        <v>494</v>
      </c>
      <c r="K181" s="55">
        <v>4</v>
      </c>
      <c r="L181">
        <v>3</v>
      </c>
      <c r="M181">
        <v>3</v>
      </c>
      <c r="N181" s="62" t="s">
        <v>3664</v>
      </c>
      <c r="O181" s="62" t="s">
        <v>3666</v>
      </c>
      <c r="P181" s="62" t="s">
        <v>3667</v>
      </c>
    </row>
    <row r="182" spans="1:18" s="1" customFormat="1">
      <c r="A182" s="39"/>
      <c r="B182" s="67" t="s">
        <v>3231</v>
      </c>
      <c r="C182" s="70" t="s">
        <v>494</v>
      </c>
      <c r="F182" s="14"/>
      <c r="G182" s="14"/>
      <c r="H182" s="14"/>
      <c r="I182" s="11"/>
      <c r="J182" s="14"/>
      <c r="K182" s="55">
        <v>5</v>
      </c>
      <c r="L182" s="15">
        <v>3</v>
      </c>
      <c r="M182" s="14"/>
      <c r="N182" s="62" t="s">
        <v>693</v>
      </c>
      <c r="O182" s="1" t="s">
        <v>695</v>
      </c>
      <c r="P182" s="1" t="s">
        <v>696</v>
      </c>
      <c r="Q182" s="62"/>
      <c r="R182" s="14"/>
    </row>
    <row r="183" spans="1:18" s="1" customFormat="1">
      <c r="A183" s="39"/>
      <c r="B183" s="67" t="s">
        <v>3232</v>
      </c>
      <c r="C183" s="70" t="s">
        <v>494</v>
      </c>
      <c r="F183" s="14"/>
      <c r="G183" s="14"/>
      <c r="H183" s="14"/>
      <c r="I183" s="11"/>
      <c r="J183" s="14"/>
      <c r="K183" s="55">
        <v>6</v>
      </c>
      <c r="L183" s="15">
        <v>3</v>
      </c>
      <c r="M183" s="14">
        <v>31</v>
      </c>
      <c r="N183" s="62" t="s">
        <v>379</v>
      </c>
      <c r="O183" s="62" t="s">
        <v>698</v>
      </c>
      <c r="P183" s="62" t="s">
        <v>699</v>
      </c>
      <c r="Q183" s="62" t="s">
        <v>383</v>
      </c>
      <c r="R183" s="14">
        <v>5</v>
      </c>
    </row>
    <row r="184" spans="1:18">
      <c r="A184" s="94"/>
      <c r="B184" s="70" t="s">
        <v>3214</v>
      </c>
      <c r="C184" s="70" t="s">
        <v>494</v>
      </c>
      <c r="K184" s="55">
        <v>7</v>
      </c>
      <c r="L184">
        <v>7</v>
      </c>
    </row>
    <row r="185" spans="1:18">
      <c r="A185" s="94"/>
      <c r="B185" s="70" t="s">
        <v>3221</v>
      </c>
      <c r="C185" s="70" t="s">
        <v>494</v>
      </c>
      <c r="H185" s="62" t="s">
        <v>3222</v>
      </c>
      <c r="K185" s="55">
        <v>8</v>
      </c>
      <c r="L185" s="9">
        <v>3</v>
      </c>
      <c r="M185" s="1"/>
      <c r="N185" s="10" t="s">
        <v>506</v>
      </c>
      <c r="O185" s="10" t="s">
        <v>514</v>
      </c>
      <c r="P185" s="1" t="s">
        <v>515</v>
      </c>
    </row>
    <row r="186" spans="1:18">
      <c r="A186" s="94"/>
      <c r="B186" s="70" t="s">
        <v>3355</v>
      </c>
      <c r="C186" s="70" t="s">
        <v>494</v>
      </c>
      <c r="H186" s="62"/>
      <c r="K186" s="55">
        <v>9</v>
      </c>
      <c r="L186" s="9"/>
      <c r="M186" s="1"/>
      <c r="N186" s="10"/>
      <c r="O186" s="10"/>
      <c r="P186" s="1"/>
    </row>
    <row r="187" spans="1:18">
      <c r="A187" s="94"/>
      <c r="B187" s="70" t="s">
        <v>3215</v>
      </c>
      <c r="C187" s="70" t="s">
        <v>494</v>
      </c>
      <c r="K187" s="55">
        <v>10</v>
      </c>
      <c r="L187" s="32">
        <v>3</v>
      </c>
      <c r="M187">
        <v>31</v>
      </c>
      <c r="N187" s="62" t="s">
        <v>3649</v>
      </c>
      <c r="O187" s="64" t="s">
        <v>3652</v>
      </c>
      <c r="P187" s="66" t="s">
        <v>3651</v>
      </c>
      <c r="Q187" s="66" t="s">
        <v>3650</v>
      </c>
      <c r="R187">
        <v>2</v>
      </c>
    </row>
    <row r="188" spans="1:18">
      <c r="A188" s="94"/>
      <c r="B188" s="70" t="s">
        <v>3225</v>
      </c>
      <c r="C188" s="70" t="s">
        <v>494</v>
      </c>
      <c r="K188" s="55">
        <v>11</v>
      </c>
    </row>
    <row r="189" spans="1:18">
      <c r="A189" s="94"/>
      <c r="B189" s="70" t="s">
        <v>3224</v>
      </c>
      <c r="C189" s="70" t="s">
        <v>494</v>
      </c>
      <c r="K189" s="55">
        <v>12</v>
      </c>
    </row>
    <row r="190" spans="1:18" s="1" customFormat="1">
      <c r="A190" s="39"/>
      <c r="B190" s="67" t="s">
        <v>4534</v>
      </c>
      <c r="C190" s="70" t="s">
        <v>494</v>
      </c>
      <c r="I190" s="2"/>
      <c r="K190" s="55">
        <v>13</v>
      </c>
      <c r="L190" s="32"/>
    </row>
    <row r="191" spans="1:18" s="1" customFormat="1">
      <c r="A191" s="39"/>
      <c r="B191" s="67" t="s">
        <v>4535</v>
      </c>
      <c r="C191" s="70" t="s">
        <v>494</v>
      </c>
      <c r="I191" s="2"/>
      <c r="K191" s="55">
        <v>14</v>
      </c>
      <c r="L191" s="32"/>
    </row>
    <row r="192" spans="1:18" s="1" customFormat="1">
      <c r="A192" s="39"/>
      <c r="B192" s="67" t="s">
        <v>4536</v>
      </c>
      <c r="C192" s="70" t="s">
        <v>494</v>
      </c>
      <c r="I192" s="2"/>
      <c r="K192" s="55">
        <v>15</v>
      </c>
      <c r="L192" s="32"/>
    </row>
    <row r="193" spans="1:17" s="1" customFormat="1">
      <c r="A193" s="39"/>
      <c r="B193" s="67" t="s">
        <v>4537</v>
      </c>
      <c r="C193" s="70" t="s">
        <v>494</v>
      </c>
      <c r="I193" s="2"/>
      <c r="K193" s="55">
        <v>16</v>
      </c>
      <c r="L193" s="32"/>
    </row>
    <row r="194" spans="1:17">
      <c r="A194" s="94"/>
      <c r="B194" s="70" t="s">
        <v>3223</v>
      </c>
      <c r="C194" s="70" t="s">
        <v>494</v>
      </c>
      <c r="K194" s="55">
        <v>17</v>
      </c>
    </row>
    <row r="195" spans="1:17">
      <c r="A195" s="94"/>
      <c r="B195" s="70" t="s">
        <v>3217</v>
      </c>
      <c r="C195" s="70" t="s">
        <v>494</v>
      </c>
      <c r="K195" s="55">
        <v>18</v>
      </c>
      <c r="L195">
        <v>3</v>
      </c>
      <c r="N195" s="62" t="s">
        <v>3218</v>
      </c>
      <c r="O195" s="62" t="s">
        <v>3219</v>
      </c>
      <c r="P195" s="62" t="s">
        <v>3220</v>
      </c>
      <c r="Q195" s="66"/>
    </row>
    <row r="196" spans="1:17">
      <c r="A196" s="94"/>
      <c r="B196" s="70" t="s">
        <v>3226</v>
      </c>
      <c r="C196" s="70" t="s">
        <v>494</v>
      </c>
      <c r="K196" s="55">
        <v>19</v>
      </c>
    </row>
    <row r="197" spans="1:17">
      <c r="A197" s="94"/>
      <c r="B197" s="70" t="s">
        <v>3227</v>
      </c>
      <c r="C197" s="70" t="s">
        <v>494</v>
      </c>
      <c r="K197" s="55">
        <v>20</v>
      </c>
    </row>
    <row r="198" spans="1:17" s="1" customFormat="1">
      <c r="A198" s="39"/>
      <c r="B198" s="67" t="s">
        <v>4538</v>
      </c>
      <c r="C198" s="70" t="s">
        <v>494</v>
      </c>
      <c r="I198" s="2"/>
      <c r="K198" s="55">
        <v>21</v>
      </c>
      <c r="L198" s="32"/>
    </row>
    <row r="199" spans="1:17" s="1" customFormat="1">
      <c r="A199" s="39"/>
      <c r="B199" s="67" t="s">
        <v>4539</v>
      </c>
      <c r="C199" s="70" t="s">
        <v>494</v>
      </c>
      <c r="I199" s="2"/>
      <c r="K199" s="55">
        <v>22</v>
      </c>
      <c r="L199" s="32"/>
    </row>
    <row r="200" spans="1:17" s="1" customFormat="1">
      <c r="A200" s="39"/>
      <c r="B200" s="67" t="s">
        <v>4540</v>
      </c>
      <c r="C200" s="70" t="s">
        <v>494</v>
      </c>
      <c r="I200" s="2"/>
      <c r="K200" s="55">
        <v>23</v>
      </c>
      <c r="L200" s="32"/>
    </row>
    <row r="201" spans="1:17" s="1" customFormat="1">
      <c r="A201" s="39"/>
      <c r="B201" s="67" t="s">
        <v>4541</v>
      </c>
      <c r="C201" s="70" t="s">
        <v>494</v>
      </c>
      <c r="I201" s="2"/>
      <c r="K201" s="55">
        <v>24</v>
      </c>
      <c r="L201" s="32"/>
    </row>
    <row r="202" spans="1:17">
      <c r="A202" s="94"/>
      <c r="B202" s="70" t="s">
        <v>3228</v>
      </c>
      <c r="C202" s="70" t="s">
        <v>494</v>
      </c>
      <c r="K202" s="55">
        <v>25</v>
      </c>
    </row>
    <row r="203" spans="1:17">
      <c r="A203" s="94"/>
      <c r="B203" s="70" t="s">
        <v>3216</v>
      </c>
      <c r="C203" s="70" t="s">
        <v>494</v>
      </c>
      <c r="K203" s="55">
        <v>28</v>
      </c>
      <c r="L203">
        <v>7</v>
      </c>
    </row>
    <row r="204" spans="1:17">
      <c r="A204" s="94"/>
      <c r="B204" s="70" t="s">
        <v>3229</v>
      </c>
      <c r="C204" s="70" t="s">
        <v>494</v>
      </c>
      <c r="K204" s="55">
        <v>29</v>
      </c>
      <c r="M204">
        <v>1</v>
      </c>
    </row>
    <row r="205" spans="1:17">
      <c r="B205" s="70" t="s">
        <v>4321</v>
      </c>
      <c r="C205" s="70" t="s">
        <v>702</v>
      </c>
      <c r="K205" s="55">
        <v>30</v>
      </c>
      <c r="M205">
        <v>1</v>
      </c>
    </row>
    <row r="206" spans="1:17">
      <c r="B206" s="70" t="s">
        <v>4393</v>
      </c>
      <c r="C206" s="70" t="s">
        <v>494</v>
      </c>
      <c r="K206" s="55">
        <v>31</v>
      </c>
      <c r="L206">
        <v>8</v>
      </c>
    </row>
    <row r="207" spans="1:17">
      <c r="B207" s="70" t="s">
        <v>4394</v>
      </c>
      <c r="C207" s="70" t="s">
        <v>494</v>
      </c>
      <c r="K207" s="55">
        <v>32</v>
      </c>
      <c r="L207">
        <v>7</v>
      </c>
    </row>
    <row r="208" spans="1:17">
      <c r="B208" s="70" t="s">
        <v>4327</v>
      </c>
      <c r="C208" s="70" t="s">
        <v>494</v>
      </c>
      <c r="H208" s="62" t="s">
        <v>4357</v>
      </c>
      <c r="K208" s="55">
        <v>33</v>
      </c>
      <c r="L208">
        <v>3</v>
      </c>
      <c r="M208">
        <v>1</v>
      </c>
      <c r="N208" t="s">
        <v>4452</v>
      </c>
      <c r="O208" s="62" t="s">
        <v>4453</v>
      </c>
      <c r="P208" s="62" t="s">
        <v>4454</v>
      </c>
    </row>
    <row r="209" spans="1:16">
      <c r="A209" s="1"/>
      <c r="B209" s="66"/>
      <c r="C209" s="64"/>
      <c r="D209" s="1"/>
      <c r="E209" s="1"/>
      <c r="F209" s="14"/>
      <c r="K209" s="55"/>
    </row>
    <row r="210" spans="1:16">
      <c r="A210" s="70" t="s">
        <v>3233</v>
      </c>
      <c r="B210" s="70" t="s">
        <v>3347</v>
      </c>
      <c r="C210" s="62" t="s">
        <v>494</v>
      </c>
      <c r="E210" s="62" t="s">
        <v>476</v>
      </c>
      <c r="F210">
        <v>1</v>
      </c>
      <c r="G210">
        <v>2203</v>
      </c>
      <c r="H210" s="62" t="s">
        <v>3260</v>
      </c>
      <c r="I210" s="62"/>
      <c r="J210">
        <v>2201</v>
      </c>
      <c r="K210" s="55">
        <v>1</v>
      </c>
      <c r="L210">
        <v>52</v>
      </c>
      <c r="N210">
        <v>2200</v>
      </c>
      <c r="O210" s="62" t="s">
        <v>3213</v>
      </c>
    </row>
    <row r="211" spans="1:16">
      <c r="A211" s="94"/>
      <c r="B211" s="70" t="s">
        <v>3237</v>
      </c>
      <c r="C211" s="62" t="s">
        <v>494</v>
      </c>
      <c r="E211" s="62" t="s">
        <v>476</v>
      </c>
      <c r="K211" s="55">
        <v>2</v>
      </c>
      <c r="L211">
        <v>9</v>
      </c>
    </row>
    <row r="212" spans="1:16">
      <c r="A212" s="94"/>
      <c r="B212" s="70" t="s">
        <v>3238</v>
      </c>
      <c r="C212" s="62" t="s">
        <v>494</v>
      </c>
      <c r="D212" s="62"/>
      <c r="E212" s="62"/>
      <c r="F212" s="62"/>
      <c r="G212" s="62"/>
      <c r="K212" s="55">
        <v>3</v>
      </c>
      <c r="L212">
        <v>6</v>
      </c>
    </row>
    <row r="213" spans="1:16">
      <c r="A213" s="94"/>
      <c r="B213" s="70" t="s">
        <v>3236</v>
      </c>
      <c r="C213" s="62" t="s">
        <v>494</v>
      </c>
      <c r="K213" s="55">
        <v>4</v>
      </c>
      <c r="L213">
        <v>8</v>
      </c>
      <c r="M213">
        <v>2</v>
      </c>
    </row>
    <row r="214" spans="1:16">
      <c r="A214" s="94"/>
      <c r="B214" s="70" t="s">
        <v>3239</v>
      </c>
      <c r="C214" s="62" t="s">
        <v>494</v>
      </c>
      <c r="G214" s="89"/>
      <c r="J214" s="90"/>
      <c r="K214" s="55">
        <v>5</v>
      </c>
      <c r="L214">
        <v>3</v>
      </c>
      <c r="M214">
        <v>2</v>
      </c>
    </row>
    <row r="215" spans="1:16">
      <c r="A215" s="94"/>
      <c r="B215" s="70" t="s">
        <v>5170</v>
      </c>
      <c r="C215" s="62" t="s">
        <v>494</v>
      </c>
      <c r="G215" s="89"/>
      <c r="J215" s="90"/>
      <c r="K215" s="55">
        <v>6</v>
      </c>
    </row>
    <row r="216" spans="1:16">
      <c r="A216" s="94"/>
      <c r="B216" s="70" t="s">
        <v>3240</v>
      </c>
      <c r="C216" s="62" t="s">
        <v>494</v>
      </c>
      <c r="G216" s="62" t="s">
        <v>3241</v>
      </c>
      <c r="K216" s="55">
        <v>7</v>
      </c>
      <c r="L216">
        <v>3</v>
      </c>
      <c r="N216" s="62" t="s">
        <v>3677</v>
      </c>
      <c r="O216" s="62" t="s">
        <v>3678</v>
      </c>
      <c r="P216" s="62" t="s">
        <v>3679</v>
      </c>
    </row>
    <row r="217" spans="1:16">
      <c r="A217" s="94"/>
      <c r="B217" s="70" t="s">
        <v>3353</v>
      </c>
      <c r="C217" s="62" t="s">
        <v>494</v>
      </c>
      <c r="G217" s="62"/>
      <c r="K217" s="55">
        <v>8</v>
      </c>
      <c r="L217">
        <v>3</v>
      </c>
    </row>
    <row r="218" spans="1:16">
      <c r="A218" s="94"/>
      <c r="B218" s="70" t="s">
        <v>5167</v>
      </c>
      <c r="C218" s="62" t="s">
        <v>493</v>
      </c>
      <c r="D218">
        <v>1</v>
      </c>
      <c r="G218" s="62"/>
      <c r="K218" s="55">
        <v>9</v>
      </c>
    </row>
    <row r="219" spans="1:16">
      <c r="A219" s="94"/>
      <c r="B219" s="70" t="s">
        <v>5168</v>
      </c>
      <c r="C219" s="62" t="s">
        <v>493</v>
      </c>
      <c r="D219">
        <v>1</v>
      </c>
      <c r="G219" s="62"/>
      <c r="K219" s="55">
        <v>10</v>
      </c>
    </row>
    <row r="220" spans="1:16">
      <c r="A220" s="94"/>
      <c r="B220" s="70" t="s">
        <v>5169</v>
      </c>
      <c r="C220" s="62" t="s">
        <v>493</v>
      </c>
      <c r="D220">
        <v>1</v>
      </c>
      <c r="G220" s="62"/>
      <c r="K220" s="55">
        <v>11</v>
      </c>
    </row>
    <row r="221" spans="1:16">
      <c r="A221" s="94"/>
      <c r="B221" s="70" t="s">
        <v>5172</v>
      </c>
      <c r="C221" s="62" t="s">
        <v>494</v>
      </c>
      <c r="G221" s="62"/>
      <c r="K221" s="55">
        <v>12</v>
      </c>
    </row>
    <row r="222" spans="1:16">
      <c r="A222" s="94"/>
      <c r="B222" s="70" t="s">
        <v>5173</v>
      </c>
      <c r="C222" s="62" t="s">
        <v>494</v>
      </c>
      <c r="G222" s="62"/>
      <c r="K222" s="55">
        <v>13</v>
      </c>
    </row>
    <row r="223" spans="1:16">
      <c r="A223" s="94"/>
      <c r="B223" s="70" t="s">
        <v>5174</v>
      </c>
      <c r="C223" s="62" t="s">
        <v>494</v>
      </c>
      <c r="G223" s="62"/>
      <c r="K223" s="55">
        <v>14</v>
      </c>
    </row>
    <row r="224" spans="1:16">
      <c r="A224" s="94"/>
      <c r="B224" s="70" t="s">
        <v>5175</v>
      </c>
      <c r="C224" s="62" t="s">
        <v>494</v>
      </c>
      <c r="G224" s="62"/>
      <c r="K224" s="55">
        <v>15</v>
      </c>
    </row>
    <row r="225" spans="1:16">
      <c r="A225" s="94"/>
      <c r="B225" s="70" t="s">
        <v>3354</v>
      </c>
      <c r="C225" s="62" t="s">
        <v>494</v>
      </c>
      <c r="G225" s="62"/>
      <c r="K225" s="55">
        <v>16</v>
      </c>
    </row>
    <row r="226" spans="1:16">
      <c r="A226" s="94"/>
      <c r="B226" s="70" t="s">
        <v>3348</v>
      </c>
      <c r="C226" s="62" t="s">
        <v>494</v>
      </c>
      <c r="G226" s="62"/>
      <c r="K226" s="55">
        <v>17</v>
      </c>
    </row>
    <row r="227" spans="1:16">
      <c r="A227" s="94"/>
      <c r="B227" s="70" t="s">
        <v>3349</v>
      </c>
      <c r="C227" s="62" t="s">
        <v>494</v>
      </c>
      <c r="G227" s="62"/>
      <c r="K227" s="55">
        <v>18</v>
      </c>
      <c r="L227" s="9">
        <v>3</v>
      </c>
      <c r="M227" s="1">
        <v>1</v>
      </c>
      <c r="N227" s="10" t="s">
        <v>506</v>
      </c>
      <c r="O227" s="10" t="s">
        <v>514</v>
      </c>
      <c r="P227" s="1" t="s">
        <v>515</v>
      </c>
    </row>
    <row r="228" spans="1:16">
      <c r="A228" s="94"/>
      <c r="B228" s="70" t="s">
        <v>3247</v>
      </c>
      <c r="C228" s="62" t="s">
        <v>702</v>
      </c>
      <c r="K228" s="55">
        <v>19</v>
      </c>
    </row>
    <row r="229" spans="1:16">
      <c r="A229" s="94"/>
      <c r="B229" s="70" t="s">
        <v>3249</v>
      </c>
      <c r="C229" s="62" t="s">
        <v>494</v>
      </c>
      <c r="K229" s="55">
        <v>20</v>
      </c>
    </row>
    <row r="230" spans="1:16">
      <c r="A230" s="94"/>
      <c r="B230" s="70" t="s">
        <v>3253</v>
      </c>
      <c r="C230" s="62" t="s">
        <v>494</v>
      </c>
      <c r="K230" s="55">
        <v>21</v>
      </c>
      <c r="L230">
        <v>8</v>
      </c>
    </row>
    <row r="231" spans="1:16">
      <c r="A231" s="94"/>
      <c r="B231" s="70" t="s">
        <v>3248</v>
      </c>
      <c r="C231" s="62" t="s">
        <v>702</v>
      </c>
      <c r="H231" s="89"/>
      <c r="K231" s="55">
        <v>22</v>
      </c>
    </row>
    <row r="232" spans="1:16">
      <c r="A232" s="94"/>
      <c r="B232" s="70" t="s">
        <v>3250</v>
      </c>
      <c r="C232" s="62" t="s">
        <v>494</v>
      </c>
      <c r="K232" s="55">
        <v>23</v>
      </c>
    </row>
    <row r="233" spans="1:16">
      <c r="A233" s="94"/>
      <c r="B233" s="70" t="s">
        <v>3254</v>
      </c>
      <c r="C233" s="62" t="s">
        <v>494</v>
      </c>
      <c r="K233" s="55">
        <v>24</v>
      </c>
      <c r="L233">
        <v>8</v>
      </c>
    </row>
    <row r="234" spans="1:16">
      <c r="A234" s="94"/>
      <c r="B234" s="70" t="s">
        <v>3332</v>
      </c>
      <c r="C234" s="62" t="s">
        <v>702</v>
      </c>
      <c r="K234" s="55">
        <v>25</v>
      </c>
    </row>
    <row r="235" spans="1:16">
      <c r="A235" s="94"/>
      <c r="B235" s="70" t="s">
        <v>3333</v>
      </c>
      <c r="C235" s="62" t="s">
        <v>494</v>
      </c>
      <c r="K235" s="55">
        <v>26</v>
      </c>
    </row>
    <row r="236" spans="1:16">
      <c r="A236" s="94"/>
      <c r="B236" s="70" t="s">
        <v>3334</v>
      </c>
      <c r="C236" s="62" t="s">
        <v>494</v>
      </c>
      <c r="K236" s="55">
        <v>27</v>
      </c>
      <c r="L236">
        <v>8</v>
      </c>
    </row>
    <row r="237" spans="1:16">
      <c r="A237" s="94"/>
      <c r="B237" s="70" t="s">
        <v>3336</v>
      </c>
      <c r="C237" s="62" t="s">
        <v>520</v>
      </c>
      <c r="K237" s="55">
        <v>28</v>
      </c>
    </row>
    <row r="238" spans="1:16">
      <c r="A238" s="94"/>
      <c r="B238" s="70" t="s">
        <v>5171</v>
      </c>
      <c r="C238" s="62" t="s">
        <v>494</v>
      </c>
      <c r="G238" s="89"/>
      <c r="J238" s="90"/>
      <c r="K238" s="55">
        <v>29</v>
      </c>
    </row>
    <row r="239" spans="1:16">
      <c r="A239" s="94"/>
      <c r="B239" s="70" t="s">
        <v>5176</v>
      </c>
      <c r="C239" s="62" t="s">
        <v>494</v>
      </c>
      <c r="G239" s="89"/>
      <c r="J239" s="90"/>
      <c r="K239" s="55">
        <v>30</v>
      </c>
    </row>
    <row r="240" spans="1:16">
      <c r="A240" s="94"/>
      <c r="B240" s="70" t="s">
        <v>3251</v>
      </c>
      <c r="C240" s="62" t="s">
        <v>494</v>
      </c>
      <c r="G240" s="62" t="s">
        <v>3252</v>
      </c>
      <c r="K240" s="55">
        <v>31</v>
      </c>
    </row>
    <row r="241" spans="1:18">
      <c r="A241" s="94"/>
      <c r="B241" s="70" t="s">
        <v>3255</v>
      </c>
      <c r="C241" s="62" t="s">
        <v>702</v>
      </c>
      <c r="K241" s="55">
        <v>32</v>
      </c>
    </row>
    <row r="242" spans="1:18">
      <c r="A242" s="94"/>
      <c r="B242" s="70" t="s">
        <v>3335</v>
      </c>
      <c r="C242" s="62" t="s">
        <v>494</v>
      </c>
      <c r="G242" s="62" t="s">
        <v>3350</v>
      </c>
      <c r="K242" s="55">
        <v>33</v>
      </c>
    </row>
    <row r="243" spans="1:18">
      <c r="A243" s="94"/>
      <c r="B243" s="70" t="s">
        <v>3256</v>
      </c>
      <c r="C243" s="62" t="s">
        <v>494</v>
      </c>
      <c r="G243" s="62" t="s">
        <v>3257</v>
      </c>
      <c r="K243" s="55">
        <v>34</v>
      </c>
      <c r="L243">
        <v>3</v>
      </c>
      <c r="M243">
        <v>1</v>
      </c>
    </row>
    <row r="245" spans="1:18">
      <c r="A245" s="1"/>
      <c r="B245" s="66"/>
      <c r="C245" s="64"/>
      <c r="D245" s="1"/>
      <c r="E245" s="1"/>
      <c r="F245" s="14"/>
      <c r="K245" s="55"/>
    </row>
    <row r="246" spans="1:18">
      <c r="A246" s="1"/>
      <c r="B246" s="66"/>
      <c r="C246" s="64"/>
      <c r="D246" s="1"/>
      <c r="E246" s="1"/>
      <c r="F246" s="14"/>
      <c r="K246" s="55"/>
    </row>
    <row r="247" spans="1:18">
      <c r="B247" s="62"/>
      <c r="C247" s="64"/>
      <c r="K247" s="55"/>
    </row>
    <row r="248" spans="1:18">
      <c r="A248" s="62" t="s">
        <v>3218</v>
      </c>
      <c r="B248" s="62" t="s">
        <v>3219</v>
      </c>
      <c r="C248" s="62" t="s">
        <v>494</v>
      </c>
      <c r="E248" s="62" t="s">
        <v>476</v>
      </c>
      <c r="K248" s="55"/>
    </row>
    <row r="249" spans="1:18">
      <c r="B249" s="62" t="s">
        <v>3220</v>
      </c>
      <c r="C249" s="62" t="s">
        <v>493</v>
      </c>
      <c r="D249">
        <v>100</v>
      </c>
      <c r="H249" s="62" t="s">
        <v>3346</v>
      </c>
      <c r="K249" s="55"/>
    </row>
    <row r="250" spans="1:18">
      <c r="B250" s="62"/>
      <c r="C250" s="62"/>
      <c r="K250" s="55"/>
    </row>
    <row r="251" spans="1:18">
      <c r="A251" s="78" t="s">
        <v>3262</v>
      </c>
      <c r="B251" s="62" t="s">
        <v>3264</v>
      </c>
      <c r="C251" s="62" t="s">
        <v>494</v>
      </c>
      <c r="E251" s="62" t="s">
        <v>476</v>
      </c>
      <c r="F251">
        <v>22</v>
      </c>
      <c r="G251">
        <v>2204</v>
      </c>
      <c r="H251" s="62" t="s">
        <v>2034</v>
      </c>
      <c r="I251" s="62" t="s">
        <v>3285</v>
      </c>
      <c r="J251">
        <v>2201</v>
      </c>
      <c r="K251" s="55">
        <v>1</v>
      </c>
      <c r="L251" s="9">
        <v>3</v>
      </c>
      <c r="M251" s="1"/>
      <c r="N251" s="10" t="s">
        <v>506</v>
      </c>
      <c r="O251" s="10" t="s">
        <v>514</v>
      </c>
      <c r="P251" s="1" t="s">
        <v>515</v>
      </c>
    </row>
    <row r="252" spans="1:18">
      <c r="B252" s="62" t="s">
        <v>3265</v>
      </c>
      <c r="C252" s="62" t="s">
        <v>494</v>
      </c>
      <c r="E252" s="62" t="s">
        <v>476</v>
      </c>
      <c r="K252" s="55">
        <v>2</v>
      </c>
      <c r="L252">
        <v>8</v>
      </c>
    </row>
    <row r="253" spans="1:18">
      <c r="B253" s="62" t="s">
        <v>3266</v>
      </c>
      <c r="C253" s="62" t="s">
        <v>494</v>
      </c>
      <c r="E253" s="62" t="s">
        <v>476</v>
      </c>
      <c r="K253" s="55">
        <v>3</v>
      </c>
      <c r="L253" s="68">
        <v>9</v>
      </c>
      <c r="M253" s="1"/>
      <c r="N253" s="62" t="s">
        <v>1038</v>
      </c>
      <c r="O253" s="23" t="s">
        <v>1040</v>
      </c>
      <c r="P253" s="23" t="s">
        <v>1041</v>
      </c>
      <c r="Q253" s="23" t="s">
        <v>1040</v>
      </c>
      <c r="R253" s="14">
        <v>140</v>
      </c>
    </row>
    <row r="254" spans="1:18">
      <c r="B254" s="62" t="s">
        <v>3268</v>
      </c>
      <c r="C254" s="62" t="s">
        <v>494</v>
      </c>
      <c r="K254" s="55">
        <v>4</v>
      </c>
      <c r="L254" s="32">
        <v>6</v>
      </c>
    </row>
    <row r="255" spans="1:18">
      <c r="B255" s="62" t="s">
        <v>3267</v>
      </c>
      <c r="C255" s="62" t="s">
        <v>494</v>
      </c>
      <c r="E255" s="62"/>
      <c r="G255" s="62" t="s">
        <v>1813</v>
      </c>
      <c r="K255" s="55">
        <v>5</v>
      </c>
    </row>
    <row r="256" spans="1:18">
      <c r="B256" s="62" t="s">
        <v>3286</v>
      </c>
      <c r="C256" s="62" t="s">
        <v>494</v>
      </c>
      <c r="E256" s="62"/>
      <c r="G256" s="62" t="s">
        <v>3998</v>
      </c>
      <c r="H256" s="62"/>
      <c r="K256" s="55">
        <v>6</v>
      </c>
      <c r="L256" s="9">
        <v>3</v>
      </c>
      <c r="M256" s="1"/>
      <c r="N256" s="64" t="s">
        <v>1814</v>
      </c>
      <c r="O256" s="66" t="s">
        <v>1815</v>
      </c>
      <c r="P256" s="66" t="s">
        <v>1816</v>
      </c>
    </row>
    <row r="257" spans="2:16">
      <c r="B257" s="62" t="s">
        <v>3269</v>
      </c>
      <c r="C257" s="62" t="s">
        <v>494</v>
      </c>
      <c r="K257" s="55">
        <v>7</v>
      </c>
      <c r="L257" s="9">
        <v>3</v>
      </c>
      <c r="M257" s="1"/>
      <c r="N257" s="62" t="s">
        <v>1002</v>
      </c>
      <c r="O257" s="23" t="s">
        <v>1004</v>
      </c>
      <c r="P257" s="23" t="s">
        <v>1023</v>
      </c>
    </row>
    <row r="258" spans="2:16">
      <c r="B258" s="62" t="s">
        <v>3270</v>
      </c>
      <c r="C258" s="62" t="s">
        <v>494</v>
      </c>
      <c r="K258" s="55">
        <v>8</v>
      </c>
      <c r="L258" s="32">
        <v>9</v>
      </c>
      <c r="M258">
        <v>1</v>
      </c>
      <c r="N258" s="62"/>
    </row>
    <row r="259" spans="2:16">
      <c r="B259" s="62" t="s">
        <v>3342</v>
      </c>
      <c r="C259" s="62" t="s">
        <v>494</v>
      </c>
      <c r="G259" s="62" t="s">
        <v>3343</v>
      </c>
      <c r="K259" s="55">
        <v>9</v>
      </c>
      <c r="L259" s="32">
        <v>3</v>
      </c>
      <c r="M259">
        <v>1</v>
      </c>
      <c r="N259" s="62" t="s">
        <v>4694</v>
      </c>
      <c r="O259" s="62" t="s">
        <v>4695</v>
      </c>
      <c r="P259" t="s">
        <v>4696</v>
      </c>
    </row>
    <row r="260" spans="2:16">
      <c r="B260" s="62" t="s">
        <v>3271</v>
      </c>
      <c r="C260" s="62" t="s">
        <v>494</v>
      </c>
      <c r="K260" s="55">
        <v>10</v>
      </c>
      <c r="L260">
        <v>7</v>
      </c>
    </row>
    <row r="261" spans="2:16">
      <c r="B261" s="62" t="s">
        <v>3272</v>
      </c>
      <c r="C261" s="62" t="s">
        <v>494</v>
      </c>
      <c r="G261" s="62" t="s">
        <v>3351</v>
      </c>
      <c r="K261" s="55">
        <v>11</v>
      </c>
      <c r="L261">
        <v>3</v>
      </c>
      <c r="M261">
        <v>1</v>
      </c>
    </row>
    <row r="262" spans="2:16" s="1" customFormat="1">
      <c r="B262" s="62" t="s">
        <v>3298</v>
      </c>
      <c r="C262" s="1" t="s">
        <v>494</v>
      </c>
      <c r="H262" s="1" t="s">
        <v>1270</v>
      </c>
      <c r="I262" s="2"/>
      <c r="K262" s="55">
        <v>12</v>
      </c>
      <c r="L262" s="32">
        <v>3</v>
      </c>
      <c r="N262" s="1" t="s">
        <v>379</v>
      </c>
      <c r="O262" s="62" t="s">
        <v>698</v>
      </c>
      <c r="P262" s="62" t="s">
        <v>699</v>
      </c>
    </row>
    <row r="263" spans="2:16">
      <c r="B263" s="62" t="s">
        <v>3273</v>
      </c>
      <c r="C263" s="62" t="s">
        <v>494</v>
      </c>
      <c r="K263" s="55">
        <v>13</v>
      </c>
      <c r="L263">
        <v>3</v>
      </c>
    </row>
    <row r="264" spans="2:16">
      <c r="B264" s="62" t="s">
        <v>3299</v>
      </c>
      <c r="C264" s="62" t="s">
        <v>494</v>
      </c>
      <c r="K264" s="55">
        <v>14</v>
      </c>
    </row>
    <row r="265" spans="2:16">
      <c r="B265" s="62" t="s">
        <v>3274</v>
      </c>
      <c r="C265" s="62" t="s">
        <v>702</v>
      </c>
      <c r="K265" s="55">
        <v>15</v>
      </c>
    </row>
    <row r="266" spans="2:16">
      <c r="B266" s="62" t="s">
        <v>3276</v>
      </c>
      <c r="C266" s="62" t="s">
        <v>494</v>
      </c>
      <c r="K266" s="55">
        <v>16</v>
      </c>
    </row>
    <row r="267" spans="2:16">
      <c r="B267" s="62" t="s">
        <v>3277</v>
      </c>
      <c r="C267" s="62" t="s">
        <v>494</v>
      </c>
      <c r="K267" s="55">
        <v>17</v>
      </c>
      <c r="L267">
        <v>8</v>
      </c>
    </row>
    <row r="268" spans="2:16">
      <c r="B268" s="62" t="s">
        <v>3275</v>
      </c>
      <c r="C268" s="62" t="s">
        <v>702</v>
      </c>
      <c r="K268" s="55">
        <v>18</v>
      </c>
    </row>
    <row r="269" spans="2:16">
      <c r="B269" s="62" t="s">
        <v>3278</v>
      </c>
      <c r="C269" s="62" t="s">
        <v>494</v>
      </c>
      <c r="K269" s="55">
        <v>19</v>
      </c>
    </row>
    <row r="270" spans="2:16">
      <c r="B270" s="62" t="s">
        <v>3279</v>
      </c>
      <c r="C270" s="62" t="s">
        <v>494</v>
      </c>
      <c r="K270" s="55">
        <v>20</v>
      </c>
      <c r="L270">
        <v>8</v>
      </c>
    </row>
    <row r="271" spans="2:16">
      <c r="B271" s="62" t="s">
        <v>3280</v>
      </c>
      <c r="C271" s="62" t="s">
        <v>702</v>
      </c>
      <c r="K271" s="55">
        <v>21</v>
      </c>
    </row>
    <row r="272" spans="2:16">
      <c r="B272" s="62" t="s">
        <v>3281</v>
      </c>
      <c r="C272" s="62" t="s">
        <v>494</v>
      </c>
      <c r="K272" s="55">
        <v>22</v>
      </c>
    </row>
    <row r="273" spans="2:18">
      <c r="B273" s="62" t="s">
        <v>3282</v>
      </c>
      <c r="C273" s="62" t="s">
        <v>494</v>
      </c>
      <c r="K273" s="55">
        <v>23</v>
      </c>
      <c r="L273">
        <v>8</v>
      </c>
    </row>
    <row r="274" spans="2:18">
      <c r="B274" s="62" t="s">
        <v>3337</v>
      </c>
      <c r="C274" s="62" t="s">
        <v>702</v>
      </c>
      <c r="K274" s="55">
        <v>24</v>
      </c>
    </row>
    <row r="275" spans="2:18">
      <c r="B275" s="62" t="s">
        <v>3338</v>
      </c>
      <c r="C275" s="62" t="s">
        <v>494</v>
      </c>
      <c r="K275" s="55">
        <v>25</v>
      </c>
    </row>
    <row r="276" spans="2:18">
      <c r="B276" s="62" t="s">
        <v>3339</v>
      </c>
      <c r="C276" s="62" t="s">
        <v>494</v>
      </c>
      <c r="K276" s="55">
        <v>26</v>
      </c>
      <c r="L276">
        <v>8</v>
      </c>
    </row>
    <row r="277" spans="2:18">
      <c r="B277" s="62" t="s">
        <v>3283</v>
      </c>
      <c r="C277" s="62" t="s">
        <v>702</v>
      </c>
      <c r="K277" s="55">
        <v>27</v>
      </c>
    </row>
    <row r="278" spans="2:18">
      <c r="B278" s="62" t="s">
        <v>3284</v>
      </c>
      <c r="C278" s="62" t="s">
        <v>494</v>
      </c>
      <c r="G278" s="62" t="s">
        <v>6685</v>
      </c>
      <c r="K278" s="55">
        <v>28</v>
      </c>
      <c r="L278">
        <v>3</v>
      </c>
      <c r="M278">
        <v>1</v>
      </c>
      <c r="N278" t="s">
        <v>6687</v>
      </c>
      <c r="O278" s="66" t="s">
        <v>6683</v>
      </c>
      <c r="P278" s="66" t="s">
        <v>6684</v>
      </c>
    </row>
    <row r="279" spans="2:18">
      <c r="B279" s="62" t="s">
        <v>3847</v>
      </c>
      <c r="C279" s="62" t="s">
        <v>494</v>
      </c>
      <c r="G279" s="62"/>
      <c r="K279" s="55">
        <v>29</v>
      </c>
      <c r="M279">
        <v>2</v>
      </c>
    </row>
    <row r="280" spans="2:18">
      <c r="B280" s="62" t="s">
        <v>3999</v>
      </c>
      <c r="C280" s="62" t="s">
        <v>494</v>
      </c>
      <c r="G280" s="62"/>
      <c r="K280" s="55">
        <v>30</v>
      </c>
      <c r="M280">
        <v>2</v>
      </c>
      <c r="N280" s="62" t="s">
        <v>3655</v>
      </c>
      <c r="O280" s="62" t="s">
        <v>3648</v>
      </c>
      <c r="P280" s="62" t="s">
        <v>3657</v>
      </c>
      <c r="Q280" s="47" t="s">
        <v>3658</v>
      </c>
      <c r="R280">
        <v>56</v>
      </c>
    </row>
    <row r="281" spans="2:18">
      <c r="B281" s="62" t="s">
        <v>4000</v>
      </c>
      <c r="C281" s="62" t="s">
        <v>494</v>
      </c>
      <c r="G281" s="62"/>
      <c r="K281" s="55">
        <v>31</v>
      </c>
      <c r="M281">
        <v>2</v>
      </c>
    </row>
    <row r="282" spans="2:18">
      <c r="B282" s="62" t="s">
        <v>4003</v>
      </c>
      <c r="C282" s="62" t="s">
        <v>494</v>
      </c>
      <c r="G282" s="62"/>
      <c r="K282" s="55">
        <v>32</v>
      </c>
      <c r="M282">
        <v>2</v>
      </c>
    </row>
    <row r="283" spans="2:18">
      <c r="B283" s="62" t="s">
        <v>4004</v>
      </c>
      <c r="C283" s="62" t="s">
        <v>494</v>
      </c>
      <c r="G283" s="62"/>
      <c r="K283" s="55">
        <v>33</v>
      </c>
      <c r="M283">
        <v>2</v>
      </c>
    </row>
    <row r="284" spans="2:18">
      <c r="B284" s="62" t="s">
        <v>4009</v>
      </c>
      <c r="C284" s="62" t="s">
        <v>494</v>
      </c>
      <c r="G284" s="62"/>
      <c r="K284" s="55">
        <v>34</v>
      </c>
      <c r="M284">
        <v>2</v>
      </c>
    </row>
    <row r="285" spans="2:18">
      <c r="B285" s="62" t="s">
        <v>4010</v>
      </c>
      <c r="C285" s="62" t="s">
        <v>494</v>
      </c>
      <c r="G285" s="62"/>
      <c r="K285" s="55">
        <v>35</v>
      </c>
      <c r="M285">
        <v>2</v>
      </c>
    </row>
    <row r="286" spans="2:18">
      <c r="B286" s="62" t="s">
        <v>4020</v>
      </c>
      <c r="C286" s="62" t="s">
        <v>494</v>
      </c>
      <c r="G286" s="62"/>
      <c r="K286" s="55">
        <v>36</v>
      </c>
      <c r="L286">
        <v>8</v>
      </c>
      <c r="M286">
        <v>2</v>
      </c>
    </row>
    <row r="287" spans="2:18">
      <c r="B287" s="62" t="s">
        <v>4278</v>
      </c>
      <c r="C287" s="62" t="s">
        <v>702</v>
      </c>
      <c r="G287" s="62"/>
      <c r="K287" s="55">
        <v>37</v>
      </c>
      <c r="M287">
        <v>2</v>
      </c>
    </row>
    <row r="288" spans="2:18">
      <c r="B288" s="62" t="s">
        <v>4279</v>
      </c>
      <c r="C288" s="62" t="s">
        <v>494</v>
      </c>
      <c r="G288" s="62"/>
      <c r="K288" s="55">
        <v>38</v>
      </c>
      <c r="M288">
        <v>2</v>
      </c>
    </row>
    <row r="289" spans="2:13">
      <c r="B289" s="62" t="s">
        <v>4280</v>
      </c>
      <c r="C289" s="62" t="s">
        <v>494</v>
      </c>
      <c r="G289" s="62"/>
      <c r="K289" s="55">
        <v>39</v>
      </c>
      <c r="M289">
        <v>2</v>
      </c>
    </row>
    <row r="290" spans="2:13">
      <c r="B290" s="62" t="s">
        <v>4281</v>
      </c>
      <c r="C290" s="62" t="s">
        <v>494</v>
      </c>
      <c r="G290" s="62"/>
      <c r="K290" s="55">
        <v>40</v>
      </c>
      <c r="M290">
        <v>2</v>
      </c>
    </row>
    <row r="291" spans="2:13">
      <c r="B291" s="62" t="s">
        <v>4283</v>
      </c>
      <c r="C291" s="62" t="s">
        <v>494</v>
      </c>
      <c r="G291" s="62"/>
      <c r="K291" s="55">
        <v>41</v>
      </c>
      <c r="M291">
        <v>2</v>
      </c>
    </row>
    <row r="292" spans="2:13">
      <c r="B292" s="62" t="s">
        <v>4282</v>
      </c>
      <c r="C292" s="62" t="s">
        <v>494</v>
      </c>
      <c r="G292" s="62"/>
      <c r="K292" s="55">
        <v>42</v>
      </c>
      <c r="M292">
        <v>2</v>
      </c>
    </row>
    <row r="293" spans="2:13">
      <c r="B293" s="62" t="s">
        <v>4284</v>
      </c>
      <c r="C293" s="62" t="s">
        <v>494</v>
      </c>
      <c r="G293" s="62"/>
      <c r="K293" s="55">
        <v>43</v>
      </c>
      <c r="M293">
        <v>2</v>
      </c>
    </row>
    <row r="294" spans="2:13">
      <c r="B294" s="62" t="s">
        <v>4285</v>
      </c>
      <c r="C294" s="62" t="s">
        <v>494</v>
      </c>
      <c r="G294" s="62"/>
      <c r="K294" s="55">
        <v>44</v>
      </c>
      <c r="M294">
        <v>2</v>
      </c>
    </row>
    <row r="295" spans="2:13">
      <c r="B295" s="62" t="s">
        <v>4286</v>
      </c>
      <c r="C295" s="62" t="s">
        <v>494</v>
      </c>
      <c r="G295" s="62"/>
      <c r="K295" s="55">
        <v>45</v>
      </c>
      <c r="M295">
        <v>2</v>
      </c>
    </row>
    <row r="296" spans="2:13">
      <c r="B296" s="62" t="s">
        <v>4287</v>
      </c>
      <c r="C296" s="62" t="s">
        <v>494</v>
      </c>
      <c r="G296" s="62"/>
      <c r="K296" s="55">
        <v>46</v>
      </c>
      <c r="M296">
        <v>2</v>
      </c>
    </row>
    <row r="297" spans="2:13">
      <c r="B297" s="62" t="s">
        <v>4288</v>
      </c>
      <c r="C297" s="62" t="s">
        <v>494</v>
      </c>
      <c r="G297" s="62"/>
      <c r="K297" s="55">
        <v>47</v>
      </c>
      <c r="M297">
        <v>2</v>
      </c>
    </row>
    <row r="298" spans="2:13">
      <c r="B298" s="62" t="s">
        <v>4289</v>
      </c>
      <c r="C298" s="62" t="s">
        <v>494</v>
      </c>
      <c r="G298" s="62"/>
      <c r="K298" s="55">
        <v>48</v>
      </c>
      <c r="M298">
        <v>2</v>
      </c>
    </row>
    <row r="299" spans="2:13">
      <c r="B299" s="62" t="s">
        <v>4290</v>
      </c>
      <c r="C299" s="62" t="s">
        <v>494</v>
      </c>
      <c r="G299" s="62"/>
      <c r="K299" s="55">
        <v>49</v>
      </c>
      <c r="M299">
        <v>2</v>
      </c>
    </row>
    <row r="300" spans="2:13">
      <c r="B300" s="62" t="s">
        <v>4291</v>
      </c>
      <c r="C300" s="62" t="s">
        <v>494</v>
      </c>
      <c r="G300" s="62"/>
      <c r="K300" s="55">
        <v>50</v>
      </c>
      <c r="M300">
        <v>2</v>
      </c>
    </row>
    <row r="301" spans="2:13">
      <c r="B301" s="62" t="s">
        <v>4292</v>
      </c>
      <c r="C301" s="62" t="s">
        <v>494</v>
      </c>
      <c r="G301" s="62"/>
      <c r="K301" s="55">
        <v>51</v>
      </c>
      <c r="M301">
        <v>2</v>
      </c>
    </row>
    <row r="302" spans="2:13">
      <c r="B302" s="62" t="s">
        <v>4293</v>
      </c>
      <c r="C302" s="62" t="s">
        <v>494</v>
      </c>
      <c r="G302" s="62"/>
      <c r="K302" s="55">
        <v>52</v>
      </c>
      <c r="M302">
        <v>2</v>
      </c>
    </row>
    <row r="303" spans="2:13">
      <c r="B303" s="62" t="s">
        <v>4296</v>
      </c>
      <c r="C303" s="62" t="s">
        <v>494</v>
      </c>
      <c r="G303" s="62"/>
      <c r="K303" s="55">
        <v>53</v>
      </c>
      <c r="M303">
        <v>2</v>
      </c>
    </row>
    <row r="304" spans="2:13">
      <c r="B304" s="62" t="s">
        <v>4297</v>
      </c>
      <c r="C304" s="62" t="s">
        <v>494</v>
      </c>
      <c r="G304" s="62"/>
      <c r="K304" s="55">
        <v>54</v>
      </c>
      <c r="M304">
        <v>2</v>
      </c>
    </row>
    <row r="305" spans="1:18">
      <c r="B305" s="62" t="s">
        <v>4716</v>
      </c>
      <c r="C305" s="62" t="s">
        <v>494</v>
      </c>
      <c r="G305" s="62"/>
      <c r="K305" s="16">
        <v>55</v>
      </c>
      <c r="M305">
        <v>2</v>
      </c>
    </row>
    <row r="306" spans="1:18">
      <c r="B306" s="62" t="s">
        <v>5307</v>
      </c>
      <c r="C306" s="62" t="s">
        <v>494</v>
      </c>
      <c r="G306" s="62"/>
      <c r="K306" s="55">
        <v>56</v>
      </c>
      <c r="M306">
        <v>2</v>
      </c>
    </row>
    <row r="307" spans="1:18">
      <c r="B307" s="62" t="s">
        <v>5308</v>
      </c>
      <c r="C307" s="62" t="s">
        <v>494</v>
      </c>
      <c r="G307" s="62"/>
      <c r="K307" s="55">
        <v>57</v>
      </c>
      <c r="M307">
        <v>2</v>
      </c>
    </row>
    <row r="308" spans="1:18">
      <c r="B308" s="62" t="s">
        <v>5309</v>
      </c>
      <c r="C308" s="62" t="s">
        <v>494</v>
      </c>
      <c r="G308" s="62"/>
      <c r="K308" s="55">
        <v>58</v>
      </c>
      <c r="M308">
        <v>2</v>
      </c>
    </row>
    <row r="309" spans="1:18">
      <c r="B309" s="62" t="s">
        <v>5310</v>
      </c>
      <c r="C309" s="62" t="s">
        <v>494</v>
      </c>
      <c r="G309" s="62"/>
      <c r="K309" s="55">
        <v>59</v>
      </c>
      <c r="M309">
        <v>2</v>
      </c>
    </row>
    <row r="310" spans="1:18">
      <c r="B310" s="62" t="s">
        <v>5311</v>
      </c>
      <c r="C310" s="62" t="s">
        <v>494</v>
      </c>
      <c r="G310" s="62"/>
      <c r="K310" s="55">
        <v>60</v>
      </c>
      <c r="M310">
        <v>2</v>
      </c>
    </row>
    <row r="311" spans="1:18">
      <c r="B311" s="62" t="s">
        <v>5312</v>
      </c>
      <c r="C311" s="62" t="s">
        <v>494</v>
      </c>
      <c r="G311" s="62"/>
      <c r="K311" s="55">
        <v>61</v>
      </c>
      <c r="M311">
        <v>2</v>
      </c>
    </row>
    <row r="312" spans="1:18">
      <c r="B312" s="62" t="s">
        <v>5313</v>
      </c>
      <c r="C312" s="62" t="s">
        <v>494</v>
      </c>
      <c r="G312" s="62"/>
      <c r="K312" s="55">
        <v>62</v>
      </c>
      <c r="M312">
        <v>2</v>
      </c>
    </row>
    <row r="313" spans="1:18">
      <c r="B313" s="62" t="s">
        <v>5314</v>
      </c>
      <c r="C313" s="62" t="s">
        <v>494</v>
      </c>
      <c r="G313" s="62"/>
      <c r="K313" s="55">
        <v>63</v>
      </c>
      <c r="M313">
        <v>2</v>
      </c>
    </row>
    <row r="314" spans="1:18">
      <c r="B314" s="62" t="s">
        <v>5404</v>
      </c>
      <c r="C314" s="62" t="s">
        <v>494</v>
      </c>
      <c r="G314" s="62"/>
      <c r="K314" s="55">
        <v>64</v>
      </c>
      <c r="M314">
        <v>2</v>
      </c>
    </row>
    <row r="315" spans="1:18">
      <c r="B315" s="62" t="s">
        <v>5525</v>
      </c>
      <c r="C315" s="62" t="s">
        <v>494</v>
      </c>
      <c r="G315" s="62"/>
      <c r="K315" s="55">
        <v>65</v>
      </c>
      <c r="M315">
        <v>2</v>
      </c>
    </row>
    <row r="316" spans="1:18">
      <c r="B316" s="70" t="s">
        <v>6131</v>
      </c>
      <c r="C316" s="62" t="s">
        <v>494</v>
      </c>
      <c r="G316" s="62"/>
      <c r="K316" s="55">
        <v>66</v>
      </c>
      <c r="M316">
        <v>2</v>
      </c>
    </row>
    <row r="317" spans="1:18">
      <c r="B317" s="62"/>
      <c r="C317" s="62"/>
      <c r="G317" s="62"/>
      <c r="K317" s="55"/>
    </row>
    <row r="318" spans="1:18">
      <c r="A318" s="91" t="s">
        <v>3263</v>
      </c>
      <c r="B318" s="62" t="s">
        <v>3287</v>
      </c>
      <c r="C318" s="62" t="s">
        <v>494</v>
      </c>
      <c r="E318" s="62" t="s">
        <v>476</v>
      </c>
      <c r="F318">
        <v>22</v>
      </c>
      <c r="G318">
        <v>2205</v>
      </c>
      <c r="H318" s="62" t="s">
        <v>14</v>
      </c>
      <c r="J318">
        <v>2201</v>
      </c>
      <c r="K318" s="55">
        <v>1</v>
      </c>
      <c r="L318">
        <v>52</v>
      </c>
      <c r="N318">
        <v>2204</v>
      </c>
      <c r="O318" s="62" t="s">
        <v>3268</v>
      </c>
    </row>
    <row r="319" spans="1:18" s="1" customFormat="1">
      <c r="B319" s="60" t="s">
        <v>3289</v>
      </c>
      <c r="C319" s="1" t="s">
        <v>494</v>
      </c>
      <c r="E319" s="1" t="s">
        <v>476</v>
      </c>
      <c r="F319" s="14"/>
      <c r="G319" s="14"/>
      <c r="H319" s="14"/>
      <c r="I319" s="11"/>
      <c r="J319" s="14"/>
      <c r="K319" s="16">
        <v>2</v>
      </c>
      <c r="L319" s="15">
        <v>3</v>
      </c>
      <c r="M319" s="14"/>
      <c r="N319" s="1" t="s">
        <v>947</v>
      </c>
      <c r="O319" s="23" t="s">
        <v>938</v>
      </c>
      <c r="P319" s="23" t="s">
        <v>940</v>
      </c>
      <c r="Q319" s="14"/>
      <c r="R319" s="14"/>
    </row>
    <row r="320" spans="1:18" s="1" customFormat="1">
      <c r="B320" s="60" t="s">
        <v>3290</v>
      </c>
      <c r="C320" s="1" t="s">
        <v>494</v>
      </c>
      <c r="E320" s="1" t="s">
        <v>476</v>
      </c>
      <c r="F320" s="14"/>
      <c r="G320" s="14"/>
      <c r="H320" s="14"/>
      <c r="I320" s="11"/>
      <c r="J320" s="14"/>
      <c r="K320" s="16">
        <v>3</v>
      </c>
      <c r="L320" s="15">
        <v>3</v>
      </c>
      <c r="M320" s="14"/>
      <c r="N320" s="1" t="s">
        <v>950</v>
      </c>
      <c r="O320" s="23" t="s">
        <v>941</v>
      </c>
      <c r="P320" s="23" t="s">
        <v>952</v>
      </c>
      <c r="Q320" s="14"/>
      <c r="R320" s="14"/>
    </row>
    <row r="321" spans="2:18" s="1" customFormat="1">
      <c r="B321" s="60" t="s">
        <v>3288</v>
      </c>
      <c r="C321" s="1" t="s">
        <v>494</v>
      </c>
      <c r="E321" s="1" t="s">
        <v>476</v>
      </c>
      <c r="F321" s="14"/>
      <c r="G321" s="14"/>
      <c r="H321" s="14"/>
      <c r="I321" s="11"/>
      <c r="J321" s="14"/>
      <c r="K321" s="55">
        <v>4</v>
      </c>
      <c r="L321" s="15">
        <v>3</v>
      </c>
      <c r="M321" s="14"/>
      <c r="N321" s="62" t="s">
        <v>961</v>
      </c>
      <c r="O321" s="23" t="s">
        <v>942</v>
      </c>
      <c r="P321" s="23" t="s">
        <v>945</v>
      </c>
      <c r="Q321" s="14"/>
      <c r="R321" s="14"/>
    </row>
    <row r="322" spans="2:18">
      <c r="B322" s="60" t="s">
        <v>3291</v>
      </c>
      <c r="C322" s="62" t="s">
        <v>494</v>
      </c>
      <c r="K322" s="55">
        <v>5</v>
      </c>
      <c r="L322" s="55">
        <v>6</v>
      </c>
    </row>
    <row r="323" spans="2:18">
      <c r="B323" s="62" t="s">
        <v>3292</v>
      </c>
      <c r="C323" s="62" t="s">
        <v>494</v>
      </c>
      <c r="K323" s="16">
        <v>6</v>
      </c>
      <c r="M323">
        <v>1</v>
      </c>
    </row>
    <row r="324" spans="2:18">
      <c r="B324" s="62" t="s">
        <v>3293</v>
      </c>
      <c r="C324" s="62" t="s">
        <v>494</v>
      </c>
      <c r="K324" s="16">
        <v>7</v>
      </c>
      <c r="M324">
        <v>1</v>
      </c>
    </row>
    <row r="325" spans="2:18">
      <c r="B325" s="62" t="s">
        <v>3294</v>
      </c>
      <c r="C325" s="62" t="s">
        <v>494</v>
      </c>
      <c r="K325" s="55">
        <v>8</v>
      </c>
      <c r="M325">
        <v>1</v>
      </c>
    </row>
    <row r="326" spans="2:18">
      <c r="B326" s="62" t="s">
        <v>3296</v>
      </c>
      <c r="C326" s="62" t="s">
        <v>494</v>
      </c>
      <c r="E326" s="62"/>
      <c r="K326" s="55">
        <v>9</v>
      </c>
      <c r="M326">
        <v>1</v>
      </c>
    </row>
    <row r="327" spans="2:18">
      <c r="B327" s="62" t="s">
        <v>3295</v>
      </c>
      <c r="C327" s="62" t="s">
        <v>494</v>
      </c>
      <c r="K327" s="16">
        <v>10</v>
      </c>
      <c r="M327">
        <v>1</v>
      </c>
    </row>
    <row r="328" spans="2:18">
      <c r="B328" s="62" t="s">
        <v>3297</v>
      </c>
      <c r="C328" s="62" t="s">
        <v>494</v>
      </c>
      <c r="K328" s="16">
        <v>11</v>
      </c>
      <c r="L328" s="9">
        <v>3</v>
      </c>
      <c r="M328" s="1">
        <v>1</v>
      </c>
      <c r="N328" s="62" t="s">
        <v>1002</v>
      </c>
      <c r="O328" s="23" t="s">
        <v>1004</v>
      </c>
      <c r="P328" s="23" t="s">
        <v>1023</v>
      </c>
    </row>
    <row r="329" spans="2:18">
      <c r="B329" s="62" t="s">
        <v>3300</v>
      </c>
      <c r="C329" s="62" t="s">
        <v>494</v>
      </c>
      <c r="K329" s="55">
        <v>12</v>
      </c>
      <c r="L329">
        <v>7</v>
      </c>
    </row>
    <row r="330" spans="2:18">
      <c r="B330" s="62" t="s">
        <v>3301</v>
      </c>
      <c r="C330" s="62" t="s">
        <v>494</v>
      </c>
      <c r="K330" s="55">
        <v>13</v>
      </c>
      <c r="L330">
        <v>7</v>
      </c>
    </row>
    <row r="331" spans="2:18">
      <c r="B331" s="62" t="s">
        <v>3302</v>
      </c>
      <c r="C331" s="62" t="s">
        <v>494</v>
      </c>
      <c r="K331" s="16">
        <v>14</v>
      </c>
      <c r="L331">
        <v>7</v>
      </c>
    </row>
    <row r="332" spans="2:18">
      <c r="B332" s="62" t="s">
        <v>3303</v>
      </c>
      <c r="C332" s="62" t="s">
        <v>494</v>
      </c>
      <c r="K332" s="16">
        <v>15</v>
      </c>
      <c r="L332">
        <v>8</v>
      </c>
      <c r="M332">
        <v>1</v>
      </c>
    </row>
    <row r="333" spans="2:18">
      <c r="B333" s="62" t="s">
        <v>3340</v>
      </c>
      <c r="C333" s="62" t="s">
        <v>494</v>
      </c>
      <c r="G333" s="70" t="s">
        <v>3352</v>
      </c>
      <c r="K333" s="55">
        <v>16</v>
      </c>
      <c r="L333">
        <v>3</v>
      </c>
      <c r="M333">
        <v>1</v>
      </c>
    </row>
    <row r="334" spans="2:18">
      <c r="B334" s="62" t="s">
        <v>3304</v>
      </c>
      <c r="C334" s="62" t="s">
        <v>494</v>
      </c>
      <c r="K334" s="55">
        <v>17</v>
      </c>
    </row>
    <row r="335" spans="2:18">
      <c r="B335" s="62" t="s">
        <v>3305</v>
      </c>
      <c r="C335" s="62" t="s">
        <v>494</v>
      </c>
      <c r="K335" s="16">
        <v>18</v>
      </c>
    </row>
    <row r="336" spans="2:18">
      <c r="B336" s="62" t="s">
        <v>3306</v>
      </c>
      <c r="C336" s="62" t="s">
        <v>702</v>
      </c>
      <c r="K336" s="16">
        <v>19</v>
      </c>
    </row>
    <row r="337" spans="1:18">
      <c r="B337" s="62" t="s">
        <v>3307</v>
      </c>
      <c r="C337" s="62" t="s">
        <v>494</v>
      </c>
      <c r="K337" s="55">
        <v>20</v>
      </c>
      <c r="L337">
        <v>7</v>
      </c>
    </row>
    <row r="338" spans="1:18">
      <c r="B338" s="62" t="s">
        <v>3308</v>
      </c>
      <c r="C338" s="62" t="s">
        <v>494</v>
      </c>
      <c r="K338" s="55">
        <v>21</v>
      </c>
    </row>
    <row r="339" spans="1:18">
      <c r="B339" s="62" t="s">
        <v>3309</v>
      </c>
      <c r="C339" s="62" t="s">
        <v>494</v>
      </c>
      <c r="K339" s="16">
        <v>22</v>
      </c>
    </row>
    <row r="340" spans="1:18">
      <c r="B340" s="62" t="s">
        <v>3310</v>
      </c>
      <c r="C340" s="62" t="s">
        <v>520</v>
      </c>
      <c r="K340" s="16">
        <v>23</v>
      </c>
    </row>
    <row r="341" spans="1:18">
      <c r="B341" s="62" t="s">
        <v>4011</v>
      </c>
      <c r="C341" s="62" t="s">
        <v>494</v>
      </c>
      <c r="G341" s="62" t="s">
        <v>4033</v>
      </c>
      <c r="K341" s="16">
        <v>24</v>
      </c>
      <c r="L341">
        <v>3</v>
      </c>
      <c r="M341">
        <v>2</v>
      </c>
      <c r="N341" s="62" t="s">
        <v>4105</v>
      </c>
      <c r="O341" s="62" t="s">
        <v>4106</v>
      </c>
      <c r="P341" s="62" t="s">
        <v>4107</v>
      </c>
    </row>
    <row r="342" spans="1:18">
      <c r="B342" s="62" t="s">
        <v>4246</v>
      </c>
      <c r="C342" s="62" t="s">
        <v>494</v>
      </c>
      <c r="G342" s="62" t="s">
        <v>4247</v>
      </c>
      <c r="K342" s="16">
        <v>25</v>
      </c>
      <c r="M342">
        <v>1</v>
      </c>
      <c r="N342" s="62"/>
      <c r="O342" s="62"/>
      <c r="P342" s="62"/>
    </row>
    <row r="343" spans="1:18">
      <c r="B343" s="62" t="s">
        <v>4715</v>
      </c>
      <c r="C343" s="62" t="s">
        <v>494</v>
      </c>
      <c r="G343" s="62"/>
      <c r="K343" s="16">
        <v>26</v>
      </c>
      <c r="N343" s="62"/>
      <c r="O343" s="62"/>
      <c r="P343" s="62"/>
    </row>
    <row r="344" spans="1:18">
      <c r="B344" s="62" t="s">
        <v>4717</v>
      </c>
      <c r="C344" s="62" t="s">
        <v>494</v>
      </c>
      <c r="G344" s="62"/>
      <c r="K344" s="16">
        <v>27</v>
      </c>
      <c r="L344">
        <v>2</v>
      </c>
      <c r="N344" s="62"/>
      <c r="O344" s="62"/>
      <c r="P344" s="62"/>
    </row>
    <row r="346" spans="1:18">
      <c r="A346" s="91" t="s">
        <v>3311</v>
      </c>
      <c r="B346" s="62" t="s">
        <v>3312</v>
      </c>
      <c r="C346" s="62" t="s">
        <v>494</v>
      </c>
      <c r="E346" s="62" t="s">
        <v>476</v>
      </c>
      <c r="F346">
        <v>22</v>
      </c>
      <c r="G346">
        <v>2206</v>
      </c>
      <c r="H346" s="62" t="s">
        <v>2890</v>
      </c>
      <c r="I346" s="62" t="s">
        <v>3328</v>
      </c>
      <c r="J346">
        <v>2201</v>
      </c>
      <c r="K346">
        <v>1</v>
      </c>
      <c r="L346" s="9">
        <v>3</v>
      </c>
      <c r="M346" s="1"/>
      <c r="N346" s="10" t="s">
        <v>506</v>
      </c>
      <c r="O346" s="10" t="s">
        <v>514</v>
      </c>
      <c r="P346" s="1" t="s">
        <v>515</v>
      </c>
    </row>
    <row r="347" spans="1:18">
      <c r="B347" s="62" t="s">
        <v>3313</v>
      </c>
      <c r="C347" s="62" t="s">
        <v>494</v>
      </c>
      <c r="E347" s="62" t="s">
        <v>476</v>
      </c>
      <c r="K347">
        <v>2</v>
      </c>
      <c r="L347" s="68">
        <v>9</v>
      </c>
      <c r="M347" s="1"/>
      <c r="N347" s="1" t="s">
        <v>1038</v>
      </c>
      <c r="O347" s="23" t="s">
        <v>1040</v>
      </c>
      <c r="P347" s="23" t="s">
        <v>1041</v>
      </c>
      <c r="Q347" s="23" t="s">
        <v>1040</v>
      </c>
      <c r="R347" s="14">
        <v>140</v>
      </c>
    </row>
    <row r="348" spans="1:18">
      <c r="B348" s="62" t="s">
        <v>3315</v>
      </c>
      <c r="C348" s="62" t="s">
        <v>494</v>
      </c>
      <c r="E348" s="62" t="s">
        <v>476</v>
      </c>
      <c r="K348">
        <v>3</v>
      </c>
      <c r="L348">
        <v>6</v>
      </c>
    </row>
    <row r="349" spans="1:18">
      <c r="B349" s="62" t="s">
        <v>3316</v>
      </c>
      <c r="C349" s="62" t="s">
        <v>494</v>
      </c>
      <c r="K349">
        <v>4</v>
      </c>
      <c r="L349" s="32">
        <v>6</v>
      </c>
      <c r="M349" s="62"/>
      <c r="N349" s="62"/>
      <c r="O349" s="64"/>
      <c r="P349" s="62"/>
      <c r="Q349" s="14"/>
      <c r="R349" s="14"/>
    </row>
    <row r="350" spans="1:18">
      <c r="B350" s="62" t="s">
        <v>3314</v>
      </c>
      <c r="C350" s="62" t="s">
        <v>494</v>
      </c>
      <c r="E350" s="62"/>
      <c r="K350">
        <v>5</v>
      </c>
    </row>
    <row r="351" spans="1:18" s="1" customFormat="1">
      <c r="B351" s="66" t="s">
        <v>3317</v>
      </c>
      <c r="C351" s="64" t="s">
        <v>494</v>
      </c>
      <c r="D351" s="16"/>
      <c r="F351" s="14"/>
      <c r="G351" s="14"/>
      <c r="H351" s="47" t="s">
        <v>3358</v>
      </c>
      <c r="I351" s="11"/>
      <c r="J351" s="14"/>
      <c r="K351">
        <v>6</v>
      </c>
      <c r="L351" s="32">
        <v>3</v>
      </c>
      <c r="M351" s="62"/>
      <c r="N351" s="62"/>
      <c r="O351" s="64"/>
      <c r="P351" s="62"/>
      <c r="Q351" s="14"/>
      <c r="R351" s="14"/>
    </row>
    <row r="352" spans="1:18" s="1" customFormat="1">
      <c r="B352" s="66" t="s">
        <v>3318</v>
      </c>
      <c r="C352" s="64" t="s">
        <v>494</v>
      </c>
      <c r="D352" s="16"/>
      <c r="F352" s="14"/>
      <c r="G352" s="14"/>
      <c r="H352" s="47"/>
      <c r="I352" s="11"/>
      <c r="J352" s="14"/>
      <c r="K352">
        <v>7</v>
      </c>
      <c r="L352" s="32"/>
      <c r="M352" s="62"/>
      <c r="N352" s="62"/>
      <c r="O352" s="64"/>
      <c r="P352" s="62"/>
      <c r="Q352" s="14"/>
      <c r="R352" s="14"/>
    </row>
    <row r="353" spans="1:18" s="1" customFormat="1">
      <c r="B353" s="66" t="s">
        <v>3319</v>
      </c>
      <c r="C353" s="64" t="s">
        <v>494</v>
      </c>
      <c r="D353" s="16"/>
      <c r="F353" s="14"/>
      <c r="G353" s="14">
        <v>300</v>
      </c>
      <c r="H353" s="47"/>
      <c r="I353" s="11"/>
      <c r="J353" s="14"/>
      <c r="K353">
        <v>8</v>
      </c>
      <c r="L353"/>
      <c r="M353"/>
      <c r="N353"/>
      <c r="O353"/>
      <c r="P353"/>
      <c r="Q353"/>
      <c r="R353"/>
    </row>
    <row r="354" spans="1:18" s="1" customFormat="1">
      <c r="B354" s="66" t="s">
        <v>3345</v>
      </c>
      <c r="C354" s="64" t="s">
        <v>494</v>
      </c>
      <c r="D354" s="16"/>
      <c r="F354" s="14"/>
      <c r="G354" s="14">
        <v>5</v>
      </c>
      <c r="H354" s="47"/>
      <c r="I354" s="11"/>
      <c r="J354" s="14"/>
      <c r="K354">
        <v>9</v>
      </c>
      <c r="L354"/>
      <c r="M354"/>
      <c r="N354"/>
      <c r="O354"/>
      <c r="P354"/>
      <c r="Q354"/>
      <c r="R354"/>
    </row>
    <row r="355" spans="1:18">
      <c r="B355" s="66" t="s">
        <v>3320</v>
      </c>
      <c r="C355" s="64" t="s">
        <v>494</v>
      </c>
      <c r="K355">
        <v>10</v>
      </c>
      <c r="L355">
        <v>8</v>
      </c>
    </row>
    <row r="356" spans="1:18">
      <c r="B356" s="66" t="s">
        <v>3321</v>
      </c>
      <c r="C356" s="64" t="s">
        <v>494</v>
      </c>
      <c r="G356" s="89">
        <f>+G353/G354</f>
        <v>60</v>
      </c>
      <c r="K356">
        <v>11</v>
      </c>
      <c r="L356">
        <v>8</v>
      </c>
    </row>
    <row r="357" spans="1:18">
      <c r="B357" s="66" t="s">
        <v>3341</v>
      </c>
      <c r="C357" s="64" t="s">
        <v>494</v>
      </c>
      <c r="K357">
        <v>12</v>
      </c>
      <c r="L357">
        <v>8</v>
      </c>
    </row>
    <row r="358" spans="1:18">
      <c r="B358" s="66" t="s">
        <v>3359</v>
      </c>
      <c r="C358" s="64" t="s">
        <v>494</v>
      </c>
      <c r="K358">
        <v>13</v>
      </c>
    </row>
    <row r="359" spans="1:18">
      <c r="B359" s="66" t="s">
        <v>3344</v>
      </c>
      <c r="C359" s="64" t="s">
        <v>493</v>
      </c>
      <c r="D359">
        <v>20</v>
      </c>
      <c r="K359">
        <v>14</v>
      </c>
      <c r="O359" s="64"/>
    </row>
    <row r="360" spans="1:18">
      <c r="B360" s="66" t="s">
        <v>3360</v>
      </c>
      <c r="C360" s="64" t="s">
        <v>494</v>
      </c>
      <c r="G360" s="62" t="s">
        <v>4012</v>
      </c>
      <c r="K360">
        <v>15</v>
      </c>
      <c r="L360">
        <v>3</v>
      </c>
      <c r="M360">
        <v>1</v>
      </c>
      <c r="N360" t="s">
        <v>4694</v>
      </c>
      <c r="O360" s="64" t="s">
        <v>4695</v>
      </c>
      <c r="P360" s="64" t="s">
        <v>4696</v>
      </c>
    </row>
    <row r="361" spans="1:18">
      <c r="B361" s="62" t="s">
        <v>3971</v>
      </c>
      <c r="C361" s="62" t="s">
        <v>494</v>
      </c>
      <c r="K361">
        <v>16</v>
      </c>
      <c r="L361">
        <v>3</v>
      </c>
      <c r="N361" s="62" t="s">
        <v>379</v>
      </c>
      <c r="O361" s="62" t="s">
        <v>698</v>
      </c>
      <c r="P361" s="62" t="s">
        <v>699</v>
      </c>
    </row>
    <row r="362" spans="1:18">
      <c r="B362" s="62"/>
      <c r="C362" s="62"/>
      <c r="N362" s="62"/>
      <c r="O362" s="62"/>
      <c r="P362" s="62"/>
    </row>
    <row r="363" spans="1:18">
      <c r="A363" s="78" t="s">
        <v>3262</v>
      </c>
      <c r="B363" s="70" t="s">
        <v>3270</v>
      </c>
      <c r="C363" s="70" t="s">
        <v>494</v>
      </c>
      <c r="K363" s="55">
        <v>1</v>
      </c>
      <c r="L363" s="32">
        <v>52</v>
      </c>
      <c r="N363" s="62">
        <v>2206</v>
      </c>
      <c r="O363" t="s">
        <v>3316</v>
      </c>
    </row>
    <row r="364" spans="1:18">
      <c r="B364" s="70" t="s">
        <v>3264</v>
      </c>
      <c r="C364" s="70" t="s">
        <v>494</v>
      </c>
      <c r="E364" s="62" t="s">
        <v>476</v>
      </c>
      <c r="F364">
        <v>22</v>
      </c>
      <c r="G364">
        <v>2204</v>
      </c>
      <c r="H364" s="62" t="s">
        <v>2034</v>
      </c>
      <c r="I364" s="62"/>
      <c r="J364">
        <v>2201</v>
      </c>
      <c r="K364" s="55">
        <v>2</v>
      </c>
      <c r="L364" s="9">
        <v>3</v>
      </c>
      <c r="M364" s="1"/>
      <c r="N364" s="10" t="s">
        <v>506</v>
      </c>
      <c r="O364" s="10" t="s">
        <v>514</v>
      </c>
      <c r="P364" s="1" t="s">
        <v>515</v>
      </c>
    </row>
    <row r="365" spans="1:18">
      <c r="B365" s="70" t="s">
        <v>3265</v>
      </c>
      <c r="C365" s="70" t="s">
        <v>494</v>
      </c>
      <c r="E365" s="62" t="s">
        <v>476</v>
      </c>
      <c r="K365" s="55">
        <v>3</v>
      </c>
      <c r="L365">
        <v>8</v>
      </c>
    </row>
    <row r="366" spans="1:18">
      <c r="B366" s="70" t="s">
        <v>3266</v>
      </c>
      <c r="C366" s="70" t="s">
        <v>494</v>
      </c>
      <c r="E366" s="62" t="s">
        <v>476</v>
      </c>
      <c r="K366" s="55">
        <v>4</v>
      </c>
      <c r="L366" s="68">
        <v>9</v>
      </c>
      <c r="M366" s="1"/>
      <c r="N366" s="62" t="s">
        <v>1038</v>
      </c>
      <c r="O366" s="23" t="s">
        <v>1040</v>
      </c>
      <c r="P366" s="23" t="s">
        <v>1041</v>
      </c>
      <c r="Q366" s="23" t="s">
        <v>1040</v>
      </c>
      <c r="R366" s="14">
        <v>140</v>
      </c>
    </row>
    <row r="367" spans="1:18">
      <c r="B367" s="70" t="s">
        <v>3268</v>
      </c>
      <c r="C367" s="70" t="s">
        <v>494</v>
      </c>
      <c r="K367" s="55">
        <v>5</v>
      </c>
      <c r="L367" s="32">
        <v>6</v>
      </c>
    </row>
    <row r="368" spans="1:18">
      <c r="B368" s="70" t="s">
        <v>3267</v>
      </c>
      <c r="C368" s="70" t="s">
        <v>494</v>
      </c>
      <c r="E368" s="62"/>
      <c r="G368" s="62" t="s">
        <v>1813</v>
      </c>
      <c r="K368" s="55">
        <v>6</v>
      </c>
    </row>
    <row r="369" spans="1:18">
      <c r="B369" s="70" t="s">
        <v>3286</v>
      </c>
      <c r="C369" s="70" t="s">
        <v>494</v>
      </c>
      <c r="E369" s="62"/>
      <c r="G369" s="62" t="s">
        <v>3998</v>
      </c>
      <c r="H369" s="62"/>
      <c r="K369" s="55">
        <v>7</v>
      </c>
      <c r="L369" s="9">
        <v>3</v>
      </c>
      <c r="M369" s="1"/>
      <c r="N369" s="64" t="s">
        <v>1814</v>
      </c>
      <c r="O369" s="66" t="s">
        <v>1815</v>
      </c>
      <c r="P369" s="66" t="s">
        <v>1816</v>
      </c>
    </row>
    <row r="370" spans="1:18">
      <c r="B370" s="70" t="s">
        <v>3269</v>
      </c>
      <c r="C370" s="70" t="s">
        <v>494</v>
      </c>
      <c r="K370" s="55">
        <v>8</v>
      </c>
      <c r="L370" s="9">
        <v>3</v>
      </c>
      <c r="M370" s="1"/>
      <c r="N370" s="62" t="s">
        <v>1002</v>
      </c>
      <c r="O370" s="23" t="s">
        <v>1004</v>
      </c>
      <c r="P370" s="23" t="s">
        <v>1023</v>
      </c>
    </row>
    <row r="371" spans="1:18">
      <c r="B371" s="70" t="s">
        <v>3342</v>
      </c>
      <c r="C371" s="70" t="s">
        <v>494</v>
      </c>
      <c r="G371" s="62" t="s">
        <v>3343</v>
      </c>
      <c r="K371" s="55">
        <v>9</v>
      </c>
      <c r="L371" s="32"/>
      <c r="N371" s="62"/>
    </row>
    <row r="372" spans="1:18">
      <c r="B372" s="62"/>
      <c r="C372" s="62"/>
      <c r="G372" s="62"/>
      <c r="K372" s="55"/>
      <c r="L372" s="32"/>
      <c r="N372" s="62"/>
    </row>
    <row r="373" spans="1:18" s="1" customFormat="1">
      <c r="A373" s="62" t="s">
        <v>4082</v>
      </c>
      <c r="B373" s="66" t="s">
        <v>4083</v>
      </c>
      <c r="C373" s="62" t="s">
        <v>494</v>
      </c>
      <c r="E373" s="62" t="s">
        <v>476</v>
      </c>
      <c r="F373" s="14">
        <v>22</v>
      </c>
      <c r="G373" s="14">
        <v>2258</v>
      </c>
      <c r="H373" s="47" t="s">
        <v>4095</v>
      </c>
      <c r="I373" s="48" t="s">
        <v>4096</v>
      </c>
      <c r="J373" s="14">
        <v>2</v>
      </c>
      <c r="K373" s="16">
        <v>1</v>
      </c>
      <c r="L373" s="15"/>
      <c r="M373" s="14"/>
      <c r="N373" s="62"/>
      <c r="O373" s="23"/>
      <c r="P373" s="60"/>
      <c r="Q373" s="14"/>
      <c r="R373" s="14"/>
    </row>
    <row r="374" spans="1:18" s="1" customFormat="1">
      <c r="B374" s="66" t="s">
        <v>3962</v>
      </c>
      <c r="C374" s="62" t="s">
        <v>494</v>
      </c>
      <c r="F374" s="14"/>
      <c r="G374" s="14"/>
      <c r="H374" s="14"/>
      <c r="I374" s="11"/>
      <c r="J374" s="14"/>
      <c r="K374" s="16">
        <v>2</v>
      </c>
      <c r="L374" s="15"/>
      <c r="M374" s="14"/>
      <c r="N374" s="62"/>
      <c r="O374" s="23"/>
      <c r="P374" s="60"/>
      <c r="Q374" s="14"/>
      <c r="R374" s="14"/>
    </row>
    <row r="375" spans="1:18" s="1" customFormat="1">
      <c r="B375" s="66" t="s">
        <v>4084</v>
      </c>
      <c r="C375" s="62" t="s">
        <v>493</v>
      </c>
      <c r="D375" s="1">
        <v>100</v>
      </c>
      <c r="F375" s="14"/>
      <c r="G375" s="14"/>
      <c r="H375" s="14"/>
      <c r="I375" s="11"/>
      <c r="J375" s="14"/>
      <c r="K375" s="16">
        <v>3</v>
      </c>
      <c r="L375" s="15"/>
      <c r="M375" s="14"/>
      <c r="N375" s="62"/>
      <c r="O375" s="23"/>
      <c r="P375" s="60"/>
      <c r="Q375" s="14"/>
      <c r="R375" s="14"/>
    </row>
    <row r="376" spans="1:18" s="1" customFormat="1">
      <c r="B376" s="66"/>
      <c r="C376" s="62"/>
      <c r="F376" s="14"/>
      <c r="G376" s="14"/>
      <c r="H376" s="14"/>
      <c r="I376" s="11"/>
      <c r="J376" s="14"/>
      <c r="K376" s="16"/>
      <c r="L376" s="15"/>
      <c r="M376" s="14"/>
      <c r="N376" s="62"/>
      <c r="O376" s="23"/>
      <c r="P376" s="60"/>
      <c r="Q376" s="14"/>
      <c r="R376" s="14"/>
    </row>
    <row r="377" spans="1:18">
      <c r="A377" s="62" t="s">
        <v>4013</v>
      </c>
      <c r="B377" s="66" t="s">
        <v>4014</v>
      </c>
      <c r="C377" s="62" t="s">
        <v>494</v>
      </c>
      <c r="E377" s="62" t="s">
        <v>476</v>
      </c>
      <c r="N377" s="62"/>
      <c r="O377" s="62"/>
      <c r="P377" s="62"/>
    </row>
    <row r="378" spans="1:18">
      <c r="A378" s="62"/>
      <c r="B378" s="66" t="s">
        <v>4015</v>
      </c>
      <c r="C378" s="62" t="s">
        <v>494</v>
      </c>
      <c r="E378" s="62" t="s">
        <v>476</v>
      </c>
      <c r="N378" s="62"/>
      <c r="O378" s="62"/>
      <c r="P378" s="62"/>
    </row>
    <row r="379" spans="1:18">
      <c r="A379" s="62"/>
      <c r="B379" s="66" t="s">
        <v>4016</v>
      </c>
      <c r="C379" s="62" t="s">
        <v>494</v>
      </c>
      <c r="E379" s="62" t="s">
        <v>476</v>
      </c>
      <c r="N379" s="62"/>
      <c r="O379" s="62"/>
      <c r="P379" s="62"/>
    </row>
    <row r="380" spans="1:18">
      <c r="A380" s="62"/>
      <c r="B380" s="66" t="s">
        <v>4018</v>
      </c>
      <c r="C380" s="62" t="s">
        <v>494</v>
      </c>
      <c r="E380" s="62" t="s">
        <v>476</v>
      </c>
      <c r="N380" s="62"/>
      <c r="O380" s="62"/>
      <c r="P380" s="62"/>
    </row>
    <row r="381" spans="1:18">
      <c r="A381" s="62"/>
      <c r="B381" s="66" t="s">
        <v>4017</v>
      </c>
      <c r="C381" s="62" t="s">
        <v>494</v>
      </c>
      <c r="E381" s="62" t="s">
        <v>476</v>
      </c>
      <c r="N381" s="62"/>
      <c r="O381" s="62"/>
      <c r="P381" s="62"/>
    </row>
    <row r="382" spans="1:18">
      <c r="A382" s="62"/>
      <c r="B382" s="66" t="s">
        <v>4019</v>
      </c>
      <c r="C382" s="62" t="s">
        <v>494</v>
      </c>
      <c r="N382" s="62"/>
      <c r="O382" s="62"/>
      <c r="P382" s="62"/>
    </row>
    <row r="383" spans="1:18">
      <c r="A383" s="62"/>
      <c r="B383" s="66"/>
      <c r="C383" s="62"/>
      <c r="N383" s="62"/>
      <c r="O383" s="62"/>
      <c r="P383" s="62"/>
    </row>
    <row r="384" spans="1:18">
      <c r="A384" s="62" t="s">
        <v>3357</v>
      </c>
      <c r="B384" s="66" t="s">
        <v>3322</v>
      </c>
      <c r="C384" s="62" t="s">
        <v>494</v>
      </c>
      <c r="E384" s="62" t="s">
        <v>476</v>
      </c>
      <c r="F384">
        <v>22</v>
      </c>
      <c r="G384">
        <v>2207</v>
      </c>
      <c r="H384" s="62" t="s">
        <v>3329</v>
      </c>
      <c r="I384" s="62" t="s">
        <v>4001</v>
      </c>
      <c r="J384">
        <v>11</v>
      </c>
      <c r="K384" s="62">
        <v>1</v>
      </c>
      <c r="L384" s="9">
        <v>3</v>
      </c>
      <c r="M384" s="1"/>
      <c r="N384" s="10" t="s">
        <v>506</v>
      </c>
      <c r="O384" s="10" t="s">
        <v>514</v>
      </c>
      <c r="P384" s="1" t="s">
        <v>515</v>
      </c>
    </row>
    <row r="385" spans="1:18">
      <c r="B385" s="66" t="s">
        <v>3331</v>
      </c>
      <c r="C385" s="62" t="s">
        <v>494</v>
      </c>
      <c r="E385" s="62" t="s">
        <v>476</v>
      </c>
      <c r="K385" s="62">
        <v>2</v>
      </c>
      <c r="L385" s="15">
        <v>3</v>
      </c>
      <c r="M385" s="14">
        <v>31</v>
      </c>
      <c r="N385" s="62" t="s">
        <v>3655</v>
      </c>
      <c r="O385" s="62" t="s">
        <v>3648</v>
      </c>
      <c r="P385" s="62" t="s">
        <v>3657</v>
      </c>
      <c r="Q385" s="47" t="s">
        <v>3658</v>
      </c>
      <c r="R385" s="14">
        <v>7</v>
      </c>
    </row>
    <row r="386" spans="1:18">
      <c r="B386" s="66" t="s">
        <v>3323</v>
      </c>
      <c r="C386" s="62" t="s">
        <v>494</v>
      </c>
      <c r="E386" s="62" t="s">
        <v>476</v>
      </c>
      <c r="K386" s="62">
        <v>3</v>
      </c>
      <c r="L386" s="68">
        <v>9</v>
      </c>
      <c r="M386" s="1"/>
      <c r="N386" s="1" t="s">
        <v>1038</v>
      </c>
      <c r="O386" s="23" t="s">
        <v>1040</v>
      </c>
      <c r="P386" s="23" t="s">
        <v>1041</v>
      </c>
      <c r="Q386" s="23" t="s">
        <v>1040</v>
      </c>
      <c r="R386" s="14">
        <v>140</v>
      </c>
    </row>
    <row r="387" spans="1:18">
      <c r="B387" s="66" t="s">
        <v>3324</v>
      </c>
      <c r="C387" s="62" t="s">
        <v>494</v>
      </c>
      <c r="E387" s="62" t="s">
        <v>476</v>
      </c>
      <c r="K387" s="62">
        <v>4</v>
      </c>
      <c r="L387" s="15">
        <v>3</v>
      </c>
      <c r="M387" s="14">
        <v>31</v>
      </c>
      <c r="N387" s="62" t="s">
        <v>379</v>
      </c>
      <c r="O387" s="62" t="s">
        <v>698</v>
      </c>
      <c r="P387" s="62" t="s">
        <v>699</v>
      </c>
      <c r="Q387" s="62" t="s">
        <v>383</v>
      </c>
      <c r="R387" s="14">
        <v>6</v>
      </c>
    </row>
    <row r="388" spans="1:18">
      <c r="B388" s="66" t="s">
        <v>3330</v>
      </c>
      <c r="C388" s="62" t="s">
        <v>494</v>
      </c>
      <c r="K388" s="62">
        <v>6</v>
      </c>
      <c r="L388" s="68">
        <v>3</v>
      </c>
      <c r="M388">
        <v>3</v>
      </c>
      <c r="N388" s="62" t="s">
        <v>693</v>
      </c>
      <c r="O388" s="1" t="s">
        <v>695</v>
      </c>
      <c r="P388" s="1" t="s">
        <v>696</v>
      </c>
    </row>
    <row r="389" spans="1:18">
      <c r="B389" s="66" t="s">
        <v>3326</v>
      </c>
      <c r="C389" s="62" t="s">
        <v>494</v>
      </c>
      <c r="K389" s="62">
        <v>7</v>
      </c>
      <c r="L389" s="15">
        <v>3</v>
      </c>
      <c r="M389">
        <v>3</v>
      </c>
      <c r="N389" s="62" t="s">
        <v>3664</v>
      </c>
      <c r="O389" s="62" t="s">
        <v>3666</v>
      </c>
      <c r="P389" s="62" t="s">
        <v>3667</v>
      </c>
    </row>
    <row r="390" spans="1:18">
      <c r="B390" s="66" t="s">
        <v>3325</v>
      </c>
      <c r="C390" s="62" t="s">
        <v>494</v>
      </c>
      <c r="K390" s="62">
        <v>8</v>
      </c>
    </row>
    <row r="391" spans="1:18">
      <c r="B391" s="66" t="s">
        <v>3327</v>
      </c>
      <c r="C391" s="62" t="s">
        <v>494</v>
      </c>
      <c r="K391" s="62">
        <v>9</v>
      </c>
    </row>
    <row r="392" spans="1:18">
      <c r="B392" s="66"/>
      <c r="C392" s="62"/>
      <c r="K392" s="62"/>
    </row>
    <row r="393" spans="1:18">
      <c r="A393" s="70" t="s">
        <v>4005</v>
      </c>
      <c r="B393" s="67" t="s">
        <v>3322</v>
      </c>
      <c r="C393" s="70" t="s">
        <v>494</v>
      </c>
      <c r="E393" s="62" t="s">
        <v>476</v>
      </c>
      <c r="F393">
        <v>22</v>
      </c>
      <c r="H393" s="62"/>
      <c r="I393" s="62"/>
      <c r="J393">
        <v>11</v>
      </c>
      <c r="K393" s="62">
        <v>1</v>
      </c>
      <c r="L393" s="9"/>
      <c r="M393" s="1"/>
      <c r="N393" s="10"/>
      <c r="O393" s="10"/>
      <c r="P393" s="1"/>
    </row>
    <row r="394" spans="1:18">
      <c r="A394" s="94"/>
      <c r="B394" s="67" t="s">
        <v>3331</v>
      </c>
      <c r="C394" s="70" t="s">
        <v>494</v>
      </c>
      <c r="E394" s="62" t="s">
        <v>476</v>
      </c>
      <c r="K394" s="62">
        <v>2</v>
      </c>
      <c r="L394" s="15"/>
      <c r="M394" s="14"/>
      <c r="N394" s="62"/>
      <c r="O394" s="62"/>
      <c r="P394" s="62"/>
      <c r="Q394" s="47"/>
      <c r="R394" s="14">
        <v>7</v>
      </c>
    </row>
    <row r="395" spans="1:18">
      <c r="A395" s="94"/>
      <c r="B395" s="67" t="s">
        <v>3323</v>
      </c>
      <c r="C395" s="70" t="s">
        <v>494</v>
      </c>
      <c r="E395" s="62" t="s">
        <v>476</v>
      </c>
      <c r="K395" s="62">
        <v>3</v>
      </c>
      <c r="L395" s="68"/>
      <c r="M395" s="1"/>
      <c r="N395" s="1"/>
      <c r="O395" s="23"/>
      <c r="P395" s="23"/>
      <c r="Q395" s="23"/>
      <c r="R395" s="14">
        <v>140</v>
      </c>
    </row>
    <row r="396" spans="1:18">
      <c r="A396" s="94"/>
      <c r="B396" s="67" t="s">
        <v>3324</v>
      </c>
      <c r="C396" s="70" t="s">
        <v>494</v>
      </c>
      <c r="E396" s="62" t="s">
        <v>476</v>
      </c>
      <c r="H396" s="62" t="s">
        <v>4008</v>
      </c>
      <c r="K396" s="62">
        <v>4</v>
      </c>
      <c r="L396" s="15"/>
      <c r="M396" s="14"/>
      <c r="N396" s="62"/>
      <c r="O396" s="62"/>
      <c r="P396" s="62"/>
      <c r="Q396" s="62"/>
      <c r="R396" s="14">
        <v>6</v>
      </c>
    </row>
    <row r="397" spans="1:18">
      <c r="A397" s="94"/>
      <c r="B397" s="67" t="s">
        <v>4006</v>
      </c>
      <c r="C397" s="70" t="s">
        <v>493</v>
      </c>
      <c r="D397">
        <v>30</v>
      </c>
      <c r="E397" s="62" t="s">
        <v>476</v>
      </c>
      <c r="K397" s="62">
        <v>5</v>
      </c>
      <c r="L397" s="15"/>
      <c r="M397" s="14"/>
      <c r="N397" s="62"/>
      <c r="O397" s="62"/>
      <c r="P397" s="62"/>
      <c r="Q397" s="62"/>
      <c r="R397" s="14"/>
    </row>
    <row r="398" spans="1:18">
      <c r="A398" s="94"/>
      <c r="B398" s="67" t="s">
        <v>4007</v>
      </c>
      <c r="C398" s="70" t="s">
        <v>494</v>
      </c>
      <c r="E398" s="62" t="s">
        <v>476</v>
      </c>
      <c r="K398" s="62">
        <v>6</v>
      </c>
      <c r="L398" s="15"/>
      <c r="M398" s="14"/>
      <c r="N398" s="62"/>
      <c r="O398" s="62"/>
      <c r="P398" s="62"/>
      <c r="Q398" s="62"/>
      <c r="R398" s="14"/>
    </row>
    <row r="399" spans="1:18">
      <c r="A399" s="94"/>
      <c r="B399" s="67" t="s">
        <v>3325</v>
      </c>
      <c r="C399" s="70" t="s">
        <v>494</v>
      </c>
      <c r="K399" s="62">
        <v>7</v>
      </c>
    </row>
    <row r="400" spans="1:18">
      <c r="A400" s="94"/>
      <c r="B400" s="67" t="s">
        <v>3327</v>
      </c>
      <c r="C400" s="70" t="s">
        <v>494</v>
      </c>
      <c r="K400" s="62">
        <v>8</v>
      </c>
    </row>
    <row r="401" spans="1:18">
      <c r="B401" s="66"/>
      <c r="C401" s="62"/>
      <c r="K401" s="62"/>
    </row>
    <row r="402" spans="1:18">
      <c r="A402" s="62" t="s">
        <v>5417</v>
      </c>
      <c r="B402" s="66" t="s">
        <v>5418</v>
      </c>
      <c r="C402" s="64" t="s">
        <v>494</v>
      </c>
      <c r="E402" s="62" t="s">
        <v>476</v>
      </c>
      <c r="K402" s="62"/>
    </row>
    <row r="403" spans="1:18">
      <c r="B403" s="66" t="s">
        <v>5419</v>
      </c>
      <c r="C403" s="64" t="s">
        <v>493</v>
      </c>
      <c r="D403">
        <v>50</v>
      </c>
      <c r="K403" s="62"/>
    </row>
    <row r="404" spans="1:18">
      <c r="B404" s="66"/>
      <c r="C404" s="62"/>
      <c r="K404" s="62"/>
    </row>
    <row r="405" spans="1:18">
      <c r="A405" s="62" t="s">
        <v>3655</v>
      </c>
      <c r="B405" s="66" t="s">
        <v>3656</v>
      </c>
      <c r="C405" s="62" t="s">
        <v>494</v>
      </c>
      <c r="E405" s="62" t="s">
        <v>476</v>
      </c>
      <c r="F405">
        <v>22</v>
      </c>
      <c r="G405">
        <v>2209</v>
      </c>
      <c r="H405" s="62" t="s">
        <v>3661</v>
      </c>
      <c r="I405" s="62" t="s">
        <v>3662</v>
      </c>
      <c r="J405">
        <v>1</v>
      </c>
      <c r="K405" s="62">
        <v>1</v>
      </c>
      <c r="L405" s="62">
        <v>6</v>
      </c>
    </row>
    <row r="406" spans="1:18">
      <c r="A406" s="62"/>
      <c r="B406" s="66" t="s">
        <v>3648</v>
      </c>
      <c r="C406" s="62" t="s">
        <v>494</v>
      </c>
      <c r="K406" s="62">
        <v>2</v>
      </c>
      <c r="L406">
        <v>6</v>
      </c>
    </row>
    <row r="407" spans="1:18">
      <c r="A407" s="62"/>
      <c r="B407" s="66" t="s">
        <v>3657</v>
      </c>
      <c r="C407" s="62" t="s">
        <v>493</v>
      </c>
      <c r="D407">
        <v>250</v>
      </c>
      <c r="H407" s="62" t="s">
        <v>3693</v>
      </c>
      <c r="K407" s="62">
        <v>3</v>
      </c>
    </row>
    <row r="408" spans="1:18">
      <c r="A408" s="62"/>
      <c r="B408" s="66" t="s">
        <v>3658</v>
      </c>
      <c r="C408" s="62" t="s">
        <v>494</v>
      </c>
      <c r="K408" s="62">
        <v>4</v>
      </c>
      <c r="L408">
        <v>3</v>
      </c>
      <c r="N408" s="62" t="s">
        <v>3664</v>
      </c>
      <c r="O408" s="62" t="s">
        <v>3666</v>
      </c>
      <c r="P408" s="62" t="s">
        <v>3667</v>
      </c>
    </row>
    <row r="409" spans="1:18">
      <c r="A409" s="62"/>
      <c r="B409" s="66" t="s">
        <v>3659</v>
      </c>
      <c r="C409" s="62" t="s">
        <v>494</v>
      </c>
      <c r="K409" s="62">
        <v>5</v>
      </c>
      <c r="L409">
        <v>8</v>
      </c>
    </row>
    <row r="410" spans="1:18">
      <c r="A410" s="62"/>
      <c r="B410" s="66" t="s">
        <v>3660</v>
      </c>
      <c r="C410" s="62" t="s">
        <v>494</v>
      </c>
      <c r="K410" s="62">
        <v>6</v>
      </c>
      <c r="M410">
        <v>1</v>
      </c>
    </row>
    <row r="411" spans="1:18">
      <c r="A411" s="62"/>
      <c r="B411" s="66" t="s">
        <v>3708</v>
      </c>
      <c r="C411" s="62" t="s">
        <v>493</v>
      </c>
      <c r="D411">
        <v>1</v>
      </c>
      <c r="K411" s="62">
        <v>7</v>
      </c>
      <c r="L411">
        <v>3</v>
      </c>
    </row>
    <row r="412" spans="1:18">
      <c r="B412" s="66" t="s">
        <v>3879</v>
      </c>
      <c r="C412" s="62" t="s">
        <v>494</v>
      </c>
      <c r="K412">
        <v>8</v>
      </c>
      <c r="L412" s="80">
        <v>3</v>
      </c>
      <c r="M412" s="10">
        <v>1</v>
      </c>
      <c r="N412" s="62" t="s">
        <v>3620</v>
      </c>
      <c r="O412" s="62" t="s">
        <v>3622</v>
      </c>
      <c r="P412" s="62" t="s">
        <v>3623</v>
      </c>
      <c r="R412">
        <v>2311</v>
      </c>
    </row>
    <row r="413" spans="1:18">
      <c r="B413" s="66" t="s">
        <v>4305</v>
      </c>
      <c r="C413" s="62" t="s">
        <v>493</v>
      </c>
      <c r="D413">
        <v>50</v>
      </c>
      <c r="K413">
        <v>9</v>
      </c>
      <c r="L413" s="80"/>
      <c r="M413" s="10"/>
      <c r="N413" s="62"/>
      <c r="O413" s="62"/>
      <c r="P413" s="62"/>
    </row>
    <row r="414" spans="1:18">
      <c r="B414" s="66" t="s">
        <v>4359</v>
      </c>
      <c r="C414" s="62" t="s">
        <v>494</v>
      </c>
      <c r="K414">
        <v>10</v>
      </c>
      <c r="L414" s="80">
        <v>3</v>
      </c>
      <c r="M414" s="10"/>
      <c r="N414" s="62" t="s">
        <v>4360</v>
      </c>
      <c r="O414" s="62" t="s">
        <v>4335</v>
      </c>
      <c r="P414" s="62" t="s">
        <v>4361</v>
      </c>
    </row>
    <row r="415" spans="1:18">
      <c r="B415" s="66" t="s">
        <v>5147</v>
      </c>
      <c r="C415" s="62" t="s">
        <v>494</v>
      </c>
      <c r="K415">
        <v>11</v>
      </c>
      <c r="L415" s="80"/>
      <c r="M415" s="10"/>
      <c r="N415" s="62"/>
      <c r="O415" s="62"/>
      <c r="P415" s="62"/>
    </row>
    <row r="416" spans="1:18">
      <c r="B416" s="66" t="s">
        <v>5148</v>
      </c>
      <c r="C416" s="62" t="s">
        <v>493</v>
      </c>
      <c r="D416">
        <v>100</v>
      </c>
      <c r="K416">
        <v>12</v>
      </c>
      <c r="L416" s="80"/>
      <c r="M416" s="10"/>
      <c r="N416" s="62"/>
      <c r="O416" s="62"/>
      <c r="P416" s="62"/>
    </row>
    <row r="417" spans="1:18">
      <c r="B417" s="66" t="s">
        <v>5149</v>
      </c>
      <c r="C417" s="62" t="s">
        <v>493</v>
      </c>
      <c r="D417">
        <v>100</v>
      </c>
      <c r="K417">
        <v>13</v>
      </c>
      <c r="L417" s="80"/>
      <c r="M417" s="10"/>
      <c r="N417" s="62"/>
      <c r="O417" s="62"/>
      <c r="P417" s="62"/>
    </row>
    <row r="418" spans="1:18">
      <c r="B418" s="67" t="s">
        <v>5566</v>
      </c>
      <c r="C418" s="70" t="s">
        <v>494</v>
      </c>
      <c r="K418">
        <v>14</v>
      </c>
      <c r="L418" s="80">
        <v>3</v>
      </c>
      <c r="M418" s="10">
        <v>31</v>
      </c>
      <c r="N418" t="s">
        <v>5567</v>
      </c>
      <c r="O418" s="66" t="s">
        <v>5569</v>
      </c>
      <c r="P418" s="66" t="s">
        <v>5571</v>
      </c>
      <c r="Q418" s="66" t="s">
        <v>5572</v>
      </c>
      <c r="R418">
        <v>4</v>
      </c>
    </row>
    <row r="420" spans="1:18" ht="14.25" customHeight="1">
      <c r="A420" s="70" t="s">
        <v>3649</v>
      </c>
      <c r="B420" s="67" t="s">
        <v>3650</v>
      </c>
      <c r="C420" s="62" t="s">
        <v>494</v>
      </c>
      <c r="E420" s="62" t="s">
        <v>476</v>
      </c>
      <c r="F420">
        <v>22</v>
      </c>
      <c r="G420">
        <v>2210</v>
      </c>
      <c r="H420" s="62" t="s">
        <v>3663</v>
      </c>
      <c r="I420" s="62"/>
      <c r="J420">
        <v>1</v>
      </c>
      <c r="K420">
        <v>1</v>
      </c>
      <c r="L420">
        <v>52</v>
      </c>
      <c r="N420" s="62">
        <v>2209</v>
      </c>
      <c r="O420" s="66" t="s">
        <v>3648</v>
      </c>
      <c r="P420" s="66"/>
      <c r="Q420" s="66"/>
    </row>
    <row r="421" spans="1:18">
      <c r="A421" s="94"/>
      <c r="B421" s="67" t="s">
        <v>3651</v>
      </c>
      <c r="C421" s="62" t="s">
        <v>494</v>
      </c>
      <c r="E421" s="62" t="s">
        <v>476</v>
      </c>
      <c r="K421">
        <v>2</v>
      </c>
      <c r="L421">
        <v>6</v>
      </c>
    </row>
    <row r="422" spans="1:18">
      <c r="A422" s="94"/>
      <c r="B422" s="67" t="s">
        <v>3652</v>
      </c>
      <c r="C422" s="62" t="s">
        <v>494</v>
      </c>
      <c r="K422">
        <v>3</v>
      </c>
      <c r="L422">
        <v>6</v>
      </c>
      <c r="N422" s="62" t="s">
        <v>3655</v>
      </c>
      <c r="O422" s="66" t="s">
        <v>3648</v>
      </c>
      <c r="P422" s="66" t="s">
        <v>3657</v>
      </c>
    </row>
    <row r="423" spans="1:18">
      <c r="A423" s="94"/>
      <c r="B423" s="67" t="s">
        <v>3694</v>
      </c>
      <c r="C423" s="62" t="s">
        <v>493</v>
      </c>
      <c r="D423">
        <v>1</v>
      </c>
      <c r="K423">
        <v>4</v>
      </c>
      <c r="N423" s="62"/>
      <c r="O423" s="66"/>
      <c r="P423" s="66"/>
    </row>
    <row r="424" spans="1:18" s="3" customFormat="1">
      <c r="A424" s="62"/>
      <c r="B424" s="62"/>
      <c r="C424" s="62"/>
      <c r="D424" s="62"/>
      <c r="E424" s="62"/>
      <c r="F424" s="62"/>
      <c r="G424" s="62"/>
      <c r="H424" s="62"/>
      <c r="I424" s="62"/>
      <c r="J424" s="62"/>
      <c r="K424" s="76"/>
      <c r="L424" s="62"/>
      <c r="M424" s="62"/>
      <c r="N424" s="62"/>
      <c r="O424" s="62"/>
      <c r="P424" s="62"/>
      <c r="Q424" s="12"/>
      <c r="R424" s="12"/>
    </row>
    <row r="425" spans="1:18" s="3" customFormat="1">
      <c r="A425" s="62" t="s">
        <v>4306</v>
      </c>
      <c r="B425" s="66" t="s">
        <v>4307</v>
      </c>
      <c r="C425" s="62" t="s">
        <v>494</v>
      </c>
      <c r="D425" s="62"/>
      <c r="E425" s="62" t="s">
        <v>476</v>
      </c>
      <c r="F425" s="62">
        <v>22</v>
      </c>
      <c r="G425" s="62">
        <v>2221</v>
      </c>
      <c r="H425" s="62" t="s">
        <v>4313</v>
      </c>
      <c r="I425" s="62"/>
      <c r="J425" s="62">
        <v>1</v>
      </c>
      <c r="K425" s="76">
        <v>1</v>
      </c>
      <c r="L425" s="62">
        <v>52</v>
      </c>
      <c r="M425" s="62"/>
      <c r="N425" s="62">
        <v>2209</v>
      </c>
      <c r="O425" s="66" t="s">
        <v>3648</v>
      </c>
      <c r="P425" s="62"/>
      <c r="Q425" s="12"/>
      <c r="R425" s="12"/>
    </row>
    <row r="426" spans="1:18" s="3" customFormat="1">
      <c r="A426" s="62"/>
      <c r="B426" s="66" t="s">
        <v>4308</v>
      </c>
      <c r="C426" s="62" t="s">
        <v>494</v>
      </c>
      <c r="D426" s="62"/>
      <c r="E426" s="62" t="s">
        <v>476</v>
      </c>
      <c r="F426" s="62"/>
      <c r="G426" s="62"/>
      <c r="H426" s="62"/>
      <c r="I426" s="62"/>
      <c r="J426" s="62"/>
      <c r="K426" s="76">
        <v>2</v>
      </c>
      <c r="L426" s="62">
        <v>6</v>
      </c>
      <c r="M426" s="62"/>
      <c r="N426" s="62"/>
      <c r="O426" s="62"/>
      <c r="P426" s="62"/>
      <c r="Q426" s="12"/>
      <c r="R426" s="12"/>
    </row>
    <row r="427" spans="1:18" s="3" customFormat="1">
      <c r="A427" s="62"/>
      <c r="B427" s="66" t="s">
        <v>4309</v>
      </c>
      <c r="C427" s="62" t="s">
        <v>494</v>
      </c>
      <c r="D427" s="62"/>
      <c r="E427" s="62"/>
      <c r="F427" s="62"/>
      <c r="G427" s="62"/>
      <c r="H427" s="62"/>
      <c r="I427" s="62"/>
      <c r="J427" s="62"/>
      <c r="K427" s="76">
        <v>3</v>
      </c>
      <c r="L427" s="62">
        <v>6</v>
      </c>
      <c r="M427" s="62"/>
      <c r="N427" s="62"/>
      <c r="O427" s="62"/>
      <c r="P427" s="62"/>
      <c r="Q427" s="12"/>
      <c r="R427" s="12"/>
    </row>
    <row r="428" spans="1:18" s="3" customFormat="1">
      <c r="A428" s="62"/>
      <c r="B428" s="66" t="s">
        <v>4310</v>
      </c>
      <c r="C428" s="62" t="s">
        <v>493</v>
      </c>
      <c r="D428" s="62">
        <v>1</v>
      </c>
      <c r="E428" s="62"/>
      <c r="F428" s="62"/>
      <c r="G428" s="62"/>
      <c r="H428" s="62"/>
      <c r="I428" s="62"/>
      <c r="J428" s="62"/>
      <c r="K428" s="76">
        <v>4</v>
      </c>
      <c r="L428" s="62">
        <v>3</v>
      </c>
      <c r="M428" s="62"/>
      <c r="N428" s="62"/>
      <c r="O428" s="62"/>
      <c r="P428" s="62"/>
      <c r="Q428" s="12"/>
      <c r="R428" s="12"/>
    </row>
    <row r="429" spans="1:18" s="3" customFormat="1">
      <c r="A429" s="62"/>
      <c r="B429" s="66" t="s">
        <v>4311</v>
      </c>
      <c r="C429" s="62" t="s">
        <v>493</v>
      </c>
      <c r="D429" s="62">
        <v>100</v>
      </c>
      <c r="E429" s="62"/>
      <c r="F429" s="62"/>
      <c r="G429" s="62"/>
      <c r="H429" s="62"/>
      <c r="I429" s="62"/>
      <c r="J429" s="62"/>
      <c r="K429" s="76">
        <v>5</v>
      </c>
      <c r="L429" s="62"/>
      <c r="M429" s="62"/>
      <c r="N429" s="62"/>
      <c r="O429" s="62"/>
      <c r="P429" s="62"/>
      <c r="Q429" s="12"/>
      <c r="R429" s="12"/>
    </row>
    <row r="430" spans="1:18" s="3" customFormat="1">
      <c r="A430" s="62"/>
      <c r="B430" s="66" t="s">
        <v>4312</v>
      </c>
      <c r="C430" s="62" t="s">
        <v>520</v>
      </c>
      <c r="D430" s="62"/>
      <c r="E430" s="62"/>
      <c r="F430" s="62"/>
      <c r="G430" s="62"/>
      <c r="H430" s="62"/>
      <c r="I430" s="62"/>
      <c r="J430" s="62"/>
      <c r="K430" s="76">
        <v>6</v>
      </c>
      <c r="L430" s="62"/>
      <c r="M430" s="62"/>
      <c r="N430" s="62"/>
      <c r="O430" s="62"/>
      <c r="P430" s="62"/>
      <c r="Q430" s="12"/>
      <c r="R430" s="12"/>
    </row>
    <row r="431" spans="1:18" s="3" customFormat="1">
      <c r="A431" s="62"/>
      <c r="B431" s="62"/>
      <c r="C431" s="62"/>
      <c r="D431" s="62"/>
      <c r="E431" s="62"/>
      <c r="F431" s="62"/>
      <c r="G431" s="62"/>
      <c r="H431" s="62"/>
      <c r="I431" s="62"/>
      <c r="J431" s="62"/>
      <c r="K431" s="76"/>
      <c r="L431" s="62"/>
      <c r="M431" s="62"/>
      <c r="N431" s="62"/>
      <c r="O431" s="62"/>
      <c r="P431" s="62"/>
      <c r="Q431" s="12"/>
      <c r="R431" s="12"/>
    </row>
    <row r="432" spans="1:18">
      <c r="A432" s="70" t="s">
        <v>3210</v>
      </c>
      <c r="B432" s="70" t="s">
        <v>3212</v>
      </c>
      <c r="C432" s="70" t="s">
        <v>494</v>
      </c>
      <c r="E432" s="62" t="s">
        <v>476</v>
      </c>
      <c r="F432">
        <v>22</v>
      </c>
      <c r="G432">
        <v>2202</v>
      </c>
      <c r="H432" s="62" t="s">
        <v>5837</v>
      </c>
      <c r="I432" s="62"/>
      <c r="J432">
        <v>2201</v>
      </c>
      <c r="K432" s="55">
        <v>1</v>
      </c>
      <c r="L432">
        <v>52</v>
      </c>
      <c r="N432">
        <v>2209</v>
      </c>
      <c r="O432" s="62" t="s">
        <v>3648</v>
      </c>
    </row>
    <row r="433" spans="1:18">
      <c r="A433" s="94"/>
      <c r="B433" s="70" t="s">
        <v>3211</v>
      </c>
      <c r="C433" s="70" t="s">
        <v>494</v>
      </c>
      <c r="E433" s="62" t="s">
        <v>476</v>
      </c>
      <c r="K433" s="55">
        <v>2</v>
      </c>
      <c r="L433">
        <v>8</v>
      </c>
      <c r="M433" s="14"/>
      <c r="N433" s="62"/>
      <c r="O433" s="62"/>
      <c r="P433" s="62"/>
      <c r="Q433" s="47"/>
      <c r="R433" s="14"/>
    </row>
    <row r="434" spans="1:18">
      <c r="A434" s="94"/>
      <c r="B434" s="70" t="s">
        <v>3213</v>
      </c>
      <c r="C434" s="70" t="s">
        <v>494</v>
      </c>
      <c r="H434" s="62"/>
      <c r="K434" s="55">
        <v>3</v>
      </c>
      <c r="L434">
        <v>6</v>
      </c>
    </row>
    <row r="435" spans="1:18">
      <c r="A435" s="94"/>
      <c r="B435" s="70" t="s">
        <v>3217</v>
      </c>
      <c r="C435" s="70" t="s">
        <v>494</v>
      </c>
      <c r="K435" s="55">
        <v>4</v>
      </c>
      <c r="L435">
        <v>3</v>
      </c>
      <c r="N435" s="62" t="s">
        <v>3218</v>
      </c>
      <c r="O435" s="62" t="s">
        <v>3219</v>
      </c>
      <c r="P435" s="62" t="s">
        <v>3220</v>
      </c>
      <c r="Q435" s="66"/>
    </row>
    <row r="437" spans="1:18" ht="14.25" customHeight="1">
      <c r="A437" s="62" t="s">
        <v>3649</v>
      </c>
      <c r="B437" s="66" t="s">
        <v>3650</v>
      </c>
      <c r="C437" s="62" t="s">
        <v>494</v>
      </c>
      <c r="E437" s="62" t="s">
        <v>476</v>
      </c>
      <c r="F437">
        <v>22</v>
      </c>
      <c r="G437">
        <v>2210</v>
      </c>
      <c r="H437" s="62" t="s">
        <v>3663</v>
      </c>
      <c r="I437" s="62" t="s">
        <v>3690</v>
      </c>
      <c r="J437">
        <v>1</v>
      </c>
      <c r="K437">
        <v>1</v>
      </c>
      <c r="L437">
        <v>9</v>
      </c>
      <c r="N437" s="62" t="s">
        <v>3655</v>
      </c>
      <c r="O437" s="66" t="s">
        <v>3656</v>
      </c>
      <c r="P437" s="66" t="s">
        <v>3657</v>
      </c>
      <c r="Q437" s="66" t="s">
        <v>3648</v>
      </c>
      <c r="R437">
        <v>2209</v>
      </c>
    </row>
    <row r="438" spans="1:18">
      <c r="B438" s="66" t="s">
        <v>3651</v>
      </c>
      <c r="C438" s="62" t="s">
        <v>494</v>
      </c>
      <c r="E438" s="62" t="s">
        <v>476</v>
      </c>
      <c r="K438">
        <v>2</v>
      </c>
      <c r="L438">
        <v>6</v>
      </c>
    </row>
    <row r="439" spans="1:18">
      <c r="B439" s="66" t="s">
        <v>3652</v>
      </c>
      <c r="C439" s="62" t="s">
        <v>494</v>
      </c>
      <c r="K439">
        <v>3</v>
      </c>
      <c r="L439">
        <v>6</v>
      </c>
      <c r="N439" s="62" t="s">
        <v>3655</v>
      </c>
      <c r="O439" s="66" t="s">
        <v>3648</v>
      </c>
      <c r="P439" s="66" t="s">
        <v>3657</v>
      </c>
    </row>
    <row r="440" spans="1:18">
      <c r="B440" s="66" t="s">
        <v>3694</v>
      </c>
      <c r="C440" s="62" t="s">
        <v>493</v>
      </c>
      <c r="D440">
        <v>1</v>
      </c>
      <c r="K440">
        <v>4</v>
      </c>
      <c r="L440">
        <v>30</v>
      </c>
      <c r="N440" s="62"/>
      <c r="O440" s="66"/>
      <c r="P440" s="66"/>
    </row>
    <row r="441" spans="1:18">
      <c r="B441" s="66" t="s">
        <v>3653</v>
      </c>
      <c r="C441" s="62" t="s">
        <v>494</v>
      </c>
      <c r="K441">
        <v>5</v>
      </c>
      <c r="L441">
        <v>7</v>
      </c>
    </row>
    <row r="442" spans="1:18">
      <c r="B442" s="66" t="s">
        <v>3654</v>
      </c>
      <c r="C442" s="62" t="s">
        <v>494</v>
      </c>
      <c r="K442">
        <v>6</v>
      </c>
      <c r="L442" s="80">
        <v>3</v>
      </c>
      <c r="M442" s="10"/>
      <c r="N442" s="62" t="s">
        <v>3620</v>
      </c>
      <c r="O442" s="62" t="s">
        <v>3622</v>
      </c>
      <c r="P442" s="62" t="s">
        <v>3623</v>
      </c>
      <c r="R442">
        <v>2311</v>
      </c>
    </row>
    <row r="443" spans="1:18">
      <c r="B443" s="66" t="s">
        <v>3691</v>
      </c>
      <c r="C443" s="62" t="s">
        <v>493</v>
      </c>
      <c r="D443">
        <v>20</v>
      </c>
      <c r="K443">
        <v>7</v>
      </c>
      <c r="L443" s="80"/>
      <c r="M443" s="10"/>
      <c r="N443" s="62"/>
      <c r="O443" s="62"/>
      <c r="P443" s="62"/>
    </row>
    <row r="444" spans="1:18">
      <c r="B444" s="66" t="s">
        <v>3684</v>
      </c>
      <c r="C444" s="62" t="s">
        <v>494</v>
      </c>
      <c r="K444">
        <v>8</v>
      </c>
      <c r="L444" s="80"/>
      <c r="M444" s="10"/>
      <c r="N444" s="62"/>
      <c r="O444" s="62"/>
      <c r="P444" s="62"/>
    </row>
    <row r="445" spans="1:18">
      <c r="B445" s="66" t="s">
        <v>3685</v>
      </c>
      <c r="C445" s="62" t="s">
        <v>494</v>
      </c>
      <c r="K445">
        <v>9</v>
      </c>
      <c r="L445" s="80"/>
      <c r="M445" s="10"/>
      <c r="N445" s="62"/>
      <c r="O445" s="62"/>
      <c r="P445" s="62"/>
    </row>
    <row r="446" spans="1:18">
      <c r="B446" s="66" t="s">
        <v>3686</v>
      </c>
      <c r="C446" s="62" t="s">
        <v>494</v>
      </c>
      <c r="K446">
        <v>10</v>
      </c>
      <c r="L446" s="80"/>
      <c r="M446" s="10"/>
      <c r="N446" s="62"/>
      <c r="O446" s="62"/>
      <c r="P446" s="62"/>
    </row>
    <row r="447" spans="1:18" s="1" customFormat="1">
      <c r="B447" s="67" t="s">
        <v>3703</v>
      </c>
      <c r="C447" s="70" t="s">
        <v>494</v>
      </c>
      <c r="I447" s="2"/>
      <c r="K447">
        <v>11</v>
      </c>
      <c r="L447" s="32">
        <v>8</v>
      </c>
    </row>
    <row r="448" spans="1:18" s="1" customFormat="1">
      <c r="B448" s="67" t="s">
        <v>3704</v>
      </c>
      <c r="C448" s="70" t="s">
        <v>494</v>
      </c>
      <c r="I448" s="2"/>
      <c r="K448">
        <v>12</v>
      </c>
      <c r="L448" s="32">
        <v>8</v>
      </c>
    </row>
    <row r="449" spans="1:18" s="1" customFormat="1">
      <c r="B449" s="67" t="s">
        <v>3705</v>
      </c>
      <c r="C449" s="70" t="s">
        <v>494</v>
      </c>
      <c r="I449" s="2"/>
      <c r="K449">
        <v>13</v>
      </c>
      <c r="L449" s="32">
        <v>7</v>
      </c>
    </row>
    <row r="450" spans="1:18" s="1" customFormat="1">
      <c r="B450" s="67" t="s">
        <v>3706</v>
      </c>
      <c r="C450" s="70" t="s">
        <v>494</v>
      </c>
      <c r="I450" s="2"/>
      <c r="K450">
        <v>14</v>
      </c>
      <c r="L450" s="32">
        <v>7</v>
      </c>
    </row>
    <row r="451" spans="1:18" s="1" customFormat="1">
      <c r="B451" s="67" t="s">
        <v>4395</v>
      </c>
      <c r="C451" s="70" t="s">
        <v>494</v>
      </c>
      <c r="I451" s="2"/>
      <c r="K451">
        <v>15</v>
      </c>
      <c r="L451" s="32"/>
    </row>
    <row r="452" spans="1:18" s="1" customFormat="1">
      <c r="B452" s="67" t="s">
        <v>4396</v>
      </c>
      <c r="C452" s="70" t="s">
        <v>494</v>
      </c>
      <c r="I452" s="2"/>
      <c r="K452">
        <v>16</v>
      </c>
      <c r="L452" s="32"/>
    </row>
    <row r="453" spans="1:18" s="1" customFormat="1">
      <c r="B453" s="67" t="s">
        <v>4397</v>
      </c>
      <c r="C453" s="70" t="s">
        <v>494</v>
      </c>
      <c r="I453" s="2"/>
      <c r="K453">
        <v>17</v>
      </c>
      <c r="L453" s="32"/>
    </row>
    <row r="454" spans="1:18" s="1" customFormat="1">
      <c r="B454" s="67" t="s">
        <v>4398</v>
      </c>
      <c r="C454" s="70" t="s">
        <v>494</v>
      </c>
      <c r="I454" s="2"/>
      <c r="K454">
        <v>18</v>
      </c>
      <c r="L454" s="32"/>
    </row>
    <row r="455" spans="1:18" s="1" customFormat="1">
      <c r="B455" s="67" t="s">
        <v>6889</v>
      </c>
      <c r="C455" s="70" t="s">
        <v>494</v>
      </c>
      <c r="I455" s="2"/>
      <c r="K455">
        <v>19</v>
      </c>
      <c r="L455" s="32"/>
      <c r="M455" s="1">
        <v>2</v>
      </c>
    </row>
    <row r="456" spans="1:18">
      <c r="B456" s="66"/>
      <c r="C456" s="62"/>
      <c r="L456" s="80"/>
      <c r="M456" s="10"/>
      <c r="N456" s="62"/>
      <c r="O456" s="62"/>
      <c r="P456" s="62"/>
    </row>
    <row r="457" spans="1:18">
      <c r="A457" s="62" t="s">
        <v>3671</v>
      </c>
      <c r="B457" s="66" t="s">
        <v>3672</v>
      </c>
      <c r="C457" s="62" t="s">
        <v>494</v>
      </c>
      <c r="E457" s="62" t="s">
        <v>476</v>
      </c>
      <c r="F457">
        <v>22</v>
      </c>
      <c r="G457">
        <v>2211</v>
      </c>
      <c r="H457" s="62" t="s">
        <v>3260</v>
      </c>
      <c r="J457">
        <v>1</v>
      </c>
      <c r="K457">
        <v>1</v>
      </c>
      <c r="L457">
        <v>52</v>
      </c>
      <c r="N457" s="62">
        <v>2210</v>
      </c>
      <c r="O457" s="66" t="s">
        <v>3652</v>
      </c>
    </row>
    <row r="458" spans="1:18">
      <c r="B458" s="66" t="s">
        <v>3673</v>
      </c>
      <c r="C458" s="62" t="s">
        <v>494</v>
      </c>
      <c r="E458" s="62" t="s">
        <v>476</v>
      </c>
      <c r="K458">
        <v>2</v>
      </c>
      <c r="L458">
        <v>9</v>
      </c>
      <c r="N458" s="62" t="s">
        <v>1038</v>
      </c>
      <c r="O458" s="60" t="s">
        <v>1040</v>
      </c>
      <c r="P458" s="60" t="s">
        <v>1041</v>
      </c>
      <c r="Q458" s="23" t="s">
        <v>1040</v>
      </c>
      <c r="R458" s="14">
        <v>140</v>
      </c>
    </row>
    <row r="459" spans="1:18">
      <c r="B459" s="66" t="s">
        <v>3674</v>
      </c>
      <c r="C459" s="62" t="s">
        <v>494</v>
      </c>
      <c r="K459">
        <v>3</v>
      </c>
      <c r="L459">
        <v>6</v>
      </c>
    </row>
    <row r="460" spans="1:18">
      <c r="B460" s="66" t="s">
        <v>4314</v>
      </c>
      <c r="C460" s="62" t="s">
        <v>494</v>
      </c>
      <c r="K460">
        <v>4</v>
      </c>
      <c r="L460">
        <v>3</v>
      </c>
      <c r="N460" s="62" t="s">
        <v>4306</v>
      </c>
      <c r="O460" s="66" t="s">
        <v>4309</v>
      </c>
      <c r="P460" s="66" t="s">
        <v>4311</v>
      </c>
    </row>
    <row r="461" spans="1:18">
      <c r="B461" s="66" t="s">
        <v>3675</v>
      </c>
      <c r="C461" s="62" t="s">
        <v>494</v>
      </c>
      <c r="K461">
        <v>5</v>
      </c>
      <c r="M461">
        <v>2</v>
      </c>
    </row>
    <row r="462" spans="1:18">
      <c r="B462" s="66" t="s">
        <v>3676</v>
      </c>
      <c r="C462" s="62" t="s">
        <v>494</v>
      </c>
      <c r="K462">
        <v>6</v>
      </c>
      <c r="L462">
        <v>3</v>
      </c>
      <c r="N462" s="62" t="s">
        <v>3677</v>
      </c>
      <c r="O462" s="62" t="s">
        <v>3678</v>
      </c>
      <c r="P462" s="62" t="s">
        <v>3679</v>
      </c>
    </row>
    <row r="463" spans="1:18">
      <c r="B463" s="66" t="s">
        <v>3688</v>
      </c>
      <c r="C463" s="62" t="s">
        <v>494</v>
      </c>
      <c r="K463">
        <v>7</v>
      </c>
      <c r="L463">
        <v>3</v>
      </c>
      <c r="N463" s="62"/>
      <c r="O463" s="62"/>
      <c r="P463" s="62"/>
    </row>
    <row r="464" spans="1:18">
      <c r="B464" s="66" t="s">
        <v>3681</v>
      </c>
      <c r="C464" s="62" t="s">
        <v>494</v>
      </c>
      <c r="K464">
        <v>8</v>
      </c>
      <c r="M464">
        <v>1</v>
      </c>
      <c r="N464" s="62"/>
      <c r="O464" s="62"/>
      <c r="P464" s="62"/>
    </row>
    <row r="465" spans="1:18">
      <c r="B465" s="66" t="s">
        <v>3687</v>
      </c>
      <c r="C465" s="62" t="s">
        <v>494</v>
      </c>
      <c r="K465">
        <v>9</v>
      </c>
    </row>
    <row r="466" spans="1:18">
      <c r="B466" s="66" t="s">
        <v>3682</v>
      </c>
      <c r="C466" s="62" t="s">
        <v>494</v>
      </c>
      <c r="K466">
        <v>10</v>
      </c>
      <c r="L466">
        <v>3</v>
      </c>
      <c r="N466" s="1" t="s">
        <v>1038</v>
      </c>
      <c r="O466" s="23" t="s">
        <v>1040</v>
      </c>
      <c r="P466" s="23" t="s">
        <v>1041</v>
      </c>
      <c r="Q466" s="23" t="s">
        <v>1040</v>
      </c>
      <c r="R466" s="14">
        <v>140</v>
      </c>
    </row>
    <row r="467" spans="1:18">
      <c r="B467" s="66" t="s">
        <v>4315</v>
      </c>
      <c r="C467" s="62" t="s">
        <v>494</v>
      </c>
      <c r="K467">
        <v>11</v>
      </c>
      <c r="L467">
        <v>3</v>
      </c>
      <c r="N467" s="1" t="s">
        <v>1038</v>
      </c>
      <c r="O467" s="23" t="s">
        <v>1040</v>
      </c>
      <c r="P467" s="23" t="s">
        <v>1041</v>
      </c>
      <c r="Q467" s="23" t="s">
        <v>1040</v>
      </c>
      <c r="R467" s="14">
        <v>140</v>
      </c>
    </row>
    <row r="468" spans="1:18">
      <c r="B468" s="66" t="s">
        <v>3683</v>
      </c>
      <c r="C468" s="62" t="s">
        <v>494</v>
      </c>
      <c r="K468">
        <v>12</v>
      </c>
      <c r="L468">
        <v>7</v>
      </c>
    </row>
    <row r="469" spans="1:18">
      <c r="B469" s="66" t="s">
        <v>3695</v>
      </c>
      <c r="C469" s="64" t="s">
        <v>494</v>
      </c>
      <c r="K469">
        <v>13</v>
      </c>
      <c r="L469">
        <v>3</v>
      </c>
      <c r="N469" s="62" t="s">
        <v>3696</v>
      </c>
      <c r="O469" s="62" t="s">
        <v>3698</v>
      </c>
      <c r="P469" s="62" t="s">
        <v>3699</v>
      </c>
      <c r="R469">
        <v>2214</v>
      </c>
    </row>
    <row r="470" spans="1:18" s="1" customFormat="1">
      <c r="B470" s="66" t="s">
        <v>3728</v>
      </c>
      <c r="C470" s="64" t="s">
        <v>494</v>
      </c>
      <c r="I470" s="2"/>
      <c r="K470">
        <v>14</v>
      </c>
      <c r="L470">
        <v>3</v>
      </c>
      <c r="M470">
        <v>31</v>
      </c>
      <c r="N470" s="62" t="s">
        <v>3719</v>
      </c>
      <c r="O470" s="62" t="s">
        <v>3722</v>
      </c>
      <c r="P470" s="62" t="s">
        <v>3724</v>
      </c>
      <c r="Q470" s="62" t="s">
        <v>3720</v>
      </c>
      <c r="R470" s="1">
        <v>13</v>
      </c>
    </row>
    <row r="471" spans="1:18" s="1" customFormat="1">
      <c r="B471" s="66" t="s">
        <v>3702</v>
      </c>
      <c r="C471" s="64" t="s">
        <v>493</v>
      </c>
      <c r="D471" s="1">
        <v>1</v>
      </c>
      <c r="I471" s="2"/>
      <c r="K471">
        <v>15</v>
      </c>
      <c r="L471" s="9">
        <v>3</v>
      </c>
    </row>
    <row r="472" spans="1:18" s="1" customFormat="1">
      <c r="B472" s="66" t="s">
        <v>4316</v>
      </c>
      <c r="C472" s="64" t="s">
        <v>493</v>
      </c>
      <c r="D472" s="1">
        <v>1</v>
      </c>
      <c r="I472" s="2"/>
      <c r="K472">
        <v>16</v>
      </c>
      <c r="L472" s="32">
        <v>3</v>
      </c>
    </row>
    <row r="473" spans="1:18" s="1" customFormat="1">
      <c r="B473" s="66" t="s">
        <v>4317</v>
      </c>
      <c r="C473" s="64" t="s">
        <v>493</v>
      </c>
      <c r="D473" s="1">
        <v>1</v>
      </c>
      <c r="I473" s="2"/>
      <c r="K473">
        <v>17</v>
      </c>
      <c r="L473" s="32">
        <v>3</v>
      </c>
    </row>
    <row r="474" spans="1:18" s="1" customFormat="1">
      <c r="B474" s="66" t="s">
        <v>4318</v>
      </c>
      <c r="C474" s="64" t="s">
        <v>493</v>
      </c>
      <c r="D474" s="1">
        <v>1</v>
      </c>
      <c r="I474" s="2"/>
      <c r="K474">
        <v>18</v>
      </c>
      <c r="L474" s="32">
        <v>3</v>
      </c>
    </row>
    <row r="475" spans="1:18">
      <c r="B475" s="66" t="s">
        <v>4319</v>
      </c>
      <c r="C475" s="64" t="s">
        <v>702</v>
      </c>
      <c r="K475">
        <v>19</v>
      </c>
    </row>
    <row r="476" spans="1:18">
      <c r="A476" s="7"/>
      <c r="B476" s="66" t="s">
        <v>4371</v>
      </c>
      <c r="C476" s="64" t="s">
        <v>494</v>
      </c>
      <c r="D476" s="7"/>
      <c r="K476">
        <v>20</v>
      </c>
      <c r="L476">
        <v>91</v>
      </c>
    </row>
    <row r="477" spans="1:18">
      <c r="A477" s="7"/>
      <c r="B477" s="66" t="s">
        <v>4372</v>
      </c>
      <c r="C477" s="64" t="s">
        <v>494</v>
      </c>
      <c r="D477" s="7"/>
      <c r="K477">
        <v>21</v>
      </c>
      <c r="L477">
        <v>92</v>
      </c>
    </row>
    <row r="478" spans="1:18">
      <c r="A478" s="102"/>
      <c r="B478" s="101" t="s">
        <v>4937</v>
      </c>
      <c r="C478" s="100" t="s">
        <v>494</v>
      </c>
      <c r="D478" s="102"/>
      <c r="K478">
        <v>22</v>
      </c>
      <c r="L478">
        <v>3</v>
      </c>
      <c r="M478">
        <v>31</v>
      </c>
      <c r="N478" s="62" t="s">
        <v>4924</v>
      </c>
      <c r="O478" s="62" t="s">
        <v>4928</v>
      </c>
      <c r="P478" s="62" t="s">
        <v>4927</v>
      </c>
      <c r="Q478" s="62" t="s">
        <v>4926</v>
      </c>
      <c r="R478">
        <v>2</v>
      </c>
    </row>
    <row r="479" spans="1:18">
      <c r="B479" s="66" t="s">
        <v>5158</v>
      </c>
      <c r="C479" s="62" t="s">
        <v>494</v>
      </c>
      <c r="K479">
        <v>23</v>
      </c>
      <c r="L479">
        <v>3</v>
      </c>
      <c r="N479" s="1" t="s">
        <v>1038</v>
      </c>
      <c r="O479" s="23" t="s">
        <v>1040</v>
      </c>
      <c r="P479" s="23" t="s">
        <v>1041</v>
      </c>
      <c r="Q479" s="23" t="s">
        <v>1040</v>
      </c>
      <c r="R479" s="14">
        <v>140</v>
      </c>
    </row>
    <row r="480" spans="1:18">
      <c r="B480" s="66" t="s">
        <v>5159</v>
      </c>
      <c r="C480" s="62" t="s">
        <v>494</v>
      </c>
      <c r="K480">
        <v>24</v>
      </c>
      <c r="L480">
        <v>3</v>
      </c>
      <c r="N480" s="1" t="s">
        <v>1038</v>
      </c>
      <c r="O480" s="23" t="s">
        <v>1040</v>
      </c>
      <c r="P480" s="23" t="s">
        <v>1041</v>
      </c>
      <c r="Q480" s="23" t="s">
        <v>1040</v>
      </c>
      <c r="R480" s="14">
        <v>140</v>
      </c>
    </row>
    <row r="481" spans="1:18">
      <c r="B481" s="67" t="s">
        <v>6824</v>
      </c>
      <c r="C481" s="62" t="s">
        <v>494</v>
      </c>
      <c r="K481">
        <v>25</v>
      </c>
      <c r="L481">
        <v>7</v>
      </c>
      <c r="M481">
        <v>2</v>
      </c>
      <c r="N481" s="1"/>
      <c r="O481" s="23"/>
      <c r="P481" s="23"/>
      <c r="Q481" s="23"/>
      <c r="R481" s="14"/>
    </row>
    <row r="482" spans="1:18">
      <c r="B482" s="67" t="s">
        <v>6825</v>
      </c>
      <c r="C482" s="62" t="s">
        <v>494</v>
      </c>
      <c r="K482">
        <v>26</v>
      </c>
      <c r="L482">
        <v>8</v>
      </c>
      <c r="M482">
        <v>2</v>
      </c>
      <c r="N482" s="1"/>
      <c r="O482" s="23"/>
      <c r="P482" s="23"/>
      <c r="Q482" s="23"/>
      <c r="R482" s="14"/>
    </row>
    <row r="483" spans="1:18">
      <c r="B483" s="67" t="s">
        <v>6833</v>
      </c>
      <c r="C483" s="62" t="s">
        <v>494</v>
      </c>
      <c r="E483" s="62"/>
      <c r="K483">
        <v>27</v>
      </c>
      <c r="L483">
        <v>2</v>
      </c>
      <c r="N483" s="62"/>
      <c r="O483" s="60"/>
      <c r="P483" s="60"/>
      <c r="Q483" s="23"/>
      <c r="R483" s="14"/>
    </row>
    <row r="484" spans="1:18">
      <c r="B484" s="67" t="s">
        <v>6835</v>
      </c>
      <c r="C484" s="62" t="s">
        <v>494</v>
      </c>
      <c r="E484" s="62"/>
      <c r="K484">
        <v>28</v>
      </c>
      <c r="L484">
        <v>3</v>
      </c>
      <c r="N484" s="1" t="s">
        <v>1038</v>
      </c>
      <c r="O484" s="23" t="s">
        <v>1040</v>
      </c>
      <c r="P484" s="23" t="s">
        <v>1041</v>
      </c>
      <c r="Q484" s="23" t="s">
        <v>1040</v>
      </c>
      <c r="R484" s="14">
        <v>140</v>
      </c>
    </row>
    <row r="485" spans="1:18">
      <c r="B485" s="67" t="s">
        <v>6834</v>
      </c>
      <c r="C485" s="62" t="s">
        <v>494</v>
      </c>
      <c r="E485" s="62"/>
      <c r="K485">
        <v>29</v>
      </c>
      <c r="L485">
        <v>3</v>
      </c>
      <c r="N485" s="1" t="s">
        <v>1038</v>
      </c>
      <c r="O485" s="23" t="s">
        <v>1040</v>
      </c>
      <c r="P485" s="23" t="s">
        <v>1041</v>
      </c>
      <c r="Q485" s="23" t="s">
        <v>1040</v>
      </c>
      <c r="R485" s="14">
        <v>140</v>
      </c>
    </row>
    <row r="486" spans="1:18">
      <c r="B486" s="66"/>
      <c r="C486" s="62"/>
      <c r="N486" s="1"/>
      <c r="O486" s="23"/>
      <c r="P486" s="23"/>
      <c r="Q486" s="23"/>
      <c r="R486" s="14"/>
    </row>
    <row r="487" spans="1:18">
      <c r="A487" s="64" t="s">
        <v>4384</v>
      </c>
      <c r="B487" s="66" t="s">
        <v>4385</v>
      </c>
      <c r="C487" s="64" t="s">
        <v>494</v>
      </c>
      <c r="D487" s="7"/>
      <c r="E487" s="108" t="s">
        <v>476</v>
      </c>
      <c r="F487">
        <v>22</v>
      </c>
      <c r="G487">
        <v>2225</v>
      </c>
      <c r="H487" s="62" t="s">
        <v>4380</v>
      </c>
      <c r="J487">
        <v>1</v>
      </c>
      <c r="K487">
        <v>1</v>
      </c>
      <c r="L487">
        <v>52</v>
      </c>
      <c r="N487" s="62">
        <v>2210</v>
      </c>
      <c r="O487" s="66" t="s">
        <v>3652</v>
      </c>
    </row>
    <row r="488" spans="1:18">
      <c r="A488" s="7"/>
      <c r="B488" s="66" t="s">
        <v>4386</v>
      </c>
      <c r="C488" s="64" t="s">
        <v>494</v>
      </c>
      <c r="D488" s="7"/>
      <c r="E488" s="108" t="s">
        <v>476</v>
      </c>
      <c r="K488">
        <v>2</v>
      </c>
      <c r="L488">
        <v>6</v>
      </c>
    </row>
    <row r="489" spans="1:18">
      <c r="A489" s="7"/>
      <c r="B489" s="66" t="s">
        <v>4387</v>
      </c>
      <c r="C489" s="64" t="s">
        <v>494</v>
      </c>
      <c r="D489" s="7"/>
      <c r="K489">
        <v>3</v>
      </c>
      <c r="L489">
        <v>6</v>
      </c>
    </row>
    <row r="490" spans="1:18">
      <c r="A490" s="7"/>
      <c r="B490" s="66" t="s">
        <v>4388</v>
      </c>
      <c r="C490" s="64" t="s">
        <v>493</v>
      </c>
      <c r="D490" s="7">
        <v>1</v>
      </c>
      <c r="K490">
        <v>4</v>
      </c>
      <c r="L490">
        <v>3</v>
      </c>
      <c r="N490" s="64" t="s">
        <v>4383</v>
      </c>
      <c r="O490" s="66" t="s">
        <v>4381</v>
      </c>
      <c r="P490" s="66" t="s">
        <v>4382</v>
      </c>
    </row>
    <row r="491" spans="1:18">
      <c r="A491" s="7"/>
      <c r="B491" s="66" t="s">
        <v>4389</v>
      </c>
      <c r="C491" s="64" t="s">
        <v>493</v>
      </c>
      <c r="D491" s="7">
        <v>1</v>
      </c>
      <c r="K491">
        <v>5</v>
      </c>
      <c r="L491">
        <v>3</v>
      </c>
      <c r="N491" s="64" t="s">
        <v>4383</v>
      </c>
      <c r="O491" s="66" t="s">
        <v>4381</v>
      </c>
      <c r="P491" s="66" t="s">
        <v>4382</v>
      </c>
    </row>
    <row r="492" spans="1:18">
      <c r="A492" s="7"/>
      <c r="B492" s="66" t="s">
        <v>4390</v>
      </c>
      <c r="C492" s="64" t="s">
        <v>494</v>
      </c>
      <c r="D492" s="7"/>
      <c r="K492">
        <v>6</v>
      </c>
      <c r="L492">
        <v>7</v>
      </c>
    </row>
    <row r="493" spans="1:18">
      <c r="A493" s="7"/>
      <c r="B493" s="66" t="s">
        <v>4391</v>
      </c>
      <c r="C493" s="64" t="s">
        <v>494</v>
      </c>
      <c r="D493" s="7"/>
      <c r="K493">
        <v>7</v>
      </c>
      <c r="L493">
        <v>8</v>
      </c>
    </row>
    <row r="494" spans="1:18">
      <c r="A494" s="7"/>
      <c r="B494" s="66" t="s">
        <v>4392</v>
      </c>
      <c r="C494" s="64" t="s">
        <v>520</v>
      </c>
      <c r="D494" s="7"/>
      <c r="K494">
        <v>8</v>
      </c>
    </row>
    <row r="495" spans="1:18">
      <c r="A495" s="7"/>
      <c r="B495" s="66"/>
      <c r="C495" s="64"/>
      <c r="D495" s="7"/>
    </row>
    <row r="496" spans="1:18">
      <c r="A496" s="64" t="s">
        <v>4383</v>
      </c>
      <c r="B496" s="66" t="s">
        <v>4381</v>
      </c>
      <c r="C496" s="64" t="s">
        <v>493</v>
      </c>
      <c r="D496" s="7">
        <v>1</v>
      </c>
      <c r="E496" s="108" t="s">
        <v>476</v>
      </c>
    </row>
    <row r="497" spans="1:18">
      <c r="A497" s="7"/>
      <c r="B497" s="66" t="s">
        <v>4382</v>
      </c>
      <c r="C497" s="64" t="s">
        <v>493</v>
      </c>
      <c r="D497" s="7">
        <v>50</v>
      </c>
    </row>
    <row r="498" spans="1:18">
      <c r="A498" s="7"/>
      <c r="B498" s="66"/>
      <c r="C498" s="64"/>
      <c r="D498" s="7"/>
    </row>
    <row r="499" spans="1:18" s="92" customFormat="1">
      <c r="A499" s="103" t="s">
        <v>4364</v>
      </c>
      <c r="B499" s="104" t="s">
        <v>4365</v>
      </c>
      <c r="C499" s="103" t="s">
        <v>494</v>
      </c>
      <c r="E499" s="92" t="s">
        <v>476</v>
      </c>
      <c r="F499" s="92">
        <v>22</v>
      </c>
      <c r="G499" s="92">
        <v>2211</v>
      </c>
      <c r="H499" s="92" t="s">
        <v>3260</v>
      </c>
      <c r="K499" s="92">
        <v>1</v>
      </c>
      <c r="L499" s="92">
        <v>52</v>
      </c>
      <c r="N499" s="92">
        <v>2210</v>
      </c>
      <c r="O499" s="105" t="s">
        <v>3652</v>
      </c>
    </row>
    <row r="500" spans="1:18" s="92" customFormat="1">
      <c r="A500" s="103"/>
      <c r="B500" s="104" t="s">
        <v>4366</v>
      </c>
      <c r="C500" s="103" t="s">
        <v>494</v>
      </c>
      <c r="E500" s="92" t="s">
        <v>476</v>
      </c>
      <c r="K500" s="92">
        <v>2</v>
      </c>
      <c r="L500" s="92">
        <v>3</v>
      </c>
      <c r="N500" s="92" t="s">
        <v>3671</v>
      </c>
      <c r="O500" s="105" t="s">
        <v>3673</v>
      </c>
      <c r="P500" s="105" t="s">
        <v>3673</v>
      </c>
    </row>
    <row r="501" spans="1:18" s="92" customFormat="1">
      <c r="A501" s="103"/>
      <c r="B501" s="104" t="s">
        <v>4351</v>
      </c>
      <c r="C501" s="103" t="s">
        <v>494</v>
      </c>
      <c r="K501" s="92">
        <v>3</v>
      </c>
      <c r="L501" s="92">
        <v>6</v>
      </c>
    </row>
    <row r="502" spans="1:18" s="92" customFormat="1">
      <c r="A502" s="103"/>
      <c r="B502" s="104" t="s">
        <v>4352</v>
      </c>
      <c r="C502" s="103" t="s">
        <v>494</v>
      </c>
      <c r="K502" s="92">
        <v>4</v>
      </c>
      <c r="L502" s="92">
        <v>6</v>
      </c>
    </row>
    <row r="503" spans="1:18" s="92" customFormat="1">
      <c r="A503" s="103"/>
      <c r="B503" s="104" t="s">
        <v>4367</v>
      </c>
      <c r="C503" s="103" t="s">
        <v>494</v>
      </c>
      <c r="K503" s="92">
        <v>5</v>
      </c>
      <c r="L503" s="92">
        <v>9</v>
      </c>
      <c r="N503" s="92" t="s">
        <v>1038</v>
      </c>
      <c r="O503" s="106" t="s">
        <v>1040</v>
      </c>
      <c r="P503" s="106" t="s">
        <v>1041</v>
      </c>
      <c r="Q503" s="106" t="s">
        <v>1040</v>
      </c>
      <c r="R503" s="107">
        <v>140</v>
      </c>
    </row>
    <row r="504" spans="1:18" s="92" customFormat="1">
      <c r="A504" s="103"/>
      <c r="B504" s="104" t="s">
        <v>4369</v>
      </c>
      <c r="C504" s="103" t="s">
        <v>494</v>
      </c>
      <c r="H504" s="92" t="s">
        <v>4370</v>
      </c>
      <c r="K504" s="92">
        <v>6</v>
      </c>
      <c r="L504" s="92">
        <v>3</v>
      </c>
    </row>
    <row r="505" spans="1:18" s="92" customFormat="1">
      <c r="A505" s="103"/>
      <c r="B505" s="104" t="s">
        <v>4368</v>
      </c>
      <c r="C505" s="103" t="s">
        <v>494</v>
      </c>
      <c r="K505" s="92">
        <v>7</v>
      </c>
      <c r="L505" s="92">
        <v>9</v>
      </c>
      <c r="N505" s="92" t="s">
        <v>1038</v>
      </c>
      <c r="O505" s="106" t="s">
        <v>1040</v>
      </c>
      <c r="P505" s="106" t="s">
        <v>1041</v>
      </c>
      <c r="Q505" s="106" t="s">
        <v>1040</v>
      </c>
      <c r="R505" s="107">
        <v>140</v>
      </c>
    </row>
    <row r="506" spans="1:18">
      <c r="A506" s="62"/>
    </row>
    <row r="508" spans="1:18">
      <c r="A508" s="62" t="s">
        <v>3664</v>
      </c>
      <c r="B508" s="62" t="s">
        <v>3665</v>
      </c>
      <c r="C508" s="62" t="s">
        <v>494</v>
      </c>
      <c r="E508" s="62" t="s">
        <v>476</v>
      </c>
      <c r="F508">
        <v>22</v>
      </c>
      <c r="G508">
        <v>2212</v>
      </c>
      <c r="H508" s="62" t="s">
        <v>267</v>
      </c>
      <c r="I508" s="62" t="s">
        <v>3670</v>
      </c>
      <c r="J508">
        <v>1</v>
      </c>
      <c r="K508">
        <v>1</v>
      </c>
      <c r="L508">
        <v>6</v>
      </c>
    </row>
    <row r="509" spans="1:18">
      <c r="B509" s="62" t="s">
        <v>3666</v>
      </c>
      <c r="C509" s="62" t="s">
        <v>494</v>
      </c>
      <c r="K509">
        <v>2</v>
      </c>
      <c r="L509">
        <v>6</v>
      </c>
    </row>
    <row r="510" spans="1:18">
      <c r="B510" s="62" t="s">
        <v>3667</v>
      </c>
      <c r="C510" s="62" t="s">
        <v>493</v>
      </c>
      <c r="D510">
        <v>100</v>
      </c>
      <c r="K510">
        <v>3</v>
      </c>
    </row>
    <row r="511" spans="1:18">
      <c r="B511" s="62" t="s">
        <v>3668</v>
      </c>
      <c r="C511" s="62" t="s">
        <v>494</v>
      </c>
      <c r="K511">
        <v>4</v>
      </c>
      <c r="L511">
        <v>8</v>
      </c>
    </row>
    <row r="512" spans="1:18">
      <c r="B512" s="62" t="s">
        <v>3669</v>
      </c>
      <c r="C512" s="62" t="s">
        <v>494</v>
      </c>
      <c r="K512">
        <v>5</v>
      </c>
      <c r="L512">
        <v>8</v>
      </c>
    </row>
    <row r="513" spans="1:16">
      <c r="B513" s="62" t="s">
        <v>3710</v>
      </c>
      <c r="C513" s="62" t="s">
        <v>493</v>
      </c>
      <c r="D513">
        <v>1</v>
      </c>
      <c r="K513">
        <v>6</v>
      </c>
      <c r="L513">
        <v>3</v>
      </c>
    </row>
    <row r="514" spans="1:16">
      <c r="B514" s="62" t="s">
        <v>4938</v>
      </c>
      <c r="C514" s="62" t="s">
        <v>494</v>
      </c>
      <c r="K514">
        <v>7</v>
      </c>
      <c r="L514">
        <v>8</v>
      </c>
    </row>
    <row r="515" spans="1:16">
      <c r="B515" s="62" t="s">
        <v>5021</v>
      </c>
      <c r="C515" s="62" t="s">
        <v>493</v>
      </c>
      <c r="D515">
        <v>20</v>
      </c>
      <c r="K515">
        <v>8</v>
      </c>
    </row>
    <row r="516" spans="1:16">
      <c r="B516" s="62" t="s">
        <v>6800</v>
      </c>
      <c r="C516" s="62" t="s">
        <v>494</v>
      </c>
      <c r="K516">
        <v>9</v>
      </c>
      <c r="L516">
        <v>3</v>
      </c>
      <c r="N516" t="s">
        <v>6793</v>
      </c>
      <c r="O516" t="s">
        <v>6797</v>
      </c>
      <c r="P516" t="s">
        <v>6796</v>
      </c>
    </row>
    <row r="517" spans="1:16">
      <c r="B517" s="62"/>
      <c r="C517" s="62"/>
    </row>
    <row r="518" spans="1:16">
      <c r="A518" s="70" t="s">
        <v>3655</v>
      </c>
      <c r="B518" s="67" t="s">
        <v>3658</v>
      </c>
      <c r="C518" s="70" t="s">
        <v>494</v>
      </c>
      <c r="D518" s="94"/>
      <c r="E518" s="62" t="s">
        <v>476</v>
      </c>
      <c r="F518">
        <v>22</v>
      </c>
      <c r="G518">
        <v>2209</v>
      </c>
      <c r="H518" s="62" t="s">
        <v>3661</v>
      </c>
      <c r="I518" s="62"/>
      <c r="J518">
        <v>1</v>
      </c>
      <c r="K518" s="62">
        <v>1</v>
      </c>
      <c r="L518" s="62">
        <v>52</v>
      </c>
      <c r="N518">
        <v>2212</v>
      </c>
      <c r="O518" t="s">
        <v>3666</v>
      </c>
    </row>
    <row r="519" spans="1:16">
      <c r="A519" s="70"/>
      <c r="B519" s="67" t="s">
        <v>3656</v>
      </c>
      <c r="C519" s="70" t="s">
        <v>494</v>
      </c>
      <c r="D519" s="94"/>
      <c r="E519" s="62"/>
      <c r="H519" s="62"/>
      <c r="I519" s="62"/>
      <c r="K519" s="62">
        <v>2</v>
      </c>
      <c r="L519" s="62">
        <v>6</v>
      </c>
    </row>
    <row r="520" spans="1:16">
      <c r="A520" s="70"/>
      <c r="B520" s="67" t="s">
        <v>3648</v>
      </c>
      <c r="C520" s="70" t="s">
        <v>494</v>
      </c>
      <c r="D520" s="94"/>
      <c r="K520" s="62">
        <v>3</v>
      </c>
      <c r="L520">
        <v>6</v>
      </c>
    </row>
    <row r="521" spans="1:16">
      <c r="A521" s="70"/>
      <c r="B521" s="67" t="s">
        <v>3657</v>
      </c>
      <c r="C521" s="70" t="s">
        <v>493</v>
      </c>
      <c r="D521" s="94">
        <v>250</v>
      </c>
      <c r="H521" s="62"/>
      <c r="K521" s="62">
        <v>4</v>
      </c>
    </row>
    <row r="522" spans="1:16">
      <c r="A522" s="70"/>
      <c r="B522" s="67" t="s">
        <v>3659</v>
      </c>
      <c r="C522" s="70" t="s">
        <v>494</v>
      </c>
      <c r="D522" s="94"/>
      <c r="K522" s="62">
        <v>5</v>
      </c>
      <c r="L522">
        <v>8</v>
      </c>
    </row>
    <row r="523" spans="1:16">
      <c r="A523" s="70"/>
      <c r="B523" s="67" t="s">
        <v>3708</v>
      </c>
      <c r="C523" s="70" t="s">
        <v>493</v>
      </c>
      <c r="D523" s="94">
        <v>1</v>
      </c>
      <c r="K523" s="62">
        <v>6</v>
      </c>
      <c r="L523">
        <v>3</v>
      </c>
    </row>
    <row r="524" spans="1:16">
      <c r="A524" s="94"/>
      <c r="B524" s="67" t="s">
        <v>4305</v>
      </c>
      <c r="C524" s="70" t="s">
        <v>493</v>
      </c>
      <c r="D524" s="94">
        <v>50</v>
      </c>
      <c r="K524" s="62">
        <v>7</v>
      </c>
      <c r="L524" s="80"/>
      <c r="M524" s="10"/>
      <c r="N524" s="62"/>
      <c r="O524" s="62"/>
      <c r="P524" s="62"/>
    </row>
    <row r="525" spans="1:16">
      <c r="B525" s="62"/>
      <c r="C525" s="62"/>
    </row>
    <row r="526" spans="1:16">
      <c r="A526" s="64" t="s">
        <v>5982</v>
      </c>
      <c r="B526" s="64" t="s">
        <v>5983</v>
      </c>
      <c r="C526" s="64" t="s">
        <v>494</v>
      </c>
      <c r="D526" s="7"/>
      <c r="E526" s="64" t="s">
        <v>476</v>
      </c>
      <c r="F526">
        <v>22</v>
      </c>
      <c r="G526">
        <v>2244</v>
      </c>
      <c r="H526" s="62" t="s">
        <v>5988</v>
      </c>
      <c r="J526">
        <v>1</v>
      </c>
      <c r="K526">
        <v>1</v>
      </c>
      <c r="L526">
        <v>52</v>
      </c>
      <c r="N526">
        <v>2212</v>
      </c>
      <c r="O526" s="62" t="s">
        <v>3666</v>
      </c>
    </row>
    <row r="527" spans="1:16">
      <c r="A527" s="7"/>
      <c r="B527" s="64" t="s">
        <v>5984</v>
      </c>
      <c r="C527" s="64" t="s">
        <v>494</v>
      </c>
      <c r="D527" s="7"/>
      <c r="E527" s="64" t="s">
        <v>476</v>
      </c>
      <c r="K527">
        <v>2</v>
      </c>
      <c r="L527">
        <v>6</v>
      </c>
    </row>
    <row r="528" spans="1:16">
      <c r="A528" s="7"/>
      <c r="B528" s="64" t="s">
        <v>5985</v>
      </c>
      <c r="C528" s="64" t="s">
        <v>494</v>
      </c>
      <c r="D528" s="7"/>
      <c r="E528" s="7"/>
      <c r="K528">
        <v>3</v>
      </c>
      <c r="L528">
        <v>6</v>
      </c>
    </row>
    <row r="529" spans="1:16">
      <c r="A529" s="7"/>
      <c r="B529" s="64" t="s">
        <v>5986</v>
      </c>
      <c r="C529" s="64" t="s">
        <v>493</v>
      </c>
      <c r="D529" s="7">
        <v>100</v>
      </c>
      <c r="E529" s="7"/>
      <c r="K529">
        <v>4</v>
      </c>
    </row>
    <row r="530" spans="1:16">
      <c r="A530" s="7"/>
      <c r="B530" s="64" t="s">
        <v>5987</v>
      </c>
      <c r="C530" s="64" t="s">
        <v>494</v>
      </c>
      <c r="D530" s="7"/>
      <c r="E530" s="7"/>
      <c r="K530">
        <v>5</v>
      </c>
      <c r="L530">
        <v>8</v>
      </c>
    </row>
    <row r="531" spans="1:16" s="7" customFormat="1">
      <c r="B531" s="66"/>
      <c r="C531" s="64"/>
    </row>
    <row r="532" spans="1:16">
      <c r="A532" s="70" t="s">
        <v>4415</v>
      </c>
      <c r="B532" s="67" t="s">
        <v>4432</v>
      </c>
      <c r="C532" s="70" t="s">
        <v>494</v>
      </c>
      <c r="D532" s="94"/>
      <c r="E532" s="70" t="s">
        <v>476</v>
      </c>
      <c r="F532">
        <v>22</v>
      </c>
      <c r="G532">
        <v>2226</v>
      </c>
      <c r="H532" s="62" t="s">
        <v>4422</v>
      </c>
      <c r="I532" s="62"/>
      <c r="J532">
        <v>1</v>
      </c>
      <c r="K532" s="55">
        <v>1</v>
      </c>
      <c r="L532">
        <v>52</v>
      </c>
      <c r="N532">
        <v>2212</v>
      </c>
      <c r="O532" s="62" t="s">
        <v>3666</v>
      </c>
      <c r="P532" s="62"/>
    </row>
    <row r="533" spans="1:16">
      <c r="A533" s="70"/>
      <c r="B533" s="67" t="s">
        <v>4416</v>
      </c>
      <c r="C533" s="70" t="s">
        <v>494</v>
      </c>
      <c r="D533" s="94"/>
      <c r="E533" s="70" t="s">
        <v>476</v>
      </c>
      <c r="H533" s="62"/>
      <c r="I533" s="62"/>
      <c r="K533" s="55">
        <v>2</v>
      </c>
      <c r="L533">
        <v>3</v>
      </c>
      <c r="N533" s="62" t="s">
        <v>693</v>
      </c>
      <c r="O533" s="1" t="s">
        <v>695</v>
      </c>
      <c r="P533" s="62" t="s">
        <v>696</v>
      </c>
    </row>
    <row r="534" spans="1:16">
      <c r="A534" s="94"/>
      <c r="B534" s="67" t="s">
        <v>4417</v>
      </c>
      <c r="C534" s="70" t="s">
        <v>494</v>
      </c>
      <c r="D534" s="94"/>
      <c r="E534" s="70" t="s">
        <v>476</v>
      </c>
      <c r="K534" s="55">
        <v>3</v>
      </c>
      <c r="L534">
        <v>3</v>
      </c>
      <c r="N534" s="62" t="s">
        <v>4423</v>
      </c>
      <c r="O534" s="66" t="s">
        <v>4425</v>
      </c>
      <c r="P534" s="66" t="s">
        <v>4426</v>
      </c>
    </row>
    <row r="535" spans="1:16">
      <c r="A535" s="94"/>
      <c r="B535" s="67" t="s">
        <v>4419</v>
      </c>
      <c r="C535" s="70" t="s">
        <v>494</v>
      </c>
      <c r="D535" s="94"/>
      <c r="E535" s="70" t="s">
        <v>476</v>
      </c>
      <c r="K535" s="55">
        <v>4</v>
      </c>
      <c r="L535">
        <v>8</v>
      </c>
    </row>
    <row r="536" spans="1:16">
      <c r="A536" s="94"/>
      <c r="B536" s="67" t="s">
        <v>4418</v>
      </c>
      <c r="C536" s="70" t="s">
        <v>494</v>
      </c>
      <c r="D536" s="94"/>
      <c r="E536" s="94"/>
      <c r="K536" s="55">
        <v>5</v>
      </c>
      <c r="L536">
        <v>6</v>
      </c>
    </row>
    <row r="537" spans="1:16">
      <c r="A537" s="94"/>
      <c r="B537" s="67" t="s">
        <v>4420</v>
      </c>
      <c r="C537" s="70" t="s">
        <v>493</v>
      </c>
      <c r="D537" s="94">
        <v>1</v>
      </c>
      <c r="E537" s="94"/>
      <c r="K537" s="55">
        <v>6</v>
      </c>
      <c r="L537">
        <v>3</v>
      </c>
    </row>
    <row r="539" spans="1:16">
      <c r="A539" s="62" t="s">
        <v>3677</v>
      </c>
      <c r="B539" s="62" t="s">
        <v>3678</v>
      </c>
      <c r="C539" s="62" t="s">
        <v>494</v>
      </c>
      <c r="E539" s="62" t="s">
        <v>476</v>
      </c>
    </row>
    <row r="540" spans="1:16">
      <c r="B540" s="62" t="s">
        <v>3679</v>
      </c>
      <c r="C540" s="62" t="s">
        <v>493</v>
      </c>
      <c r="D540">
        <v>50</v>
      </c>
      <c r="H540" s="62" t="s">
        <v>3680</v>
      </c>
    </row>
    <row r="541" spans="1:16">
      <c r="B541" s="62" t="s">
        <v>4547</v>
      </c>
      <c r="C541" s="62" t="s">
        <v>494</v>
      </c>
      <c r="H541" s="62"/>
    </row>
    <row r="542" spans="1:16">
      <c r="B542" s="62" t="s">
        <v>4548</v>
      </c>
      <c r="C542" s="62" t="s">
        <v>494</v>
      </c>
      <c r="H542" s="62"/>
    </row>
    <row r="544" spans="1:16">
      <c r="A544" s="62" t="s">
        <v>3696</v>
      </c>
      <c r="B544" s="62" t="s">
        <v>3697</v>
      </c>
      <c r="C544" s="62" t="s">
        <v>494</v>
      </c>
      <c r="E544" s="62" t="s">
        <v>476</v>
      </c>
      <c r="F544">
        <v>22</v>
      </c>
      <c r="G544">
        <v>2214</v>
      </c>
      <c r="H544" s="62" t="s">
        <v>3717</v>
      </c>
      <c r="I544" s="62" t="s">
        <v>3718</v>
      </c>
      <c r="J544">
        <v>2</v>
      </c>
      <c r="K544">
        <v>1</v>
      </c>
      <c r="L544">
        <v>6</v>
      </c>
    </row>
    <row r="545" spans="1:18">
      <c r="B545" s="62" t="s">
        <v>3698</v>
      </c>
      <c r="C545" s="62" t="s">
        <v>494</v>
      </c>
      <c r="K545">
        <v>2</v>
      </c>
      <c r="L545">
        <v>6</v>
      </c>
    </row>
    <row r="546" spans="1:18">
      <c r="B546" s="62" t="s">
        <v>3701</v>
      </c>
      <c r="C546" s="62" t="s">
        <v>493</v>
      </c>
      <c r="D546">
        <v>1</v>
      </c>
      <c r="K546">
        <v>3</v>
      </c>
      <c r="L546">
        <v>3</v>
      </c>
    </row>
    <row r="547" spans="1:18">
      <c r="B547" s="62" t="s">
        <v>3700</v>
      </c>
      <c r="C547" s="62" t="s">
        <v>494</v>
      </c>
      <c r="K547">
        <v>4</v>
      </c>
    </row>
    <row r="548" spans="1:18">
      <c r="B548" s="62" t="s">
        <v>3699</v>
      </c>
      <c r="C548" s="62" t="s">
        <v>493</v>
      </c>
      <c r="D548">
        <v>100</v>
      </c>
      <c r="K548">
        <v>5</v>
      </c>
    </row>
    <row r="550" spans="1:18">
      <c r="A550" s="62" t="s">
        <v>3719</v>
      </c>
      <c r="B550" s="62" t="s">
        <v>3720</v>
      </c>
      <c r="C550" s="62" t="s">
        <v>494</v>
      </c>
      <c r="E550" s="62" t="s">
        <v>476</v>
      </c>
      <c r="F550">
        <v>22</v>
      </c>
      <c r="G550">
        <v>2215</v>
      </c>
      <c r="H550" s="62" t="s">
        <v>3726</v>
      </c>
      <c r="I550" s="62" t="s">
        <v>3727</v>
      </c>
      <c r="J550">
        <v>2</v>
      </c>
      <c r="K550">
        <v>1</v>
      </c>
      <c r="L550">
        <v>3</v>
      </c>
      <c r="N550" s="62" t="s">
        <v>3696</v>
      </c>
      <c r="O550" s="62" t="s">
        <v>3698</v>
      </c>
      <c r="P550" s="62" t="s">
        <v>3699</v>
      </c>
      <c r="R550">
        <v>2214</v>
      </c>
    </row>
    <row r="551" spans="1:18">
      <c r="B551" s="62" t="s">
        <v>3721</v>
      </c>
      <c r="C551" s="62" t="s">
        <v>494</v>
      </c>
      <c r="E551" s="62" t="s">
        <v>476</v>
      </c>
      <c r="K551">
        <v>2</v>
      </c>
      <c r="L551">
        <v>6</v>
      </c>
    </row>
    <row r="552" spans="1:18">
      <c r="B552" s="62" t="s">
        <v>3722</v>
      </c>
      <c r="C552" s="62" t="s">
        <v>494</v>
      </c>
      <c r="K552">
        <v>3</v>
      </c>
      <c r="L552">
        <v>6</v>
      </c>
    </row>
    <row r="553" spans="1:18">
      <c r="B553" s="62" t="s">
        <v>3723</v>
      </c>
      <c r="C553" s="62" t="s">
        <v>493</v>
      </c>
      <c r="D553">
        <v>1</v>
      </c>
      <c r="K553">
        <v>4</v>
      </c>
      <c r="L553">
        <v>3</v>
      </c>
    </row>
    <row r="554" spans="1:18">
      <c r="B554" s="62" t="s">
        <v>3724</v>
      </c>
      <c r="C554" s="62" t="s">
        <v>493</v>
      </c>
      <c r="D554">
        <v>250</v>
      </c>
      <c r="K554">
        <v>5</v>
      </c>
    </row>
    <row r="555" spans="1:18">
      <c r="B555" s="62" t="s">
        <v>3725</v>
      </c>
      <c r="C555" s="62" t="s">
        <v>494</v>
      </c>
      <c r="K555">
        <v>6</v>
      </c>
      <c r="L555">
        <v>8</v>
      </c>
    </row>
    <row r="557" spans="1:18">
      <c r="A557" s="64" t="s">
        <v>3828</v>
      </c>
      <c r="B557" s="62" t="s">
        <v>3829</v>
      </c>
      <c r="C557" s="62" t="s">
        <v>494</v>
      </c>
      <c r="E557" s="62" t="s">
        <v>476</v>
      </c>
      <c r="F557">
        <v>22</v>
      </c>
      <c r="G557">
        <v>2216</v>
      </c>
      <c r="H557" s="62" t="s">
        <v>3833</v>
      </c>
      <c r="I557" s="62" t="s">
        <v>3834</v>
      </c>
      <c r="J557">
        <v>2201</v>
      </c>
      <c r="K557" s="55">
        <v>1</v>
      </c>
      <c r="L557" s="9">
        <v>3</v>
      </c>
      <c r="M557" s="1"/>
      <c r="N557" s="64" t="s">
        <v>506</v>
      </c>
      <c r="O557" s="64" t="s">
        <v>514</v>
      </c>
      <c r="P557" s="62" t="s">
        <v>515</v>
      </c>
    </row>
    <row r="558" spans="1:18">
      <c r="B558" s="62" t="s">
        <v>3830</v>
      </c>
      <c r="C558" s="62" t="s">
        <v>494</v>
      </c>
      <c r="E558" s="62" t="s">
        <v>476</v>
      </c>
      <c r="K558" s="55">
        <v>2</v>
      </c>
      <c r="L558">
        <v>8</v>
      </c>
    </row>
    <row r="559" spans="1:18">
      <c r="B559" s="62" t="s">
        <v>3831</v>
      </c>
      <c r="C559" s="62" t="s">
        <v>494</v>
      </c>
      <c r="E559" s="62" t="s">
        <v>476</v>
      </c>
      <c r="K559" s="55">
        <v>3</v>
      </c>
      <c r="L559">
        <v>3</v>
      </c>
      <c r="M559">
        <v>31</v>
      </c>
      <c r="N559" s="62" t="s">
        <v>3655</v>
      </c>
      <c r="O559" s="62" t="s">
        <v>3648</v>
      </c>
      <c r="P559" s="62" t="s">
        <v>3657</v>
      </c>
      <c r="Q559" s="14" t="s">
        <v>3658</v>
      </c>
      <c r="R559" s="14">
        <v>7</v>
      </c>
    </row>
    <row r="560" spans="1:18">
      <c r="B560" s="62" t="s">
        <v>3778</v>
      </c>
      <c r="C560" s="62" t="s">
        <v>494</v>
      </c>
      <c r="E560" s="62"/>
      <c r="K560" s="55">
        <v>4</v>
      </c>
      <c r="L560">
        <v>6</v>
      </c>
    </row>
    <row r="561" spans="2:18">
      <c r="B561" s="62" t="s">
        <v>3832</v>
      </c>
      <c r="C561" s="62" t="s">
        <v>494</v>
      </c>
      <c r="E561" s="62"/>
      <c r="K561" s="55">
        <v>5</v>
      </c>
      <c r="L561">
        <v>3</v>
      </c>
      <c r="M561" s="14">
        <v>31</v>
      </c>
      <c r="N561" s="62" t="s">
        <v>379</v>
      </c>
      <c r="O561" s="62" t="s">
        <v>698</v>
      </c>
      <c r="P561" s="62" t="s">
        <v>699</v>
      </c>
      <c r="Q561" s="62" t="s">
        <v>383</v>
      </c>
      <c r="R561">
        <v>8</v>
      </c>
    </row>
    <row r="562" spans="2:18">
      <c r="B562" s="62" t="s">
        <v>3840</v>
      </c>
      <c r="C562" s="62" t="s">
        <v>493</v>
      </c>
      <c r="D562">
        <v>250</v>
      </c>
      <c r="E562" s="62"/>
      <c r="K562" s="55">
        <v>6</v>
      </c>
    </row>
    <row r="563" spans="2:18">
      <c r="B563" s="62" t="s">
        <v>3835</v>
      </c>
      <c r="C563" s="62" t="s">
        <v>494</v>
      </c>
      <c r="E563" s="62"/>
      <c r="K563" s="55">
        <v>7</v>
      </c>
      <c r="L563">
        <v>3</v>
      </c>
      <c r="N563" s="62" t="s">
        <v>3664</v>
      </c>
      <c r="O563" s="62" t="s">
        <v>3666</v>
      </c>
      <c r="P563" s="62" t="s">
        <v>3667</v>
      </c>
    </row>
    <row r="564" spans="2:18">
      <c r="B564" s="62" t="s">
        <v>3836</v>
      </c>
      <c r="C564" s="62" t="s">
        <v>494</v>
      </c>
      <c r="E564" s="62"/>
      <c r="K564" s="55">
        <v>8</v>
      </c>
      <c r="L564">
        <v>3</v>
      </c>
      <c r="N564" s="62" t="s">
        <v>693</v>
      </c>
      <c r="O564" s="1" t="s">
        <v>695</v>
      </c>
      <c r="P564" s="1" t="s">
        <v>696</v>
      </c>
    </row>
    <row r="565" spans="2:18">
      <c r="B565" s="62" t="s">
        <v>3837</v>
      </c>
      <c r="C565" s="62" t="s">
        <v>494</v>
      </c>
      <c r="E565" s="62"/>
      <c r="K565" s="55">
        <v>9</v>
      </c>
      <c r="L565">
        <v>7</v>
      </c>
    </row>
    <row r="566" spans="2:18">
      <c r="B566" s="62" t="s">
        <v>3838</v>
      </c>
      <c r="C566" s="62" t="s">
        <v>494</v>
      </c>
      <c r="E566" s="62"/>
      <c r="K566" s="55">
        <v>10</v>
      </c>
    </row>
    <row r="567" spans="2:18">
      <c r="B567" s="62" t="s">
        <v>3839</v>
      </c>
      <c r="C567" s="62" t="s">
        <v>494</v>
      </c>
      <c r="E567" s="62"/>
      <c r="K567" s="55">
        <v>11</v>
      </c>
      <c r="M567">
        <v>1</v>
      </c>
    </row>
    <row r="568" spans="2:18">
      <c r="B568" s="66" t="s">
        <v>3841</v>
      </c>
      <c r="C568" s="62" t="s">
        <v>494</v>
      </c>
      <c r="K568" s="55">
        <v>12</v>
      </c>
      <c r="M568">
        <v>1</v>
      </c>
    </row>
    <row r="569" spans="2:18">
      <c r="B569" s="66" t="s">
        <v>3842</v>
      </c>
      <c r="C569" s="62" t="s">
        <v>494</v>
      </c>
      <c r="K569" s="55">
        <v>13</v>
      </c>
      <c r="M569">
        <v>1</v>
      </c>
    </row>
    <row r="570" spans="2:18">
      <c r="B570" s="66" t="s">
        <v>3843</v>
      </c>
      <c r="C570" s="62" t="s">
        <v>702</v>
      </c>
      <c r="K570" s="55">
        <v>14</v>
      </c>
      <c r="M570">
        <v>1</v>
      </c>
    </row>
    <row r="571" spans="2:18">
      <c r="B571" s="66" t="s">
        <v>3844</v>
      </c>
      <c r="C571" s="62" t="s">
        <v>494</v>
      </c>
      <c r="K571" s="55">
        <v>15</v>
      </c>
      <c r="L571">
        <v>3</v>
      </c>
      <c r="M571">
        <v>3</v>
      </c>
      <c r="N571" s="62" t="s">
        <v>5398</v>
      </c>
      <c r="O571" s="66" t="s">
        <v>5399</v>
      </c>
      <c r="P571" s="66" t="s">
        <v>5400</v>
      </c>
    </row>
    <row r="572" spans="2:18">
      <c r="B572" s="66" t="s">
        <v>3845</v>
      </c>
      <c r="C572" s="62" t="s">
        <v>494</v>
      </c>
      <c r="K572" s="55">
        <v>16</v>
      </c>
      <c r="L572">
        <v>3</v>
      </c>
    </row>
    <row r="573" spans="2:18">
      <c r="B573" s="66" t="s">
        <v>3877</v>
      </c>
      <c r="C573" s="62" t="s">
        <v>494</v>
      </c>
      <c r="K573" s="55">
        <v>17</v>
      </c>
      <c r="M573">
        <v>1</v>
      </c>
    </row>
    <row r="574" spans="2:18">
      <c r="B574" s="66" t="s">
        <v>3878</v>
      </c>
      <c r="C574" s="62" t="s">
        <v>494</v>
      </c>
      <c r="K574" s="55">
        <v>18</v>
      </c>
      <c r="M574">
        <v>1</v>
      </c>
    </row>
    <row r="575" spans="2:18">
      <c r="B575" s="66" t="s">
        <v>3967</v>
      </c>
      <c r="C575" s="62" t="s">
        <v>494</v>
      </c>
      <c r="H575" s="62" t="s">
        <v>3968</v>
      </c>
      <c r="K575" s="55">
        <v>19</v>
      </c>
      <c r="L575">
        <v>8</v>
      </c>
      <c r="M575">
        <v>2</v>
      </c>
    </row>
    <row r="576" spans="2:18">
      <c r="B576" s="66" t="s">
        <v>4002</v>
      </c>
      <c r="C576" s="62" t="s">
        <v>494</v>
      </c>
      <c r="H576" s="62"/>
      <c r="K576" s="55">
        <v>20</v>
      </c>
      <c r="M576">
        <v>1</v>
      </c>
    </row>
    <row r="577" spans="1:18">
      <c r="B577" s="66" t="s">
        <v>4027</v>
      </c>
      <c r="C577" s="64" t="s">
        <v>494</v>
      </c>
      <c r="D577" s="7"/>
      <c r="E577" s="7"/>
      <c r="F577" s="7"/>
      <c r="G577" s="7"/>
      <c r="H577" s="64"/>
      <c r="I577" s="7"/>
      <c r="J577" s="7"/>
      <c r="K577" s="55">
        <v>21</v>
      </c>
      <c r="L577" s="7">
        <v>3</v>
      </c>
      <c r="M577" s="7">
        <v>1</v>
      </c>
      <c r="N577" s="62" t="s">
        <v>5401</v>
      </c>
      <c r="O577" s="66" t="s">
        <v>5402</v>
      </c>
      <c r="P577" s="66" t="s">
        <v>5403</v>
      </c>
    </row>
    <row r="578" spans="1:18">
      <c r="B578" s="66" t="s">
        <v>4058</v>
      </c>
      <c r="C578" s="64" t="s">
        <v>494</v>
      </c>
      <c r="D578" s="7"/>
      <c r="E578" s="7"/>
      <c r="F578" s="7"/>
      <c r="G578" s="7"/>
      <c r="H578" s="64"/>
      <c r="I578" s="7"/>
      <c r="J578" s="7"/>
      <c r="K578" s="55">
        <v>22</v>
      </c>
      <c r="L578" s="7"/>
      <c r="M578" s="7">
        <v>1</v>
      </c>
      <c r="O578" s="66"/>
    </row>
    <row r="579" spans="1:18">
      <c r="B579" s="67" t="s">
        <v>5114</v>
      </c>
      <c r="C579" s="70" t="s">
        <v>493</v>
      </c>
      <c r="D579" s="94">
        <v>250</v>
      </c>
      <c r="E579" s="94"/>
      <c r="F579" s="94"/>
      <c r="G579" s="94"/>
      <c r="H579" s="70"/>
      <c r="I579" s="94"/>
      <c r="J579" s="94"/>
      <c r="K579" s="99">
        <v>23</v>
      </c>
      <c r="L579" s="94"/>
      <c r="M579" s="94"/>
    </row>
    <row r="580" spans="1:18">
      <c r="B580" s="67" t="s">
        <v>5115</v>
      </c>
      <c r="C580" s="70" t="s">
        <v>493</v>
      </c>
      <c r="D580" s="94">
        <v>250</v>
      </c>
      <c r="E580" s="94"/>
      <c r="F580" s="94"/>
      <c r="G580" s="94"/>
      <c r="H580" s="70"/>
      <c r="I580" s="94"/>
      <c r="J580" s="94"/>
      <c r="K580" s="99">
        <v>24</v>
      </c>
      <c r="L580" s="94"/>
      <c r="M580" s="94"/>
    </row>
    <row r="581" spans="1:18">
      <c r="B581" s="67" t="s">
        <v>5396</v>
      </c>
      <c r="C581" s="70" t="s">
        <v>494</v>
      </c>
      <c r="D581" s="94"/>
      <c r="E581" s="94"/>
      <c r="F581" s="94"/>
      <c r="G581" s="94"/>
      <c r="H581" s="70"/>
      <c r="I581" s="94"/>
      <c r="J581" s="94"/>
      <c r="K581" s="99">
        <v>25</v>
      </c>
      <c r="L581" s="94"/>
      <c r="M581" s="94">
        <v>7</v>
      </c>
    </row>
    <row r="582" spans="1:18">
      <c r="B582" s="67" t="s">
        <v>5397</v>
      </c>
      <c r="C582" s="70" t="s">
        <v>494</v>
      </c>
      <c r="D582" s="94"/>
      <c r="E582" s="94"/>
      <c r="F582" s="94"/>
      <c r="G582" s="94"/>
      <c r="H582" s="70"/>
      <c r="I582" s="94"/>
      <c r="J582" s="94"/>
      <c r="K582" s="99">
        <v>26</v>
      </c>
      <c r="L582" s="94"/>
      <c r="M582" s="94">
        <v>3</v>
      </c>
    </row>
    <row r="583" spans="1:18">
      <c r="B583" s="67" t="s">
        <v>5416</v>
      </c>
      <c r="C583" s="70" t="s">
        <v>494</v>
      </c>
      <c r="D583" s="94"/>
      <c r="E583" s="94"/>
      <c r="F583" s="94"/>
      <c r="G583" s="94"/>
      <c r="H583" s="70"/>
      <c r="I583" s="94"/>
      <c r="J583" s="94"/>
      <c r="K583" s="99">
        <v>27</v>
      </c>
      <c r="L583" s="94">
        <v>3</v>
      </c>
      <c r="M583" s="94">
        <v>1</v>
      </c>
      <c r="N583" s="62" t="s">
        <v>5417</v>
      </c>
      <c r="O583" s="66" t="s">
        <v>5418</v>
      </c>
      <c r="P583" s="66" t="s">
        <v>5419</v>
      </c>
    </row>
    <row r="584" spans="1:18">
      <c r="B584" s="67" t="s">
        <v>5420</v>
      </c>
      <c r="C584" s="70" t="s">
        <v>494</v>
      </c>
      <c r="D584" s="94"/>
      <c r="E584" s="94"/>
      <c r="F584" s="94"/>
      <c r="G584" s="94"/>
      <c r="H584" s="70"/>
      <c r="I584" s="94"/>
      <c r="J584" s="94"/>
      <c r="K584" s="99">
        <v>28</v>
      </c>
      <c r="L584" s="94">
        <v>3</v>
      </c>
      <c r="M584" s="94"/>
      <c r="N584" s="62" t="s">
        <v>4576</v>
      </c>
      <c r="O584" s="66" t="s">
        <v>4578</v>
      </c>
      <c r="P584" s="66" t="s">
        <v>4579</v>
      </c>
      <c r="R584">
        <v>2250</v>
      </c>
    </row>
    <row r="585" spans="1:18">
      <c r="B585" s="67" t="s">
        <v>5526</v>
      </c>
      <c r="C585" s="70" t="s">
        <v>494</v>
      </c>
      <c r="D585" s="94"/>
      <c r="E585" s="94"/>
      <c r="F585" s="94"/>
      <c r="G585" s="94"/>
      <c r="H585" s="70"/>
      <c r="I585" s="94"/>
      <c r="J585" s="94"/>
      <c r="K585" s="99">
        <v>29</v>
      </c>
      <c r="L585" s="94"/>
      <c r="M585" s="94">
        <v>2</v>
      </c>
      <c r="N585" s="62"/>
      <c r="O585" s="66"/>
      <c r="P585" s="66"/>
    </row>
    <row r="586" spans="1:18">
      <c r="B586" s="67" t="s">
        <v>6064</v>
      </c>
      <c r="C586" s="70" t="s">
        <v>494</v>
      </c>
      <c r="D586" s="94"/>
      <c r="E586" s="94"/>
      <c r="F586" s="94"/>
      <c r="G586" s="94"/>
      <c r="H586" s="70"/>
      <c r="I586" s="94"/>
      <c r="J586" s="94"/>
      <c r="K586" s="99"/>
      <c r="L586" s="94"/>
      <c r="M586" s="94"/>
      <c r="N586" s="62"/>
      <c r="O586" s="66"/>
      <c r="P586" s="66"/>
    </row>
    <row r="587" spans="1:18">
      <c r="B587" s="66"/>
      <c r="C587" s="62"/>
      <c r="K587" s="55"/>
      <c r="N587" s="62"/>
      <c r="O587" s="66"/>
    </row>
    <row r="588" spans="1:18">
      <c r="A588" s="78" t="s">
        <v>3262</v>
      </c>
      <c r="B588" s="70" t="s">
        <v>5404</v>
      </c>
      <c r="C588" s="70" t="s">
        <v>494</v>
      </c>
      <c r="E588" s="62" t="s">
        <v>476</v>
      </c>
      <c r="F588">
        <v>22</v>
      </c>
      <c r="G588">
        <v>2204</v>
      </c>
      <c r="H588" s="62" t="s">
        <v>2034</v>
      </c>
      <c r="I588" s="62"/>
      <c r="J588">
        <v>2201</v>
      </c>
      <c r="K588" s="55">
        <v>1</v>
      </c>
      <c r="L588" s="32">
        <v>52</v>
      </c>
      <c r="N588" s="62">
        <v>2216</v>
      </c>
      <c r="O588" s="62" t="s">
        <v>3778</v>
      </c>
    </row>
    <row r="589" spans="1:18">
      <c r="B589" s="70" t="s">
        <v>3266</v>
      </c>
      <c r="C589" s="70" t="s">
        <v>494</v>
      </c>
      <c r="E589" s="62" t="s">
        <v>476</v>
      </c>
      <c r="K589" s="55">
        <v>2</v>
      </c>
      <c r="L589" s="68">
        <v>9</v>
      </c>
      <c r="M589" s="1"/>
      <c r="N589" s="62" t="s">
        <v>1038</v>
      </c>
      <c r="O589" s="23" t="s">
        <v>1040</v>
      </c>
      <c r="P589" s="23" t="s">
        <v>1041</v>
      </c>
      <c r="Q589" s="23" t="s">
        <v>1040</v>
      </c>
      <c r="R589" s="14">
        <v>140</v>
      </c>
    </row>
    <row r="590" spans="1:18">
      <c r="B590" s="70" t="s">
        <v>3268</v>
      </c>
      <c r="C590" s="70" t="s">
        <v>494</v>
      </c>
      <c r="K590" s="55">
        <v>3</v>
      </c>
      <c r="L590" s="32">
        <v>6</v>
      </c>
    </row>
    <row r="591" spans="1:18">
      <c r="B591" s="70" t="s">
        <v>3264</v>
      </c>
      <c r="C591" s="70" t="s">
        <v>494</v>
      </c>
      <c r="E591" s="62"/>
      <c r="H591" s="62"/>
      <c r="I591" s="62"/>
      <c r="K591" s="55">
        <v>4</v>
      </c>
      <c r="L591" s="9">
        <v>3</v>
      </c>
      <c r="M591" s="1">
        <v>2</v>
      </c>
      <c r="N591" s="10" t="s">
        <v>506</v>
      </c>
      <c r="O591" s="10" t="s">
        <v>514</v>
      </c>
      <c r="P591" s="1" t="s">
        <v>515</v>
      </c>
    </row>
    <row r="592" spans="1:18">
      <c r="B592" s="70" t="s">
        <v>3265</v>
      </c>
      <c r="C592" s="70" t="s">
        <v>494</v>
      </c>
      <c r="E592" s="62"/>
      <c r="K592" s="55">
        <v>5</v>
      </c>
      <c r="L592">
        <v>8</v>
      </c>
      <c r="M592">
        <v>2</v>
      </c>
    </row>
    <row r="593" spans="1:18">
      <c r="B593" s="70" t="s">
        <v>3267</v>
      </c>
      <c r="C593" s="70" t="s">
        <v>494</v>
      </c>
      <c r="E593" s="62"/>
      <c r="G593" s="62" t="s">
        <v>1813</v>
      </c>
      <c r="K593" s="55">
        <v>6</v>
      </c>
      <c r="M593">
        <v>1</v>
      </c>
    </row>
    <row r="594" spans="1:18">
      <c r="B594" s="70" t="s">
        <v>3286</v>
      </c>
      <c r="C594" s="70" t="s">
        <v>494</v>
      </c>
      <c r="E594" s="62"/>
      <c r="G594" s="62" t="s">
        <v>3998</v>
      </c>
      <c r="H594" s="62"/>
      <c r="K594" s="55">
        <v>7</v>
      </c>
      <c r="L594" s="9">
        <v>3</v>
      </c>
      <c r="M594" s="1">
        <v>2</v>
      </c>
      <c r="N594" s="64" t="s">
        <v>1814</v>
      </c>
      <c r="O594" s="66" t="s">
        <v>1815</v>
      </c>
      <c r="P594" s="66" t="s">
        <v>1816</v>
      </c>
    </row>
    <row r="595" spans="1:18">
      <c r="B595" s="70" t="s">
        <v>3269</v>
      </c>
      <c r="C595" s="70" t="s">
        <v>494</v>
      </c>
      <c r="K595" s="55">
        <v>8</v>
      </c>
      <c r="L595" s="9">
        <v>3</v>
      </c>
      <c r="M595" s="62">
        <v>1</v>
      </c>
      <c r="N595" s="62" t="s">
        <v>1002</v>
      </c>
      <c r="O595" s="23" t="s">
        <v>1004</v>
      </c>
      <c r="P595" s="23" t="s">
        <v>1023</v>
      </c>
      <c r="Q595" s="62" t="s">
        <v>5421</v>
      </c>
      <c r="R595">
        <v>2</v>
      </c>
    </row>
    <row r="596" spans="1:18">
      <c r="B596" s="70" t="s">
        <v>3342</v>
      </c>
      <c r="C596" s="70" t="s">
        <v>494</v>
      </c>
      <c r="G596" s="62" t="s">
        <v>3343</v>
      </c>
      <c r="K596" s="55">
        <v>9</v>
      </c>
      <c r="L596" s="32">
        <v>3</v>
      </c>
      <c r="M596">
        <v>1</v>
      </c>
      <c r="N596" s="62" t="s">
        <v>4694</v>
      </c>
      <c r="O596" s="62" t="s">
        <v>4695</v>
      </c>
      <c r="P596" t="s">
        <v>4696</v>
      </c>
    </row>
    <row r="597" spans="1:18">
      <c r="A597" s="64"/>
      <c r="B597" s="70" t="s">
        <v>3270</v>
      </c>
      <c r="C597" s="70" t="s">
        <v>494</v>
      </c>
      <c r="K597" s="55">
        <v>10</v>
      </c>
      <c r="L597" s="32">
        <v>3</v>
      </c>
      <c r="M597">
        <v>31</v>
      </c>
      <c r="N597" s="91" t="s">
        <v>3311</v>
      </c>
      <c r="O597" s="62" t="s">
        <v>3316</v>
      </c>
      <c r="P597" s="62" t="s">
        <v>3315</v>
      </c>
      <c r="Q597" t="s">
        <v>3313</v>
      </c>
      <c r="R597">
        <v>2</v>
      </c>
    </row>
    <row r="598" spans="1:18">
      <c r="B598" s="62"/>
      <c r="C598" s="62"/>
      <c r="G598" s="62"/>
      <c r="K598" s="55"/>
      <c r="L598" s="32"/>
      <c r="N598" s="62"/>
    </row>
    <row r="599" spans="1:18">
      <c r="A599" s="62" t="s">
        <v>5398</v>
      </c>
      <c r="B599" s="66" t="s">
        <v>5399</v>
      </c>
      <c r="C599" s="64" t="s">
        <v>494</v>
      </c>
      <c r="E599" s="62" t="s">
        <v>476</v>
      </c>
      <c r="K599" s="55"/>
    </row>
    <row r="600" spans="1:18">
      <c r="B600" s="66" t="s">
        <v>5400</v>
      </c>
      <c r="C600" s="64" t="s">
        <v>493</v>
      </c>
      <c r="D600">
        <v>50</v>
      </c>
      <c r="K600" s="55"/>
    </row>
    <row r="601" spans="1:18">
      <c r="B601" s="66"/>
      <c r="C601" s="64"/>
      <c r="K601" s="55"/>
    </row>
    <row r="602" spans="1:18">
      <c r="A602" s="62" t="s">
        <v>6686</v>
      </c>
      <c r="B602" s="66" t="s">
        <v>6683</v>
      </c>
      <c r="C602" s="64" t="s">
        <v>494</v>
      </c>
      <c r="E602" s="62" t="s">
        <v>476</v>
      </c>
      <c r="K602" s="55"/>
    </row>
    <row r="603" spans="1:18">
      <c r="B603" s="66" t="s">
        <v>6684</v>
      </c>
      <c r="C603" s="64" t="s">
        <v>493</v>
      </c>
      <c r="D603">
        <v>50</v>
      </c>
      <c r="K603" s="55"/>
    </row>
    <row r="604" spans="1:18">
      <c r="B604" s="66"/>
      <c r="C604" s="62"/>
      <c r="K604" s="55"/>
    </row>
    <row r="605" spans="1:18">
      <c r="A605" s="70" t="s">
        <v>3942</v>
      </c>
      <c r="B605" s="67" t="s">
        <v>3944</v>
      </c>
      <c r="C605" s="70" t="s">
        <v>494</v>
      </c>
      <c r="F605">
        <v>22</v>
      </c>
      <c r="G605">
        <v>2217</v>
      </c>
      <c r="H605" s="62" t="s">
        <v>3946</v>
      </c>
      <c r="I605" s="62" t="s">
        <v>3947</v>
      </c>
      <c r="J605">
        <v>11</v>
      </c>
      <c r="K605" s="55">
        <v>1</v>
      </c>
      <c r="L605">
        <v>3</v>
      </c>
    </row>
    <row r="606" spans="1:18">
      <c r="A606" s="94"/>
      <c r="B606" s="67" t="s">
        <v>3943</v>
      </c>
      <c r="C606" s="70" t="s">
        <v>494</v>
      </c>
      <c r="K606" s="55">
        <v>2</v>
      </c>
      <c r="L606">
        <v>3</v>
      </c>
      <c r="N606" s="10" t="s">
        <v>506</v>
      </c>
      <c r="O606" s="10" t="s">
        <v>514</v>
      </c>
      <c r="P606" s="1" t="s">
        <v>515</v>
      </c>
    </row>
    <row r="607" spans="1:18">
      <c r="A607" s="94"/>
      <c r="B607" s="67" t="s">
        <v>3945</v>
      </c>
      <c r="C607" s="70" t="s">
        <v>494</v>
      </c>
      <c r="K607" s="55">
        <v>3</v>
      </c>
      <c r="L607">
        <v>3</v>
      </c>
      <c r="M607">
        <v>31</v>
      </c>
      <c r="N607" s="1" t="s">
        <v>1038</v>
      </c>
      <c r="O607" s="23" t="s">
        <v>1040</v>
      </c>
      <c r="P607" s="23" t="s">
        <v>1041</v>
      </c>
      <c r="Q607" s="23" t="s">
        <v>1040</v>
      </c>
    </row>
    <row r="608" spans="1:18">
      <c r="B608" s="66"/>
      <c r="C608" s="62"/>
      <c r="K608" s="55"/>
    </row>
    <row r="609" spans="1:18">
      <c r="A609" s="62" t="s">
        <v>3972</v>
      </c>
      <c r="B609" s="62" t="s">
        <v>3973</v>
      </c>
      <c r="C609" s="62" t="s">
        <v>494</v>
      </c>
      <c r="E609" s="62" t="s">
        <v>476</v>
      </c>
      <c r="F609">
        <v>22</v>
      </c>
      <c r="G609">
        <v>2218</v>
      </c>
      <c r="H609" s="62" t="s">
        <v>3997</v>
      </c>
      <c r="I609" s="62" t="s">
        <v>3995</v>
      </c>
      <c r="J609">
        <v>2</v>
      </c>
      <c r="K609">
        <v>1</v>
      </c>
      <c r="L609">
        <v>6</v>
      </c>
    </row>
    <row r="610" spans="1:18">
      <c r="B610" s="62" t="s">
        <v>3974</v>
      </c>
      <c r="C610" s="62" t="s">
        <v>494</v>
      </c>
      <c r="K610">
        <v>2</v>
      </c>
      <c r="L610">
        <v>6</v>
      </c>
    </row>
    <row r="611" spans="1:18">
      <c r="B611" s="62" t="s">
        <v>3975</v>
      </c>
      <c r="C611" s="62" t="s">
        <v>493</v>
      </c>
      <c r="D611">
        <v>1</v>
      </c>
      <c r="K611">
        <v>3</v>
      </c>
      <c r="L611">
        <v>3</v>
      </c>
    </row>
    <row r="612" spans="1:18">
      <c r="B612" s="62" t="s">
        <v>3976</v>
      </c>
      <c r="C612" s="62" t="s">
        <v>494</v>
      </c>
      <c r="K612">
        <v>4</v>
      </c>
      <c r="M612">
        <v>1</v>
      </c>
    </row>
    <row r="614" spans="1:18">
      <c r="A614" s="62" t="s">
        <v>3977</v>
      </c>
      <c r="B614" s="62" t="s">
        <v>3978</v>
      </c>
      <c r="C614" s="62" t="s">
        <v>494</v>
      </c>
      <c r="E614" s="62" t="s">
        <v>476</v>
      </c>
      <c r="F614">
        <v>22</v>
      </c>
      <c r="G614">
        <v>2219</v>
      </c>
      <c r="H614" s="62" t="s">
        <v>3969</v>
      </c>
      <c r="I614" s="62" t="s">
        <v>3996</v>
      </c>
      <c r="J614">
        <v>2202</v>
      </c>
      <c r="K614">
        <v>1</v>
      </c>
      <c r="L614">
        <v>8</v>
      </c>
    </row>
    <row r="615" spans="1:18">
      <c r="B615" s="62" t="s">
        <v>3979</v>
      </c>
      <c r="C615" s="62" t="s">
        <v>494</v>
      </c>
      <c r="K615">
        <v>2</v>
      </c>
      <c r="L615">
        <v>6</v>
      </c>
    </row>
    <row r="616" spans="1:18">
      <c r="B616" s="62" t="s">
        <v>3980</v>
      </c>
      <c r="C616" s="62" t="s">
        <v>493</v>
      </c>
      <c r="D616">
        <v>1</v>
      </c>
      <c r="K616">
        <v>3</v>
      </c>
      <c r="L616">
        <v>3</v>
      </c>
    </row>
    <row r="617" spans="1:18">
      <c r="B617" s="62" t="s">
        <v>3981</v>
      </c>
      <c r="C617" s="62" t="s">
        <v>494</v>
      </c>
      <c r="K617">
        <v>4</v>
      </c>
      <c r="L617">
        <v>3</v>
      </c>
      <c r="N617" s="62" t="s">
        <v>693</v>
      </c>
      <c r="O617" s="1" t="s">
        <v>695</v>
      </c>
      <c r="P617" s="62" t="s">
        <v>696</v>
      </c>
    </row>
    <row r="618" spans="1:18">
      <c r="B618" s="62" t="s">
        <v>3982</v>
      </c>
      <c r="C618" s="62" t="s">
        <v>494</v>
      </c>
      <c r="K618">
        <v>5</v>
      </c>
      <c r="L618">
        <v>3</v>
      </c>
      <c r="M618" s="14">
        <v>31</v>
      </c>
      <c r="N618" s="62" t="s">
        <v>379</v>
      </c>
      <c r="O618" s="62" t="s">
        <v>698</v>
      </c>
      <c r="P618" s="62" t="s">
        <v>699</v>
      </c>
      <c r="Q618" s="62" t="s">
        <v>383</v>
      </c>
      <c r="R618" s="14">
        <v>4</v>
      </c>
    </row>
    <row r="619" spans="1:18">
      <c r="B619" s="62" t="s">
        <v>3983</v>
      </c>
      <c r="C619" s="62" t="s">
        <v>494</v>
      </c>
      <c r="K619">
        <v>6</v>
      </c>
      <c r="L619">
        <v>3</v>
      </c>
    </row>
    <row r="621" spans="1:18">
      <c r="A621" s="62" t="s">
        <v>3990</v>
      </c>
      <c r="B621" s="62" t="s">
        <v>3991</v>
      </c>
      <c r="C621" s="62" t="s">
        <v>494</v>
      </c>
      <c r="E621" s="62" t="s">
        <v>476</v>
      </c>
      <c r="F621">
        <v>22</v>
      </c>
      <c r="G621">
        <v>2220</v>
      </c>
      <c r="H621" s="62" t="s">
        <v>3970</v>
      </c>
      <c r="J621">
        <v>2202</v>
      </c>
      <c r="K621">
        <v>1</v>
      </c>
      <c r="L621">
        <v>52</v>
      </c>
      <c r="N621" s="62" t="s">
        <v>3978</v>
      </c>
      <c r="O621" s="62">
        <v>2403</v>
      </c>
    </row>
    <row r="622" spans="1:18">
      <c r="B622" s="62" t="s">
        <v>3984</v>
      </c>
      <c r="C622" s="62" t="s">
        <v>494</v>
      </c>
      <c r="E622" s="62" t="s">
        <v>476</v>
      </c>
      <c r="K622">
        <v>2</v>
      </c>
      <c r="L622">
        <v>3</v>
      </c>
      <c r="N622" s="10" t="s">
        <v>506</v>
      </c>
      <c r="O622" s="10" t="s">
        <v>514</v>
      </c>
      <c r="P622" s="1" t="s">
        <v>515</v>
      </c>
    </row>
    <row r="623" spans="1:18">
      <c r="B623" s="62" t="s">
        <v>3985</v>
      </c>
      <c r="C623" s="62" t="s">
        <v>494</v>
      </c>
      <c r="E623" s="62" t="s">
        <v>476</v>
      </c>
      <c r="K623">
        <v>3</v>
      </c>
      <c r="L623">
        <v>9</v>
      </c>
      <c r="N623" s="1" t="s">
        <v>1038</v>
      </c>
      <c r="O623" s="23" t="s">
        <v>1040</v>
      </c>
      <c r="P623" s="23" t="s">
        <v>1041</v>
      </c>
      <c r="Q623" s="23" t="s">
        <v>1040</v>
      </c>
      <c r="R623" s="14">
        <v>140</v>
      </c>
    </row>
    <row r="624" spans="1:18">
      <c r="B624" s="62" t="s">
        <v>3986</v>
      </c>
      <c r="C624" s="62" t="s">
        <v>494</v>
      </c>
      <c r="K624">
        <v>4</v>
      </c>
      <c r="L624">
        <v>6</v>
      </c>
    </row>
    <row r="625" spans="1:18">
      <c r="B625" s="62" t="s">
        <v>3987</v>
      </c>
      <c r="C625" s="62" t="s">
        <v>494</v>
      </c>
      <c r="K625">
        <v>5</v>
      </c>
    </row>
    <row r="626" spans="1:18">
      <c r="B626" s="62" t="s">
        <v>3988</v>
      </c>
      <c r="C626" s="62" t="s">
        <v>494</v>
      </c>
      <c r="K626">
        <v>6</v>
      </c>
      <c r="M626">
        <v>1</v>
      </c>
    </row>
    <row r="627" spans="1:18">
      <c r="B627" s="62" t="s">
        <v>3989</v>
      </c>
      <c r="C627" s="62" t="s">
        <v>494</v>
      </c>
      <c r="K627">
        <v>7</v>
      </c>
      <c r="M627">
        <v>1</v>
      </c>
    </row>
    <row r="629" spans="1:18">
      <c r="A629" s="62" t="s">
        <v>4360</v>
      </c>
      <c r="B629" s="66" t="s">
        <v>4335</v>
      </c>
      <c r="C629" s="62" t="s">
        <v>494</v>
      </c>
      <c r="E629" s="62" t="s">
        <v>476</v>
      </c>
      <c r="N629" s="62"/>
      <c r="O629" s="62"/>
      <c r="P629" s="62"/>
    </row>
    <row r="630" spans="1:18">
      <c r="B630" s="66" t="s">
        <v>4361</v>
      </c>
      <c r="C630" s="62" t="s">
        <v>493</v>
      </c>
      <c r="D630">
        <v>50</v>
      </c>
      <c r="N630" s="62"/>
      <c r="O630" s="62"/>
      <c r="P630" s="62"/>
    </row>
    <row r="631" spans="1:18">
      <c r="B631" s="66" t="s">
        <v>4692</v>
      </c>
      <c r="C631" s="62" t="s">
        <v>494</v>
      </c>
      <c r="N631" s="62"/>
      <c r="O631" s="62"/>
      <c r="P631" s="62"/>
    </row>
    <row r="632" spans="1:18">
      <c r="B632" s="66" t="s">
        <v>4693</v>
      </c>
      <c r="C632" s="62" t="s">
        <v>494</v>
      </c>
      <c r="N632" s="62"/>
      <c r="O632" s="62"/>
      <c r="P632" s="62"/>
    </row>
    <row r="633" spans="1:18">
      <c r="B633" s="62"/>
      <c r="C633" s="62"/>
      <c r="N633" s="62"/>
      <c r="O633" s="62"/>
      <c r="P633" s="62"/>
    </row>
    <row r="634" spans="1:18" ht="14.25" customHeight="1">
      <c r="A634" s="70" t="s">
        <v>3649</v>
      </c>
      <c r="B634" s="67" t="s">
        <v>3650</v>
      </c>
      <c r="C634" s="62" t="s">
        <v>494</v>
      </c>
      <c r="E634" s="62" t="s">
        <v>476</v>
      </c>
      <c r="F634">
        <v>22</v>
      </c>
      <c r="G634">
        <v>2223</v>
      </c>
      <c r="H634" s="62" t="s">
        <v>4362</v>
      </c>
      <c r="I634" s="62" t="s">
        <v>4363</v>
      </c>
      <c r="J634">
        <v>2</v>
      </c>
      <c r="K634">
        <v>1</v>
      </c>
      <c r="L634">
        <v>9</v>
      </c>
      <c r="N634" s="62" t="s">
        <v>3655</v>
      </c>
      <c r="O634" s="66" t="s">
        <v>3656</v>
      </c>
      <c r="P634" s="66" t="s">
        <v>3657</v>
      </c>
      <c r="Q634" s="66" t="s">
        <v>3648</v>
      </c>
      <c r="R634">
        <v>2209</v>
      </c>
    </row>
    <row r="635" spans="1:18">
      <c r="A635" s="94"/>
      <c r="B635" s="67" t="s">
        <v>3651</v>
      </c>
      <c r="C635" s="62" t="s">
        <v>494</v>
      </c>
      <c r="E635" s="62" t="s">
        <v>476</v>
      </c>
      <c r="K635">
        <v>2</v>
      </c>
      <c r="L635">
        <v>6</v>
      </c>
    </row>
    <row r="636" spans="1:18">
      <c r="A636" s="94"/>
      <c r="B636" s="67" t="s">
        <v>3652</v>
      </c>
      <c r="C636" s="62" t="s">
        <v>494</v>
      </c>
      <c r="K636">
        <v>3</v>
      </c>
      <c r="L636">
        <v>6</v>
      </c>
      <c r="N636" s="62" t="s">
        <v>3655</v>
      </c>
      <c r="O636" s="66" t="s">
        <v>3648</v>
      </c>
      <c r="P636" s="66" t="s">
        <v>3657</v>
      </c>
    </row>
    <row r="637" spans="1:18">
      <c r="A637" s="94"/>
      <c r="B637" s="67" t="s">
        <v>3694</v>
      </c>
      <c r="C637" s="62" t="s">
        <v>493</v>
      </c>
      <c r="D637">
        <v>1</v>
      </c>
      <c r="K637">
        <v>4</v>
      </c>
      <c r="L637">
        <v>30</v>
      </c>
      <c r="N637" s="62"/>
      <c r="O637" s="66"/>
      <c r="P637" s="66"/>
    </row>
    <row r="638" spans="1:18">
      <c r="B638" s="66"/>
      <c r="C638" s="62"/>
      <c r="K638" s="55"/>
    </row>
    <row r="639" spans="1:18">
      <c r="A639" s="62" t="s">
        <v>4415</v>
      </c>
      <c r="B639" s="66" t="s">
        <v>4416</v>
      </c>
      <c r="C639" s="62" t="s">
        <v>494</v>
      </c>
      <c r="E639" s="62" t="s">
        <v>476</v>
      </c>
      <c r="F639">
        <v>22</v>
      </c>
      <c r="G639">
        <v>2226</v>
      </c>
      <c r="H639" s="62" t="s">
        <v>4422</v>
      </c>
      <c r="I639" s="62" t="s">
        <v>4421</v>
      </c>
      <c r="J639">
        <v>1</v>
      </c>
      <c r="K639" s="55">
        <v>1</v>
      </c>
      <c r="L639">
        <v>3</v>
      </c>
      <c r="N639" s="62" t="s">
        <v>693</v>
      </c>
      <c r="O639" s="1" t="s">
        <v>695</v>
      </c>
      <c r="P639" s="62" t="s">
        <v>696</v>
      </c>
    </row>
    <row r="640" spans="1:18">
      <c r="A640" s="62"/>
      <c r="B640" s="66" t="s">
        <v>4432</v>
      </c>
      <c r="C640" s="62" t="s">
        <v>494</v>
      </c>
      <c r="E640" s="62" t="s">
        <v>476</v>
      </c>
      <c r="H640" s="62"/>
      <c r="I640" s="62"/>
      <c r="K640" s="55">
        <v>2</v>
      </c>
      <c r="L640">
        <v>3</v>
      </c>
      <c r="N640" s="62" t="s">
        <v>3664</v>
      </c>
      <c r="O640" s="62" t="s">
        <v>3666</v>
      </c>
      <c r="P640" s="62" t="s">
        <v>3667</v>
      </c>
    </row>
    <row r="641" spans="1:18">
      <c r="B641" s="66" t="s">
        <v>4417</v>
      </c>
      <c r="C641" s="62" t="s">
        <v>494</v>
      </c>
      <c r="E641" s="62" t="s">
        <v>476</v>
      </c>
      <c r="K641" s="55">
        <v>3</v>
      </c>
      <c r="L641">
        <v>3</v>
      </c>
      <c r="N641" s="62" t="s">
        <v>4423</v>
      </c>
      <c r="O641" s="66" t="s">
        <v>4425</v>
      </c>
      <c r="P641" s="66" t="s">
        <v>4426</v>
      </c>
    </row>
    <row r="642" spans="1:18">
      <c r="B642" s="66" t="s">
        <v>4419</v>
      </c>
      <c r="C642" s="62" t="s">
        <v>494</v>
      </c>
      <c r="E642" s="62" t="s">
        <v>476</v>
      </c>
      <c r="K642" s="55">
        <v>4</v>
      </c>
      <c r="L642">
        <v>8</v>
      </c>
    </row>
    <row r="643" spans="1:18">
      <c r="B643" s="66" t="s">
        <v>4418</v>
      </c>
      <c r="C643" s="62" t="s">
        <v>494</v>
      </c>
      <c r="K643" s="55">
        <v>5</v>
      </c>
      <c r="L643">
        <v>6</v>
      </c>
    </row>
    <row r="644" spans="1:18">
      <c r="B644" s="66" t="s">
        <v>4420</v>
      </c>
      <c r="C644" s="62" t="s">
        <v>493</v>
      </c>
      <c r="D644">
        <v>1</v>
      </c>
      <c r="K644" s="55">
        <v>6</v>
      </c>
      <c r="L644">
        <v>3</v>
      </c>
    </row>
    <row r="645" spans="1:18">
      <c r="B645" s="66"/>
      <c r="C645" s="62"/>
      <c r="K645" s="55"/>
    </row>
    <row r="646" spans="1:18">
      <c r="A646" s="62" t="s">
        <v>4423</v>
      </c>
      <c r="B646" s="66" t="s">
        <v>4424</v>
      </c>
      <c r="C646" s="62" t="s">
        <v>494</v>
      </c>
      <c r="E646" s="62" t="s">
        <v>476</v>
      </c>
      <c r="F646">
        <v>22</v>
      </c>
      <c r="G646">
        <v>2227</v>
      </c>
      <c r="H646" s="62" t="s">
        <v>4429</v>
      </c>
      <c r="I646" s="62" t="s">
        <v>4430</v>
      </c>
      <c r="J646">
        <v>2</v>
      </c>
      <c r="K646" s="55">
        <v>1</v>
      </c>
      <c r="L646">
        <v>6</v>
      </c>
    </row>
    <row r="647" spans="1:18">
      <c r="B647" s="66" t="s">
        <v>4425</v>
      </c>
      <c r="C647" s="62" t="s">
        <v>494</v>
      </c>
      <c r="K647" s="55">
        <v>2</v>
      </c>
      <c r="L647">
        <v>6</v>
      </c>
    </row>
    <row r="648" spans="1:18">
      <c r="B648" s="66" t="s">
        <v>4428</v>
      </c>
      <c r="C648" s="62" t="s">
        <v>493</v>
      </c>
      <c r="D648">
        <v>1</v>
      </c>
      <c r="K648" s="55">
        <v>3</v>
      </c>
      <c r="L648">
        <v>3</v>
      </c>
    </row>
    <row r="649" spans="1:18">
      <c r="B649" s="66" t="s">
        <v>4426</v>
      </c>
      <c r="C649" s="62" t="s">
        <v>493</v>
      </c>
      <c r="D649">
        <v>100</v>
      </c>
      <c r="K649" s="55">
        <v>4</v>
      </c>
    </row>
    <row r="650" spans="1:18">
      <c r="B650" s="66" t="s">
        <v>4427</v>
      </c>
      <c r="C650" s="62" t="s">
        <v>494</v>
      </c>
      <c r="K650" s="55">
        <v>5</v>
      </c>
      <c r="L650">
        <v>3</v>
      </c>
      <c r="N650" s="1" t="s">
        <v>551</v>
      </c>
      <c r="O650" s="1" t="s">
        <v>552</v>
      </c>
      <c r="P650" s="1" t="s">
        <v>553</v>
      </c>
    </row>
    <row r="651" spans="1:18">
      <c r="B651" s="66"/>
      <c r="C651" s="62"/>
      <c r="K651" s="55"/>
      <c r="N651" s="1"/>
      <c r="O651" s="1"/>
      <c r="P651" s="1"/>
    </row>
    <row r="652" spans="1:18">
      <c r="A652" s="62" t="s">
        <v>4437</v>
      </c>
      <c r="B652" s="66" t="s">
        <v>4433</v>
      </c>
      <c r="C652" s="62" t="s">
        <v>494</v>
      </c>
      <c r="E652" s="62" t="s">
        <v>476</v>
      </c>
      <c r="F652">
        <v>22</v>
      </c>
      <c r="G652">
        <v>2228</v>
      </c>
      <c r="H652" s="62" t="s">
        <v>4439</v>
      </c>
      <c r="I652" s="62" t="s">
        <v>4440</v>
      </c>
      <c r="J652">
        <v>1</v>
      </c>
      <c r="K652" s="55">
        <v>1</v>
      </c>
      <c r="M652">
        <v>2</v>
      </c>
      <c r="N652" s="10" t="s">
        <v>506</v>
      </c>
      <c r="O652" s="10" t="s">
        <v>514</v>
      </c>
      <c r="P652" s="1" t="s">
        <v>515</v>
      </c>
    </row>
    <row r="653" spans="1:18">
      <c r="A653" s="62"/>
      <c r="B653" s="66" t="s">
        <v>4438</v>
      </c>
      <c r="C653" s="62" t="s">
        <v>494</v>
      </c>
      <c r="E653" s="62" t="s">
        <v>476</v>
      </c>
      <c r="K653" s="55">
        <v>2</v>
      </c>
      <c r="M653">
        <v>2</v>
      </c>
      <c r="N653" s="1"/>
      <c r="O653" s="1"/>
      <c r="P653" s="1"/>
    </row>
    <row r="654" spans="1:18">
      <c r="B654" s="66" t="s">
        <v>4434</v>
      </c>
      <c r="C654" s="62" t="s">
        <v>494</v>
      </c>
      <c r="E654" s="62" t="s">
        <v>476</v>
      </c>
      <c r="K654" s="55">
        <v>3</v>
      </c>
      <c r="L654">
        <v>9</v>
      </c>
      <c r="N654" s="62" t="s">
        <v>1038</v>
      </c>
      <c r="O654" s="23" t="s">
        <v>1040</v>
      </c>
      <c r="P654" s="23" t="s">
        <v>1041</v>
      </c>
      <c r="Q654" s="23" t="s">
        <v>1040</v>
      </c>
      <c r="R654" s="14">
        <v>140</v>
      </c>
    </row>
    <row r="655" spans="1:18">
      <c r="B655" s="66" t="s">
        <v>4435</v>
      </c>
      <c r="C655" s="62" t="s">
        <v>494</v>
      </c>
      <c r="K655" s="55">
        <v>4</v>
      </c>
      <c r="L655">
        <v>6</v>
      </c>
      <c r="N655" s="1"/>
      <c r="O655" s="1"/>
      <c r="P655" s="1"/>
    </row>
    <row r="656" spans="1:18">
      <c r="B656" s="66" t="s">
        <v>4436</v>
      </c>
      <c r="C656" s="62" t="s">
        <v>493</v>
      </c>
      <c r="D656">
        <v>1</v>
      </c>
      <c r="K656" s="55">
        <v>5</v>
      </c>
      <c r="L656">
        <v>3</v>
      </c>
      <c r="N656" s="1"/>
      <c r="O656" s="1"/>
      <c r="P656" s="1"/>
    </row>
    <row r="657" spans="1:18">
      <c r="B657" s="66"/>
      <c r="C657" s="62"/>
      <c r="K657" s="55"/>
      <c r="N657" s="1"/>
      <c r="O657" s="1"/>
      <c r="P657" s="1"/>
    </row>
    <row r="658" spans="1:18">
      <c r="A658" s="70" t="s">
        <v>4437</v>
      </c>
      <c r="B658" s="67" t="s">
        <v>4433</v>
      </c>
      <c r="C658" s="62" t="s">
        <v>494</v>
      </c>
      <c r="E658" s="62" t="s">
        <v>476</v>
      </c>
      <c r="F658">
        <v>22</v>
      </c>
      <c r="G658">
        <v>2229</v>
      </c>
      <c r="H658" s="62" t="s">
        <v>4441</v>
      </c>
      <c r="I658" s="62" t="s">
        <v>4442</v>
      </c>
      <c r="J658">
        <v>1</v>
      </c>
      <c r="K658" s="55">
        <v>1</v>
      </c>
      <c r="M658">
        <v>2</v>
      </c>
      <c r="N658" s="10" t="s">
        <v>506</v>
      </c>
      <c r="O658" s="10" t="s">
        <v>514</v>
      </c>
      <c r="P658" s="1" t="s">
        <v>515</v>
      </c>
    </row>
    <row r="659" spans="1:18">
      <c r="A659" s="70"/>
      <c r="B659" s="67" t="s">
        <v>4438</v>
      </c>
      <c r="C659" s="62" t="s">
        <v>494</v>
      </c>
      <c r="E659" s="62" t="s">
        <v>476</v>
      </c>
      <c r="K659" s="55">
        <v>2</v>
      </c>
      <c r="L659">
        <v>3</v>
      </c>
      <c r="N659" s="62" t="s">
        <v>3664</v>
      </c>
      <c r="O659" s="62" t="s">
        <v>3666</v>
      </c>
      <c r="P659" s="62" t="s">
        <v>3667</v>
      </c>
    </row>
    <row r="660" spans="1:18">
      <c r="A660" s="94"/>
      <c r="B660" s="67" t="s">
        <v>4434</v>
      </c>
      <c r="C660" s="62" t="s">
        <v>494</v>
      </c>
      <c r="E660" s="62" t="s">
        <v>476</v>
      </c>
      <c r="K660" s="55">
        <v>3</v>
      </c>
      <c r="L660">
        <v>9</v>
      </c>
      <c r="N660" s="62" t="s">
        <v>1038</v>
      </c>
      <c r="O660" s="23" t="s">
        <v>1040</v>
      </c>
      <c r="P660" s="23" t="s">
        <v>1041</v>
      </c>
      <c r="Q660" s="23" t="s">
        <v>1040</v>
      </c>
      <c r="R660" s="14">
        <v>140</v>
      </c>
    </row>
    <row r="661" spans="1:18">
      <c r="A661" s="94"/>
      <c r="B661" s="67" t="s">
        <v>4435</v>
      </c>
      <c r="C661" s="62" t="s">
        <v>494</v>
      </c>
      <c r="K661" s="55">
        <v>4</v>
      </c>
      <c r="L661">
        <v>6</v>
      </c>
      <c r="N661" s="1"/>
      <c r="O661" s="1"/>
      <c r="P661" s="1"/>
    </row>
    <row r="662" spans="1:18">
      <c r="A662" s="94"/>
      <c r="B662" s="67" t="s">
        <v>4436</v>
      </c>
      <c r="C662" s="62" t="s">
        <v>493</v>
      </c>
      <c r="D662">
        <v>1</v>
      </c>
      <c r="K662" s="55">
        <v>5</v>
      </c>
      <c r="L662">
        <v>3</v>
      </c>
      <c r="N662" s="1"/>
      <c r="O662" s="1"/>
      <c r="P662" s="1"/>
    </row>
    <row r="663" spans="1:18">
      <c r="B663" s="66"/>
      <c r="C663" s="62"/>
      <c r="K663" s="55"/>
      <c r="N663" s="1"/>
      <c r="O663" s="1"/>
      <c r="P663" s="1"/>
    </row>
    <row r="664" spans="1:18">
      <c r="A664" t="s">
        <v>6682</v>
      </c>
      <c r="B664" s="66" t="s">
        <v>6683</v>
      </c>
      <c r="C664" s="62" t="s">
        <v>494</v>
      </c>
      <c r="E664" t="s">
        <v>476</v>
      </c>
      <c r="K664" s="55"/>
      <c r="N664" s="1"/>
      <c r="O664" s="1"/>
      <c r="P664" s="1"/>
    </row>
    <row r="665" spans="1:18">
      <c r="B665" s="66" t="s">
        <v>6684</v>
      </c>
      <c r="C665" s="62" t="s">
        <v>493</v>
      </c>
      <c r="D665">
        <v>50</v>
      </c>
      <c r="K665" s="55"/>
      <c r="N665" s="1"/>
      <c r="O665" s="1"/>
      <c r="P665" s="1"/>
    </row>
    <row r="666" spans="1:18">
      <c r="B666" s="66"/>
      <c r="C666" s="62"/>
      <c r="K666" s="55"/>
      <c r="N666" s="1"/>
      <c r="O666" s="1"/>
      <c r="P666" s="1"/>
    </row>
    <row r="667" spans="1:18" ht="14.25" customHeight="1">
      <c r="A667" s="70" t="s">
        <v>3649</v>
      </c>
      <c r="B667" s="67" t="s">
        <v>3650</v>
      </c>
      <c r="C667" s="70" t="s">
        <v>494</v>
      </c>
      <c r="E667" s="62" t="s">
        <v>476</v>
      </c>
      <c r="F667">
        <v>22</v>
      </c>
      <c r="G667">
        <v>2034</v>
      </c>
      <c r="H667" s="62" t="s">
        <v>6826</v>
      </c>
      <c r="I667" s="62" t="s">
        <v>6827</v>
      </c>
      <c r="J667">
        <v>1</v>
      </c>
      <c r="K667">
        <v>1</v>
      </c>
      <c r="L667">
        <v>9</v>
      </c>
      <c r="N667" s="62" t="s">
        <v>3655</v>
      </c>
      <c r="O667" s="66" t="s">
        <v>3656</v>
      </c>
      <c r="P667" s="66" t="s">
        <v>3657</v>
      </c>
      <c r="Q667" s="66" t="s">
        <v>3648</v>
      </c>
      <c r="R667">
        <v>2209</v>
      </c>
    </row>
    <row r="668" spans="1:18">
      <c r="A668" s="94"/>
      <c r="B668" s="67" t="s">
        <v>3651</v>
      </c>
      <c r="C668" s="70" t="s">
        <v>494</v>
      </c>
      <c r="E668" s="62" t="s">
        <v>476</v>
      </c>
      <c r="K668">
        <v>2</v>
      </c>
      <c r="L668">
        <v>6</v>
      </c>
    </row>
    <row r="669" spans="1:18">
      <c r="A669" s="94"/>
      <c r="B669" s="67" t="s">
        <v>3652</v>
      </c>
      <c r="C669" s="70" t="s">
        <v>494</v>
      </c>
      <c r="K669">
        <v>3</v>
      </c>
      <c r="L669">
        <v>6</v>
      </c>
      <c r="N669" s="62" t="s">
        <v>3655</v>
      </c>
      <c r="O669" s="66" t="s">
        <v>3648</v>
      </c>
      <c r="P669" s="66" t="s">
        <v>3657</v>
      </c>
    </row>
    <row r="670" spans="1:18">
      <c r="A670" s="94"/>
      <c r="B670" s="67" t="s">
        <v>3694</v>
      </c>
      <c r="C670" s="70" t="s">
        <v>493</v>
      </c>
      <c r="D670">
        <v>1</v>
      </c>
      <c r="K670">
        <v>4</v>
      </c>
      <c r="L670">
        <v>30</v>
      </c>
      <c r="N670" s="62"/>
      <c r="O670" s="66"/>
      <c r="P670" s="66"/>
    </row>
    <row r="671" spans="1:18">
      <c r="A671" s="94"/>
      <c r="B671" s="67" t="s">
        <v>3653</v>
      </c>
      <c r="C671" s="70" t="s">
        <v>494</v>
      </c>
      <c r="K671">
        <v>5</v>
      </c>
      <c r="L671">
        <v>7</v>
      </c>
    </row>
    <row r="672" spans="1:18">
      <c r="A672" s="94"/>
      <c r="B672" s="67" t="s">
        <v>3654</v>
      </c>
      <c r="C672" s="70" t="s">
        <v>494</v>
      </c>
      <c r="K672">
        <v>6</v>
      </c>
      <c r="L672" s="80">
        <v>3</v>
      </c>
      <c r="M672" s="10"/>
      <c r="N672" s="62" t="s">
        <v>3620</v>
      </c>
      <c r="O672" s="62" t="s">
        <v>3622</v>
      </c>
      <c r="P672" s="62" t="s">
        <v>3623</v>
      </c>
      <c r="R672">
        <v>2311</v>
      </c>
    </row>
    <row r="673" spans="1:18">
      <c r="A673" s="94"/>
      <c r="B673" s="67" t="s">
        <v>3691</v>
      </c>
      <c r="C673" s="70" t="s">
        <v>493</v>
      </c>
      <c r="D673">
        <v>20</v>
      </c>
      <c r="K673">
        <v>7</v>
      </c>
      <c r="L673" s="80"/>
      <c r="M673" s="10"/>
      <c r="N673" s="62"/>
      <c r="O673" s="62"/>
      <c r="P673" s="62"/>
    </row>
    <row r="674" spans="1:18">
      <c r="A674" s="94"/>
      <c r="B674" s="67" t="s">
        <v>3684</v>
      </c>
      <c r="C674" s="70" t="s">
        <v>494</v>
      </c>
      <c r="K674">
        <v>8</v>
      </c>
      <c r="L674" s="80"/>
      <c r="M674" s="10"/>
      <c r="N674" s="62"/>
      <c r="O674" s="62"/>
      <c r="P674" s="62"/>
    </row>
    <row r="675" spans="1:18">
      <c r="A675" s="94"/>
      <c r="B675" s="67" t="s">
        <v>3685</v>
      </c>
      <c r="C675" s="70" t="s">
        <v>494</v>
      </c>
      <c r="K675">
        <v>9</v>
      </c>
      <c r="L675" s="80"/>
      <c r="M675" s="10"/>
      <c r="N675" s="62"/>
      <c r="O675" s="62"/>
      <c r="P675" s="62"/>
    </row>
    <row r="676" spans="1:18">
      <c r="A676" s="94"/>
      <c r="B676" s="67" t="s">
        <v>3686</v>
      </c>
      <c r="C676" s="70" t="s">
        <v>494</v>
      </c>
      <c r="K676">
        <v>10</v>
      </c>
      <c r="L676" s="80"/>
      <c r="M676" s="10"/>
      <c r="N676" s="62"/>
      <c r="O676" s="62"/>
      <c r="P676" s="62"/>
    </row>
    <row r="677" spans="1:18" s="1" customFormat="1">
      <c r="A677" s="39"/>
      <c r="B677" s="67" t="s">
        <v>3703</v>
      </c>
      <c r="C677" s="70" t="s">
        <v>494</v>
      </c>
      <c r="I677" s="2"/>
      <c r="K677">
        <v>11</v>
      </c>
      <c r="L677" s="32">
        <v>8</v>
      </c>
    </row>
    <row r="678" spans="1:18" s="1" customFormat="1">
      <c r="A678" s="39"/>
      <c r="B678" s="67" t="s">
        <v>3704</v>
      </c>
      <c r="C678" s="70" t="s">
        <v>494</v>
      </c>
      <c r="I678" s="2"/>
      <c r="K678">
        <v>12</v>
      </c>
      <c r="L678" s="32">
        <v>8</v>
      </c>
    </row>
    <row r="679" spans="1:18" s="1" customFormat="1">
      <c r="A679" s="39"/>
      <c r="B679" s="67" t="s">
        <v>3705</v>
      </c>
      <c r="C679" s="70" t="s">
        <v>494</v>
      </c>
      <c r="I679" s="2"/>
      <c r="K679">
        <v>13</v>
      </c>
      <c r="L679" s="32">
        <v>7</v>
      </c>
    </row>
    <row r="680" spans="1:18" s="1" customFormat="1">
      <c r="A680" s="39"/>
      <c r="B680" s="67" t="s">
        <v>3706</v>
      </c>
      <c r="C680" s="70" t="s">
        <v>494</v>
      </c>
      <c r="I680" s="2"/>
      <c r="K680">
        <v>14</v>
      </c>
      <c r="L680" s="32">
        <v>7</v>
      </c>
    </row>
    <row r="681" spans="1:18" s="1" customFormat="1">
      <c r="A681" s="39"/>
      <c r="B681" s="67" t="s">
        <v>4395</v>
      </c>
      <c r="C681" s="70" t="s">
        <v>494</v>
      </c>
      <c r="I681" s="2"/>
      <c r="K681">
        <v>15</v>
      </c>
      <c r="L681" s="32"/>
    </row>
    <row r="682" spans="1:18" s="1" customFormat="1">
      <c r="A682" s="39"/>
      <c r="B682" s="67" t="s">
        <v>4396</v>
      </c>
      <c r="C682" s="70" t="s">
        <v>494</v>
      </c>
      <c r="I682" s="2"/>
      <c r="K682">
        <v>16</v>
      </c>
      <c r="L682" s="32"/>
    </row>
    <row r="683" spans="1:18" s="1" customFormat="1">
      <c r="A683" s="39"/>
      <c r="B683" s="67" t="s">
        <v>4397</v>
      </c>
      <c r="C683" s="70" t="s">
        <v>494</v>
      </c>
      <c r="I683" s="2"/>
      <c r="K683">
        <v>17</v>
      </c>
      <c r="L683" s="32"/>
    </row>
    <row r="684" spans="1:18" s="1" customFormat="1">
      <c r="A684" s="39"/>
      <c r="B684" s="67" t="s">
        <v>4398</v>
      </c>
      <c r="C684" s="70" t="s">
        <v>494</v>
      </c>
      <c r="I684" s="2"/>
      <c r="K684">
        <v>18</v>
      </c>
      <c r="L684" s="32"/>
    </row>
    <row r="685" spans="1:18">
      <c r="B685" s="66"/>
      <c r="C685" s="62"/>
      <c r="L685" s="80"/>
      <c r="M685" s="10"/>
      <c r="N685" s="62"/>
      <c r="O685" s="62"/>
      <c r="P685" s="62"/>
    </row>
    <row r="686" spans="1:18">
      <c r="A686" s="62" t="s">
        <v>6836</v>
      </c>
      <c r="B686" s="66" t="s">
        <v>6838</v>
      </c>
      <c r="C686" s="64" t="s">
        <v>494</v>
      </c>
      <c r="E686" s="62" t="s">
        <v>476</v>
      </c>
      <c r="F686">
        <v>22</v>
      </c>
      <c r="G686">
        <v>2246</v>
      </c>
      <c r="H686" t="s">
        <v>6837</v>
      </c>
      <c r="J686">
        <v>1</v>
      </c>
      <c r="K686">
        <v>1</v>
      </c>
      <c r="L686">
        <v>52</v>
      </c>
      <c r="N686">
        <v>2034</v>
      </c>
      <c r="O686" s="66" t="s">
        <v>3652</v>
      </c>
      <c r="P686" s="23"/>
      <c r="Q686" s="23"/>
      <c r="R686" s="14"/>
    </row>
    <row r="687" spans="1:18">
      <c r="B687" s="66" t="s">
        <v>6839</v>
      </c>
      <c r="C687" s="64" t="s">
        <v>494</v>
      </c>
      <c r="E687" t="s">
        <v>476</v>
      </c>
      <c r="K687">
        <v>2</v>
      </c>
      <c r="L687">
        <v>6</v>
      </c>
      <c r="N687" s="1"/>
      <c r="O687" s="23"/>
      <c r="P687" s="23"/>
      <c r="Q687" s="23"/>
      <c r="R687" s="14"/>
    </row>
    <row r="688" spans="1:18">
      <c r="B688" s="66" t="s">
        <v>6840</v>
      </c>
      <c r="C688" s="64" t="s">
        <v>494</v>
      </c>
      <c r="K688">
        <v>3</v>
      </c>
      <c r="L688">
        <v>6</v>
      </c>
      <c r="N688" s="1"/>
      <c r="O688" s="23"/>
      <c r="P688" s="23"/>
      <c r="Q688" s="23"/>
      <c r="R688" s="14"/>
    </row>
    <row r="689" spans="1:18">
      <c r="B689" s="66" t="s">
        <v>6841</v>
      </c>
      <c r="C689" s="64" t="s">
        <v>494</v>
      </c>
      <c r="K689">
        <v>4</v>
      </c>
      <c r="L689">
        <v>7</v>
      </c>
      <c r="N689" s="1"/>
      <c r="O689" s="23"/>
      <c r="P689" s="23"/>
      <c r="Q689" s="23"/>
      <c r="R689" s="14"/>
    </row>
    <row r="690" spans="1:18">
      <c r="B690" s="66" t="s">
        <v>6849</v>
      </c>
      <c r="C690" s="64" t="s">
        <v>493</v>
      </c>
      <c r="D690">
        <v>1</v>
      </c>
      <c r="K690">
        <v>5</v>
      </c>
      <c r="L690">
        <v>3</v>
      </c>
      <c r="M690">
        <v>1</v>
      </c>
      <c r="N690" s="1"/>
      <c r="O690" s="23"/>
      <c r="P690" s="23"/>
      <c r="Q690" s="23"/>
      <c r="R690" s="14"/>
    </row>
    <row r="691" spans="1:18">
      <c r="B691" s="66" t="s">
        <v>6842</v>
      </c>
      <c r="C691" s="64" t="s">
        <v>520</v>
      </c>
      <c r="K691">
        <v>6</v>
      </c>
      <c r="N691" s="1"/>
      <c r="O691" s="23"/>
      <c r="P691" s="23"/>
      <c r="Q691" s="23"/>
      <c r="R691" s="14"/>
    </row>
    <row r="692" spans="1:18">
      <c r="B692" s="66" t="s">
        <v>6843</v>
      </c>
      <c r="C692" s="64" t="s">
        <v>494</v>
      </c>
      <c r="K692">
        <v>7</v>
      </c>
      <c r="L692">
        <v>91</v>
      </c>
      <c r="N692" s="1"/>
      <c r="O692" s="23"/>
      <c r="P692" s="23"/>
      <c r="Q692" s="23"/>
      <c r="R692" s="14"/>
    </row>
    <row r="693" spans="1:18">
      <c r="B693" s="66" t="s">
        <v>6844</v>
      </c>
      <c r="C693" s="64" t="s">
        <v>494</v>
      </c>
      <c r="K693">
        <v>8</v>
      </c>
      <c r="L693">
        <v>92</v>
      </c>
      <c r="N693" s="1"/>
      <c r="O693" s="23"/>
      <c r="P693" s="23"/>
      <c r="Q693" s="23"/>
      <c r="R693" s="14"/>
    </row>
    <row r="694" spans="1:18">
      <c r="B694" s="66" t="s">
        <v>6845</v>
      </c>
      <c r="C694" s="64" t="s">
        <v>494</v>
      </c>
      <c r="K694">
        <v>9</v>
      </c>
      <c r="L694">
        <v>7</v>
      </c>
      <c r="N694" s="1"/>
      <c r="O694" s="23"/>
      <c r="P694" s="23"/>
      <c r="Q694" s="23"/>
      <c r="R694" s="14"/>
    </row>
    <row r="695" spans="1:18">
      <c r="B695" s="66" t="s">
        <v>6846</v>
      </c>
      <c r="C695" s="64" t="s">
        <v>494</v>
      </c>
      <c r="K695">
        <v>10</v>
      </c>
      <c r="L695">
        <v>8</v>
      </c>
      <c r="N695" s="1"/>
      <c r="O695" s="23"/>
      <c r="P695" s="23"/>
      <c r="Q695" s="23"/>
      <c r="R695" s="14"/>
    </row>
    <row r="696" spans="1:18">
      <c r="B696" s="66" t="s">
        <v>6847</v>
      </c>
      <c r="C696" s="64" t="s">
        <v>520</v>
      </c>
      <c r="K696">
        <v>11</v>
      </c>
      <c r="N696" s="1"/>
      <c r="O696" s="23"/>
      <c r="P696" s="23"/>
      <c r="Q696" s="23"/>
      <c r="R696" s="14"/>
    </row>
    <row r="697" spans="1:18">
      <c r="B697" s="66"/>
      <c r="C697" s="62"/>
      <c r="N697" s="1"/>
      <c r="O697" s="23"/>
      <c r="P697" s="23"/>
      <c r="Q697" s="23"/>
      <c r="R697" s="14"/>
    </row>
    <row r="698" spans="1:18">
      <c r="A698" s="70" t="s">
        <v>3671</v>
      </c>
      <c r="B698" s="67" t="s">
        <v>3672</v>
      </c>
      <c r="C698" s="70" t="s">
        <v>494</v>
      </c>
      <c r="E698" s="62" t="s">
        <v>476</v>
      </c>
      <c r="F698">
        <v>22</v>
      </c>
      <c r="G698">
        <v>2247</v>
      </c>
      <c r="H698" s="62" t="s">
        <v>3260</v>
      </c>
      <c r="J698">
        <v>1</v>
      </c>
      <c r="K698">
        <v>1</v>
      </c>
      <c r="L698">
        <v>52</v>
      </c>
      <c r="N698">
        <v>2034</v>
      </c>
      <c r="O698" s="66" t="s">
        <v>3652</v>
      </c>
    </row>
    <row r="699" spans="1:18">
      <c r="A699" s="94"/>
      <c r="B699" s="67" t="s">
        <v>3673</v>
      </c>
      <c r="C699" s="70" t="s">
        <v>494</v>
      </c>
      <c r="E699" s="62" t="s">
        <v>476</v>
      </c>
      <c r="K699">
        <v>2</v>
      </c>
      <c r="L699">
        <v>9</v>
      </c>
      <c r="N699" s="62" t="s">
        <v>1038</v>
      </c>
      <c r="O699" s="60" t="s">
        <v>1040</v>
      </c>
      <c r="P699" s="60" t="s">
        <v>1041</v>
      </c>
      <c r="Q699" s="23" t="s">
        <v>1040</v>
      </c>
      <c r="R699" s="14">
        <v>140</v>
      </c>
    </row>
    <row r="700" spans="1:18">
      <c r="A700" s="94"/>
      <c r="B700" s="67" t="s">
        <v>3674</v>
      </c>
      <c r="C700" s="70" t="s">
        <v>494</v>
      </c>
      <c r="K700">
        <v>3</v>
      </c>
      <c r="L700">
        <v>6</v>
      </c>
    </row>
    <row r="701" spans="1:18">
      <c r="A701" s="94"/>
      <c r="B701" s="67" t="s">
        <v>4314</v>
      </c>
      <c r="C701" s="70" t="s">
        <v>494</v>
      </c>
      <c r="K701">
        <v>4</v>
      </c>
      <c r="L701">
        <v>3</v>
      </c>
      <c r="N701" s="62" t="s">
        <v>4306</v>
      </c>
      <c r="O701" s="66" t="s">
        <v>4309</v>
      </c>
      <c r="P701" s="66" t="s">
        <v>4311</v>
      </c>
    </row>
    <row r="702" spans="1:18">
      <c r="A702" s="94"/>
      <c r="B702" s="67" t="s">
        <v>3675</v>
      </c>
      <c r="C702" s="70" t="s">
        <v>494</v>
      </c>
      <c r="K702">
        <v>5</v>
      </c>
      <c r="M702">
        <v>2</v>
      </c>
    </row>
    <row r="703" spans="1:18">
      <c r="A703" s="94"/>
      <c r="B703" s="67" t="s">
        <v>3676</v>
      </c>
      <c r="C703" s="70" t="s">
        <v>494</v>
      </c>
      <c r="K703">
        <v>6</v>
      </c>
      <c r="L703">
        <v>3</v>
      </c>
      <c r="N703" s="62" t="s">
        <v>3677</v>
      </c>
      <c r="O703" s="62" t="s">
        <v>3678</v>
      </c>
      <c r="P703" s="62" t="s">
        <v>3679</v>
      </c>
    </row>
    <row r="704" spans="1:18">
      <c r="A704" s="94"/>
      <c r="B704" s="67" t="s">
        <v>3688</v>
      </c>
      <c r="C704" s="70" t="s">
        <v>494</v>
      </c>
      <c r="K704">
        <v>7</v>
      </c>
      <c r="L704">
        <v>3</v>
      </c>
      <c r="N704" s="62"/>
      <c r="O704" s="62"/>
      <c r="P704" s="62"/>
    </row>
    <row r="705" spans="1:18">
      <c r="A705" s="94"/>
      <c r="B705" s="67" t="s">
        <v>3681</v>
      </c>
      <c r="C705" s="70" t="s">
        <v>494</v>
      </c>
      <c r="K705">
        <v>8</v>
      </c>
      <c r="M705">
        <v>1</v>
      </c>
      <c r="N705" s="62"/>
      <c r="O705" s="62"/>
      <c r="P705" s="62"/>
    </row>
    <row r="706" spans="1:18">
      <c r="A706" s="94"/>
      <c r="B706" s="67" t="s">
        <v>3687</v>
      </c>
      <c r="C706" s="70" t="s">
        <v>494</v>
      </c>
      <c r="K706">
        <v>9</v>
      </c>
    </row>
    <row r="707" spans="1:18">
      <c r="A707" s="94"/>
      <c r="B707" s="67" t="s">
        <v>3682</v>
      </c>
      <c r="C707" s="70" t="s">
        <v>494</v>
      </c>
      <c r="K707">
        <v>10</v>
      </c>
      <c r="L707">
        <v>3</v>
      </c>
      <c r="N707" s="1" t="s">
        <v>1038</v>
      </c>
      <c r="O707" s="23" t="s">
        <v>1040</v>
      </c>
      <c r="P707" s="23" t="s">
        <v>1041</v>
      </c>
      <c r="Q707" s="23" t="s">
        <v>1040</v>
      </c>
      <c r="R707" s="14">
        <v>140</v>
      </c>
    </row>
    <row r="708" spans="1:18">
      <c r="A708" s="94"/>
      <c r="B708" s="67" t="s">
        <v>4315</v>
      </c>
      <c r="C708" s="70" t="s">
        <v>494</v>
      </c>
      <c r="K708">
        <v>11</v>
      </c>
      <c r="L708">
        <v>3</v>
      </c>
      <c r="N708" s="1" t="s">
        <v>1038</v>
      </c>
      <c r="O708" s="23" t="s">
        <v>1040</v>
      </c>
      <c r="P708" s="23" t="s">
        <v>1041</v>
      </c>
      <c r="Q708" s="23" t="s">
        <v>1040</v>
      </c>
      <c r="R708" s="14">
        <v>140</v>
      </c>
    </row>
    <row r="709" spans="1:18">
      <c r="A709" s="94"/>
      <c r="B709" s="67" t="s">
        <v>3683</v>
      </c>
      <c r="C709" s="70" t="s">
        <v>494</v>
      </c>
      <c r="K709">
        <v>12</v>
      </c>
      <c r="L709">
        <v>7</v>
      </c>
    </row>
    <row r="710" spans="1:18">
      <c r="A710" s="94"/>
      <c r="B710" s="67" t="s">
        <v>3695</v>
      </c>
      <c r="C710" s="70" t="s">
        <v>494</v>
      </c>
      <c r="K710">
        <v>13</v>
      </c>
      <c r="L710">
        <v>3</v>
      </c>
      <c r="N710" s="62" t="s">
        <v>3696</v>
      </c>
      <c r="O710" s="62" t="s">
        <v>3698</v>
      </c>
      <c r="P710" s="62" t="s">
        <v>3699</v>
      </c>
      <c r="R710">
        <v>2214</v>
      </c>
    </row>
    <row r="711" spans="1:18" s="1" customFormat="1">
      <c r="A711" s="39"/>
      <c r="B711" s="67" t="s">
        <v>3728</v>
      </c>
      <c r="C711" s="70" t="s">
        <v>494</v>
      </c>
      <c r="I711" s="2"/>
      <c r="K711">
        <v>14</v>
      </c>
      <c r="L711">
        <v>3</v>
      </c>
      <c r="M711">
        <v>31</v>
      </c>
      <c r="N711" s="62" t="s">
        <v>3719</v>
      </c>
      <c r="O711" s="62" t="s">
        <v>3722</v>
      </c>
      <c r="P711" s="62" t="s">
        <v>3724</v>
      </c>
      <c r="Q711" s="62" t="s">
        <v>3720</v>
      </c>
      <c r="R711" s="1">
        <v>13</v>
      </c>
    </row>
    <row r="712" spans="1:18" s="1" customFormat="1">
      <c r="A712" s="39"/>
      <c r="B712" s="67" t="s">
        <v>3702</v>
      </c>
      <c r="C712" s="70" t="s">
        <v>493</v>
      </c>
      <c r="D712" s="1">
        <v>1</v>
      </c>
      <c r="I712" s="2"/>
      <c r="K712">
        <v>15</v>
      </c>
      <c r="L712" s="9">
        <v>3</v>
      </c>
    </row>
    <row r="713" spans="1:18" s="1" customFormat="1">
      <c r="A713" s="39"/>
      <c r="B713" s="67" t="s">
        <v>4316</v>
      </c>
      <c r="C713" s="70" t="s">
        <v>493</v>
      </c>
      <c r="D713" s="1">
        <v>1</v>
      </c>
      <c r="I713" s="2"/>
      <c r="K713">
        <v>16</v>
      </c>
      <c r="L713" s="32">
        <v>3</v>
      </c>
    </row>
    <row r="714" spans="1:18" s="1" customFormat="1">
      <c r="A714" s="39"/>
      <c r="B714" s="67" t="s">
        <v>4317</v>
      </c>
      <c r="C714" s="70" t="s">
        <v>493</v>
      </c>
      <c r="D714" s="1">
        <v>1</v>
      </c>
      <c r="I714" s="2"/>
      <c r="K714">
        <v>17</v>
      </c>
      <c r="L714" s="32">
        <v>3</v>
      </c>
    </row>
    <row r="715" spans="1:18" s="1" customFormat="1">
      <c r="A715" s="39"/>
      <c r="B715" s="67" t="s">
        <v>4318</v>
      </c>
      <c r="C715" s="70" t="s">
        <v>493</v>
      </c>
      <c r="D715" s="1">
        <v>1</v>
      </c>
      <c r="I715" s="2"/>
      <c r="K715">
        <v>18</v>
      </c>
      <c r="L715" s="32">
        <v>3</v>
      </c>
    </row>
    <row r="716" spans="1:18">
      <c r="A716" s="94"/>
      <c r="B716" s="67" t="s">
        <v>4319</v>
      </c>
      <c r="C716" s="70" t="s">
        <v>702</v>
      </c>
      <c r="K716">
        <v>19</v>
      </c>
    </row>
    <row r="717" spans="1:18">
      <c r="A717" s="94"/>
      <c r="B717" s="67" t="s">
        <v>4371</v>
      </c>
      <c r="C717" s="70" t="s">
        <v>494</v>
      </c>
      <c r="D717" s="7"/>
      <c r="K717">
        <v>20</v>
      </c>
      <c r="L717">
        <v>91</v>
      </c>
    </row>
    <row r="718" spans="1:18">
      <c r="A718" s="94"/>
      <c r="B718" s="67" t="s">
        <v>4372</v>
      </c>
      <c r="C718" s="70" t="s">
        <v>494</v>
      </c>
      <c r="D718" s="7"/>
      <c r="K718">
        <v>21</v>
      </c>
      <c r="L718">
        <v>92</v>
      </c>
    </row>
    <row r="719" spans="1:18">
      <c r="A719" s="94"/>
      <c r="B719" s="67" t="s">
        <v>4937</v>
      </c>
      <c r="C719" s="70" t="s">
        <v>494</v>
      </c>
      <c r="D719" s="102"/>
      <c r="K719">
        <v>22</v>
      </c>
      <c r="L719">
        <v>3</v>
      </c>
      <c r="M719">
        <v>31</v>
      </c>
      <c r="N719" s="62" t="s">
        <v>4924</v>
      </c>
      <c r="O719" s="62" t="s">
        <v>4928</v>
      </c>
      <c r="P719" s="62" t="s">
        <v>4927</v>
      </c>
      <c r="Q719" s="62" t="s">
        <v>4926</v>
      </c>
      <c r="R719">
        <v>2</v>
      </c>
    </row>
    <row r="720" spans="1:18">
      <c r="A720" s="94"/>
      <c r="B720" s="67" t="s">
        <v>5158</v>
      </c>
      <c r="C720" s="70" t="s">
        <v>494</v>
      </c>
      <c r="K720">
        <v>23</v>
      </c>
      <c r="L720">
        <v>3</v>
      </c>
      <c r="N720" s="1" t="s">
        <v>1038</v>
      </c>
      <c r="O720" s="23" t="s">
        <v>1040</v>
      </c>
      <c r="P720" s="23" t="s">
        <v>1041</v>
      </c>
      <c r="Q720" s="23" t="s">
        <v>1040</v>
      </c>
      <c r="R720" s="14">
        <v>140</v>
      </c>
    </row>
    <row r="721" spans="1:18">
      <c r="A721" s="94"/>
      <c r="B721" s="67" t="s">
        <v>5159</v>
      </c>
      <c r="C721" s="70" t="s">
        <v>494</v>
      </c>
      <c r="K721">
        <v>24</v>
      </c>
      <c r="L721">
        <v>3</v>
      </c>
      <c r="N721" s="1" t="s">
        <v>1038</v>
      </c>
      <c r="O721" s="23" t="s">
        <v>1040</v>
      </c>
      <c r="P721" s="23" t="s">
        <v>1041</v>
      </c>
      <c r="Q721" s="23" t="s">
        <v>1040</v>
      </c>
      <c r="R721" s="14">
        <v>140</v>
      </c>
    </row>
    <row r="722" spans="1:18">
      <c r="A722" s="94"/>
      <c r="B722" s="67" t="s">
        <v>6824</v>
      </c>
      <c r="C722" s="70" t="s">
        <v>494</v>
      </c>
      <c r="K722">
        <v>25</v>
      </c>
      <c r="M722">
        <v>2</v>
      </c>
      <c r="N722" s="1"/>
      <c r="O722" s="23"/>
      <c r="P722" s="23"/>
      <c r="Q722" s="23"/>
      <c r="R722" s="14"/>
    </row>
    <row r="723" spans="1:18">
      <c r="A723" s="94"/>
      <c r="B723" s="67" t="s">
        <v>6825</v>
      </c>
      <c r="C723" s="70" t="s">
        <v>494</v>
      </c>
      <c r="K723">
        <v>26</v>
      </c>
      <c r="M723">
        <v>2</v>
      </c>
      <c r="N723" s="1"/>
      <c r="O723" s="23"/>
      <c r="P723" s="23"/>
      <c r="Q723" s="23"/>
      <c r="R723" s="14"/>
    </row>
    <row r="724" spans="1:18" ht="13.5" customHeight="1">
      <c r="A724" s="94"/>
      <c r="B724" s="67" t="s">
        <v>6848</v>
      </c>
      <c r="C724" s="70" t="s">
        <v>494</v>
      </c>
      <c r="E724" s="62"/>
      <c r="K724">
        <v>27</v>
      </c>
      <c r="L724">
        <v>3</v>
      </c>
      <c r="M724">
        <v>3</v>
      </c>
      <c r="N724" t="s">
        <v>6836</v>
      </c>
      <c r="O724" s="66" t="s">
        <v>6840</v>
      </c>
      <c r="P724" s="66" t="s">
        <v>6841</v>
      </c>
      <c r="Q724" s="23" t="s">
        <v>6838</v>
      </c>
      <c r="R724" s="14"/>
    </row>
    <row r="725" spans="1:18">
      <c r="A725" s="94"/>
      <c r="B725" s="67" t="s">
        <v>6835</v>
      </c>
      <c r="C725" s="70" t="s">
        <v>494</v>
      </c>
      <c r="E725" s="62"/>
      <c r="K725">
        <v>28</v>
      </c>
      <c r="L725">
        <v>3</v>
      </c>
      <c r="M725">
        <v>3</v>
      </c>
      <c r="N725" s="1" t="s">
        <v>1038</v>
      </c>
      <c r="O725" s="23" t="s">
        <v>1040</v>
      </c>
      <c r="P725" s="23" t="s">
        <v>1041</v>
      </c>
      <c r="Q725" s="23" t="s">
        <v>1040</v>
      </c>
      <c r="R725" s="14">
        <v>140</v>
      </c>
    </row>
    <row r="726" spans="1:18">
      <c r="A726" s="94"/>
      <c r="B726" s="67" t="s">
        <v>6834</v>
      </c>
      <c r="C726" s="70" t="s">
        <v>494</v>
      </c>
      <c r="E726" s="62"/>
      <c r="K726">
        <v>29</v>
      </c>
      <c r="L726">
        <v>3</v>
      </c>
      <c r="M726">
        <v>3</v>
      </c>
      <c r="N726" s="1" t="s">
        <v>1038</v>
      </c>
      <c r="O726" s="23" t="s">
        <v>1040</v>
      </c>
      <c r="P726" s="23" t="s">
        <v>1041</v>
      </c>
      <c r="Q726" s="23" t="s">
        <v>1040</v>
      </c>
      <c r="R726" s="14">
        <v>140</v>
      </c>
    </row>
    <row r="727" spans="1:18">
      <c r="A727" s="94"/>
      <c r="B727" s="67" t="s">
        <v>6850</v>
      </c>
      <c r="C727" s="70" t="s">
        <v>494</v>
      </c>
      <c r="E727" s="62"/>
      <c r="H727" t="s">
        <v>6851</v>
      </c>
      <c r="K727">
        <v>30</v>
      </c>
      <c r="M727">
        <v>2</v>
      </c>
      <c r="N727" s="1"/>
      <c r="O727" s="23"/>
      <c r="P727" s="23"/>
      <c r="Q727" s="23"/>
      <c r="R727" s="14"/>
    </row>
    <row r="728" spans="1:18">
      <c r="A728" s="94"/>
      <c r="B728" s="67" t="s">
        <v>6852</v>
      </c>
      <c r="C728" s="70" t="s">
        <v>520</v>
      </c>
      <c r="K728">
        <v>31</v>
      </c>
      <c r="N728" s="1"/>
      <c r="O728" s="23"/>
      <c r="P728" s="23"/>
      <c r="Q728" s="23"/>
      <c r="R728" s="14"/>
    </row>
    <row r="729" spans="1:18">
      <c r="B729" s="66"/>
      <c r="C729" s="62"/>
      <c r="N729" s="1"/>
      <c r="O729" s="23"/>
      <c r="P729" s="23"/>
      <c r="Q729" s="23"/>
      <c r="R729" s="14"/>
    </row>
    <row r="730" spans="1:18">
      <c r="A730" t="s">
        <v>5078</v>
      </c>
      <c r="B730" s="66" t="s">
        <v>1003</v>
      </c>
      <c r="C730" s="62" t="s">
        <v>494</v>
      </c>
      <c r="E730" t="s">
        <v>476</v>
      </c>
      <c r="F730">
        <v>22</v>
      </c>
      <c r="G730">
        <v>2239</v>
      </c>
      <c r="H730" t="s">
        <v>5081</v>
      </c>
      <c r="I730" t="s">
        <v>5082</v>
      </c>
      <c r="J730">
        <v>2</v>
      </c>
      <c r="K730" s="55">
        <v>1</v>
      </c>
      <c r="L730">
        <v>6</v>
      </c>
      <c r="N730" s="1"/>
      <c r="O730" s="1"/>
      <c r="P730" s="1"/>
    </row>
    <row r="731" spans="1:18">
      <c r="B731" s="66" t="s">
        <v>1004</v>
      </c>
      <c r="C731" s="62" t="s">
        <v>494</v>
      </c>
      <c r="K731" s="55">
        <v>2</v>
      </c>
      <c r="L731">
        <v>6</v>
      </c>
      <c r="N731" s="1"/>
      <c r="O731" s="1"/>
      <c r="P731" s="1"/>
    </row>
    <row r="732" spans="1:18">
      <c r="B732" s="66" t="s">
        <v>5083</v>
      </c>
      <c r="C732" s="62" t="s">
        <v>493</v>
      </c>
      <c r="D732">
        <v>1</v>
      </c>
      <c r="K732" s="55">
        <v>3</v>
      </c>
      <c r="L732">
        <v>3</v>
      </c>
      <c r="N732" s="1"/>
      <c r="O732" s="1"/>
      <c r="P732" s="1"/>
    </row>
    <row r="733" spans="1:18">
      <c r="B733" s="66" t="s">
        <v>1023</v>
      </c>
      <c r="C733" s="62" t="s">
        <v>493</v>
      </c>
      <c r="D733">
        <v>100</v>
      </c>
      <c r="K733" s="55">
        <v>4</v>
      </c>
      <c r="N733" s="1"/>
      <c r="O733" s="1"/>
      <c r="P733" s="1"/>
    </row>
    <row r="734" spans="1:18">
      <c r="B734" s="66" t="s">
        <v>5079</v>
      </c>
      <c r="C734" s="62" t="s">
        <v>494</v>
      </c>
      <c r="K734" s="55">
        <v>5</v>
      </c>
      <c r="L734">
        <v>8</v>
      </c>
      <c r="N734" s="1"/>
      <c r="O734" s="1"/>
      <c r="P734" s="1"/>
    </row>
    <row r="735" spans="1:18">
      <c r="B735" s="66" t="s">
        <v>5080</v>
      </c>
      <c r="C735" s="62" t="s">
        <v>494</v>
      </c>
      <c r="K735" s="55">
        <v>6</v>
      </c>
      <c r="L735">
        <v>8</v>
      </c>
      <c r="N735" s="1"/>
      <c r="O735" s="1"/>
      <c r="P735" s="1"/>
    </row>
    <row r="736" spans="1:18">
      <c r="B736" s="66"/>
      <c r="C736" s="62"/>
      <c r="K736" s="55"/>
      <c r="N736" s="1"/>
      <c r="O736" s="1"/>
      <c r="P736" s="1"/>
    </row>
    <row r="737" spans="1:18" s="1" customFormat="1">
      <c r="A737" s="70" t="s">
        <v>975</v>
      </c>
      <c r="B737" s="67" t="s">
        <v>976</v>
      </c>
      <c r="C737" s="39" t="s">
        <v>494</v>
      </c>
      <c r="E737" s="1" t="s">
        <v>476</v>
      </c>
      <c r="F737" s="14">
        <v>22</v>
      </c>
      <c r="G737" s="14">
        <v>2240</v>
      </c>
      <c r="H737" s="47" t="s">
        <v>4686</v>
      </c>
      <c r="I737" s="48" t="s">
        <v>4687</v>
      </c>
      <c r="J737" s="14">
        <v>2201</v>
      </c>
      <c r="K737" s="16">
        <v>1</v>
      </c>
      <c r="L737" s="15">
        <v>3</v>
      </c>
      <c r="M737" s="14"/>
      <c r="N737" s="64" t="s">
        <v>506</v>
      </c>
      <c r="O737" s="64" t="s">
        <v>514</v>
      </c>
      <c r="P737" s="62" t="s">
        <v>515</v>
      </c>
      <c r="Q737" s="14"/>
      <c r="R737" s="14"/>
    </row>
    <row r="738" spans="1:18" s="1" customFormat="1">
      <c r="A738" s="39"/>
      <c r="B738" s="67" t="s">
        <v>977</v>
      </c>
      <c r="C738" s="39" t="s">
        <v>494</v>
      </c>
      <c r="E738" s="1" t="s">
        <v>476</v>
      </c>
      <c r="F738" s="14"/>
      <c r="G738" s="14"/>
      <c r="H738" s="14"/>
      <c r="I738" s="11"/>
      <c r="J738" s="14"/>
      <c r="K738" s="16">
        <v>2</v>
      </c>
      <c r="L738" s="15">
        <v>9</v>
      </c>
      <c r="M738" s="14"/>
      <c r="N738" s="62" t="s">
        <v>1038</v>
      </c>
      <c r="O738" s="23" t="s">
        <v>1040</v>
      </c>
      <c r="P738" s="23" t="s">
        <v>1041</v>
      </c>
      <c r="Q738" s="23" t="s">
        <v>1040</v>
      </c>
      <c r="R738" s="14">
        <v>140</v>
      </c>
    </row>
    <row r="739" spans="1:18" s="1" customFormat="1">
      <c r="A739" s="39"/>
      <c r="B739" s="67" t="s">
        <v>978</v>
      </c>
      <c r="C739" s="39" t="s">
        <v>494</v>
      </c>
      <c r="E739" s="1" t="s">
        <v>476</v>
      </c>
      <c r="F739" s="14"/>
      <c r="G739" s="14"/>
      <c r="H739" s="14"/>
      <c r="I739" s="11"/>
      <c r="J739" s="14"/>
      <c r="K739" s="16">
        <v>3</v>
      </c>
      <c r="L739" s="15">
        <v>3</v>
      </c>
      <c r="M739" s="14"/>
      <c r="N739" s="1" t="s">
        <v>379</v>
      </c>
      <c r="O739" s="62" t="s">
        <v>698</v>
      </c>
      <c r="P739" s="62" t="s">
        <v>699</v>
      </c>
      <c r="Q739" s="14"/>
      <c r="R739" s="14"/>
    </row>
    <row r="740" spans="1:18" s="1" customFormat="1">
      <c r="A740" s="39"/>
      <c r="B740" s="67" t="s">
        <v>979</v>
      </c>
      <c r="C740" s="39" t="s">
        <v>494</v>
      </c>
      <c r="F740" s="14"/>
      <c r="G740" s="14"/>
      <c r="H740" s="14"/>
      <c r="I740" s="11"/>
      <c r="J740" s="14"/>
      <c r="K740" s="16">
        <v>4</v>
      </c>
      <c r="L740" s="15">
        <v>6</v>
      </c>
      <c r="M740" s="14"/>
      <c r="P740" s="14"/>
      <c r="Q740" s="14"/>
      <c r="R740" s="14"/>
    </row>
    <row r="741" spans="1:18" s="1" customFormat="1">
      <c r="B741" s="66" t="s">
        <v>280</v>
      </c>
      <c r="C741" s="1" t="s">
        <v>494</v>
      </c>
      <c r="F741" s="14"/>
      <c r="G741" s="14"/>
      <c r="H741" s="14"/>
      <c r="I741" s="11"/>
      <c r="J741" s="14"/>
      <c r="K741" s="16">
        <v>5</v>
      </c>
      <c r="L741" s="15">
        <v>3</v>
      </c>
      <c r="M741" s="14">
        <v>1</v>
      </c>
      <c r="N741" s="62" t="s">
        <v>995</v>
      </c>
      <c r="O741" s="60" t="s">
        <v>997</v>
      </c>
      <c r="P741" s="60" t="s">
        <v>996</v>
      </c>
      <c r="Q741" s="14"/>
      <c r="R741" s="14"/>
    </row>
    <row r="742" spans="1:18" s="1" customFormat="1">
      <c r="A742" s="39"/>
      <c r="B742" s="67" t="s">
        <v>980</v>
      </c>
      <c r="C742" s="39" t="s">
        <v>494</v>
      </c>
      <c r="F742" s="14"/>
      <c r="G742" s="14"/>
      <c r="H742" s="14"/>
      <c r="I742" s="11"/>
      <c r="J742" s="14"/>
      <c r="K742" s="16">
        <v>6</v>
      </c>
      <c r="L742" s="15">
        <v>3</v>
      </c>
      <c r="M742" s="14">
        <v>1</v>
      </c>
      <c r="N742" s="62" t="s">
        <v>974</v>
      </c>
      <c r="O742" s="60" t="s">
        <v>954</v>
      </c>
      <c r="P742" s="23" t="s">
        <v>984</v>
      </c>
      <c r="Q742" s="14"/>
      <c r="R742" s="14"/>
    </row>
    <row r="743" spans="1:18" s="1" customFormat="1">
      <c r="A743" s="39"/>
      <c r="B743" s="67" t="s">
        <v>268</v>
      </c>
      <c r="C743" s="39" t="s">
        <v>494</v>
      </c>
      <c r="F743" s="14"/>
      <c r="G743" s="14"/>
      <c r="H743" s="14"/>
      <c r="I743" s="11"/>
      <c r="J743" s="14"/>
      <c r="K743" s="16">
        <v>7</v>
      </c>
      <c r="L743" s="15">
        <v>3</v>
      </c>
      <c r="M743" s="14">
        <v>1</v>
      </c>
      <c r="N743" s="62" t="s">
        <v>269</v>
      </c>
      <c r="O743" s="23" t="s">
        <v>270</v>
      </c>
      <c r="P743" s="23" t="s">
        <v>271</v>
      </c>
      <c r="Q743" s="14"/>
      <c r="R743" s="14"/>
    </row>
    <row r="744" spans="1:18" s="1" customFormat="1">
      <c r="A744" s="39"/>
      <c r="B744" s="67" t="s">
        <v>206</v>
      </c>
      <c r="C744" s="39" t="s">
        <v>493</v>
      </c>
      <c r="D744" s="1">
        <v>1</v>
      </c>
      <c r="F744" s="14"/>
      <c r="G744" s="14"/>
      <c r="H744" s="14"/>
      <c r="I744" s="11"/>
      <c r="J744" s="14"/>
      <c r="K744" s="16">
        <v>8</v>
      </c>
      <c r="L744" s="15">
        <v>3</v>
      </c>
      <c r="M744" s="14">
        <v>1</v>
      </c>
      <c r="N744" s="64" t="s">
        <v>2013</v>
      </c>
      <c r="O744" s="66" t="s">
        <v>2014</v>
      </c>
      <c r="P744" s="60" t="s">
        <v>2015</v>
      </c>
      <c r="Q744" s="14"/>
      <c r="R744" s="14"/>
    </row>
    <row r="745" spans="1:18" s="1" customFormat="1">
      <c r="A745" s="39"/>
      <c r="B745" s="67" t="s">
        <v>2753</v>
      </c>
      <c r="C745" s="70" t="s">
        <v>493</v>
      </c>
      <c r="D745" s="16">
        <v>1</v>
      </c>
      <c r="F745" s="14"/>
      <c r="G745" s="14"/>
      <c r="H745" s="47"/>
      <c r="I745" s="11"/>
      <c r="J745" s="14"/>
      <c r="K745" s="16">
        <v>9</v>
      </c>
      <c r="L745" s="55">
        <v>3</v>
      </c>
      <c r="M745" s="14">
        <v>1</v>
      </c>
      <c r="N745" s="62"/>
      <c r="O745" s="64"/>
      <c r="P745" s="62"/>
      <c r="Q745" s="14"/>
      <c r="R745" s="14"/>
    </row>
    <row r="746" spans="1:18" s="1" customFormat="1">
      <c r="A746" s="39"/>
      <c r="B746" s="67" t="s">
        <v>2754</v>
      </c>
      <c r="C746" s="70" t="s">
        <v>494</v>
      </c>
      <c r="D746" s="16"/>
      <c r="F746" s="14"/>
      <c r="G746" s="14"/>
      <c r="H746" s="47"/>
      <c r="I746" s="11"/>
      <c r="J746" s="14"/>
      <c r="K746" s="16">
        <v>10</v>
      </c>
      <c r="L746" s="55"/>
      <c r="M746" s="14">
        <v>1</v>
      </c>
      <c r="N746" s="62"/>
      <c r="O746" s="64"/>
      <c r="P746" s="62"/>
      <c r="Q746" s="14"/>
      <c r="R746" s="14"/>
    </row>
    <row r="747" spans="1:18" s="1" customFormat="1">
      <c r="A747" s="39"/>
      <c r="B747" s="67" t="s">
        <v>2755</v>
      </c>
      <c r="C747" s="70" t="s">
        <v>493</v>
      </c>
      <c r="D747" s="16">
        <v>1</v>
      </c>
      <c r="F747" s="14"/>
      <c r="G747" s="14"/>
      <c r="H747" s="47"/>
      <c r="I747" s="11"/>
      <c r="J747" s="14"/>
      <c r="K747" s="16">
        <v>11</v>
      </c>
      <c r="L747" s="55">
        <v>3</v>
      </c>
      <c r="M747" s="14">
        <v>1</v>
      </c>
      <c r="N747" s="62"/>
      <c r="O747" s="64"/>
      <c r="P747" s="62"/>
      <c r="Q747" s="14"/>
      <c r="R747" s="14"/>
    </row>
    <row r="748" spans="1:18" s="1" customFormat="1">
      <c r="A748" s="39"/>
      <c r="B748" s="67" t="s">
        <v>2756</v>
      </c>
      <c r="C748" s="70" t="s">
        <v>494</v>
      </c>
      <c r="D748" s="16"/>
      <c r="F748" s="14"/>
      <c r="G748" s="14"/>
      <c r="H748" s="47"/>
      <c r="I748" s="11"/>
      <c r="J748" s="14"/>
      <c r="K748" s="16">
        <v>12</v>
      </c>
      <c r="L748" s="55"/>
      <c r="M748" s="14">
        <v>1</v>
      </c>
      <c r="N748" s="62"/>
      <c r="O748" s="64"/>
      <c r="P748" s="62"/>
      <c r="Q748" s="14"/>
      <c r="R748" s="14"/>
    </row>
    <row r="749" spans="1:18" s="1" customFormat="1">
      <c r="B749" s="67" t="s">
        <v>3125</v>
      </c>
      <c r="C749" s="70" t="s">
        <v>494</v>
      </c>
      <c r="D749" s="16"/>
      <c r="F749" s="14"/>
      <c r="G749" s="14"/>
      <c r="H749" s="47" t="s">
        <v>3132</v>
      </c>
      <c r="I749" s="11"/>
      <c r="J749" s="14"/>
      <c r="K749" s="16">
        <v>13</v>
      </c>
      <c r="L749" s="32">
        <v>3</v>
      </c>
      <c r="M749" s="62"/>
      <c r="N749" s="62"/>
      <c r="O749" s="64"/>
      <c r="P749" s="62"/>
      <c r="Q749" s="14"/>
      <c r="R749" s="14"/>
    </row>
    <row r="750" spans="1:18" s="1" customFormat="1">
      <c r="B750" s="67" t="s">
        <v>3124</v>
      </c>
      <c r="C750" s="70" t="s">
        <v>494</v>
      </c>
      <c r="D750" s="16"/>
      <c r="F750" s="14"/>
      <c r="G750" s="14"/>
      <c r="H750" s="47"/>
      <c r="I750" s="11"/>
      <c r="J750" s="14"/>
      <c r="K750" s="16">
        <v>14</v>
      </c>
      <c r="L750" s="32"/>
      <c r="M750" s="62"/>
      <c r="N750" s="62"/>
      <c r="O750" s="64"/>
      <c r="P750" s="62"/>
      <c r="Q750" s="14"/>
      <c r="R750" s="14"/>
    </row>
    <row r="751" spans="1:18" s="1" customFormat="1">
      <c r="B751" s="67" t="s">
        <v>3126</v>
      </c>
      <c r="C751" s="70" t="s">
        <v>494</v>
      </c>
      <c r="D751" s="16"/>
      <c r="F751" s="14"/>
      <c r="G751" s="14"/>
      <c r="H751" s="47"/>
      <c r="I751" s="11"/>
      <c r="J751" s="14"/>
      <c r="K751" s="16">
        <v>15</v>
      </c>
      <c r="L751" s="32"/>
      <c r="M751" s="62"/>
      <c r="N751" s="62"/>
      <c r="O751" s="64"/>
      <c r="P751" s="62"/>
      <c r="Q751" s="14"/>
      <c r="R751" s="14"/>
    </row>
    <row r="752" spans="1:18" s="1" customFormat="1">
      <c r="B752" s="67" t="s">
        <v>3071</v>
      </c>
      <c r="C752" s="70" t="s">
        <v>494</v>
      </c>
      <c r="D752" s="16"/>
      <c r="F752" s="14"/>
      <c r="G752" s="14"/>
      <c r="H752" s="47"/>
      <c r="I752" s="11"/>
      <c r="J752" s="14"/>
      <c r="K752" s="16">
        <v>16</v>
      </c>
      <c r="L752" s="9">
        <v>8</v>
      </c>
      <c r="M752" s="47">
        <v>1</v>
      </c>
      <c r="N752" s="62"/>
      <c r="O752" s="64"/>
      <c r="P752" s="62"/>
      <c r="Q752" s="14"/>
      <c r="R752" s="14"/>
    </row>
    <row r="753" spans="1:18" s="1" customFormat="1">
      <c r="B753" s="67" t="s">
        <v>3068</v>
      </c>
      <c r="C753" s="70" t="s">
        <v>494</v>
      </c>
      <c r="D753" s="16"/>
      <c r="F753" s="14"/>
      <c r="G753" s="14"/>
      <c r="H753" s="47"/>
      <c r="I753" s="11"/>
      <c r="J753" s="14"/>
      <c r="K753" s="16">
        <v>17</v>
      </c>
      <c r="L753" s="9">
        <v>8</v>
      </c>
      <c r="M753" s="47">
        <v>1</v>
      </c>
      <c r="N753" s="62"/>
      <c r="O753" s="64"/>
      <c r="P753" s="62"/>
      <c r="Q753" s="14"/>
      <c r="R753" s="14"/>
    </row>
    <row r="754" spans="1:18" s="1" customFormat="1">
      <c r="B754" s="66" t="s">
        <v>4688</v>
      </c>
      <c r="C754" s="64" t="s">
        <v>494</v>
      </c>
      <c r="D754" s="16"/>
      <c r="F754" s="14"/>
      <c r="G754" s="14"/>
      <c r="H754" s="47"/>
      <c r="I754" s="11"/>
      <c r="J754" s="14"/>
      <c r="K754" s="16">
        <v>18</v>
      </c>
      <c r="L754" s="32">
        <v>8</v>
      </c>
      <c r="M754" s="62"/>
      <c r="N754" s="62"/>
      <c r="O754" s="62"/>
      <c r="P754" s="62"/>
      <c r="Q754" s="62"/>
      <c r="R754" s="14"/>
    </row>
    <row r="755" spans="1:18" s="1" customFormat="1">
      <c r="B755" s="60"/>
      <c r="F755" s="14"/>
      <c r="G755" s="14"/>
      <c r="H755" s="14"/>
      <c r="I755" s="11"/>
      <c r="J755" s="14"/>
      <c r="K755" s="16"/>
      <c r="L755" s="15"/>
      <c r="M755" s="14"/>
      <c r="P755" s="14"/>
      <c r="Q755" s="14"/>
      <c r="R755" s="14"/>
    </row>
    <row r="756" spans="1:18">
      <c r="A756" s="91" t="s">
        <v>3311</v>
      </c>
      <c r="B756" s="70" t="s">
        <v>3312</v>
      </c>
      <c r="C756" s="70" t="s">
        <v>494</v>
      </c>
      <c r="E756" s="62" t="s">
        <v>476</v>
      </c>
      <c r="F756">
        <v>22</v>
      </c>
      <c r="G756">
        <v>2206</v>
      </c>
      <c r="H756" s="62" t="s">
        <v>2890</v>
      </c>
      <c r="I756" s="62"/>
      <c r="J756">
        <v>2201</v>
      </c>
      <c r="K756">
        <v>1</v>
      </c>
      <c r="L756" s="9"/>
      <c r="M756" s="47"/>
      <c r="N756" s="10"/>
      <c r="O756" s="10"/>
      <c r="P756" s="1"/>
    </row>
    <row r="757" spans="1:18">
      <c r="B757" s="70" t="s">
        <v>3313</v>
      </c>
      <c r="C757" s="70" t="s">
        <v>494</v>
      </c>
      <c r="E757" s="62" t="s">
        <v>476</v>
      </c>
      <c r="K757">
        <v>2</v>
      </c>
      <c r="L757" s="68">
        <v>52</v>
      </c>
      <c r="M757" s="1"/>
      <c r="N757" s="1">
        <v>2240</v>
      </c>
      <c r="O757" s="23" t="s">
        <v>979</v>
      </c>
      <c r="P757" s="23"/>
      <c r="Q757" s="23"/>
      <c r="R757" s="14"/>
    </row>
    <row r="758" spans="1:18">
      <c r="B758" s="70" t="s">
        <v>3315</v>
      </c>
      <c r="C758" s="70" t="s">
        <v>494</v>
      </c>
      <c r="E758" s="62" t="s">
        <v>476</v>
      </c>
      <c r="K758">
        <v>3</v>
      </c>
      <c r="L758">
        <v>6</v>
      </c>
    </row>
    <row r="759" spans="1:18">
      <c r="B759" s="70" t="s">
        <v>3316</v>
      </c>
      <c r="C759" s="70" t="s">
        <v>494</v>
      </c>
      <c r="K759">
        <v>4</v>
      </c>
      <c r="L759" s="32">
        <v>6</v>
      </c>
      <c r="M759" s="62"/>
      <c r="N759" s="62"/>
      <c r="O759" s="64"/>
      <c r="P759" s="62"/>
      <c r="Q759" s="14"/>
      <c r="R759" s="14"/>
    </row>
    <row r="760" spans="1:18">
      <c r="B760" s="70" t="s">
        <v>3314</v>
      </c>
      <c r="C760" s="70" t="s">
        <v>494</v>
      </c>
      <c r="E760" s="62"/>
      <c r="K760">
        <v>5</v>
      </c>
    </row>
    <row r="761" spans="1:18" s="1" customFormat="1">
      <c r="B761" s="67" t="s">
        <v>3317</v>
      </c>
      <c r="C761" s="70" t="s">
        <v>494</v>
      </c>
      <c r="D761" s="16"/>
      <c r="F761" s="14"/>
      <c r="G761" s="14"/>
      <c r="H761" s="47" t="s">
        <v>3358</v>
      </c>
      <c r="I761" s="11"/>
      <c r="J761" s="14"/>
      <c r="K761">
        <v>6</v>
      </c>
      <c r="L761" s="32">
        <v>3</v>
      </c>
      <c r="M761" s="62"/>
      <c r="N761" s="62"/>
      <c r="O761" s="64"/>
      <c r="P761" s="62"/>
      <c r="Q761" s="14"/>
      <c r="R761" s="14"/>
    </row>
    <row r="762" spans="1:18" s="1" customFormat="1">
      <c r="B762" s="67" t="s">
        <v>3318</v>
      </c>
      <c r="C762" s="70" t="s">
        <v>494</v>
      </c>
      <c r="D762" s="16"/>
      <c r="F762" s="14"/>
      <c r="G762" s="14"/>
      <c r="H762" s="47"/>
      <c r="I762" s="11"/>
      <c r="J762" s="14"/>
      <c r="K762">
        <v>7</v>
      </c>
      <c r="L762" s="32"/>
      <c r="M762" s="62"/>
      <c r="N762" s="62"/>
      <c r="O762" s="64"/>
      <c r="P762" s="62"/>
      <c r="Q762" s="14"/>
      <c r="R762" s="14"/>
    </row>
    <row r="763" spans="1:18" s="1" customFormat="1">
      <c r="B763" s="67" t="s">
        <v>3319</v>
      </c>
      <c r="C763" s="70" t="s">
        <v>494</v>
      </c>
      <c r="D763" s="16"/>
      <c r="F763" s="14"/>
      <c r="G763" s="14">
        <v>300</v>
      </c>
      <c r="H763" s="47"/>
      <c r="I763" s="11"/>
      <c r="J763" s="14"/>
      <c r="K763">
        <v>8</v>
      </c>
      <c r="L763"/>
      <c r="M763"/>
      <c r="N763"/>
      <c r="O763"/>
      <c r="P763"/>
      <c r="Q763"/>
      <c r="R763"/>
    </row>
    <row r="764" spans="1:18" s="1" customFormat="1">
      <c r="B764" s="67" t="s">
        <v>3345</v>
      </c>
      <c r="C764" s="70" t="s">
        <v>494</v>
      </c>
      <c r="D764" s="16"/>
      <c r="F764" s="14"/>
      <c r="G764" s="14">
        <v>5</v>
      </c>
      <c r="H764" s="47"/>
      <c r="I764" s="11"/>
      <c r="J764" s="14"/>
      <c r="K764">
        <v>9</v>
      </c>
      <c r="L764"/>
      <c r="M764"/>
      <c r="N764"/>
      <c r="O764"/>
      <c r="P764"/>
      <c r="Q764"/>
      <c r="R764"/>
    </row>
    <row r="765" spans="1:18">
      <c r="B765" s="67" t="s">
        <v>3320</v>
      </c>
      <c r="C765" s="70" t="s">
        <v>494</v>
      </c>
      <c r="K765">
        <v>10</v>
      </c>
      <c r="L765">
        <v>8</v>
      </c>
    </row>
    <row r="766" spans="1:18">
      <c r="B766" s="67" t="s">
        <v>3321</v>
      </c>
      <c r="C766" s="70" t="s">
        <v>494</v>
      </c>
      <c r="G766" s="89">
        <f>+G763/G764</f>
        <v>60</v>
      </c>
      <c r="K766">
        <v>11</v>
      </c>
      <c r="L766">
        <v>8</v>
      </c>
    </row>
    <row r="767" spans="1:18">
      <c r="B767" s="67" t="s">
        <v>3341</v>
      </c>
      <c r="C767" s="70" t="s">
        <v>494</v>
      </c>
      <c r="K767">
        <v>12</v>
      </c>
      <c r="L767">
        <v>8</v>
      </c>
    </row>
    <row r="768" spans="1:18">
      <c r="B768" s="67" t="s">
        <v>3359</v>
      </c>
      <c r="C768" s="70" t="s">
        <v>494</v>
      </c>
      <c r="K768">
        <v>13</v>
      </c>
    </row>
    <row r="769" spans="1:18">
      <c r="B769" s="67" t="s">
        <v>3344</v>
      </c>
      <c r="C769" s="70" t="s">
        <v>493</v>
      </c>
      <c r="D769">
        <v>20</v>
      </c>
      <c r="K769">
        <v>14</v>
      </c>
    </row>
    <row r="770" spans="1:18">
      <c r="B770" s="67" t="s">
        <v>3360</v>
      </c>
      <c r="C770" s="70" t="s">
        <v>494</v>
      </c>
      <c r="G770" s="62" t="s">
        <v>4012</v>
      </c>
      <c r="K770">
        <v>15</v>
      </c>
    </row>
    <row r="771" spans="1:18">
      <c r="B771" s="70" t="s">
        <v>3971</v>
      </c>
      <c r="C771" s="70" t="s">
        <v>494</v>
      </c>
      <c r="K771">
        <v>16</v>
      </c>
      <c r="L771">
        <v>3</v>
      </c>
      <c r="N771" s="62" t="s">
        <v>379</v>
      </c>
      <c r="O771" s="62" t="s">
        <v>698</v>
      </c>
      <c r="P771" s="62" t="s">
        <v>699</v>
      </c>
    </row>
    <row r="772" spans="1:18" s="7" customFormat="1">
      <c r="B772" s="64"/>
      <c r="C772" s="64"/>
      <c r="N772" s="64"/>
      <c r="O772" s="64"/>
      <c r="P772" s="64"/>
    </row>
    <row r="773" spans="1:18" s="7" customFormat="1">
      <c r="A773" s="7" t="s">
        <v>6793</v>
      </c>
      <c r="B773" s="66" t="s">
        <v>6794</v>
      </c>
      <c r="C773" s="64" t="s">
        <v>494</v>
      </c>
      <c r="E773" s="7" t="s">
        <v>476</v>
      </c>
      <c r="F773" s="7">
        <v>22</v>
      </c>
      <c r="G773" s="7">
        <v>2245</v>
      </c>
      <c r="H773" s="7" t="s">
        <v>6798</v>
      </c>
      <c r="I773" s="7" t="s">
        <v>6799</v>
      </c>
      <c r="J773" s="7">
        <v>2</v>
      </c>
      <c r="K773" s="7">
        <v>1</v>
      </c>
      <c r="L773" s="7">
        <v>6</v>
      </c>
      <c r="N773" s="64"/>
      <c r="O773" s="64"/>
      <c r="P773" s="64"/>
    </row>
    <row r="774" spans="1:18" s="7" customFormat="1">
      <c r="B774" s="66" t="s">
        <v>6797</v>
      </c>
      <c r="C774" s="64" t="s">
        <v>494</v>
      </c>
      <c r="K774" s="7">
        <v>2</v>
      </c>
      <c r="L774" s="7">
        <v>6</v>
      </c>
      <c r="N774" s="64"/>
      <c r="O774" s="64"/>
      <c r="P774" s="64"/>
    </row>
    <row r="775" spans="1:18" s="7" customFormat="1">
      <c r="B775" s="66" t="s">
        <v>6795</v>
      </c>
      <c r="C775" s="64" t="s">
        <v>493</v>
      </c>
      <c r="D775" s="7">
        <v>1</v>
      </c>
      <c r="K775" s="7">
        <v>3</v>
      </c>
      <c r="L775" s="7">
        <v>3</v>
      </c>
      <c r="N775" s="64"/>
      <c r="O775" s="64"/>
      <c r="P775" s="64"/>
    </row>
    <row r="776" spans="1:18" s="7" customFormat="1">
      <c r="B776" s="64" t="s">
        <v>6796</v>
      </c>
      <c r="C776" s="64" t="s">
        <v>493</v>
      </c>
      <c r="D776" s="7">
        <v>100</v>
      </c>
      <c r="K776" s="7">
        <v>4</v>
      </c>
      <c r="N776" s="64"/>
      <c r="O776" s="64"/>
      <c r="P776" s="64"/>
    </row>
    <row r="777" spans="1:18" s="7" customFormat="1">
      <c r="B777" s="64"/>
      <c r="C777" s="64"/>
      <c r="N777" s="64"/>
      <c r="O777" s="64"/>
      <c r="P777" s="64"/>
    </row>
    <row r="778" spans="1:18">
      <c r="B778" s="66"/>
      <c r="C778" s="64"/>
      <c r="K778" s="55"/>
      <c r="N778" s="62"/>
      <c r="O778" s="62"/>
      <c r="P778" s="62"/>
    </row>
    <row r="779" spans="1:18">
      <c r="A779" s="62" t="s">
        <v>6778</v>
      </c>
      <c r="B779" s="66" t="s">
        <v>6779</v>
      </c>
      <c r="C779" s="70" t="s">
        <v>494</v>
      </c>
      <c r="F779">
        <v>22</v>
      </c>
      <c r="G779">
        <v>2249</v>
      </c>
      <c r="H779" s="62" t="s">
        <v>6781</v>
      </c>
      <c r="I779" s="62" t="s">
        <v>6782</v>
      </c>
      <c r="J779">
        <v>7</v>
      </c>
      <c r="K779" s="55">
        <v>1</v>
      </c>
      <c r="L779">
        <v>3</v>
      </c>
      <c r="N779" s="62" t="s">
        <v>3655</v>
      </c>
      <c r="O779" s="66" t="s">
        <v>3648</v>
      </c>
      <c r="P779" s="66" t="s">
        <v>3657</v>
      </c>
    </row>
    <row r="780" spans="1:18">
      <c r="B780" s="66" t="s">
        <v>6780</v>
      </c>
      <c r="C780" s="70" t="s">
        <v>494</v>
      </c>
      <c r="K780" s="55">
        <v>2</v>
      </c>
      <c r="L780">
        <v>3</v>
      </c>
      <c r="M780">
        <v>31</v>
      </c>
      <c r="N780" s="62" t="s">
        <v>3649</v>
      </c>
      <c r="O780" s="64" t="s">
        <v>3652</v>
      </c>
      <c r="P780" s="66" t="s">
        <v>3651</v>
      </c>
      <c r="Q780" s="66" t="s">
        <v>3650</v>
      </c>
      <c r="R780">
        <v>2</v>
      </c>
    </row>
    <row r="781" spans="1:18">
      <c r="B781" s="66"/>
      <c r="C781" s="64"/>
      <c r="K781" s="55"/>
      <c r="N781" s="62"/>
      <c r="O781" s="62"/>
      <c r="P781" s="62"/>
    </row>
    <row r="782" spans="1:18">
      <c r="A782" s="62" t="s">
        <v>4576</v>
      </c>
      <c r="B782" s="66" t="s">
        <v>4577</v>
      </c>
      <c r="C782" s="64" t="s">
        <v>494</v>
      </c>
      <c r="E782" s="62" t="s">
        <v>476</v>
      </c>
      <c r="F782">
        <v>22</v>
      </c>
      <c r="G782">
        <v>2250</v>
      </c>
      <c r="H782" s="62" t="s">
        <v>1952</v>
      </c>
      <c r="I782" s="62" t="s">
        <v>4596</v>
      </c>
      <c r="J782">
        <v>2201</v>
      </c>
      <c r="K782" s="55">
        <v>1</v>
      </c>
      <c r="L782">
        <v>6</v>
      </c>
      <c r="N782" s="62"/>
      <c r="O782" s="62"/>
      <c r="P782" s="62"/>
    </row>
    <row r="783" spans="1:18">
      <c r="B783" s="66" t="s">
        <v>4578</v>
      </c>
      <c r="C783" s="64" t="s">
        <v>494</v>
      </c>
      <c r="K783" s="55">
        <v>2</v>
      </c>
      <c r="L783">
        <v>6</v>
      </c>
      <c r="N783" s="62"/>
      <c r="O783" s="62"/>
      <c r="P783" s="62"/>
    </row>
    <row r="784" spans="1:18">
      <c r="B784" s="66" t="s">
        <v>4581</v>
      </c>
      <c r="C784" s="64" t="s">
        <v>493</v>
      </c>
      <c r="D784">
        <v>1</v>
      </c>
      <c r="K784" s="55">
        <v>3</v>
      </c>
      <c r="N784" s="62"/>
      <c r="O784" s="62"/>
      <c r="P784" s="62"/>
    </row>
    <row r="785" spans="2:16">
      <c r="B785" s="66" t="s">
        <v>4586</v>
      </c>
      <c r="C785" s="64" t="s">
        <v>494</v>
      </c>
      <c r="K785" s="55">
        <v>4</v>
      </c>
      <c r="L785">
        <v>3</v>
      </c>
      <c r="N785" s="62" t="s">
        <v>4671</v>
      </c>
      <c r="O785" s="66" t="s">
        <v>4673</v>
      </c>
      <c r="P785" s="66" t="s">
        <v>4674</v>
      </c>
    </row>
    <row r="786" spans="2:16">
      <c r="B786" s="66" t="s">
        <v>4579</v>
      </c>
      <c r="C786" s="64" t="s">
        <v>493</v>
      </c>
      <c r="D786">
        <v>250</v>
      </c>
      <c r="K786" s="55">
        <v>5</v>
      </c>
      <c r="N786" s="62"/>
      <c r="O786" s="66"/>
      <c r="P786" s="62"/>
    </row>
    <row r="787" spans="2:16">
      <c r="B787" s="66" t="s">
        <v>4580</v>
      </c>
      <c r="C787" s="64" t="s">
        <v>494</v>
      </c>
      <c r="K787" s="55">
        <v>6</v>
      </c>
      <c r="L787">
        <v>7</v>
      </c>
      <c r="N787" s="62"/>
      <c r="O787" s="66"/>
      <c r="P787" s="62"/>
    </row>
    <row r="788" spans="2:16">
      <c r="B788" s="66" t="s">
        <v>4582</v>
      </c>
      <c r="C788" s="64" t="s">
        <v>494</v>
      </c>
      <c r="K788" s="55">
        <v>7</v>
      </c>
      <c r="L788">
        <v>7</v>
      </c>
      <c r="N788" s="62"/>
      <c r="P788" s="62"/>
    </row>
    <row r="789" spans="2:16">
      <c r="B789" s="66" t="s">
        <v>4583</v>
      </c>
      <c r="C789" s="64" t="s">
        <v>494</v>
      </c>
      <c r="K789" s="55">
        <v>8</v>
      </c>
      <c r="L789">
        <v>8</v>
      </c>
      <c r="N789" s="62"/>
      <c r="O789" s="62"/>
      <c r="P789" s="62"/>
    </row>
    <row r="790" spans="2:16">
      <c r="B790" s="66" t="s">
        <v>4594</v>
      </c>
      <c r="C790" s="64" t="s">
        <v>493</v>
      </c>
      <c r="D790">
        <v>50</v>
      </c>
      <c r="K790" s="55">
        <v>9</v>
      </c>
      <c r="N790" s="62"/>
      <c r="O790" s="62"/>
      <c r="P790" s="62"/>
    </row>
    <row r="791" spans="2:16">
      <c r="B791" s="66" t="s">
        <v>4587</v>
      </c>
      <c r="C791" s="64" t="s">
        <v>702</v>
      </c>
      <c r="K791" s="55">
        <v>10</v>
      </c>
      <c r="N791" s="62"/>
      <c r="O791" s="62"/>
      <c r="P791" s="62"/>
    </row>
    <row r="792" spans="2:16">
      <c r="B792" s="66" t="s">
        <v>4605</v>
      </c>
      <c r="C792" s="64" t="s">
        <v>702</v>
      </c>
      <c r="K792" s="55">
        <v>11</v>
      </c>
      <c r="N792" s="62"/>
      <c r="O792" s="62"/>
      <c r="P792" s="62"/>
    </row>
    <row r="793" spans="2:16">
      <c r="B793" s="66" t="s">
        <v>4584</v>
      </c>
      <c r="C793" s="64" t="s">
        <v>494</v>
      </c>
      <c r="K793" s="55">
        <v>12</v>
      </c>
      <c r="L793">
        <v>8</v>
      </c>
      <c r="N793" s="62"/>
      <c r="O793" s="62"/>
      <c r="P793" s="62"/>
    </row>
    <row r="794" spans="2:16">
      <c r="B794" s="66" t="s">
        <v>4588</v>
      </c>
      <c r="C794" s="64" t="s">
        <v>702</v>
      </c>
      <c r="K794" s="55">
        <v>13</v>
      </c>
      <c r="N794" s="62"/>
      <c r="O794" s="62"/>
      <c r="P794" s="62"/>
    </row>
    <row r="795" spans="2:16">
      <c r="B795" s="66" t="s">
        <v>4585</v>
      </c>
      <c r="C795" s="64" t="s">
        <v>494</v>
      </c>
      <c r="K795" s="55">
        <v>14</v>
      </c>
      <c r="L795">
        <v>8</v>
      </c>
      <c r="N795" s="62"/>
      <c r="O795" s="62"/>
      <c r="P795" s="62"/>
    </row>
    <row r="796" spans="2:16">
      <c r="B796" s="66" t="s">
        <v>4589</v>
      </c>
      <c r="C796" s="64" t="s">
        <v>702</v>
      </c>
      <c r="K796" s="55">
        <v>15</v>
      </c>
      <c r="N796" s="62"/>
      <c r="O796" s="62"/>
      <c r="P796" s="62"/>
    </row>
    <row r="797" spans="2:16">
      <c r="B797" s="66" t="s">
        <v>4590</v>
      </c>
      <c r="C797" s="64" t="s">
        <v>702</v>
      </c>
      <c r="K797" s="55">
        <v>16</v>
      </c>
      <c r="N797" s="62"/>
      <c r="O797" s="62"/>
      <c r="P797" s="62"/>
    </row>
    <row r="798" spans="2:16">
      <c r="B798" s="66" t="s">
        <v>4591</v>
      </c>
      <c r="C798" s="64" t="s">
        <v>702</v>
      </c>
      <c r="K798" s="55">
        <v>17</v>
      </c>
      <c r="N798" s="62"/>
      <c r="O798" s="62"/>
      <c r="P798" s="62"/>
    </row>
    <row r="799" spans="2:16">
      <c r="B799" s="66" t="s">
        <v>4592</v>
      </c>
      <c r="C799" s="64" t="s">
        <v>702</v>
      </c>
      <c r="K799" s="55">
        <v>18</v>
      </c>
      <c r="N799" s="62"/>
      <c r="O799" s="62"/>
      <c r="P799" s="62"/>
    </row>
    <row r="800" spans="2:16">
      <c r="B800" s="66" t="s">
        <v>4593</v>
      </c>
      <c r="C800" s="64" t="s">
        <v>493</v>
      </c>
      <c r="D800">
        <v>1</v>
      </c>
      <c r="K800" s="55">
        <v>19</v>
      </c>
      <c r="L800">
        <v>3</v>
      </c>
      <c r="N800" s="62"/>
      <c r="O800" s="62"/>
      <c r="P800" s="62"/>
    </row>
    <row r="801" spans="1:16">
      <c r="B801" s="66" t="s">
        <v>4597</v>
      </c>
      <c r="C801" s="64" t="s">
        <v>494</v>
      </c>
      <c r="K801" s="55">
        <v>20</v>
      </c>
      <c r="L801">
        <v>8</v>
      </c>
      <c r="N801" s="62"/>
      <c r="O801" s="62"/>
      <c r="P801" s="62"/>
    </row>
    <row r="802" spans="1:16">
      <c r="B802" s="66" t="s">
        <v>4598</v>
      </c>
      <c r="C802" s="64" t="s">
        <v>494</v>
      </c>
      <c r="K802" s="55">
        <v>21</v>
      </c>
      <c r="L802">
        <v>3</v>
      </c>
      <c r="N802" s="62"/>
      <c r="O802" s="62"/>
      <c r="P802" s="62"/>
    </row>
    <row r="803" spans="1:16">
      <c r="B803" s="66" t="s">
        <v>4599</v>
      </c>
      <c r="C803" s="64" t="s">
        <v>702</v>
      </c>
      <c r="K803" s="55">
        <v>22</v>
      </c>
      <c r="N803" s="62"/>
      <c r="O803" s="62"/>
      <c r="P803" s="62"/>
    </row>
    <row r="804" spans="1:16">
      <c r="B804" s="66" t="s">
        <v>4595</v>
      </c>
      <c r="C804" s="64" t="s">
        <v>520</v>
      </c>
      <c r="K804" s="55">
        <v>23</v>
      </c>
      <c r="N804" s="62"/>
      <c r="O804" s="62"/>
      <c r="P804" s="62"/>
    </row>
    <row r="805" spans="1:16">
      <c r="B805" s="66"/>
      <c r="C805" s="64"/>
      <c r="K805" s="55"/>
      <c r="N805" s="62"/>
      <c r="O805" s="62"/>
      <c r="P805" s="62"/>
    </row>
    <row r="806" spans="1:16">
      <c r="A806" s="62" t="s">
        <v>4600</v>
      </c>
      <c r="B806" s="66" t="s">
        <v>4601</v>
      </c>
      <c r="C806" s="64" t="s">
        <v>494</v>
      </c>
      <c r="E806" s="62" t="s">
        <v>476</v>
      </c>
      <c r="F806">
        <v>22</v>
      </c>
      <c r="G806">
        <v>2251</v>
      </c>
      <c r="H806" s="62" t="s">
        <v>4609</v>
      </c>
      <c r="J806">
        <v>2201</v>
      </c>
      <c r="K806" s="55">
        <v>1</v>
      </c>
      <c r="L806">
        <v>52</v>
      </c>
      <c r="N806">
        <v>2250</v>
      </c>
      <c r="O806" s="66" t="s">
        <v>4578</v>
      </c>
      <c r="P806" s="62"/>
    </row>
    <row r="807" spans="1:16">
      <c r="B807" s="66" t="s">
        <v>4602</v>
      </c>
      <c r="C807" s="64" t="s">
        <v>494</v>
      </c>
      <c r="E807" s="62" t="s">
        <v>476</v>
      </c>
      <c r="K807" s="55">
        <v>2</v>
      </c>
      <c r="L807">
        <v>8</v>
      </c>
      <c r="N807" s="62"/>
      <c r="O807" s="62"/>
      <c r="P807" s="62"/>
    </row>
    <row r="808" spans="1:16">
      <c r="B808" s="66" t="s">
        <v>4603</v>
      </c>
      <c r="C808" s="64" t="s">
        <v>494</v>
      </c>
      <c r="K808" s="55">
        <v>3</v>
      </c>
      <c r="L808">
        <v>6</v>
      </c>
      <c r="N808" s="62"/>
      <c r="O808" s="62"/>
      <c r="P808" s="62"/>
    </row>
    <row r="809" spans="1:16">
      <c r="B809" s="66" t="s">
        <v>4604</v>
      </c>
      <c r="C809" s="64" t="s">
        <v>494</v>
      </c>
      <c r="K809" s="55">
        <v>4</v>
      </c>
      <c r="L809">
        <v>7</v>
      </c>
      <c r="N809" s="62"/>
      <c r="O809" s="62"/>
      <c r="P809" s="62"/>
    </row>
    <row r="810" spans="1:16">
      <c r="B810" s="66" t="s">
        <v>4606</v>
      </c>
      <c r="C810" s="64" t="s">
        <v>493</v>
      </c>
      <c r="D810">
        <v>1</v>
      </c>
      <c r="K810" s="55">
        <v>5</v>
      </c>
      <c r="L810">
        <v>3</v>
      </c>
      <c r="N810" s="62"/>
      <c r="O810" s="62"/>
      <c r="P810" s="62"/>
    </row>
    <row r="811" spans="1:16">
      <c r="B811" s="66" t="s">
        <v>4607</v>
      </c>
      <c r="C811" s="64" t="s">
        <v>494</v>
      </c>
      <c r="K811" s="55">
        <v>6</v>
      </c>
      <c r="L811">
        <v>7</v>
      </c>
      <c r="N811" s="62"/>
      <c r="O811" s="62"/>
      <c r="P811" s="62"/>
    </row>
    <row r="812" spans="1:16">
      <c r="B812" s="66" t="s">
        <v>4608</v>
      </c>
      <c r="C812" s="64" t="s">
        <v>494</v>
      </c>
      <c r="K812" s="55">
        <v>7</v>
      </c>
      <c r="L812">
        <v>3</v>
      </c>
      <c r="N812" s="62" t="s">
        <v>3655</v>
      </c>
      <c r="O812" s="62" t="s">
        <v>3648</v>
      </c>
      <c r="P812" s="62" t="s">
        <v>3657</v>
      </c>
    </row>
    <row r="813" spans="1:16">
      <c r="B813" s="66" t="s">
        <v>4621</v>
      </c>
      <c r="C813" s="64" t="s">
        <v>494</v>
      </c>
      <c r="K813" s="55">
        <v>8</v>
      </c>
      <c r="M813">
        <v>1</v>
      </c>
      <c r="N813" s="62"/>
      <c r="O813" s="62"/>
      <c r="P813" s="62"/>
    </row>
    <row r="814" spans="1:16">
      <c r="B814" s="66" t="s">
        <v>4610</v>
      </c>
      <c r="C814" s="64" t="s">
        <v>494</v>
      </c>
      <c r="K814" s="55">
        <v>9</v>
      </c>
      <c r="M814">
        <v>1</v>
      </c>
      <c r="N814" s="62"/>
      <c r="O814" s="62"/>
      <c r="P814" s="62"/>
    </row>
    <row r="815" spans="1:16">
      <c r="B815" s="66" t="s">
        <v>4611</v>
      </c>
      <c r="C815" s="64" t="s">
        <v>702</v>
      </c>
      <c r="K815" s="55">
        <v>10</v>
      </c>
      <c r="M815">
        <v>1</v>
      </c>
      <c r="N815" s="62"/>
      <c r="O815" s="62"/>
      <c r="P815" s="62"/>
    </row>
    <row r="816" spans="1:16">
      <c r="B816" s="66" t="s">
        <v>4612</v>
      </c>
      <c r="C816" s="64" t="s">
        <v>702</v>
      </c>
      <c r="K816" s="55">
        <v>11</v>
      </c>
      <c r="M816">
        <v>1</v>
      </c>
      <c r="N816" s="62"/>
      <c r="O816" s="62"/>
      <c r="P816" s="62"/>
    </row>
    <row r="817" spans="2:16">
      <c r="B817" s="66" t="s">
        <v>4613</v>
      </c>
      <c r="C817" s="64" t="s">
        <v>702</v>
      </c>
      <c r="K817" s="55">
        <v>12</v>
      </c>
      <c r="M817">
        <v>1</v>
      </c>
      <c r="N817" s="62"/>
      <c r="O817" s="62"/>
      <c r="P817" s="62"/>
    </row>
    <row r="818" spans="2:16">
      <c r="B818" s="66" t="s">
        <v>4614</v>
      </c>
      <c r="C818" s="64" t="s">
        <v>702</v>
      </c>
      <c r="K818" s="55">
        <v>13</v>
      </c>
      <c r="M818">
        <v>1</v>
      </c>
      <c r="N818" s="62"/>
      <c r="O818" s="62"/>
      <c r="P818" s="62"/>
    </row>
    <row r="819" spans="2:16">
      <c r="B819" s="66" t="s">
        <v>4615</v>
      </c>
      <c r="C819" s="64" t="s">
        <v>494</v>
      </c>
      <c r="K819" s="55">
        <v>14</v>
      </c>
      <c r="M819">
        <v>1</v>
      </c>
      <c r="N819" s="62"/>
      <c r="O819" s="62"/>
      <c r="P819" s="62"/>
    </row>
    <row r="820" spans="2:16">
      <c r="B820" s="66" t="s">
        <v>4617</v>
      </c>
      <c r="C820" s="64" t="s">
        <v>702</v>
      </c>
      <c r="K820" s="55">
        <v>15</v>
      </c>
      <c r="M820">
        <v>1</v>
      </c>
      <c r="N820" s="62"/>
      <c r="O820" s="62"/>
      <c r="P820" s="62"/>
    </row>
    <row r="821" spans="2:16">
      <c r="B821" s="66" t="s">
        <v>4618</v>
      </c>
      <c r="C821" s="64" t="s">
        <v>702</v>
      </c>
      <c r="K821" s="55">
        <v>16</v>
      </c>
      <c r="M821">
        <v>1</v>
      </c>
      <c r="N821" s="62"/>
      <c r="O821" s="62"/>
      <c r="P821" s="62"/>
    </row>
    <row r="822" spans="2:16">
      <c r="B822" s="66" t="s">
        <v>4619</v>
      </c>
      <c r="C822" s="64" t="s">
        <v>702</v>
      </c>
      <c r="K822" s="55">
        <v>17</v>
      </c>
      <c r="M822">
        <v>1</v>
      </c>
      <c r="N822" s="62"/>
      <c r="O822" s="62"/>
      <c r="P822" s="62"/>
    </row>
    <row r="823" spans="2:16">
      <c r="B823" s="66" t="s">
        <v>4620</v>
      </c>
      <c r="C823" s="64" t="s">
        <v>702</v>
      </c>
      <c r="K823" s="55">
        <v>18</v>
      </c>
      <c r="M823">
        <v>1</v>
      </c>
      <c r="N823" s="62"/>
      <c r="O823" s="62"/>
      <c r="P823" s="62"/>
    </row>
    <row r="824" spans="2:16">
      <c r="B824" s="66" t="s">
        <v>4622</v>
      </c>
      <c r="C824" s="64" t="s">
        <v>494</v>
      </c>
      <c r="K824" s="55">
        <v>19</v>
      </c>
      <c r="M824">
        <v>1</v>
      </c>
      <c r="N824" s="62"/>
      <c r="O824" s="62"/>
      <c r="P824" s="62"/>
    </row>
    <row r="825" spans="2:16">
      <c r="B825" s="66" t="s">
        <v>4616</v>
      </c>
      <c r="C825" s="64" t="s">
        <v>702</v>
      </c>
      <c r="K825" s="55">
        <v>20</v>
      </c>
      <c r="M825">
        <v>1</v>
      </c>
      <c r="N825" s="62"/>
      <c r="O825" s="62"/>
      <c r="P825" s="62"/>
    </row>
    <row r="826" spans="2:16">
      <c r="B826" s="66" t="s">
        <v>4623</v>
      </c>
      <c r="C826" s="64" t="s">
        <v>702</v>
      </c>
      <c r="K826" s="55">
        <v>21</v>
      </c>
      <c r="M826">
        <v>1</v>
      </c>
      <c r="N826" s="62"/>
      <c r="O826" s="62"/>
      <c r="P826" s="62"/>
    </row>
    <row r="827" spans="2:16">
      <c r="B827" s="66" t="s">
        <v>4624</v>
      </c>
      <c r="C827" s="64" t="s">
        <v>702</v>
      </c>
      <c r="K827" s="55">
        <v>22</v>
      </c>
      <c r="M827">
        <v>1</v>
      </c>
      <c r="N827" s="62"/>
      <c r="O827" s="62"/>
      <c r="P827" s="62"/>
    </row>
    <row r="828" spans="2:16">
      <c r="B828" s="66" t="s">
        <v>4625</v>
      </c>
      <c r="C828" s="64" t="s">
        <v>702</v>
      </c>
      <c r="K828" s="55">
        <v>23</v>
      </c>
      <c r="M828">
        <v>1</v>
      </c>
      <c r="N828" s="62"/>
      <c r="O828" s="62"/>
      <c r="P828" s="62"/>
    </row>
    <row r="829" spans="2:16">
      <c r="B829" s="66" t="s">
        <v>4626</v>
      </c>
      <c r="C829" s="64" t="s">
        <v>494</v>
      </c>
      <c r="K829" s="55">
        <v>24</v>
      </c>
      <c r="M829">
        <v>1</v>
      </c>
      <c r="N829" s="62"/>
      <c r="O829" s="62"/>
      <c r="P829" s="62"/>
    </row>
    <row r="830" spans="2:16">
      <c r="B830" s="66" t="s">
        <v>4627</v>
      </c>
      <c r="C830" s="64" t="s">
        <v>702</v>
      </c>
      <c r="K830" s="55">
        <v>25</v>
      </c>
      <c r="M830">
        <v>1</v>
      </c>
      <c r="N830" s="62"/>
      <c r="O830" s="62"/>
      <c r="P830" s="62"/>
    </row>
    <row r="831" spans="2:16">
      <c r="B831" s="66" t="s">
        <v>4628</v>
      </c>
      <c r="C831" s="64" t="s">
        <v>702</v>
      </c>
      <c r="K831" s="55">
        <v>26</v>
      </c>
      <c r="M831">
        <v>1</v>
      </c>
      <c r="N831" s="62"/>
      <c r="O831" s="62"/>
      <c r="P831" s="62"/>
    </row>
    <row r="832" spans="2:16">
      <c r="B832" s="66" t="s">
        <v>4629</v>
      </c>
      <c r="C832" s="64" t="s">
        <v>702</v>
      </c>
      <c r="K832" s="55">
        <v>27</v>
      </c>
      <c r="M832">
        <v>1</v>
      </c>
      <c r="N832" s="62"/>
      <c r="O832" s="62"/>
      <c r="P832" s="62"/>
    </row>
    <row r="833" spans="2:16">
      <c r="B833" s="66" t="s">
        <v>4630</v>
      </c>
      <c r="C833" s="64" t="s">
        <v>702</v>
      </c>
      <c r="K833" s="55">
        <v>28</v>
      </c>
      <c r="M833">
        <v>1</v>
      </c>
      <c r="N833" s="62"/>
      <c r="O833" s="62"/>
      <c r="P833" s="62"/>
    </row>
    <row r="834" spans="2:16">
      <c r="B834" s="66" t="s">
        <v>4631</v>
      </c>
      <c r="C834" s="64" t="s">
        <v>494</v>
      </c>
      <c r="K834" s="55">
        <v>29</v>
      </c>
      <c r="M834">
        <v>1</v>
      </c>
      <c r="N834" s="62"/>
      <c r="O834" s="62"/>
      <c r="P834" s="62"/>
    </row>
    <row r="835" spans="2:16">
      <c r="B835" s="66" t="s">
        <v>4632</v>
      </c>
      <c r="C835" s="64" t="s">
        <v>702</v>
      </c>
      <c r="K835" s="55">
        <v>30</v>
      </c>
      <c r="M835">
        <v>1</v>
      </c>
      <c r="N835" s="62"/>
      <c r="O835" s="62"/>
      <c r="P835" s="62"/>
    </row>
    <row r="836" spans="2:16">
      <c r="B836" s="66" t="s">
        <v>4633</v>
      </c>
      <c r="C836" s="64" t="s">
        <v>702</v>
      </c>
      <c r="K836" s="55">
        <v>31</v>
      </c>
      <c r="M836">
        <v>1</v>
      </c>
      <c r="N836" s="62"/>
      <c r="O836" s="62"/>
      <c r="P836" s="62"/>
    </row>
    <row r="837" spans="2:16">
      <c r="B837" s="66" t="s">
        <v>4634</v>
      </c>
      <c r="C837" s="64" t="s">
        <v>702</v>
      </c>
      <c r="K837" s="55">
        <v>32</v>
      </c>
      <c r="M837">
        <v>1</v>
      </c>
      <c r="N837" s="62"/>
      <c r="O837" s="62"/>
      <c r="P837" s="62"/>
    </row>
    <row r="838" spans="2:16">
      <c r="B838" s="66" t="s">
        <v>4635</v>
      </c>
      <c r="C838" s="64" t="s">
        <v>702</v>
      </c>
      <c r="K838" s="55">
        <v>33</v>
      </c>
      <c r="M838">
        <v>1</v>
      </c>
      <c r="N838" s="62"/>
      <c r="O838" s="62"/>
      <c r="P838" s="62"/>
    </row>
    <row r="839" spans="2:16">
      <c r="B839" s="66" t="s">
        <v>4636</v>
      </c>
      <c r="C839" s="64" t="s">
        <v>494</v>
      </c>
      <c r="K839" s="55">
        <v>34</v>
      </c>
      <c r="M839">
        <v>1</v>
      </c>
      <c r="N839" s="62"/>
      <c r="O839" s="62"/>
      <c r="P839" s="62"/>
    </row>
    <row r="840" spans="2:16">
      <c r="B840" s="66" t="s">
        <v>4637</v>
      </c>
      <c r="C840" s="64" t="s">
        <v>702</v>
      </c>
      <c r="K840" s="55">
        <v>35</v>
      </c>
      <c r="M840">
        <v>1</v>
      </c>
      <c r="N840" s="62"/>
      <c r="O840" s="62"/>
      <c r="P840" s="62"/>
    </row>
    <row r="841" spans="2:16">
      <c r="B841" s="66" t="s">
        <v>4638</v>
      </c>
      <c r="C841" s="64" t="s">
        <v>702</v>
      </c>
      <c r="K841" s="55">
        <v>36</v>
      </c>
      <c r="M841">
        <v>1</v>
      </c>
      <c r="N841" s="62"/>
      <c r="O841" s="62"/>
      <c r="P841" s="62"/>
    </row>
    <row r="842" spans="2:16">
      <c r="B842" s="66" t="s">
        <v>4639</v>
      </c>
      <c r="C842" s="64" t="s">
        <v>702</v>
      </c>
      <c r="K842" s="55">
        <v>37</v>
      </c>
      <c r="M842">
        <v>1</v>
      </c>
      <c r="N842" s="62"/>
      <c r="O842" s="62"/>
      <c r="P842" s="62"/>
    </row>
    <row r="843" spans="2:16">
      <c r="B843" s="66" t="s">
        <v>4640</v>
      </c>
      <c r="C843" s="64" t="s">
        <v>702</v>
      </c>
      <c r="K843" s="55">
        <v>38</v>
      </c>
      <c r="M843">
        <v>1</v>
      </c>
      <c r="N843" s="62"/>
      <c r="O843" s="62"/>
      <c r="P843" s="62"/>
    </row>
    <row r="844" spans="2:16">
      <c r="B844" s="66" t="s">
        <v>4641</v>
      </c>
      <c r="C844" s="64" t="s">
        <v>494</v>
      </c>
      <c r="K844" s="55">
        <v>39</v>
      </c>
      <c r="M844">
        <v>1</v>
      </c>
      <c r="N844" s="62"/>
      <c r="O844" s="62"/>
      <c r="P844" s="62"/>
    </row>
    <row r="845" spans="2:16">
      <c r="B845" s="66" t="s">
        <v>4642</v>
      </c>
      <c r="C845" s="64" t="s">
        <v>702</v>
      </c>
      <c r="K845" s="55">
        <v>40</v>
      </c>
      <c r="M845">
        <v>1</v>
      </c>
      <c r="N845" s="62"/>
      <c r="O845" s="62"/>
      <c r="P845" s="62"/>
    </row>
    <row r="846" spans="2:16">
      <c r="B846" s="66" t="s">
        <v>4643</v>
      </c>
      <c r="C846" s="64" t="s">
        <v>702</v>
      </c>
      <c r="K846" s="55">
        <v>41</v>
      </c>
      <c r="M846">
        <v>1</v>
      </c>
      <c r="N846" s="62"/>
      <c r="O846" s="62"/>
      <c r="P846" s="62"/>
    </row>
    <row r="847" spans="2:16">
      <c r="B847" s="66" t="s">
        <v>4644</v>
      </c>
      <c r="C847" s="64" t="s">
        <v>702</v>
      </c>
      <c r="K847" s="55">
        <v>42</v>
      </c>
      <c r="M847">
        <v>1</v>
      </c>
      <c r="N847" s="62"/>
      <c r="O847" s="62"/>
      <c r="P847" s="62"/>
    </row>
    <row r="848" spans="2:16">
      <c r="B848" s="66" t="s">
        <v>4645</v>
      </c>
      <c r="C848" s="64" t="s">
        <v>702</v>
      </c>
      <c r="K848" s="55">
        <v>43</v>
      </c>
      <c r="M848">
        <v>1</v>
      </c>
      <c r="N848" s="62"/>
      <c r="O848" s="62"/>
      <c r="P848" s="62"/>
    </row>
    <row r="849" spans="2:16">
      <c r="B849" s="66" t="s">
        <v>4646</v>
      </c>
      <c r="C849" s="64" t="s">
        <v>494</v>
      </c>
      <c r="K849" s="55">
        <v>44</v>
      </c>
      <c r="M849">
        <v>1</v>
      </c>
      <c r="N849" s="62"/>
      <c r="O849" s="62"/>
      <c r="P849" s="62"/>
    </row>
    <row r="850" spans="2:16">
      <c r="B850" s="66" t="s">
        <v>4647</v>
      </c>
      <c r="C850" s="64" t="s">
        <v>702</v>
      </c>
      <c r="K850" s="55">
        <v>45</v>
      </c>
      <c r="M850">
        <v>1</v>
      </c>
      <c r="N850" s="62"/>
      <c r="O850" s="62"/>
      <c r="P850" s="62"/>
    </row>
    <row r="851" spans="2:16">
      <c r="B851" s="66" t="s">
        <v>4648</v>
      </c>
      <c r="C851" s="64" t="s">
        <v>702</v>
      </c>
      <c r="K851" s="55">
        <v>46</v>
      </c>
      <c r="M851">
        <v>1</v>
      </c>
      <c r="N851" s="62"/>
      <c r="O851" s="62"/>
      <c r="P851" s="62"/>
    </row>
    <row r="852" spans="2:16">
      <c r="B852" s="66" t="s">
        <v>4649</v>
      </c>
      <c r="C852" s="64" t="s">
        <v>702</v>
      </c>
      <c r="K852" s="55">
        <v>47</v>
      </c>
      <c r="M852">
        <v>1</v>
      </c>
      <c r="N852" s="62"/>
      <c r="O852" s="62"/>
      <c r="P852" s="62"/>
    </row>
    <row r="853" spans="2:16">
      <c r="B853" s="66" t="s">
        <v>4650</v>
      </c>
      <c r="C853" s="64" t="s">
        <v>702</v>
      </c>
      <c r="K853" s="55">
        <v>48</v>
      </c>
      <c r="M853">
        <v>1</v>
      </c>
      <c r="N853" s="62"/>
      <c r="O853" s="62"/>
      <c r="P853" s="62"/>
    </row>
    <row r="854" spans="2:16">
      <c r="B854" s="66" t="s">
        <v>4651</v>
      </c>
      <c r="C854" s="64" t="s">
        <v>494</v>
      </c>
      <c r="K854" s="55">
        <v>49</v>
      </c>
      <c r="M854">
        <v>1</v>
      </c>
      <c r="N854" s="62"/>
      <c r="O854" s="62"/>
      <c r="P854" s="62"/>
    </row>
    <row r="855" spans="2:16">
      <c r="B855" s="66" t="s">
        <v>4652</v>
      </c>
      <c r="C855" s="64" t="s">
        <v>702</v>
      </c>
      <c r="K855" s="55">
        <v>50</v>
      </c>
      <c r="M855">
        <v>1</v>
      </c>
      <c r="N855" s="62"/>
      <c r="O855" s="62"/>
      <c r="P855" s="62"/>
    </row>
    <row r="856" spans="2:16">
      <c r="B856" s="66" t="s">
        <v>4653</v>
      </c>
      <c r="C856" s="64" t="s">
        <v>702</v>
      </c>
      <c r="K856" s="55">
        <v>51</v>
      </c>
      <c r="M856">
        <v>1</v>
      </c>
      <c r="N856" s="62"/>
      <c r="O856" s="62"/>
      <c r="P856" s="62"/>
    </row>
    <row r="857" spans="2:16">
      <c r="B857" s="66" t="s">
        <v>4654</v>
      </c>
      <c r="C857" s="64" t="s">
        <v>702</v>
      </c>
      <c r="K857" s="55">
        <v>52</v>
      </c>
      <c r="M857">
        <v>1</v>
      </c>
      <c r="N857" s="62"/>
      <c r="O857" s="62"/>
      <c r="P857" s="62"/>
    </row>
    <row r="858" spans="2:16">
      <c r="B858" s="66" t="s">
        <v>4655</v>
      </c>
      <c r="C858" s="64" t="s">
        <v>702</v>
      </c>
      <c r="K858" s="55">
        <v>53</v>
      </c>
      <c r="M858">
        <v>1</v>
      </c>
      <c r="N858" s="62"/>
      <c r="O858" s="62"/>
      <c r="P858" s="62"/>
    </row>
    <row r="859" spans="2:16">
      <c r="B859" s="66" t="s">
        <v>4656</v>
      </c>
      <c r="C859" s="64" t="s">
        <v>494</v>
      </c>
      <c r="K859" s="55">
        <v>54</v>
      </c>
      <c r="M859">
        <v>1</v>
      </c>
      <c r="N859" s="62"/>
      <c r="O859" s="62"/>
      <c r="P859" s="62"/>
    </row>
    <row r="860" spans="2:16">
      <c r="B860" s="66" t="s">
        <v>4657</v>
      </c>
      <c r="C860" s="64" t="s">
        <v>702</v>
      </c>
      <c r="K860" s="55">
        <v>55</v>
      </c>
      <c r="M860">
        <v>1</v>
      </c>
      <c r="N860" s="62"/>
      <c r="O860" s="62"/>
      <c r="P860" s="62"/>
    </row>
    <row r="861" spans="2:16">
      <c r="B861" s="66" t="s">
        <v>4658</v>
      </c>
      <c r="C861" s="64" t="s">
        <v>702</v>
      </c>
      <c r="K861" s="55">
        <v>56</v>
      </c>
      <c r="M861">
        <v>1</v>
      </c>
      <c r="N861" s="62"/>
      <c r="O861" s="62"/>
      <c r="P861" s="62"/>
    </row>
    <row r="862" spans="2:16">
      <c r="B862" s="66" t="s">
        <v>4659</v>
      </c>
      <c r="C862" s="64" t="s">
        <v>702</v>
      </c>
      <c r="K862" s="55">
        <v>57</v>
      </c>
      <c r="M862">
        <v>1</v>
      </c>
      <c r="N862" s="62"/>
      <c r="O862" s="62"/>
      <c r="P862" s="62"/>
    </row>
    <row r="863" spans="2:16">
      <c r="B863" s="66" t="s">
        <v>4660</v>
      </c>
      <c r="C863" s="64" t="s">
        <v>702</v>
      </c>
      <c r="K863" s="55">
        <v>58</v>
      </c>
      <c r="M863">
        <v>1</v>
      </c>
      <c r="N863" s="62"/>
      <c r="O863" s="62"/>
      <c r="P863" s="62"/>
    </row>
    <row r="864" spans="2:16">
      <c r="B864" s="66" t="s">
        <v>4661</v>
      </c>
      <c r="C864" s="64" t="s">
        <v>494</v>
      </c>
      <c r="K864" s="55">
        <v>59</v>
      </c>
      <c r="M864">
        <v>1</v>
      </c>
      <c r="N864" s="62"/>
      <c r="O864" s="62"/>
      <c r="P864" s="62"/>
    </row>
    <row r="865" spans="1:16">
      <c r="B865" s="66" t="s">
        <v>4662</v>
      </c>
      <c r="C865" s="64" t="s">
        <v>702</v>
      </c>
      <c r="K865" s="55">
        <v>60</v>
      </c>
      <c r="M865">
        <v>1</v>
      </c>
      <c r="N865" s="62"/>
      <c r="O865" s="62"/>
      <c r="P865" s="62"/>
    </row>
    <row r="866" spans="1:16">
      <c r="B866" s="66" t="s">
        <v>4663</v>
      </c>
      <c r="C866" s="64" t="s">
        <v>702</v>
      </c>
      <c r="K866" s="55">
        <v>61</v>
      </c>
      <c r="M866">
        <v>1</v>
      </c>
      <c r="N866" s="62"/>
      <c r="O866" s="62"/>
      <c r="P866" s="62"/>
    </row>
    <row r="867" spans="1:16">
      <c r="B867" s="66" t="s">
        <v>4664</v>
      </c>
      <c r="C867" s="64" t="s">
        <v>702</v>
      </c>
      <c r="K867" s="55">
        <v>62</v>
      </c>
      <c r="M867">
        <v>1</v>
      </c>
      <c r="N867" s="62"/>
      <c r="O867" s="62"/>
      <c r="P867" s="62"/>
    </row>
    <row r="868" spans="1:16">
      <c r="B868" s="66" t="s">
        <v>4665</v>
      </c>
      <c r="C868" s="64" t="s">
        <v>702</v>
      </c>
      <c r="K868" s="55">
        <v>63</v>
      </c>
      <c r="M868">
        <v>1</v>
      </c>
      <c r="N868" s="62"/>
      <c r="O868" s="62"/>
      <c r="P868" s="62"/>
    </row>
    <row r="869" spans="1:16">
      <c r="B869" s="66" t="s">
        <v>4666</v>
      </c>
      <c r="C869" s="64" t="s">
        <v>494</v>
      </c>
      <c r="K869" s="55">
        <v>64</v>
      </c>
      <c r="M869">
        <v>1</v>
      </c>
      <c r="N869" s="62"/>
      <c r="O869" s="62"/>
      <c r="P869" s="62"/>
    </row>
    <row r="870" spans="1:16">
      <c r="B870" s="66" t="s">
        <v>4667</v>
      </c>
      <c r="C870" s="64" t="s">
        <v>702</v>
      </c>
      <c r="K870" s="55">
        <v>65</v>
      </c>
      <c r="M870">
        <v>1</v>
      </c>
      <c r="N870" s="62"/>
      <c r="O870" s="62"/>
      <c r="P870" s="62"/>
    </row>
    <row r="871" spans="1:16">
      <c r="B871" s="66" t="s">
        <v>4668</v>
      </c>
      <c r="C871" s="64" t="s">
        <v>702</v>
      </c>
      <c r="K871" s="55">
        <v>66</v>
      </c>
      <c r="M871">
        <v>1</v>
      </c>
      <c r="N871" s="62"/>
      <c r="O871" s="62"/>
      <c r="P871" s="62"/>
    </row>
    <row r="872" spans="1:16">
      <c r="B872" s="66" t="s">
        <v>4669</v>
      </c>
      <c r="C872" s="64" t="s">
        <v>702</v>
      </c>
      <c r="K872" s="55">
        <v>67</v>
      </c>
      <c r="M872">
        <v>1</v>
      </c>
      <c r="N872" s="62"/>
      <c r="O872" s="62"/>
      <c r="P872" s="62"/>
    </row>
    <row r="873" spans="1:16">
      <c r="B873" s="66" t="s">
        <v>4670</v>
      </c>
      <c r="C873" s="64" t="s">
        <v>702</v>
      </c>
      <c r="K873" s="55">
        <v>68</v>
      </c>
      <c r="M873">
        <v>1</v>
      </c>
      <c r="N873" s="62"/>
      <c r="O873" s="62"/>
      <c r="P873" s="62"/>
    </row>
    <row r="874" spans="1:16">
      <c r="B874" s="66"/>
      <c r="C874" s="64"/>
      <c r="K874" s="55"/>
      <c r="N874" s="62"/>
      <c r="O874" s="62"/>
      <c r="P874" s="62"/>
    </row>
    <row r="875" spans="1:16">
      <c r="A875" s="62" t="s">
        <v>4671</v>
      </c>
      <c r="B875" s="66" t="s">
        <v>4672</v>
      </c>
      <c r="C875" s="64" t="s">
        <v>494</v>
      </c>
      <c r="E875" s="62" t="s">
        <v>476</v>
      </c>
      <c r="F875">
        <v>22</v>
      </c>
      <c r="G875">
        <v>2252</v>
      </c>
      <c r="H875" s="62" t="s">
        <v>4676</v>
      </c>
      <c r="I875" s="62" t="s">
        <v>4677</v>
      </c>
      <c r="J875">
        <v>2</v>
      </c>
      <c r="K875" s="55">
        <v>1</v>
      </c>
      <c r="L875">
        <v>6</v>
      </c>
      <c r="N875" s="62"/>
      <c r="O875" s="62"/>
      <c r="P875" s="62"/>
    </row>
    <row r="876" spans="1:16">
      <c r="B876" s="66" t="s">
        <v>4673</v>
      </c>
      <c r="C876" s="64" t="s">
        <v>494</v>
      </c>
      <c r="K876" s="55">
        <v>2</v>
      </c>
      <c r="L876">
        <v>6</v>
      </c>
      <c r="N876" s="62"/>
      <c r="O876" s="62"/>
      <c r="P876" s="62"/>
    </row>
    <row r="877" spans="1:16">
      <c r="B877" s="66" t="s">
        <v>4675</v>
      </c>
      <c r="C877" s="64" t="s">
        <v>493</v>
      </c>
      <c r="D877">
        <v>1</v>
      </c>
      <c r="K877" s="55">
        <v>3</v>
      </c>
      <c r="L877">
        <v>3</v>
      </c>
      <c r="N877" s="62"/>
      <c r="O877" s="62"/>
      <c r="P877" s="62"/>
    </row>
    <row r="878" spans="1:16">
      <c r="B878" s="66" t="s">
        <v>4678</v>
      </c>
      <c r="C878" s="64" t="s">
        <v>494</v>
      </c>
      <c r="K878" s="55">
        <v>4</v>
      </c>
      <c r="N878" s="62"/>
      <c r="O878" s="62"/>
      <c r="P878" s="62"/>
    </row>
    <row r="879" spans="1:16">
      <c r="B879" s="66" t="s">
        <v>4674</v>
      </c>
      <c r="C879" s="64" t="s">
        <v>493</v>
      </c>
      <c r="D879">
        <v>200</v>
      </c>
      <c r="K879" s="55">
        <v>5</v>
      </c>
      <c r="N879" s="62"/>
      <c r="O879" s="62"/>
      <c r="P879" s="62"/>
    </row>
    <row r="880" spans="1:16">
      <c r="B880" s="66"/>
      <c r="C880" s="64"/>
      <c r="K880" s="55"/>
      <c r="N880" s="62"/>
      <c r="O880" s="62"/>
      <c r="P880" s="62"/>
    </row>
    <row r="881" spans="1:18">
      <c r="B881" s="66"/>
      <c r="C881" s="64"/>
      <c r="K881" s="55"/>
      <c r="N881" s="62"/>
      <c r="O881" s="62"/>
      <c r="P881" s="62"/>
    </row>
    <row r="882" spans="1:18">
      <c r="B882" s="66"/>
      <c r="C882" s="64"/>
      <c r="K882" s="55"/>
      <c r="N882" s="62"/>
      <c r="O882" s="62"/>
      <c r="P882" s="62"/>
    </row>
    <row r="883" spans="1:18">
      <c r="B883" s="66"/>
      <c r="C883" s="62"/>
      <c r="K883" s="55"/>
    </row>
    <row r="884" spans="1:18" s="1" customFormat="1">
      <c r="A884" s="70" t="s">
        <v>551</v>
      </c>
      <c r="B884" s="70" t="s">
        <v>552</v>
      </c>
      <c r="C884" s="1" t="s">
        <v>494</v>
      </c>
      <c r="E884" s="1" t="s">
        <v>476</v>
      </c>
      <c r="F884" s="14">
        <v>22</v>
      </c>
      <c r="G884" s="14">
        <v>2291</v>
      </c>
      <c r="H884" s="14" t="s">
        <v>525</v>
      </c>
      <c r="I884" s="11" t="s">
        <v>650</v>
      </c>
      <c r="J884" s="14">
        <v>2</v>
      </c>
      <c r="K884" s="16">
        <v>1</v>
      </c>
      <c r="L884" s="15"/>
      <c r="M884" s="14"/>
      <c r="N884" s="14"/>
      <c r="O884" s="14"/>
      <c r="P884" s="14"/>
    </row>
    <row r="885" spans="1:18" s="62" customFormat="1">
      <c r="I885" s="22"/>
      <c r="K885" s="57"/>
      <c r="L885" s="76"/>
      <c r="O885" s="60"/>
      <c r="P885" s="60"/>
    </row>
    <row r="886" spans="1:18" s="3" customFormat="1">
      <c r="A886" s="62" t="s">
        <v>4245</v>
      </c>
      <c r="B886" s="62" t="s">
        <v>563</v>
      </c>
      <c r="C886" s="62" t="s">
        <v>494</v>
      </c>
      <c r="D886" s="62"/>
      <c r="E886" s="62"/>
      <c r="F886" s="62">
        <v>22</v>
      </c>
      <c r="G886" s="62">
        <v>2292</v>
      </c>
      <c r="H886" s="62" t="s">
        <v>473</v>
      </c>
      <c r="I886" s="62" t="s">
        <v>998</v>
      </c>
      <c r="J886" s="62">
        <v>1</v>
      </c>
      <c r="K886" s="76">
        <v>1</v>
      </c>
      <c r="L886" s="75"/>
      <c r="M886" s="62"/>
      <c r="N886" s="62"/>
      <c r="O886" s="62"/>
      <c r="P886" s="62"/>
      <c r="Q886" s="12"/>
      <c r="R886" s="12"/>
    </row>
    <row r="887" spans="1:18" s="3" customFormat="1">
      <c r="A887" s="62"/>
      <c r="B887" s="62"/>
      <c r="C887" s="62"/>
      <c r="D887" s="62"/>
      <c r="E887" s="62"/>
      <c r="F887" s="62"/>
      <c r="G887" s="62"/>
      <c r="H887" s="62"/>
      <c r="I887" s="62"/>
      <c r="J887" s="62"/>
      <c r="K887" s="76"/>
      <c r="L887" s="75"/>
      <c r="M887" s="62"/>
      <c r="N887" s="62"/>
      <c r="O887" s="62"/>
      <c r="P887" s="62"/>
      <c r="Q887" s="12"/>
      <c r="R887" s="12"/>
    </row>
    <row r="889" spans="1:18">
      <c r="A889" s="62" t="s">
        <v>4013</v>
      </c>
      <c r="B889" s="66" t="s">
        <v>4014</v>
      </c>
      <c r="C889" s="62" t="s">
        <v>493</v>
      </c>
      <c r="D889">
        <v>13</v>
      </c>
      <c r="E889" s="62" t="s">
        <v>476</v>
      </c>
      <c r="N889" s="62"/>
      <c r="O889" s="62"/>
      <c r="P889" s="62"/>
    </row>
    <row r="890" spans="1:18">
      <c r="A890" s="62"/>
      <c r="B890" s="66" t="s">
        <v>4015</v>
      </c>
      <c r="C890" s="62" t="s">
        <v>494</v>
      </c>
      <c r="E890" s="62" t="s">
        <v>476</v>
      </c>
      <c r="N890" s="62"/>
      <c r="O890" s="62"/>
      <c r="P890" s="62"/>
    </row>
    <row r="891" spans="1:18">
      <c r="A891" s="62"/>
      <c r="B891" s="66" t="s">
        <v>4016</v>
      </c>
      <c r="C891" s="62" t="s">
        <v>494</v>
      </c>
      <c r="E891" s="62" t="s">
        <v>476</v>
      </c>
      <c r="N891" s="62"/>
      <c r="O891" s="62"/>
      <c r="P891" s="62"/>
    </row>
    <row r="892" spans="1:18">
      <c r="A892" s="62"/>
      <c r="B892" s="66" t="s">
        <v>4018</v>
      </c>
      <c r="C892" s="62" t="s">
        <v>494</v>
      </c>
      <c r="E892" s="62" t="s">
        <v>476</v>
      </c>
      <c r="N892" s="62"/>
      <c r="O892" s="62"/>
      <c r="P892" s="62"/>
    </row>
    <row r="893" spans="1:18">
      <c r="A893" s="62"/>
      <c r="B893" s="66" t="s">
        <v>4017</v>
      </c>
      <c r="C893" s="62" t="s">
        <v>494</v>
      </c>
      <c r="E893" s="62" t="s">
        <v>476</v>
      </c>
      <c r="N893" s="62"/>
      <c r="O893" s="62"/>
      <c r="P893" s="62"/>
    </row>
    <row r="894" spans="1:18">
      <c r="A894" s="62"/>
      <c r="B894" s="66" t="s">
        <v>4019</v>
      </c>
      <c r="C894" s="62" t="s">
        <v>494</v>
      </c>
      <c r="N894" s="62"/>
      <c r="O894" s="62"/>
      <c r="P894" s="62"/>
    </row>
    <row r="895" spans="1:18">
      <c r="A895" s="62"/>
      <c r="B895" s="66"/>
      <c r="C895" s="62"/>
      <c r="N895" s="62"/>
      <c r="O895" s="62"/>
      <c r="P895" s="62"/>
    </row>
    <row r="896" spans="1:18">
      <c r="B896" s="66"/>
      <c r="C896" s="62"/>
      <c r="K896" s="55"/>
    </row>
    <row r="897" spans="1:18">
      <c r="B897" s="66"/>
      <c r="C897" s="62"/>
      <c r="K897" s="55"/>
    </row>
    <row r="899" spans="1:18">
      <c r="A899" s="70" t="s">
        <v>3262</v>
      </c>
      <c r="B899" s="70" t="s">
        <v>3264</v>
      </c>
      <c r="C899" s="70" t="s">
        <v>494</v>
      </c>
      <c r="E899" s="62" t="s">
        <v>476</v>
      </c>
      <c r="F899">
        <v>22</v>
      </c>
      <c r="G899">
        <v>2204</v>
      </c>
      <c r="H899" s="62" t="s">
        <v>2034</v>
      </c>
      <c r="I899" s="62" t="s">
        <v>3285</v>
      </c>
      <c r="J899">
        <v>2201</v>
      </c>
      <c r="K899" s="55">
        <v>1</v>
      </c>
      <c r="L899" s="9">
        <v>3</v>
      </c>
      <c r="M899" s="1"/>
      <c r="N899" s="10" t="s">
        <v>506</v>
      </c>
      <c r="O899" s="10" t="s">
        <v>514</v>
      </c>
      <c r="P899" s="1" t="s">
        <v>515</v>
      </c>
    </row>
    <row r="900" spans="1:18">
      <c r="A900" s="94"/>
      <c r="B900" s="70" t="s">
        <v>3265</v>
      </c>
      <c r="C900" s="70" t="s">
        <v>494</v>
      </c>
      <c r="E900" s="62" t="s">
        <v>476</v>
      </c>
      <c r="K900" s="55">
        <v>2</v>
      </c>
      <c r="L900">
        <v>52</v>
      </c>
      <c r="N900">
        <v>2216</v>
      </c>
      <c r="O900" s="62" t="s">
        <v>3830</v>
      </c>
    </row>
    <row r="901" spans="1:18">
      <c r="A901" s="94"/>
      <c r="B901" s="70" t="s">
        <v>3266</v>
      </c>
      <c r="C901" s="70" t="s">
        <v>494</v>
      </c>
      <c r="E901" s="62" t="s">
        <v>476</v>
      </c>
      <c r="K901" s="55">
        <v>3</v>
      </c>
      <c r="L901" s="68">
        <v>9</v>
      </c>
      <c r="M901" s="1"/>
      <c r="N901" s="1" t="s">
        <v>1038</v>
      </c>
      <c r="O901" s="23" t="s">
        <v>1040</v>
      </c>
      <c r="P901" s="23" t="s">
        <v>1041</v>
      </c>
      <c r="Q901" s="23" t="s">
        <v>1040</v>
      </c>
      <c r="R901" s="14">
        <v>140</v>
      </c>
    </row>
    <row r="902" spans="1:18">
      <c r="A902" s="94"/>
      <c r="B902" s="70" t="s">
        <v>3267</v>
      </c>
      <c r="C902" s="70" t="s">
        <v>494</v>
      </c>
      <c r="E902" s="62" t="s">
        <v>476</v>
      </c>
      <c r="G902" s="62" t="s">
        <v>1813</v>
      </c>
      <c r="K902" s="55">
        <v>4</v>
      </c>
    </row>
    <row r="903" spans="1:18">
      <c r="A903" s="94"/>
      <c r="B903" s="70" t="s">
        <v>3286</v>
      </c>
      <c r="C903" s="70" t="s">
        <v>494</v>
      </c>
      <c r="E903" s="62" t="s">
        <v>476</v>
      </c>
      <c r="K903" s="55">
        <v>5</v>
      </c>
      <c r="L903" s="9">
        <v>3</v>
      </c>
      <c r="M903" s="1"/>
      <c r="N903" s="64" t="s">
        <v>1814</v>
      </c>
      <c r="O903" s="66" t="s">
        <v>1815</v>
      </c>
      <c r="P903" s="66" t="s">
        <v>1816</v>
      </c>
    </row>
    <row r="904" spans="1:18">
      <c r="A904" s="94"/>
      <c r="B904" s="70" t="s">
        <v>3268</v>
      </c>
      <c r="C904" s="70" t="s">
        <v>494</v>
      </c>
      <c r="K904" s="55">
        <v>6</v>
      </c>
    </row>
    <row r="905" spans="1:18">
      <c r="A905" s="94"/>
      <c r="B905" s="70" t="s">
        <v>3269</v>
      </c>
      <c r="C905" s="70" t="s">
        <v>494</v>
      </c>
      <c r="K905" s="55">
        <v>7</v>
      </c>
      <c r="L905" s="9">
        <v>3</v>
      </c>
      <c r="M905" s="1"/>
      <c r="N905" s="62" t="s">
        <v>1002</v>
      </c>
      <c r="O905" s="23" t="s">
        <v>1004</v>
      </c>
      <c r="P905" s="23" t="s">
        <v>1023</v>
      </c>
    </row>
    <row r="906" spans="1:18">
      <c r="A906" s="94"/>
      <c r="B906" s="70" t="s">
        <v>3270</v>
      </c>
      <c r="C906" s="70" t="s">
        <v>494</v>
      </c>
      <c r="K906" s="55">
        <v>8</v>
      </c>
      <c r="L906" s="32">
        <v>9</v>
      </c>
      <c r="M906">
        <v>1</v>
      </c>
      <c r="N906" s="62"/>
    </row>
    <row r="908" spans="1:18" s="1" customFormat="1">
      <c r="A908" s="70" t="s">
        <v>1038</v>
      </c>
      <c r="B908" s="67" t="s">
        <v>1039</v>
      </c>
      <c r="C908" s="1" t="s">
        <v>494</v>
      </c>
      <c r="E908" s="1" t="s">
        <v>476</v>
      </c>
      <c r="F908" s="14">
        <v>17</v>
      </c>
      <c r="G908" s="14">
        <v>140</v>
      </c>
      <c r="H908" s="14" t="s">
        <v>1042</v>
      </c>
      <c r="I908" s="11" t="s">
        <v>1043</v>
      </c>
      <c r="J908" s="14">
        <v>1</v>
      </c>
      <c r="K908" s="16">
        <v>1</v>
      </c>
      <c r="L908" s="15"/>
      <c r="M908" s="14"/>
      <c r="P908" s="14"/>
      <c r="Q908" s="14"/>
      <c r="R908" s="14"/>
    </row>
    <row r="909" spans="1:18" s="1" customFormat="1">
      <c r="A909" s="39"/>
      <c r="B909" s="67" t="s">
        <v>1040</v>
      </c>
      <c r="C909" s="1" t="s">
        <v>494</v>
      </c>
      <c r="F909" s="14"/>
      <c r="G909" s="14"/>
      <c r="H909" s="14"/>
      <c r="I909" s="11"/>
      <c r="J909" s="14"/>
      <c r="K909" s="16">
        <v>2</v>
      </c>
      <c r="L909" s="15">
        <v>6</v>
      </c>
      <c r="M909" s="14"/>
      <c r="N909" s="23"/>
      <c r="O909" s="14"/>
      <c r="P909" s="14"/>
      <c r="Q909" s="14"/>
      <c r="R909" s="14"/>
    </row>
    <row r="910" spans="1:18" s="1" customFormat="1">
      <c r="A910" s="39"/>
      <c r="B910" s="67" t="s">
        <v>1041</v>
      </c>
      <c r="C910" s="1" t="s">
        <v>493</v>
      </c>
      <c r="D910" s="1">
        <v>255</v>
      </c>
      <c r="F910" s="14"/>
      <c r="G910" s="14"/>
      <c r="H910" s="14"/>
      <c r="I910" s="11"/>
      <c r="J910" s="14"/>
      <c r="K910" s="16">
        <v>3</v>
      </c>
      <c r="L910" s="15"/>
      <c r="M910" s="14"/>
      <c r="N910" s="23"/>
      <c r="O910" s="14"/>
      <c r="P910" s="14"/>
      <c r="Q910" s="14"/>
      <c r="R910" s="14"/>
    </row>
    <row r="911" spans="1:18">
      <c r="B911" s="67" t="s">
        <v>3716</v>
      </c>
      <c r="C911" s="70" t="s">
        <v>494</v>
      </c>
      <c r="K911" s="57">
        <v>4</v>
      </c>
      <c r="L911" s="55">
        <v>52</v>
      </c>
      <c r="N911" s="62">
        <v>2215</v>
      </c>
      <c r="O911" s="62" t="s">
        <v>3722</v>
      </c>
      <c r="P911" s="62" t="s">
        <v>3724</v>
      </c>
      <c r="Q911" s="62" t="s">
        <v>3720</v>
      </c>
      <c r="R911">
        <v>23</v>
      </c>
    </row>
    <row r="913" spans="1:18" s="1" customFormat="1">
      <c r="A913" s="62" t="s">
        <v>1038</v>
      </c>
      <c r="B913" s="60" t="s">
        <v>5303</v>
      </c>
      <c r="C913" s="1" t="s">
        <v>494</v>
      </c>
      <c r="E913" s="1" t="s">
        <v>476</v>
      </c>
      <c r="F913" s="14">
        <v>22</v>
      </c>
      <c r="G913" s="14">
        <v>140</v>
      </c>
      <c r="H913" s="14" t="s">
        <v>1042</v>
      </c>
      <c r="I913" s="11" t="s">
        <v>1043</v>
      </c>
      <c r="J913" s="14">
        <v>1</v>
      </c>
      <c r="K913" s="16">
        <v>1</v>
      </c>
      <c r="L913" s="15">
        <v>3</v>
      </c>
      <c r="M913" s="14"/>
      <c r="P913" s="14"/>
      <c r="Q913" s="14"/>
      <c r="R913" s="14"/>
    </row>
    <row r="914" spans="1:18" s="1" customFormat="1">
      <c r="A914" s="60"/>
      <c r="B914" s="60" t="s">
        <v>1039</v>
      </c>
      <c r="C914" s="62" t="s">
        <v>494</v>
      </c>
      <c r="E914" s="62" t="s">
        <v>476</v>
      </c>
      <c r="F914" s="14"/>
      <c r="G914" s="14"/>
      <c r="H914" s="14"/>
      <c r="I914" s="11"/>
      <c r="J914" s="14"/>
      <c r="K914" s="16">
        <v>2</v>
      </c>
      <c r="L914" s="15">
        <v>6</v>
      </c>
      <c r="M914" s="14"/>
      <c r="P914" s="14"/>
      <c r="Q914" s="14"/>
      <c r="R914" s="14"/>
    </row>
    <row r="915" spans="1:18" s="1" customFormat="1">
      <c r="B915" s="60" t="s">
        <v>1040</v>
      </c>
      <c r="C915" s="1" t="s">
        <v>494</v>
      </c>
      <c r="F915" s="14"/>
      <c r="G915" s="14"/>
      <c r="H915" s="14"/>
      <c r="I915" s="11"/>
      <c r="J915" s="14"/>
      <c r="K915" s="16">
        <v>3</v>
      </c>
      <c r="L915" s="15">
        <v>6</v>
      </c>
      <c r="M915" s="14"/>
      <c r="N915" s="23"/>
      <c r="O915" s="14"/>
      <c r="P915" s="14"/>
      <c r="Q915" s="14"/>
      <c r="R915" s="14"/>
    </row>
    <row r="916" spans="1:18" s="1" customFormat="1">
      <c r="B916" s="60" t="s">
        <v>5302</v>
      </c>
      <c r="C916" s="62" t="s">
        <v>493</v>
      </c>
      <c r="D916" s="1">
        <v>50</v>
      </c>
      <c r="F916" s="14"/>
      <c r="G916" s="14"/>
      <c r="H916" s="14"/>
      <c r="I916" s="11"/>
      <c r="J916" s="14"/>
      <c r="K916" s="16">
        <v>4</v>
      </c>
      <c r="L916" s="15"/>
      <c r="M916" s="14">
        <v>1</v>
      </c>
      <c r="N916" s="23"/>
      <c r="O916" s="14"/>
      <c r="P916" s="14"/>
      <c r="Q916" s="14"/>
      <c r="R916" s="14"/>
    </row>
    <row r="917" spans="1:18" s="1" customFormat="1">
      <c r="B917" s="60" t="s">
        <v>1041</v>
      </c>
      <c r="C917" s="1" t="s">
        <v>493</v>
      </c>
      <c r="D917" s="1">
        <v>255</v>
      </c>
      <c r="F917" s="14"/>
      <c r="G917" s="14"/>
      <c r="H917" s="14"/>
      <c r="I917" s="11"/>
      <c r="J917" s="14"/>
      <c r="K917" s="16">
        <v>5</v>
      </c>
      <c r="L917" s="15"/>
      <c r="M917" s="14"/>
      <c r="N917" s="23"/>
      <c r="O917" s="14"/>
      <c r="P917" s="14"/>
      <c r="Q917" s="14"/>
      <c r="R917" s="14"/>
    </row>
    <row r="918" spans="1:18" s="1" customFormat="1">
      <c r="B918" s="23" t="s">
        <v>1044</v>
      </c>
      <c r="C918" s="1" t="s">
        <v>494</v>
      </c>
      <c r="F918" s="14"/>
      <c r="G918" s="14"/>
      <c r="H918" s="47" t="s">
        <v>5625</v>
      </c>
      <c r="I918" s="11"/>
      <c r="J918" s="14"/>
      <c r="K918" s="16">
        <v>6</v>
      </c>
      <c r="L918" s="15">
        <v>3</v>
      </c>
      <c r="M918" s="14"/>
      <c r="N918" s="1" t="s">
        <v>956</v>
      </c>
      <c r="O918" s="23" t="s">
        <v>957</v>
      </c>
      <c r="P918" s="23" t="s">
        <v>958</v>
      </c>
      <c r="Q918" s="14"/>
      <c r="R918" s="14"/>
    </row>
    <row r="919" spans="1:18" s="1" customFormat="1">
      <c r="B919" s="23" t="s">
        <v>1045</v>
      </c>
      <c r="C919" s="1" t="s">
        <v>494</v>
      </c>
      <c r="F919" s="14"/>
      <c r="G919" s="14"/>
      <c r="H919" s="47" t="s">
        <v>5624</v>
      </c>
      <c r="I919" s="11"/>
      <c r="J919" s="14"/>
      <c r="K919" s="16">
        <v>7</v>
      </c>
      <c r="L919" s="15"/>
      <c r="M919" s="14"/>
      <c r="N919" s="23"/>
      <c r="O919" s="14"/>
      <c r="P919" s="14"/>
      <c r="Q919" s="14"/>
      <c r="R919" s="14"/>
    </row>
    <row r="920" spans="1:18" s="1" customFormat="1">
      <c r="B920" s="23" t="s">
        <v>1046</v>
      </c>
      <c r="C920" s="1" t="s">
        <v>494</v>
      </c>
      <c r="F920" s="14"/>
      <c r="G920" s="14"/>
      <c r="H920" s="14"/>
      <c r="I920" s="11"/>
      <c r="J920" s="14"/>
      <c r="K920" s="16">
        <v>8</v>
      </c>
      <c r="L920" s="15"/>
      <c r="M920" s="14"/>
      <c r="N920" s="23"/>
      <c r="P920" s="14"/>
      <c r="Q920" s="14"/>
      <c r="R920" s="14"/>
    </row>
    <row r="921" spans="1:18" s="1" customFormat="1">
      <c r="B921" s="65" t="s">
        <v>1047</v>
      </c>
      <c r="C921" s="1" t="s">
        <v>494</v>
      </c>
      <c r="F921" s="14"/>
      <c r="G921" s="14"/>
      <c r="H921" s="14"/>
      <c r="I921" s="11"/>
      <c r="J921" s="14"/>
      <c r="K921" s="16">
        <v>9</v>
      </c>
      <c r="L921" s="15">
        <v>3</v>
      </c>
      <c r="M921" s="14"/>
      <c r="N921" s="1" t="s">
        <v>1002</v>
      </c>
      <c r="O921" s="23" t="s">
        <v>1004</v>
      </c>
      <c r="P921" s="23" t="s">
        <v>1023</v>
      </c>
      <c r="Q921" s="14"/>
      <c r="R921" s="14"/>
    </row>
    <row r="922" spans="1:18" s="1" customFormat="1">
      <c r="B922" s="60" t="s">
        <v>1048</v>
      </c>
      <c r="C922" s="1" t="s">
        <v>494</v>
      </c>
      <c r="F922" s="14"/>
      <c r="G922" s="14"/>
      <c r="H922" s="14"/>
      <c r="I922" s="11"/>
      <c r="J922" s="14"/>
      <c r="K922" s="16">
        <v>10</v>
      </c>
      <c r="L922" s="15">
        <v>3</v>
      </c>
      <c r="M922" s="14"/>
      <c r="N922" s="62" t="s">
        <v>1049</v>
      </c>
      <c r="O922" s="23" t="s">
        <v>1050</v>
      </c>
      <c r="P922" s="23" t="s">
        <v>1051</v>
      </c>
      <c r="Q922" s="14"/>
      <c r="R922" s="14"/>
    </row>
    <row r="923" spans="1:18" s="1" customFormat="1">
      <c r="B923" s="60" t="s">
        <v>1055</v>
      </c>
      <c r="C923" s="1" t="s">
        <v>494</v>
      </c>
      <c r="F923" s="14"/>
      <c r="G923" s="14"/>
      <c r="H923" s="14"/>
      <c r="I923" s="11"/>
      <c r="J923" s="14"/>
      <c r="K923" s="16">
        <v>11</v>
      </c>
      <c r="L923" s="15">
        <v>3</v>
      </c>
      <c r="M923" s="14"/>
      <c r="N923" s="1" t="s">
        <v>1056</v>
      </c>
      <c r="O923" s="23" t="s">
        <v>1058</v>
      </c>
      <c r="P923" s="23" t="s">
        <v>1059</v>
      </c>
      <c r="Q923" s="14"/>
      <c r="R923" s="14"/>
    </row>
    <row r="924" spans="1:18" s="1" customFormat="1">
      <c r="B924" s="23" t="s">
        <v>1062</v>
      </c>
      <c r="C924" s="1" t="s">
        <v>494</v>
      </c>
      <c r="F924" s="14"/>
      <c r="G924" s="14"/>
      <c r="H924" s="14"/>
      <c r="I924" s="11"/>
      <c r="J924" s="14"/>
      <c r="K924" s="16">
        <v>12</v>
      </c>
      <c r="L924" s="15">
        <v>3</v>
      </c>
      <c r="M924" s="14"/>
      <c r="N924" s="62" t="s">
        <v>1063</v>
      </c>
      <c r="O924" s="23" t="s">
        <v>1065</v>
      </c>
      <c r="P924" s="29" t="s">
        <v>1066</v>
      </c>
      <c r="Q924" s="14"/>
      <c r="R924" s="14"/>
    </row>
    <row r="925" spans="1:18" s="1" customFormat="1">
      <c r="B925" s="60" t="s">
        <v>1069</v>
      </c>
      <c r="C925" s="1" t="s">
        <v>494</v>
      </c>
      <c r="F925" s="14"/>
      <c r="G925" s="14"/>
      <c r="H925" s="14"/>
      <c r="I925" s="11"/>
      <c r="J925" s="14"/>
      <c r="K925" s="16">
        <v>13</v>
      </c>
      <c r="L925" s="15"/>
      <c r="M925" s="14"/>
      <c r="O925" s="23"/>
      <c r="P925" s="29"/>
      <c r="Q925" s="14"/>
      <c r="R925" s="14"/>
    </row>
    <row r="926" spans="1:18" s="1" customFormat="1">
      <c r="B926" s="60" t="s">
        <v>1111</v>
      </c>
      <c r="C926" s="1" t="s">
        <v>494</v>
      </c>
      <c r="F926" s="14"/>
      <c r="G926" s="77"/>
      <c r="H926" s="14"/>
      <c r="I926" s="11"/>
      <c r="J926" s="14"/>
      <c r="K926" s="16">
        <v>14</v>
      </c>
      <c r="L926" s="15">
        <v>3</v>
      </c>
      <c r="M926" s="14">
        <v>31</v>
      </c>
      <c r="N926" s="64" t="s">
        <v>24</v>
      </c>
      <c r="O926" s="10" t="s">
        <v>26</v>
      </c>
      <c r="P926" s="10" t="s">
        <v>27</v>
      </c>
      <c r="Q926" s="1" t="s">
        <v>1114</v>
      </c>
      <c r="R926" s="1">
        <v>9</v>
      </c>
    </row>
    <row r="927" spans="1:18" s="1" customFormat="1">
      <c r="B927" s="60" t="s">
        <v>716</v>
      </c>
      <c r="C927" s="1" t="s">
        <v>494</v>
      </c>
      <c r="F927" s="14"/>
      <c r="G927" s="14"/>
      <c r="H927" s="14"/>
      <c r="I927" s="11"/>
      <c r="J927" s="14"/>
      <c r="K927" s="16">
        <v>15</v>
      </c>
      <c r="L927" s="15"/>
      <c r="M927" s="14"/>
      <c r="N927" s="10"/>
      <c r="O927" s="10"/>
      <c r="P927" s="10"/>
    </row>
    <row r="928" spans="1:18" s="1" customFormat="1">
      <c r="A928" s="10"/>
      <c r="B928" s="66" t="s">
        <v>52</v>
      </c>
      <c r="C928" s="1" t="s">
        <v>494</v>
      </c>
      <c r="D928" s="10"/>
      <c r="E928" s="10"/>
      <c r="F928" s="10"/>
      <c r="G928" s="10"/>
      <c r="H928" s="10"/>
      <c r="I928" s="10"/>
      <c r="J928" s="10"/>
      <c r="K928" s="16">
        <v>16</v>
      </c>
      <c r="L928" s="15">
        <v>3</v>
      </c>
      <c r="M928" s="10"/>
      <c r="N928" s="1" t="s">
        <v>3664</v>
      </c>
      <c r="O928" s="23" t="s">
        <v>3666</v>
      </c>
      <c r="P928" s="23" t="s">
        <v>3667</v>
      </c>
      <c r="Q928" s="10"/>
      <c r="R928" s="10"/>
    </row>
    <row r="929" spans="1:18" s="1" customFormat="1">
      <c r="A929" s="10"/>
      <c r="B929" s="66" t="s">
        <v>53</v>
      </c>
      <c r="C929" s="1" t="s">
        <v>494</v>
      </c>
      <c r="D929" s="10"/>
      <c r="E929" s="10"/>
      <c r="F929" s="10"/>
      <c r="G929" s="10"/>
      <c r="H929" s="10"/>
      <c r="I929" s="10"/>
      <c r="J929" s="10"/>
      <c r="K929" s="16">
        <v>17</v>
      </c>
      <c r="L929" s="15">
        <v>3</v>
      </c>
      <c r="M929" s="10"/>
      <c r="N929" s="64" t="s">
        <v>3655</v>
      </c>
      <c r="O929" s="66" t="s">
        <v>3648</v>
      </c>
      <c r="P929" s="66" t="s">
        <v>3657</v>
      </c>
      <c r="Q929" s="10"/>
      <c r="R929" s="10"/>
    </row>
    <row r="930" spans="1:18" s="1" customFormat="1">
      <c r="A930" s="10"/>
      <c r="B930" s="29" t="s">
        <v>69</v>
      </c>
      <c r="C930" s="1" t="s">
        <v>494</v>
      </c>
      <c r="D930" s="10"/>
      <c r="E930" s="10"/>
      <c r="F930" s="10"/>
      <c r="G930" s="10"/>
      <c r="H930" s="10"/>
      <c r="I930" s="10"/>
      <c r="J930" s="10"/>
      <c r="K930" s="16">
        <v>18</v>
      </c>
      <c r="L930" s="15"/>
      <c r="M930" s="10"/>
      <c r="N930" s="10"/>
      <c r="O930" s="29"/>
      <c r="P930" s="29"/>
      <c r="Q930" s="10"/>
      <c r="R930" s="10"/>
    </row>
    <row r="931" spans="1:18" s="1" customFormat="1">
      <c r="B931" s="60" t="s">
        <v>1821</v>
      </c>
      <c r="C931" s="1" t="s">
        <v>494</v>
      </c>
      <c r="F931" s="14"/>
      <c r="G931" s="14"/>
      <c r="H931" s="14"/>
      <c r="I931" s="11"/>
      <c r="J931" s="14"/>
      <c r="K931" s="16">
        <v>19</v>
      </c>
      <c r="L931" s="15">
        <v>3</v>
      </c>
      <c r="M931" s="14">
        <v>31</v>
      </c>
      <c r="N931" s="64" t="s">
        <v>24</v>
      </c>
      <c r="O931" s="64" t="s">
        <v>26</v>
      </c>
      <c r="P931" s="10" t="s">
        <v>27</v>
      </c>
      <c r="Q931" s="1" t="s">
        <v>1114</v>
      </c>
      <c r="R931" s="1">
        <v>9</v>
      </c>
    </row>
    <row r="932" spans="1:18" s="1" customFormat="1">
      <c r="B932" s="66" t="s">
        <v>2004</v>
      </c>
      <c r="C932" s="62" t="s">
        <v>493</v>
      </c>
      <c r="D932" s="1">
        <v>1</v>
      </c>
      <c r="F932" s="77"/>
      <c r="G932" s="14"/>
      <c r="H932" s="14"/>
      <c r="I932" s="11"/>
      <c r="J932" s="14"/>
      <c r="K932" s="16">
        <v>20</v>
      </c>
      <c r="L932" s="15">
        <v>3</v>
      </c>
      <c r="M932" s="14"/>
      <c r="N932" s="10"/>
      <c r="O932" s="10"/>
      <c r="P932" s="10"/>
    </row>
    <row r="933" spans="1:18" s="1" customFormat="1">
      <c r="B933" s="66" t="s">
        <v>2011</v>
      </c>
      <c r="C933" s="62" t="s">
        <v>493</v>
      </c>
      <c r="D933" s="1">
        <v>20</v>
      </c>
      <c r="F933" s="77"/>
      <c r="G933" s="14"/>
      <c r="H933" s="14"/>
      <c r="I933" s="11"/>
      <c r="J933" s="14"/>
      <c r="K933" s="16">
        <v>21</v>
      </c>
      <c r="L933" s="15"/>
      <c r="M933" s="14"/>
      <c r="N933" s="10"/>
      <c r="O933" s="10"/>
      <c r="P933" s="10"/>
    </row>
    <row r="934" spans="1:18" s="1" customFormat="1">
      <c r="B934" s="66" t="s">
        <v>2752</v>
      </c>
      <c r="C934" s="62" t="s">
        <v>493</v>
      </c>
      <c r="D934" s="1">
        <v>1</v>
      </c>
      <c r="F934" s="77"/>
      <c r="G934" s="14"/>
      <c r="H934" s="14"/>
      <c r="I934" s="11"/>
      <c r="J934" s="14"/>
      <c r="K934" s="16">
        <v>22</v>
      </c>
      <c r="L934" s="15">
        <v>3</v>
      </c>
      <c r="M934" s="14"/>
      <c r="N934" s="10"/>
      <c r="O934" s="10"/>
      <c r="P934" s="10"/>
    </row>
    <row r="935" spans="1:18" s="1" customFormat="1">
      <c r="B935" s="67" t="s">
        <v>2994</v>
      </c>
      <c r="C935" s="62" t="s">
        <v>494</v>
      </c>
      <c r="F935" s="77"/>
      <c r="G935" s="14"/>
      <c r="H935" s="14"/>
      <c r="I935" s="11"/>
      <c r="J935" s="14"/>
      <c r="K935" s="16">
        <v>23</v>
      </c>
      <c r="L935" s="15">
        <v>3</v>
      </c>
      <c r="M935" s="14"/>
      <c r="N935" s="62" t="s">
        <v>2991</v>
      </c>
      <c r="O935" s="60" t="s">
        <v>2992</v>
      </c>
      <c r="P935" s="60" t="s">
        <v>2993</v>
      </c>
    </row>
    <row r="936" spans="1:18" s="1" customFormat="1">
      <c r="B936" s="67" t="s">
        <v>3707</v>
      </c>
      <c r="C936" s="62" t="s">
        <v>494</v>
      </c>
      <c r="F936" s="77"/>
      <c r="G936" s="14"/>
      <c r="H936" s="14"/>
      <c r="I936" s="11"/>
      <c r="J936" s="14"/>
      <c r="K936" s="16">
        <v>24</v>
      </c>
      <c r="L936" s="15"/>
      <c r="M936" s="14">
        <v>1</v>
      </c>
      <c r="N936" s="62"/>
      <c r="O936" s="60"/>
      <c r="P936" s="60"/>
    </row>
    <row r="937" spans="1:18">
      <c r="B937" s="67" t="s">
        <v>3715</v>
      </c>
      <c r="C937" s="70" t="s">
        <v>494</v>
      </c>
      <c r="K937" s="16">
        <v>25</v>
      </c>
      <c r="L937">
        <v>3</v>
      </c>
      <c r="N937" s="62" t="s">
        <v>3696</v>
      </c>
      <c r="O937" s="62" t="s">
        <v>3698</v>
      </c>
      <c r="P937" s="62" t="s">
        <v>3699</v>
      </c>
      <c r="R937">
        <v>2214</v>
      </c>
    </row>
    <row r="938" spans="1:18">
      <c r="B938" s="67" t="s">
        <v>3716</v>
      </c>
      <c r="C938" s="70" t="s">
        <v>494</v>
      </c>
      <c r="K938" s="16">
        <v>26</v>
      </c>
      <c r="L938" s="55">
        <v>3</v>
      </c>
      <c r="M938">
        <v>31</v>
      </c>
      <c r="N938" s="62" t="s">
        <v>3719</v>
      </c>
      <c r="O938" s="62" t="s">
        <v>3722</v>
      </c>
      <c r="P938" s="62" t="s">
        <v>3724</v>
      </c>
      <c r="Q938" s="62" t="s">
        <v>3720</v>
      </c>
      <c r="R938">
        <v>23</v>
      </c>
    </row>
    <row r="939" spans="1:18" s="1" customFormat="1">
      <c r="A939" s="10"/>
      <c r="B939" s="29" t="s">
        <v>5084</v>
      </c>
      <c r="C939" s="64" t="s">
        <v>494</v>
      </c>
      <c r="D939" s="10"/>
      <c r="E939" s="10"/>
      <c r="F939" s="10"/>
      <c r="G939" s="10"/>
      <c r="H939" s="10"/>
      <c r="I939" s="10"/>
      <c r="J939" s="10"/>
      <c r="K939" s="16">
        <v>27</v>
      </c>
      <c r="L939" s="55">
        <v>3</v>
      </c>
      <c r="M939" s="10"/>
      <c r="N939" t="s">
        <v>5078</v>
      </c>
      <c r="O939" s="66" t="s">
        <v>1004</v>
      </c>
      <c r="P939" s="64" t="s">
        <v>1023</v>
      </c>
      <c r="Q939" s="10"/>
      <c r="R939" s="10">
        <v>2239</v>
      </c>
    </row>
    <row r="940" spans="1:18" s="1" customFormat="1">
      <c r="B940" s="66" t="s">
        <v>5085</v>
      </c>
      <c r="C940" s="64" t="s">
        <v>493</v>
      </c>
      <c r="D940" s="1">
        <v>1</v>
      </c>
      <c r="I940" s="2"/>
      <c r="K940" s="16">
        <v>28</v>
      </c>
      <c r="L940" s="9">
        <v>3</v>
      </c>
    </row>
    <row r="941" spans="1:18" s="1" customFormat="1">
      <c r="B941" s="66" t="s">
        <v>5086</v>
      </c>
      <c r="C941" s="64" t="s">
        <v>493</v>
      </c>
      <c r="D941" s="1">
        <v>1</v>
      </c>
      <c r="I941" s="2"/>
      <c r="K941" s="16">
        <v>29</v>
      </c>
      <c r="L941" s="32">
        <v>3</v>
      </c>
    </row>
    <row r="942" spans="1:18" s="1" customFormat="1">
      <c r="B942" s="66" t="s">
        <v>5087</v>
      </c>
      <c r="C942" s="64" t="s">
        <v>493</v>
      </c>
      <c r="D942" s="1">
        <v>1</v>
      </c>
      <c r="I942" s="2"/>
      <c r="K942" s="16">
        <v>30</v>
      </c>
      <c r="L942" s="32">
        <v>3</v>
      </c>
    </row>
    <row r="943" spans="1:18" s="1" customFormat="1">
      <c r="B943" s="66" t="s">
        <v>5088</v>
      </c>
      <c r="C943" s="64" t="s">
        <v>493</v>
      </c>
      <c r="D943" s="1">
        <v>1</v>
      </c>
      <c r="I943" s="2"/>
      <c r="K943" s="16">
        <v>31</v>
      </c>
      <c r="L943" s="32">
        <v>3</v>
      </c>
    </row>
    <row r="944" spans="1:18" s="1" customFormat="1">
      <c r="B944" s="66" t="s">
        <v>5090</v>
      </c>
      <c r="C944" s="64" t="s">
        <v>494</v>
      </c>
      <c r="I944" s="2"/>
      <c r="K944" s="16">
        <v>32</v>
      </c>
      <c r="L944" s="32">
        <v>3</v>
      </c>
      <c r="N944" s="62" t="s">
        <v>5091</v>
      </c>
      <c r="O944" t="s">
        <v>5092</v>
      </c>
      <c r="P944" t="s">
        <v>5093</v>
      </c>
    </row>
    <row r="945" spans="1:18" s="1" customFormat="1">
      <c r="B945" s="66" t="s">
        <v>6735</v>
      </c>
      <c r="C945" s="64" t="s">
        <v>493</v>
      </c>
      <c r="D945" s="1">
        <v>1</v>
      </c>
      <c r="I945" s="2"/>
      <c r="K945" s="16">
        <v>33</v>
      </c>
      <c r="L945" s="32">
        <v>3</v>
      </c>
      <c r="N945" s="62"/>
      <c r="O945"/>
      <c r="P945"/>
    </row>
    <row r="946" spans="1:18" s="1" customFormat="1">
      <c r="B946" s="66" t="s">
        <v>6755</v>
      </c>
      <c r="C946" s="64" t="s">
        <v>493</v>
      </c>
      <c r="D946" s="62">
        <v>5</v>
      </c>
      <c r="I946" s="2"/>
      <c r="K946" s="16">
        <v>34</v>
      </c>
      <c r="L946" s="32">
        <v>3</v>
      </c>
      <c r="N946" s="62" t="s">
        <v>6756</v>
      </c>
      <c r="O946" s="62" t="s">
        <v>6757</v>
      </c>
      <c r="P946" s="62" t="s">
        <v>6758</v>
      </c>
    </row>
    <row r="947" spans="1:18" s="1" customFormat="1">
      <c r="A947" s="10"/>
      <c r="B947" s="24"/>
      <c r="C947" s="45"/>
      <c r="D947" s="10"/>
      <c r="E947" s="10"/>
      <c r="F947" s="10"/>
      <c r="G947" s="10"/>
      <c r="H947" s="10"/>
      <c r="I947" s="10"/>
      <c r="J947" s="10"/>
      <c r="K947" s="16"/>
      <c r="L947" s="55"/>
      <c r="M947" s="10"/>
      <c r="N947"/>
      <c r="O947"/>
      <c r="P947" s="10"/>
      <c r="Q947" s="10"/>
      <c r="R947" s="10"/>
    </row>
    <row r="948" spans="1:18" s="1" customFormat="1">
      <c r="A948" s="64" t="s">
        <v>62</v>
      </c>
      <c r="B948" s="66" t="s">
        <v>63</v>
      </c>
      <c r="C948" s="1" t="s">
        <v>494</v>
      </c>
      <c r="E948" s="10" t="s">
        <v>476</v>
      </c>
      <c r="F948" s="10">
        <v>17</v>
      </c>
      <c r="G948" s="10">
        <v>148</v>
      </c>
      <c r="H948" s="10" t="s">
        <v>68</v>
      </c>
      <c r="I948" s="10"/>
      <c r="J948" s="10">
        <v>1</v>
      </c>
      <c r="K948" s="16">
        <v>1</v>
      </c>
      <c r="L948" s="15">
        <v>52</v>
      </c>
      <c r="M948" s="10"/>
      <c r="N948" s="10">
        <v>140</v>
      </c>
      <c r="O948" s="23" t="s">
        <v>1040</v>
      </c>
      <c r="P948" s="29"/>
      <c r="Q948" s="10"/>
      <c r="R948" s="10"/>
    </row>
    <row r="949" spans="1:18" s="1" customFormat="1">
      <c r="A949" s="10"/>
      <c r="B949" s="66" t="s">
        <v>205</v>
      </c>
      <c r="C949" s="1" t="s">
        <v>494</v>
      </c>
      <c r="E949" s="10" t="s">
        <v>476</v>
      </c>
      <c r="F949" s="10"/>
      <c r="G949" s="10"/>
      <c r="H949" s="36" t="s">
        <v>208</v>
      </c>
      <c r="I949" s="10"/>
      <c r="J949" s="10"/>
      <c r="K949" s="16">
        <v>2</v>
      </c>
      <c r="L949" s="15">
        <v>3</v>
      </c>
      <c r="M949" s="10"/>
      <c r="N949" s="10" t="s">
        <v>506</v>
      </c>
      <c r="O949" s="10" t="s">
        <v>514</v>
      </c>
      <c r="P949" s="1" t="s">
        <v>515</v>
      </c>
      <c r="Q949" s="10"/>
      <c r="R949" s="10"/>
    </row>
    <row r="950" spans="1:18" s="1" customFormat="1">
      <c r="A950" s="10"/>
      <c r="B950" s="66" t="s">
        <v>64</v>
      </c>
      <c r="C950" s="1" t="s">
        <v>494</v>
      </c>
      <c r="E950" s="10" t="s">
        <v>476</v>
      </c>
      <c r="F950" s="10"/>
      <c r="G950" s="29"/>
      <c r="H950" s="10"/>
      <c r="I950" s="10"/>
      <c r="J950" s="10"/>
      <c r="K950" s="16">
        <v>3</v>
      </c>
      <c r="L950" s="15">
        <v>6</v>
      </c>
      <c r="M950" s="10"/>
      <c r="N950" s="10"/>
      <c r="P950" s="29"/>
      <c r="Q950" s="10"/>
      <c r="R950" s="10"/>
    </row>
    <row r="951" spans="1:18" s="1" customFormat="1">
      <c r="A951" s="10"/>
      <c r="B951" s="66" t="s">
        <v>65</v>
      </c>
      <c r="C951" s="1" t="s">
        <v>494</v>
      </c>
      <c r="D951" s="10"/>
      <c r="E951" s="10"/>
      <c r="F951" s="10"/>
      <c r="G951" s="10"/>
      <c r="H951" s="10"/>
      <c r="I951" s="10"/>
      <c r="J951" s="10"/>
      <c r="K951" s="16">
        <v>4</v>
      </c>
      <c r="L951" s="15">
        <v>6</v>
      </c>
      <c r="M951" s="10"/>
      <c r="N951" s="10"/>
      <c r="O951" s="29"/>
      <c r="P951" s="29"/>
      <c r="Q951" s="10"/>
      <c r="R951" s="10"/>
    </row>
    <row r="952" spans="1:18" s="1" customFormat="1">
      <c r="A952" s="10"/>
      <c r="B952" s="66" t="s">
        <v>66</v>
      </c>
      <c r="C952" s="1" t="s">
        <v>493</v>
      </c>
      <c r="D952" s="10">
        <v>1</v>
      </c>
      <c r="E952" s="10"/>
      <c r="F952" s="10"/>
      <c r="G952" s="10"/>
      <c r="H952" s="10"/>
      <c r="I952" s="10"/>
      <c r="J952" s="10"/>
      <c r="K952" s="16">
        <v>5</v>
      </c>
      <c r="L952" s="15"/>
      <c r="M952" s="10"/>
      <c r="N952" s="10"/>
      <c r="O952" s="29"/>
      <c r="P952" s="29"/>
      <c r="Q952" s="10"/>
      <c r="R952" s="10"/>
    </row>
    <row r="953" spans="1:18" s="1" customFormat="1">
      <c r="A953" s="10"/>
      <c r="B953" s="66" t="s">
        <v>67</v>
      </c>
      <c r="C953" s="1" t="s">
        <v>494</v>
      </c>
      <c r="D953" s="10"/>
      <c r="E953" s="10"/>
      <c r="F953" s="10"/>
      <c r="G953" s="10"/>
      <c r="H953" s="10"/>
      <c r="I953" s="10"/>
      <c r="J953" s="10"/>
      <c r="K953" s="16">
        <v>6</v>
      </c>
      <c r="L953" s="15"/>
      <c r="M953" s="10"/>
      <c r="N953" s="10"/>
      <c r="O953" s="29"/>
      <c r="P953" s="29"/>
      <c r="Q953" s="10"/>
      <c r="R953" s="10"/>
    </row>
    <row r="954" spans="1:18" s="1" customFormat="1">
      <c r="A954" s="10"/>
      <c r="B954" s="29" t="s">
        <v>210</v>
      </c>
      <c r="C954" s="1" t="s">
        <v>494</v>
      </c>
      <c r="D954" s="10"/>
      <c r="E954" s="10"/>
      <c r="F954" s="10"/>
      <c r="G954" s="10"/>
      <c r="H954" s="10"/>
      <c r="I954" s="10"/>
      <c r="J954" s="10"/>
      <c r="K954" s="16">
        <v>7</v>
      </c>
      <c r="L954" s="15"/>
      <c r="M954" s="10"/>
      <c r="N954" s="10"/>
      <c r="O954" s="29"/>
      <c r="P954" s="29"/>
      <c r="Q954" s="10"/>
      <c r="R954" s="10"/>
    </row>
    <row r="955" spans="1:18" s="1" customFormat="1">
      <c r="A955" s="10"/>
      <c r="B955" s="29" t="s">
        <v>211</v>
      </c>
      <c r="C955" s="1" t="s">
        <v>494</v>
      </c>
      <c r="D955" s="10"/>
      <c r="E955" s="10"/>
      <c r="F955" s="10"/>
      <c r="G955" s="10"/>
      <c r="H955" s="10"/>
      <c r="I955" s="10"/>
      <c r="J955" s="10"/>
      <c r="K955" s="16">
        <v>8</v>
      </c>
      <c r="L955" s="15">
        <v>3</v>
      </c>
      <c r="M955" s="14"/>
      <c r="N955" s="1" t="s">
        <v>1002</v>
      </c>
      <c r="O955" s="23" t="s">
        <v>1004</v>
      </c>
      <c r="P955" s="23" t="s">
        <v>1023</v>
      </c>
      <c r="Q955" s="10"/>
      <c r="R955" s="10"/>
    </row>
    <row r="956" spans="1:18" s="1" customFormat="1">
      <c r="A956" s="10"/>
      <c r="B956" s="66" t="s">
        <v>1792</v>
      </c>
      <c r="C956" s="62" t="s">
        <v>494</v>
      </c>
      <c r="D956" s="10"/>
      <c r="E956" s="10"/>
      <c r="F956" s="10"/>
      <c r="G956" s="10"/>
      <c r="H956" s="10"/>
      <c r="I956" s="10"/>
      <c r="J956" s="10"/>
      <c r="K956" s="16">
        <v>9</v>
      </c>
      <c r="L956" s="15"/>
      <c r="M956" s="14"/>
      <c r="O956" s="23"/>
      <c r="P956" s="23"/>
      <c r="Q956" s="10"/>
      <c r="R956" s="10"/>
    </row>
    <row r="957" spans="1:18" s="1" customFormat="1">
      <c r="A957" s="10"/>
      <c r="B957" s="66"/>
      <c r="C957" s="62"/>
      <c r="D957" s="10"/>
      <c r="E957" s="10"/>
      <c r="F957" s="10"/>
      <c r="G957" s="10"/>
      <c r="H957" s="10"/>
      <c r="I957" s="10"/>
      <c r="J957" s="10"/>
      <c r="K957" s="16"/>
      <c r="L957" s="15"/>
      <c r="M957" s="14"/>
      <c r="O957" s="23"/>
      <c r="P957" s="23"/>
      <c r="Q957" s="10"/>
      <c r="R957" s="10"/>
    </row>
    <row r="958" spans="1:18" s="1" customFormat="1">
      <c r="A958" s="62" t="s">
        <v>2922</v>
      </c>
      <c r="B958" s="60" t="s">
        <v>2923</v>
      </c>
      <c r="C958" s="62" t="s">
        <v>494</v>
      </c>
      <c r="E958" s="62" t="s">
        <v>476</v>
      </c>
      <c r="F958" s="14">
        <v>17</v>
      </c>
      <c r="G958" s="14">
        <v>1743</v>
      </c>
      <c r="H958" s="47" t="s">
        <v>2876</v>
      </c>
      <c r="I958" s="11"/>
      <c r="J958" s="14">
        <v>1</v>
      </c>
      <c r="K958" s="16">
        <v>1</v>
      </c>
      <c r="L958" s="15">
        <v>52</v>
      </c>
      <c r="M958" s="10"/>
      <c r="N958" s="10">
        <v>140</v>
      </c>
      <c r="O958" s="23" t="s">
        <v>1040</v>
      </c>
      <c r="P958" s="23"/>
      <c r="Q958" s="14"/>
      <c r="R958" s="14"/>
    </row>
    <row r="959" spans="1:18" s="1" customFormat="1">
      <c r="B959" s="60" t="s">
        <v>2924</v>
      </c>
      <c r="C959" s="62" t="s">
        <v>494</v>
      </c>
      <c r="E959" s="62" t="s">
        <v>476</v>
      </c>
      <c r="F959" s="14"/>
      <c r="G959" s="14"/>
      <c r="H959" s="14"/>
      <c r="I959" s="11"/>
      <c r="J959" s="14"/>
      <c r="K959" s="16">
        <v>2</v>
      </c>
      <c r="L959" s="15">
        <v>6</v>
      </c>
      <c r="M959" s="14"/>
      <c r="P959" s="23"/>
      <c r="Q959" s="14"/>
      <c r="R959" s="14"/>
    </row>
    <row r="960" spans="1:18" s="1" customFormat="1">
      <c r="B960" s="60" t="s">
        <v>2925</v>
      </c>
      <c r="C960" s="62" t="s">
        <v>494</v>
      </c>
      <c r="F960" s="14"/>
      <c r="G960" s="14"/>
      <c r="H960" s="14"/>
      <c r="I960" s="11"/>
      <c r="J960" s="14"/>
      <c r="K960" s="16">
        <v>3</v>
      </c>
      <c r="L960" s="15">
        <v>6</v>
      </c>
      <c r="M960" s="14"/>
      <c r="P960" s="23"/>
      <c r="Q960" s="14"/>
      <c r="R960" s="14"/>
    </row>
    <row r="961" spans="1:18" s="1" customFormat="1">
      <c r="B961" s="60" t="s">
        <v>2926</v>
      </c>
      <c r="C961" s="62" t="s">
        <v>493</v>
      </c>
      <c r="D961" s="1">
        <v>1</v>
      </c>
      <c r="F961" s="14"/>
      <c r="G961" s="14"/>
      <c r="H961" s="14"/>
      <c r="I961" s="11"/>
      <c r="J961" s="14"/>
      <c r="K961" s="16">
        <v>4</v>
      </c>
      <c r="L961" s="15">
        <v>3</v>
      </c>
      <c r="M961" s="14"/>
      <c r="P961" s="23"/>
      <c r="Q961" s="14"/>
      <c r="R961" s="14"/>
    </row>
    <row r="962" spans="1:18" s="1" customFormat="1">
      <c r="B962" s="60" t="s">
        <v>2927</v>
      </c>
      <c r="C962" s="62" t="s">
        <v>494</v>
      </c>
      <c r="F962" s="14"/>
      <c r="G962" s="14"/>
      <c r="H962" s="14"/>
      <c r="I962" s="11"/>
      <c r="J962" s="14"/>
      <c r="K962" s="16">
        <v>5</v>
      </c>
      <c r="L962" s="15"/>
      <c r="M962" s="14"/>
      <c r="P962" s="23"/>
      <c r="Q962" s="14"/>
      <c r="R962" s="14"/>
    </row>
    <row r="963" spans="1:18" s="1" customFormat="1">
      <c r="B963" s="60" t="s">
        <v>2928</v>
      </c>
      <c r="C963" s="62" t="s">
        <v>520</v>
      </c>
      <c r="F963" s="14"/>
      <c r="G963" s="14"/>
      <c r="H963" s="14"/>
      <c r="I963" s="11"/>
      <c r="J963" s="14"/>
      <c r="K963" s="16">
        <v>6</v>
      </c>
      <c r="L963" s="15"/>
      <c r="M963" s="14"/>
      <c r="P963" s="23"/>
      <c r="Q963" s="14"/>
      <c r="R963" s="14"/>
    </row>
    <row r="964" spans="1:18" s="1" customFormat="1">
      <c r="B964" s="60"/>
      <c r="C964" s="62"/>
      <c r="F964" s="14"/>
      <c r="G964" s="14"/>
      <c r="H964" s="14"/>
      <c r="I964" s="11"/>
      <c r="J964" s="14"/>
      <c r="K964" s="16"/>
      <c r="L964" s="15"/>
      <c r="M964" s="14"/>
      <c r="P964" s="23"/>
      <c r="Q964" s="14"/>
      <c r="R964" s="14"/>
    </row>
    <row r="965" spans="1:18" s="1" customFormat="1">
      <c r="A965" s="62" t="s">
        <v>2929</v>
      </c>
      <c r="B965" s="60" t="s">
        <v>2930</v>
      </c>
      <c r="C965" s="62" t="s">
        <v>494</v>
      </c>
      <c r="E965" s="62" t="s">
        <v>476</v>
      </c>
      <c r="F965" s="14">
        <v>17</v>
      </c>
      <c r="G965" s="14">
        <v>1744</v>
      </c>
      <c r="H965" s="47" t="s">
        <v>111</v>
      </c>
      <c r="I965" s="11"/>
      <c r="J965" s="14">
        <v>1</v>
      </c>
      <c r="K965" s="16">
        <v>1</v>
      </c>
      <c r="L965" s="15">
        <v>52</v>
      </c>
      <c r="M965" s="10"/>
      <c r="N965" s="10">
        <v>140</v>
      </c>
      <c r="O965" s="23" t="s">
        <v>1040</v>
      </c>
      <c r="P965" s="23"/>
      <c r="Q965" s="14"/>
      <c r="R965" s="14"/>
    </row>
    <row r="966" spans="1:18" s="1" customFormat="1">
      <c r="B966" s="60" t="s">
        <v>2931</v>
      </c>
      <c r="C966" s="62" t="s">
        <v>494</v>
      </c>
      <c r="E966" s="62" t="s">
        <v>476</v>
      </c>
      <c r="F966" s="14"/>
      <c r="G966" s="14"/>
      <c r="H966" s="14"/>
      <c r="I966" s="11"/>
      <c r="J966" s="14"/>
      <c r="K966" s="16">
        <v>2</v>
      </c>
      <c r="L966" s="15">
        <v>6</v>
      </c>
      <c r="M966" s="14"/>
      <c r="P966" s="23"/>
      <c r="Q966" s="14"/>
      <c r="R966" s="14"/>
    </row>
    <row r="967" spans="1:18" s="1" customFormat="1">
      <c r="B967" s="60" t="s">
        <v>2932</v>
      </c>
      <c r="C967" s="62" t="s">
        <v>494</v>
      </c>
      <c r="F967" s="14"/>
      <c r="G967" s="14"/>
      <c r="H967" s="14"/>
      <c r="I967" s="11"/>
      <c r="J967" s="14"/>
      <c r="K967" s="16">
        <v>3</v>
      </c>
      <c r="L967" s="15">
        <v>6</v>
      </c>
      <c r="M967" s="14"/>
      <c r="P967" s="23"/>
      <c r="Q967" s="14"/>
      <c r="R967" s="14"/>
    </row>
    <row r="968" spans="1:18" s="1" customFormat="1">
      <c r="B968" s="60" t="s">
        <v>2933</v>
      </c>
      <c r="C968" s="62" t="s">
        <v>493</v>
      </c>
      <c r="D968" s="1">
        <v>1</v>
      </c>
      <c r="F968" s="14"/>
      <c r="G968" s="14"/>
      <c r="H968" s="14"/>
      <c r="I968" s="11"/>
      <c r="J968" s="14"/>
      <c r="K968" s="16">
        <v>4</v>
      </c>
      <c r="L968" s="15">
        <v>3</v>
      </c>
      <c r="M968" s="14"/>
      <c r="P968" s="23"/>
      <c r="Q968" s="14"/>
      <c r="R968" s="14"/>
    </row>
    <row r="969" spans="1:18" s="1" customFormat="1">
      <c r="B969" s="60" t="s">
        <v>2936</v>
      </c>
      <c r="C969" s="62" t="s">
        <v>493</v>
      </c>
      <c r="D969" s="1">
        <v>200</v>
      </c>
      <c r="F969" s="14"/>
      <c r="G969" s="14"/>
      <c r="H969" s="14"/>
      <c r="I969" s="11"/>
      <c r="J969" s="14"/>
      <c r="K969" s="16">
        <v>5</v>
      </c>
      <c r="L969" s="15"/>
      <c r="M969" s="14"/>
      <c r="P969" s="23"/>
      <c r="Q969" s="14"/>
      <c r="R969" s="14"/>
    </row>
    <row r="970" spans="1:18" s="1" customFormat="1">
      <c r="B970" s="60" t="s">
        <v>2934</v>
      </c>
      <c r="C970" s="62" t="s">
        <v>494</v>
      </c>
      <c r="F970" s="14"/>
      <c r="G970" s="14"/>
      <c r="H970" s="14"/>
      <c r="I970" s="11"/>
      <c r="J970" s="14"/>
      <c r="K970" s="16">
        <v>6</v>
      </c>
      <c r="L970" s="15">
        <v>91</v>
      </c>
      <c r="M970" s="14"/>
      <c r="P970" s="23"/>
      <c r="Q970" s="14"/>
      <c r="R970" s="14"/>
    </row>
    <row r="971" spans="1:18" s="1" customFormat="1">
      <c r="B971" s="60" t="s">
        <v>2935</v>
      </c>
      <c r="C971" s="62" t="s">
        <v>494</v>
      </c>
      <c r="F971" s="14"/>
      <c r="G971" s="14"/>
      <c r="H971" s="14"/>
      <c r="I971" s="11"/>
      <c r="J971" s="14"/>
      <c r="K971" s="16">
        <v>7</v>
      </c>
      <c r="L971" s="15">
        <v>92</v>
      </c>
      <c r="M971" s="14"/>
      <c r="P971" s="23"/>
      <c r="Q971" s="14"/>
      <c r="R971" s="14"/>
    </row>
    <row r="972" spans="1:18" s="1" customFormat="1">
      <c r="B972" s="60"/>
      <c r="C972" s="62"/>
      <c r="F972" s="14"/>
      <c r="G972" s="14"/>
      <c r="H972" s="14"/>
      <c r="I972" s="11"/>
      <c r="J972" s="14"/>
      <c r="K972" s="16"/>
      <c r="L972" s="15"/>
      <c r="M972" s="14"/>
      <c r="P972" s="23"/>
      <c r="Q972" s="14"/>
      <c r="R972" s="14"/>
    </row>
    <row r="973" spans="1:18" s="1" customFormat="1">
      <c r="A973" s="62" t="s">
        <v>6736</v>
      </c>
      <c r="B973" s="60" t="s">
        <v>6737</v>
      </c>
      <c r="C973" s="62" t="s">
        <v>494</v>
      </c>
      <c r="E973" s="62" t="s">
        <v>476</v>
      </c>
      <c r="F973" s="14">
        <v>17</v>
      </c>
      <c r="G973" s="14">
        <v>1770</v>
      </c>
      <c r="H973" s="47" t="s">
        <v>6750</v>
      </c>
      <c r="I973" s="11"/>
      <c r="J973" s="14">
        <v>1</v>
      </c>
      <c r="K973" s="16">
        <v>1</v>
      </c>
      <c r="L973" s="15">
        <v>52</v>
      </c>
      <c r="M973" s="10"/>
      <c r="N973" s="10">
        <v>140</v>
      </c>
      <c r="O973" s="23" t="s">
        <v>1040</v>
      </c>
      <c r="P973" s="23"/>
      <c r="Q973" s="14"/>
      <c r="R973" s="14"/>
    </row>
    <row r="974" spans="1:18" s="1" customFormat="1">
      <c r="B974" s="60" t="s">
        <v>6746</v>
      </c>
      <c r="C974" s="62" t="s">
        <v>494</v>
      </c>
      <c r="E974" s="62" t="s">
        <v>476</v>
      </c>
      <c r="F974" s="14"/>
      <c r="G974" s="14"/>
      <c r="H974" s="14"/>
      <c r="I974" s="11"/>
      <c r="J974" s="14"/>
      <c r="K974" s="16">
        <v>2</v>
      </c>
      <c r="L974" s="15">
        <v>6</v>
      </c>
      <c r="M974" s="14"/>
      <c r="P974" s="23"/>
      <c r="Q974" s="14"/>
      <c r="R974" s="14"/>
    </row>
    <row r="975" spans="1:18" s="1" customFormat="1">
      <c r="B975" s="60" t="s">
        <v>6747</v>
      </c>
      <c r="C975" s="62" t="s">
        <v>494</v>
      </c>
      <c r="F975" s="14"/>
      <c r="G975" s="14"/>
      <c r="H975" s="14"/>
      <c r="I975" s="11"/>
      <c r="J975" s="14"/>
      <c r="K975" s="16">
        <v>3</v>
      </c>
      <c r="L975" s="15">
        <v>6</v>
      </c>
      <c r="M975" s="14"/>
      <c r="P975" s="23"/>
      <c r="Q975" s="14"/>
      <c r="R975" s="14"/>
    </row>
    <row r="976" spans="1:18" s="1" customFormat="1">
      <c r="B976" s="60" t="s">
        <v>6748</v>
      </c>
      <c r="C976" s="62" t="s">
        <v>494</v>
      </c>
      <c r="F976" s="14"/>
      <c r="G976" s="14"/>
      <c r="H976" s="14"/>
      <c r="I976" s="11"/>
      <c r="J976" s="14"/>
      <c r="K976" s="16">
        <v>4</v>
      </c>
      <c r="L976" s="15">
        <v>3</v>
      </c>
      <c r="M976" s="14"/>
      <c r="N976" s="62" t="s">
        <v>6738</v>
      </c>
      <c r="O976" s="60" t="s">
        <v>6740</v>
      </c>
      <c r="P976" s="60" t="s">
        <v>6742</v>
      </c>
      <c r="Q976" s="14"/>
      <c r="R976" s="14"/>
    </row>
    <row r="977" spans="1:18" s="1" customFormat="1">
      <c r="B977" s="60" t="s">
        <v>6749</v>
      </c>
      <c r="C977" s="62" t="s">
        <v>520</v>
      </c>
      <c r="F977" s="14"/>
      <c r="G977" s="14"/>
      <c r="H977" s="14"/>
      <c r="I977" s="11"/>
      <c r="J977" s="14"/>
      <c r="K977" s="16">
        <v>5</v>
      </c>
      <c r="L977" s="15"/>
      <c r="M977" s="14"/>
      <c r="P977" s="23"/>
      <c r="Q977" s="14"/>
      <c r="R977" s="14"/>
    </row>
    <row r="978" spans="1:18" s="1" customFormat="1">
      <c r="B978" s="66"/>
      <c r="C978" s="62"/>
      <c r="F978" s="14"/>
      <c r="G978" s="14"/>
      <c r="H978" s="14"/>
      <c r="I978" s="11"/>
      <c r="J978" s="14"/>
      <c r="K978" s="16"/>
      <c r="L978" s="15"/>
      <c r="M978" s="14"/>
      <c r="P978" s="23"/>
      <c r="Q978" s="14"/>
      <c r="R978" s="14"/>
    </row>
    <row r="979" spans="1:18">
      <c r="A979" s="70" t="s">
        <v>3671</v>
      </c>
      <c r="B979" s="67" t="s">
        <v>3673</v>
      </c>
      <c r="C979" s="70" t="s">
        <v>494</v>
      </c>
      <c r="E979" s="62" t="s">
        <v>476</v>
      </c>
      <c r="F979">
        <v>22</v>
      </c>
      <c r="G979">
        <v>2211</v>
      </c>
      <c r="H979" s="62" t="s">
        <v>3260</v>
      </c>
      <c r="J979">
        <v>1</v>
      </c>
      <c r="K979">
        <v>1</v>
      </c>
      <c r="L979">
        <v>52</v>
      </c>
      <c r="N979" s="10">
        <v>140</v>
      </c>
      <c r="O979" s="23" t="s">
        <v>1040</v>
      </c>
    </row>
    <row r="980" spans="1:18">
      <c r="A980" s="94"/>
      <c r="B980" s="67" t="s">
        <v>3672</v>
      </c>
      <c r="C980" s="70" t="s">
        <v>494</v>
      </c>
      <c r="E980" s="62" t="s">
        <v>476</v>
      </c>
      <c r="K980">
        <v>2</v>
      </c>
      <c r="L980">
        <v>9</v>
      </c>
      <c r="N980" s="62" t="s">
        <v>3649</v>
      </c>
      <c r="O980" s="60" t="s">
        <v>3652</v>
      </c>
      <c r="P980" s="60" t="s">
        <v>3694</v>
      </c>
      <c r="Q980" s="23"/>
      <c r="R980" s="14">
        <v>140</v>
      </c>
    </row>
    <row r="981" spans="1:18">
      <c r="A981" s="94"/>
      <c r="B981" s="67" t="s">
        <v>3674</v>
      </c>
      <c r="C981" s="70" t="s">
        <v>494</v>
      </c>
      <c r="K981">
        <v>3</v>
      </c>
      <c r="L981">
        <v>6</v>
      </c>
    </row>
    <row r="982" spans="1:18">
      <c r="A982" s="94"/>
      <c r="B982" s="67" t="s">
        <v>4314</v>
      </c>
      <c r="C982" s="70" t="s">
        <v>494</v>
      </c>
      <c r="K982">
        <v>4</v>
      </c>
      <c r="L982">
        <v>3</v>
      </c>
      <c r="N982" s="62" t="s">
        <v>4306</v>
      </c>
      <c r="O982" s="66" t="s">
        <v>4309</v>
      </c>
      <c r="P982" s="66" t="s">
        <v>4311</v>
      </c>
    </row>
    <row r="983" spans="1:18">
      <c r="A983" s="94"/>
      <c r="B983" s="67" t="s">
        <v>3675</v>
      </c>
      <c r="C983" s="70" t="s">
        <v>494</v>
      </c>
      <c r="K983">
        <v>5</v>
      </c>
      <c r="M983">
        <v>2</v>
      </c>
    </row>
    <row r="984" spans="1:18">
      <c r="B984" s="66"/>
      <c r="C984" s="62"/>
    </row>
    <row r="985" spans="1:18">
      <c r="B985" s="66"/>
      <c r="C985" s="62"/>
    </row>
    <row r="986" spans="1:18" s="1" customFormat="1">
      <c r="A986" s="62" t="s">
        <v>6738</v>
      </c>
      <c r="B986" s="60" t="s">
        <v>6739</v>
      </c>
      <c r="C986" s="62" t="s">
        <v>494</v>
      </c>
      <c r="E986" s="62" t="s">
        <v>476</v>
      </c>
      <c r="F986" s="14">
        <v>17</v>
      </c>
      <c r="G986" s="14">
        <v>1771</v>
      </c>
      <c r="H986" s="47" t="s">
        <v>6744</v>
      </c>
      <c r="I986" s="48" t="s">
        <v>6745</v>
      </c>
      <c r="J986" s="14">
        <v>3</v>
      </c>
      <c r="K986" s="16">
        <v>1</v>
      </c>
      <c r="L986" s="15">
        <v>6</v>
      </c>
      <c r="M986" s="14"/>
      <c r="P986" s="23"/>
      <c r="Q986" s="14"/>
      <c r="R986" s="14"/>
    </row>
    <row r="987" spans="1:18" s="1" customFormat="1">
      <c r="B987" s="60" t="s">
        <v>6740</v>
      </c>
      <c r="C987" s="62" t="s">
        <v>494</v>
      </c>
      <c r="F987" s="14"/>
      <c r="G987" s="14"/>
      <c r="H987" s="14"/>
      <c r="I987" s="11"/>
      <c r="J987" s="14"/>
      <c r="K987" s="16">
        <v>2</v>
      </c>
      <c r="L987" s="15">
        <v>6</v>
      </c>
      <c r="M987" s="14"/>
      <c r="P987" s="23"/>
      <c r="Q987" s="14"/>
      <c r="R987" s="14"/>
    </row>
    <row r="988" spans="1:18" s="1" customFormat="1">
      <c r="B988" s="60" t="s">
        <v>6741</v>
      </c>
      <c r="C988" s="62" t="s">
        <v>493</v>
      </c>
      <c r="D988" s="1">
        <v>1</v>
      </c>
      <c r="F988" s="14"/>
      <c r="G988" s="14"/>
      <c r="H988" s="14"/>
      <c r="I988" s="11"/>
      <c r="J988" s="14"/>
      <c r="K988" s="16">
        <v>3</v>
      </c>
      <c r="L988" s="15">
        <v>3</v>
      </c>
      <c r="M988" s="14"/>
      <c r="P988" s="23"/>
      <c r="Q988" s="14"/>
      <c r="R988" s="14"/>
    </row>
    <row r="989" spans="1:18" s="1" customFormat="1">
      <c r="B989" s="60" t="s">
        <v>6742</v>
      </c>
      <c r="C989" s="62" t="s">
        <v>493</v>
      </c>
      <c r="D989" s="1">
        <v>100</v>
      </c>
      <c r="F989" s="14"/>
      <c r="G989" s="14"/>
      <c r="H989" s="14"/>
      <c r="I989" s="11"/>
      <c r="J989" s="14"/>
      <c r="K989" s="16">
        <v>4</v>
      </c>
      <c r="L989" s="15"/>
      <c r="M989" s="14"/>
      <c r="P989" s="23"/>
      <c r="Q989" s="14"/>
      <c r="R989" s="14"/>
    </row>
    <row r="990" spans="1:18" s="1" customFormat="1">
      <c r="B990" s="60" t="s">
        <v>6743</v>
      </c>
      <c r="C990" s="62" t="s">
        <v>520</v>
      </c>
      <c r="F990" s="14"/>
      <c r="G990" s="14"/>
      <c r="H990" s="14"/>
      <c r="I990" s="11"/>
      <c r="J990" s="14"/>
      <c r="K990" s="16">
        <v>5</v>
      </c>
      <c r="L990" s="15"/>
      <c r="M990" s="14"/>
      <c r="P990" s="23"/>
      <c r="Q990" s="14"/>
      <c r="R990" s="14"/>
    </row>
    <row r="991" spans="1:18" s="1" customFormat="1">
      <c r="B991" s="60"/>
      <c r="C991" s="62"/>
      <c r="F991" s="14"/>
      <c r="G991" s="14"/>
      <c r="H991" s="14"/>
      <c r="I991" s="11"/>
      <c r="J991" s="14"/>
      <c r="K991" s="16"/>
      <c r="L991" s="15"/>
      <c r="M991" s="14"/>
      <c r="P991" s="23"/>
      <c r="Q991" s="14"/>
      <c r="R991" s="14"/>
    </row>
    <row r="992" spans="1:18" s="1" customFormat="1">
      <c r="B992" s="60"/>
      <c r="C992" s="62"/>
      <c r="F992" s="14"/>
      <c r="G992" s="14"/>
      <c r="H992" s="14"/>
      <c r="I992" s="11"/>
      <c r="J992" s="14"/>
      <c r="K992" s="16"/>
      <c r="L992" s="15"/>
      <c r="M992" s="14"/>
      <c r="P992" s="23"/>
      <c r="Q992" s="14"/>
      <c r="R992" s="14"/>
    </row>
    <row r="993" spans="1:18" s="1" customFormat="1">
      <c r="B993" s="60"/>
      <c r="C993" s="62"/>
      <c r="F993" s="14"/>
      <c r="G993" s="14"/>
      <c r="H993" s="14"/>
      <c r="I993" s="11"/>
      <c r="J993" s="14"/>
      <c r="K993" s="16"/>
      <c r="L993" s="15"/>
      <c r="M993" s="14"/>
      <c r="P993" s="23"/>
      <c r="Q993" s="14"/>
      <c r="R993" s="14"/>
    </row>
    <row r="994" spans="1:18" s="1" customFormat="1">
      <c r="B994" s="60"/>
      <c r="C994" s="62"/>
      <c r="F994" s="14"/>
      <c r="G994" s="14"/>
      <c r="H994" s="14"/>
      <c r="I994" s="11"/>
      <c r="J994" s="14"/>
      <c r="K994" s="16"/>
      <c r="L994" s="15"/>
      <c r="M994" s="14"/>
      <c r="P994" s="23"/>
      <c r="Q994" s="14"/>
      <c r="R994" s="14"/>
    </row>
    <row r="995" spans="1:18" s="1" customFormat="1">
      <c r="A995" s="70" t="s">
        <v>975</v>
      </c>
      <c r="B995" s="67" t="s">
        <v>977</v>
      </c>
      <c r="C995" s="39" t="s">
        <v>494</v>
      </c>
      <c r="E995" s="1" t="s">
        <v>476</v>
      </c>
      <c r="F995" s="14">
        <v>17</v>
      </c>
      <c r="G995" s="14">
        <v>1707</v>
      </c>
      <c r="H995" s="14" t="s">
        <v>987</v>
      </c>
      <c r="I995" s="11"/>
      <c r="J995" s="14">
        <v>1701</v>
      </c>
      <c r="K995" s="16">
        <v>1</v>
      </c>
      <c r="L995" s="15">
        <v>9</v>
      </c>
      <c r="M995" s="14"/>
      <c r="N995" s="10">
        <v>140</v>
      </c>
      <c r="O995" s="23" t="s">
        <v>1040</v>
      </c>
      <c r="P995" s="23"/>
      <c r="Q995" s="23"/>
      <c r="R995" s="14"/>
    </row>
    <row r="996" spans="1:18" s="1" customFormat="1">
      <c r="A996" s="70"/>
      <c r="B996" s="67" t="s">
        <v>976</v>
      </c>
      <c r="C996" s="39" t="s">
        <v>494</v>
      </c>
      <c r="E996" s="1" t="s">
        <v>476</v>
      </c>
      <c r="F996" s="14"/>
      <c r="G996" s="14"/>
      <c r="H996" s="14"/>
      <c r="I996" s="11"/>
      <c r="J996" s="14"/>
      <c r="K996" s="16">
        <v>2</v>
      </c>
      <c r="L996" s="15">
        <v>3</v>
      </c>
      <c r="M996" s="14"/>
      <c r="N996" s="64" t="s">
        <v>506</v>
      </c>
      <c r="O996" s="64" t="s">
        <v>514</v>
      </c>
      <c r="P996" s="62" t="s">
        <v>515</v>
      </c>
      <c r="Q996" s="14"/>
      <c r="R996" s="14"/>
    </row>
    <row r="997" spans="1:18" s="1" customFormat="1">
      <c r="A997" s="39"/>
      <c r="B997" s="67" t="s">
        <v>978</v>
      </c>
      <c r="C997" s="39" t="s">
        <v>494</v>
      </c>
      <c r="E997" s="1" t="s">
        <v>476</v>
      </c>
      <c r="F997" s="14"/>
      <c r="G997" s="14"/>
      <c r="H997" s="14"/>
      <c r="I997" s="11"/>
      <c r="J997" s="14"/>
      <c r="K997" s="16">
        <v>3</v>
      </c>
      <c r="L997" s="15">
        <v>3</v>
      </c>
      <c r="M997" s="14"/>
      <c r="N997" s="1" t="s">
        <v>379</v>
      </c>
      <c r="O997" s="62" t="s">
        <v>698</v>
      </c>
      <c r="P997" s="62" t="s">
        <v>699</v>
      </c>
      <c r="Q997" s="14"/>
      <c r="R997" s="14"/>
    </row>
    <row r="998" spans="1:18" s="1" customFormat="1">
      <c r="A998" s="39"/>
      <c r="B998" s="67" t="s">
        <v>979</v>
      </c>
      <c r="C998" s="39" t="s">
        <v>494</v>
      </c>
      <c r="F998" s="14"/>
      <c r="G998" s="14"/>
      <c r="H998" s="14"/>
      <c r="I998" s="11"/>
      <c r="J998" s="14"/>
      <c r="K998" s="16">
        <v>4</v>
      </c>
      <c r="L998" s="15">
        <v>6</v>
      </c>
      <c r="M998" s="14"/>
      <c r="P998" s="14"/>
      <c r="Q998" s="14"/>
      <c r="R998" s="14"/>
    </row>
    <row r="999" spans="1:18" s="1" customFormat="1">
      <c r="A999" s="39"/>
      <c r="B999" s="67" t="s">
        <v>980</v>
      </c>
      <c r="C999" s="39" t="s">
        <v>494</v>
      </c>
      <c r="F999" s="14"/>
      <c r="G999" s="14"/>
      <c r="H999" s="14"/>
      <c r="I999" s="11"/>
      <c r="J999" s="14"/>
      <c r="K999" s="16">
        <v>5</v>
      </c>
      <c r="L999" s="15">
        <v>3</v>
      </c>
      <c r="M999" s="14">
        <v>1</v>
      </c>
      <c r="N999" s="62" t="s">
        <v>974</v>
      </c>
      <c r="O999" s="60" t="s">
        <v>954</v>
      </c>
      <c r="P999" s="23" t="s">
        <v>984</v>
      </c>
      <c r="Q999" s="14"/>
      <c r="R999" s="14"/>
    </row>
    <row r="1000" spans="1:18" s="1" customFormat="1">
      <c r="A1000" s="39"/>
      <c r="B1000" s="87" t="s">
        <v>983</v>
      </c>
      <c r="C1000" s="39" t="s">
        <v>494</v>
      </c>
      <c r="F1000" s="14"/>
      <c r="G1000" s="14"/>
      <c r="H1000" s="14"/>
      <c r="I1000" s="11"/>
      <c r="J1000" s="14"/>
      <c r="K1000" s="16">
        <v>6</v>
      </c>
      <c r="L1000" s="15"/>
      <c r="M1000" s="14"/>
      <c r="N1000" s="23"/>
      <c r="P1000" s="14"/>
      <c r="Q1000" s="14"/>
      <c r="R1000" s="14"/>
    </row>
    <row r="1001" spans="1:18" s="1" customFormat="1">
      <c r="A1001" s="39"/>
      <c r="B1001" s="67" t="s">
        <v>296</v>
      </c>
      <c r="C1001" s="39" t="s">
        <v>493</v>
      </c>
      <c r="D1001" s="1">
        <v>10</v>
      </c>
      <c r="F1001" s="14"/>
      <c r="G1001" s="14"/>
      <c r="H1001" s="14"/>
      <c r="I1001" s="11"/>
      <c r="J1001" s="14"/>
      <c r="K1001" s="16">
        <v>7</v>
      </c>
      <c r="L1001" s="15">
        <v>7</v>
      </c>
      <c r="M1001" s="14">
        <v>1</v>
      </c>
      <c r="N1001" s="23"/>
      <c r="O1001" s="14"/>
      <c r="P1001" s="14"/>
      <c r="Q1001" s="14"/>
      <c r="R1001" s="14"/>
    </row>
    <row r="1002" spans="1:18" s="1" customFormat="1">
      <c r="A1002" s="39"/>
      <c r="B1002" s="67" t="s">
        <v>268</v>
      </c>
      <c r="C1002" s="39" t="s">
        <v>494</v>
      </c>
      <c r="F1002" s="14"/>
      <c r="G1002" s="14"/>
      <c r="H1002" s="14"/>
      <c r="I1002" s="11"/>
      <c r="J1002" s="14"/>
      <c r="K1002" s="16">
        <v>8</v>
      </c>
      <c r="L1002" s="15">
        <v>3</v>
      </c>
      <c r="M1002" s="14">
        <v>1</v>
      </c>
      <c r="N1002" s="62" t="s">
        <v>269</v>
      </c>
      <c r="O1002" s="23" t="s">
        <v>270</v>
      </c>
      <c r="P1002" s="23" t="s">
        <v>271</v>
      </c>
      <c r="Q1002" s="14"/>
      <c r="R1002" s="14"/>
    </row>
    <row r="1004" spans="1:18" s="1" customFormat="1">
      <c r="A1004" s="70" t="s">
        <v>1038</v>
      </c>
      <c r="B1004" s="67" t="s">
        <v>1039</v>
      </c>
      <c r="C1004" s="39" t="s">
        <v>494</v>
      </c>
      <c r="E1004" s="1" t="s">
        <v>476</v>
      </c>
      <c r="F1004" s="14">
        <v>22</v>
      </c>
      <c r="G1004" s="14">
        <v>2241</v>
      </c>
      <c r="H1004" s="47" t="s">
        <v>4922</v>
      </c>
      <c r="I1004" s="48" t="s">
        <v>4923</v>
      </c>
      <c r="J1004" s="14">
        <v>1</v>
      </c>
      <c r="K1004" s="16">
        <v>1</v>
      </c>
      <c r="L1004" s="15"/>
      <c r="M1004" s="14"/>
      <c r="P1004" s="14"/>
      <c r="Q1004" s="14"/>
      <c r="R1004" s="14"/>
    </row>
    <row r="1005" spans="1:18" s="1" customFormat="1">
      <c r="A1005" s="39"/>
      <c r="B1005" s="67" t="s">
        <v>1040</v>
      </c>
      <c r="C1005" s="39" t="s">
        <v>494</v>
      </c>
      <c r="F1005" s="14"/>
      <c r="G1005" s="14"/>
      <c r="H1005" s="14"/>
      <c r="I1005" s="11"/>
      <c r="J1005" s="14"/>
      <c r="K1005" s="16">
        <v>2</v>
      </c>
      <c r="L1005" s="15">
        <v>6</v>
      </c>
      <c r="M1005" s="14"/>
      <c r="N1005" s="23"/>
      <c r="O1005" s="14"/>
      <c r="P1005" s="14"/>
      <c r="Q1005" s="14"/>
      <c r="R1005" s="14"/>
    </row>
    <row r="1006" spans="1:18" s="1" customFormat="1">
      <c r="A1006" s="39"/>
      <c r="B1006" s="67" t="s">
        <v>1041</v>
      </c>
      <c r="C1006" s="39" t="s">
        <v>493</v>
      </c>
      <c r="D1006" s="1">
        <v>255</v>
      </c>
      <c r="F1006" s="14"/>
      <c r="G1006" s="14"/>
      <c r="H1006" s="14"/>
      <c r="I1006" s="11"/>
      <c r="J1006" s="14"/>
      <c r="K1006" s="16">
        <v>3</v>
      </c>
      <c r="L1006" s="15"/>
      <c r="M1006" s="14"/>
      <c r="N1006" s="23"/>
      <c r="O1006" s="14"/>
      <c r="P1006" s="14"/>
      <c r="Q1006" s="14"/>
      <c r="R1006" s="14"/>
    </row>
    <row r="1007" spans="1:18" s="1" customFormat="1">
      <c r="B1007" s="87" t="s">
        <v>1048</v>
      </c>
      <c r="C1007" s="39" t="s">
        <v>494</v>
      </c>
      <c r="F1007" s="14"/>
      <c r="G1007" s="14"/>
      <c r="H1007" s="14"/>
      <c r="I1007" s="11"/>
      <c r="J1007" s="14"/>
      <c r="K1007" s="16">
        <v>4</v>
      </c>
      <c r="L1007" s="15">
        <v>3</v>
      </c>
      <c r="M1007" s="14"/>
      <c r="N1007" s="44" t="s">
        <v>1049</v>
      </c>
      <c r="O1007" s="23" t="s">
        <v>1050</v>
      </c>
      <c r="P1007" s="23" t="s">
        <v>1051</v>
      </c>
      <c r="Q1007" s="14"/>
      <c r="R1007" s="14"/>
    </row>
    <row r="1008" spans="1:18" s="1" customFormat="1">
      <c r="B1008" s="67" t="s">
        <v>1055</v>
      </c>
      <c r="C1008" s="39" t="s">
        <v>494</v>
      </c>
      <c r="F1008" s="14"/>
      <c r="G1008" s="14"/>
      <c r="H1008" s="14"/>
      <c r="I1008" s="11"/>
      <c r="J1008" s="14"/>
      <c r="K1008" s="16">
        <v>5</v>
      </c>
      <c r="L1008" s="15">
        <v>3</v>
      </c>
      <c r="M1008" s="14"/>
      <c r="N1008" s="1" t="s">
        <v>1056</v>
      </c>
      <c r="O1008" s="23" t="s">
        <v>1058</v>
      </c>
      <c r="P1008" s="23" t="s">
        <v>1059</v>
      </c>
      <c r="Q1008" s="14"/>
      <c r="R1008" s="14"/>
    </row>
    <row r="1009" spans="1:18" s="1" customFormat="1">
      <c r="B1009" s="88" t="s">
        <v>1062</v>
      </c>
      <c r="C1009" s="39" t="s">
        <v>494</v>
      </c>
      <c r="F1009" s="14"/>
      <c r="G1009" s="14"/>
      <c r="H1009" s="14"/>
      <c r="I1009" s="11"/>
      <c r="J1009" s="14"/>
      <c r="K1009" s="16">
        <v>6</v>
      </c>
      <c r="L1009" s="15">
        <v>3</v>
      </c>
      <c r="M1009" s="14"/>
      <c r="N1009" s="62" t="s">
        <v>1063</v>
      </c>
      <c r="O1009" s="23" t="s">
        <v>1065</v>
      </c>
      <c r="P1009" s="29" t="s">
        <v>1066</v>
      </c>
      <c r="Q1009" s="14"/>
      <c r="R1009" s="14"/>
    </row>
    <row r="1010" spans="1:18" s="1" customFormat="1">
      <c r="B1010" s="67" t="s">
        <v>1069</v>
      </c>
      <c r="C1010" s="39" t="s">
        <v>494</v>
      </c>
      <c r="F1010" s="14"/>
      <c r="G1010" s="14"/>
      <c r="H1010" s="14"/>
      <c r="I1010" s="11"/>
      <c r="J1010" s="14"/>
      <c r="K1010" s="16">
        <v>7</v>
      </c>
      <c r="L1010" s="15"/>
      <c r="M1010" s="14"/>
      <c r="O1010" s="23"/>
      <c r="P1010" s="29"/>
      <c r="Q1010" s="14"/>
      <c r="R1010" s="14"/>
    </row>
    <row r="1011" spans="1:18" s="1" customFormat="1">
      <c r="A1011" s="10"/>
      <c r="B1011" s="67" t="s">
        <v>52</v>
      </c>
      <c r="C1011" s="39" t="s">
        <v>494</v>
      </c>
      <c r="D1011" s="10"/>
      <c r="E1011" s="10"/>
      <c r="F1011" s="10"/>
      <c r="G1011" s="10"/>
      <c r="H1011" s="10"/>
      <c r="I1011" s="10"/>
      <c r="J1011" s="10"/>
      <c r="K1011" s="16">
        <v>8</v>
      </c>
      <c r="L1011" s="15">
        <v>3</v>
      </c>
      <c r="M1011" s="10"/>
      <c r="N1011" s="1" t="s">
        <v>3664</v>
      </c>
      <c r="O1011" s="23" t="s">
        <v>3666</v>
      </c>
      <c r="P1011" s="23" t="s">
        <v>3667</v>
      </c>
      <c r="Q1011" s="10"/>
      <c r="R1011" s="10"/>
    </row>
    <row r="1012" spans="1:18" s="1" customFormat="1">
      <c r="A1012" s="10"/>
      <c r="B1012" s="67" t="s">
        <v>53</v>
      </c>
      <c r="C1012" s="39" t="s">
        <v>494</v>
      </c>
      <c r="D1012" s="10"/>
      <c r="E1012" s="10"/>
      <c r="F1012" s="10"/>
      <c r="G1012" s="10"/>
      <c r="H1012" s="10"/>
      <c r="I1012" s="10"/>
      <c r="J1012" s="10"/>
      <c r="K1012" s="16">
        <v>9</v>
      </c>
      <c r="L1012" s="15">
        <v>3</v>
      </c>
      <c r="M1012" s="10">
        <v>31</v>
      </c>
      <c r="N1012" s="64" t="s">
        <v>3655</v>
      </c>
      <c r="O1012" s="66" t="s">
        <v>3648</v>
      </c>
      <c r="P1012" s="66" t="s">
        <v>3657</v>
      </c>
      <c r="Q1012" s="64" t="s">
        <v>3658</v>
      </c>
      <c r="R1012" s="10">
        <v>8</v>
      </c>
    </row>
    <row r="1013" spans="1:18" s="1" customFormat="1">
      <c r="B1013" s="67" t="s">
        <v>2004</v>
      </c>
      <c r="C1013" s="70" t="s">
        <v>493</v>
      </c>
      <c r="D1013" s="1">
        <v>1</v>
      </c>
      <c r="F1013" s="77"/>
      <c r="G1013" s="14"/>
      <c r="H1013" s="14"/>
      <c r="I1013" s="11"/>
      <c r="J1013" s="14"/>
      <c r="K1013" s="16">
        <v>10</v>
      </c>
      <c r="L1013" s="15">
        <v>3</v>
      </c>
      <c r="M1013" s="14"/>
      <c r="N1013" s="10"/>
      <c r="O1013" s="10"/>
      <c r="P1013" s="10"/>
    </row>
    <row r="1014" spans="1:18" s="1" customFormat="1">
      <c r="B1014" s="67" t="s">
        <v>2752</v>
      </c>
      <c r="C1014" s="70" t="s">
        <v>493</v>
      </c>
      <c r="D1014" s="1">
        <v>1</v>
      </c>
      <c r="F1014" s="77"/>
      <c r="G1014" s="14"/>
      <c r="H1014" s="14"/>
      <c r="I1014" s="11"/>
      <c r="J1014" s="14"/>
      <c r="K1014" s="16">
        <v>11</v>
      </c>
      <c r="L1014" s="15">
        <v>3</v>
      </c>
      <c r="M1014" s="14"/>
      <c r="N1014" s="10"/>
      <c r="O1014" s="10"/>
      <c r="P1014" s="10"/>
    </row>
    <row r="1016" spans="1:18">
      <c r="A1016" s="62" t="s">
        <v>4924</v>
      </c>
      <c r="B1016" s="66" t="s">
        <v>4926</v>
      </c>
      <c r="C1016" s="64" t="s">
        <v>494</v>
      </c>
      <c r="E1016" s="62" t="s">
        <v>476</v>
      </c>
      <c r="F1016">
        <v>22</v>
      </c>
      <c r="G1016">
        <v>2242</v>
      </c>
      <c r="H1016" s="62" t="s">
        <v>4929</v>
      </c>
      <c r="J1016">
        <v>1</v>
      </c>
      <c r="K1016" s="57">
        <v>1</v>
      </c>
      <c r="L1016" s="55">
        <v>52</v>
      </c>
      <c r="N1016">
        <v>2241</v>
      </c>
      <c r="O1016" s="62" t="s">
        <v>1040</v>
      </c>
    </row>
    <row r="1017" spans="1:18">
      <c r="B1017" s="66" t="s">
        <v>4927</v>
      </c>
      <c r="C1017" s="64" t="s">
        <v>494</v>
      </c>
      <c r="E1017" s="62" t="s">
        <v>476</v>
      </c>
      <c r="K1017" s="57">
        <v>2</v>
      </c>
      <c r="L1017" s="55">
        <v>6</v>
      </c>
    </row>
    <row r="1018" spans="1:18">
      <c r="B1018" s="62" t="s">
        <v>4928</v>
      </c>
      <c r="C1018" s="64" t="s">
        <v>494</v>
      </c>
      <c r="K1018" s="57">
        <v>3</v>
      </c>
      <c r="L1018" s="55">
        <v>6</v>
      </c>
    </row>
    <row r="1019" spans="1:18">
      <c r="B1019" s="62" t="s">
        <v>4925</v>
      </c>
      <c r="C1019" s="62" t="s">
        <v>494</v>
      </c>
      <c r="K1019" s="57">
        <v>4</v>
      </c>
      <c r="L1019" s="55">
        <v>7</v>
      </c>
    </row>
    <row r="1020" spans="1:18">
      <c r="B1020" s="62" t="s">
        <v>5240</v>
      </c>
      <c r="C1020" s="62" t="s">
        <v>493</v>
      </c>
      <c r="D1020">
        <v>50</v>
      </c>
      <c r="K1020" s="57">
        <v>5</v>
      </c>
      <c r="L1020" s="55"/>
    </row>
    <row r="1021" spans="1:18">
      <c r="B1021" s="62" t="s">
        <v>4931</v>
      </c>
      <c r="C1021" s="62" t="s">
        <v>494</v>
      </c>
      <c r="K1021" s="57">
        <v>6</v>
      </c>
      <c r="M1021">
        <v>1</v>
      </c>
    </row>
    <row r="1022" spans="1:18">
      <c r="B1022" s="62" t="s">
        <v>4932</v>
      </c>
      <c r="C1022" s="62" t="s">
        <v>494</v>
      </c>
      <c r="K1022" s="57">
        <v>7</v>
      </c>
      <c r="L1022" s="55">
        <v>91</v>
      </c>
    </row>
    <row r="1023" spans="1:18">
      <c r="B1023" s="62" t="s">
        <v>4930</v>
      </c>
      <c r="C1023" s="62" t="s">
        <v>494</v>
      </c>
      <c r="K1023" s="57">
        <v>8</v>
      </c>
      <c r="L1023" s="55">
        <v>92</v>
      </c>
    </row>
    <row r="1025" spans="1:18">
      <c r="A1025" t="s">
        <v>5091</v>
      </c>
      <c r="B1025" t="s">
        <v>5092</v>
      </c>
      <c r="C1025" t="s">
        <v>494</v>
      </c>
      <c r="E1025" t="s">
        <v>476</v>
      </c>
    </row>
    <row r="1026" spans="1:18">
      <c r="B1026" t="s">
        <v>5093</v>
      </c>
      <c r="C1026" t="s">
        <v>493</v>
      </c>
      <c r="D1026">
        <v>100</v>
      </c>
    </row>
    <row r="1028" spans="1:18">
      <c r="A1028" t="s">
        <v>6249</v>
      </c>
      <c r="B1028" t="s">
        <v>6250</v>
      </c>
      <c r="C1028" t="s">
        <v>494</v>
      </c>
      <c r="E1028" t="s">
        <v>476</v>
      </c>
      <c r="F1028">
        <v>22</v>
      </c>
      <c r="G1028">
        <v>2253</v>
      </c>
      <c r="H1028" t="s">
        <v>6446</v>
      </c>
      <c r="I1028" t="s">
        <v>6447</v>
      </c>
      <c r="J1028">
        <v>2203</v>
      </c>
      <c r="K1028">
        <v>1</v>
      </c>
      <c r="L1028">
        <v>6</v>
      </c>
    </row>
    <row r="1029" spans="1:18">
      <c r="B1029" t="s">
        <v>6251</v>
      </c>
      <c r="C1029" t="s">
        <v>494</v>
      </c>
      <c r="K1029">
        <v>2</v>
      </c>
      <c r="L1029">
        <v>6</v>
      </c>
    </row>
    <row r="1030" spans="1:18">
      <c r="B1030" t="s">
        <v>6252</v>
      </c>
      <c r="C1030" t="s">
        <v>494</v>
      </c>
      <c r="K1030">
        <v>3</v>
      </c>
      <c r="L1030">
        <v>8</v>
      </c>
    </row>
    <row r="1031" spans="1:18">
      <c r="B1031" t="s">
        <v>6253</v>
      </c>
      <c r="C1031" t="s">
        <v>494</v>
      </c>
      <c r="K1031">
        <v>4</v>
      </c>
      <c r="L1031">
        <v>8</v>
      </c>
    </row>
    <row r="1032" spans="1:18">
      <c r="B1032" t="s">
        <v>6257</v>
      </c>
      <c r="C1032" t="s">
        <v>494</v>
      </c>
      <c r="K1032">
        <v>5</v>
      </c>
      <c r="L1032">
        <v>8</v>
      </c>
    </row>
    <row r="1033" spans="1:18">
      <c r="B1033" t="s">
        <v>6254</v>
      </c>
      <c r="C1033" t="s">
        <v>494</v>
      </c>
      <c r="K1033">
        <v>6</v>
      </c>
      <c r="L1033">
        <v>7</v>
      </c>
    </row>
    <row r="1034" spans="1:18">
      <c r="B1034" t="s">
        <v>6255</v>
      </c>
      <c r="C1034" t="s">
        <v>494</v>
      </c>
      <c r="K1034">
        <v>7</v>
      </c>
      <c r="L1034">
        <v>7</v>
      </c>
    </row>
    <row r="1035" spans="1:18">
      <c r="B1035" t="s">
        <v>6256</v>
      </c>
      <c r="C1035" t="s">
        <v>494</v>
      </c>
      <c r="K1035">
        <v>8</v>
      </c>
      <c r="L1035">
        <v>7</v>
      </c>
    </row>
    <row r="1036" spans="1:18">
      <c r="B1036" t="s">
        <v>6287</v>
      </c>
      <c r="C1036" t="s">
        <v>494</v>
      </c>
      <c r="K1036">
        <v>9</v>
      </c>
      <c r="L1036">
        <v>3</v>
      </c>
      <c r="N1036" t="s">
        <v>6288</v>
      </c>
      <c r="O1036" t="s">
        <v>6289</v>
      </c>
      <c r="P1036" t="s">
        <v>6290</v>
      </c>
    </row>
    <row r="1037" spans="1:18">
      <c r="B1037" t="s">
        <v>6291</v>
      </c>
      <c r="C1037" t="s">
        <v>494</v>
      </c>
      <c r="K1037">
        <v>10</v>
      </c>
      <c r="L1037">
        <v>3</v>
      </c>
      <c r="N1037" s="1" t="s">
        <v>3664</v>
      </c>
      <c r="O1037" s="23" t="s">
        <v>3666</v>
      </c>
      <c r="P1037" s="23" t="s">
        <v>3667</v>
      </c>
      <c r="Q1037" s="10"/>
    </row>
    <row r="1038" spans="1:18">
      <c r="B1038" t="s">
        <v>6448</v>
      </c>
      <c r="C1038" t="s">
        <v>494</v>
      </c>
      <c r="K1038">
        <v>11</v>
      </c>
      <c r="L1038">
        <v>3</v>
      </c>
      <c r="M1038">
        <v>31</v>
      </c>
      <c r="N1038" s="64" t="s">
        <v>3655</v>
      </c>
      <c r="O1038" s="66" t="s">
        <v>3648</v>
      </c>
      <c r="P1038" s="66" t="s">
        <v>3657</v>
      </c>
      <c r="Q1038" s="64" t="s">
        <v>3658</v>
      </c>
      <c r="R1038">
        <v>10</v>
      </c>
    </row>
    <row r="1039" spans="1:18">
      <c r="B1039" t="s">
        <v>6341</v>
      </c>
      <c r="C1039" t="s">
        <v>494</v>
      </c>
      <c r="K1039">
        <v>12</v>
      </c>
      <c r="L1039">
        <v>8</v>
      </c>
    </row>
    <row r="1040" spans="1:18">
      <c r="B1040" t="s">
        <v>6293</v>
      </c>
      <c r="C1040" t="s">
        <v>494</v>
      </c>
      <c r="K1040">
        <v>13</v>
      </c>
      <c r="L1040">
        <v>3</v>
      </c>
    </row>
    <row r="1041" spans="1:18">
      <c r="B1041" t="s">
        <v>6292</v>
      </c>
      <c r="C1041" t="s">
        <v>494</v>
      </c>
      <c r="K1041">
        <v>14</v>
      </c>
    </row>
    <row r="1042" spans="1:18">
      <c r="B1042" t="s">
        <v>6294</v>
      </c>
      <c r="C1042" t="s">
        <v>493</v>
      </c>
      <c r="D1042">
        <v>50</v>
      </c>
      <c r="K1042">
        <v>15</v>
      </c>
      <c r="M1042">
        <v>1</v>
      </c>
    </row>
    <row r="1043" spans="1:18">
      <c r="B1043" t="s">
        <v>6266</v>
      </c>
      <c r="C1043" t="s">
        <v>494</v>
      </c>
      <c r="K1043">
        <v>16</v>
      </c>
      <c r="L1043">
        <v>7</v>
      </c>
    </row>
    <row r="1044" spans="1:18">
      <c r="B1044" t="s">
        <v>6267</v>
      </c>
      <c r="C1044" t="s">
        <v>494</v>
      </c>
      <c r="K1044">
        <v>17</v>
      </c>
      <c r="L1044">
        <v>7</v>
      </c>
    </row>
    <row r="1045" spans="1:18">
      <c r="B1045" t="s">
        <v>6330</v>
      </c>
      <c r="C1045" t="s">
        <v>494</v>
      </c>
      <c r="K1045">
        <v>18</v>
      </c>
      <c r="L1045">
        <v>8</v>
      </c>
    </row>
    <row r="1046" spans="1:18">
      <c r="B1046" t="s">
        <v>6331</v>
      </c>
      <c r="C1046" t="s">
        <v>494</v>
      </c>
      <c r="K1046">
        <v>19</v>
      </c>
      <c r="L1046">
        <v>3</v>
      </c>
      <c r="N1046" t="s">
        <v>6333</v>
      </c>
      <c r="O1046" t="s">
        <v>6335</v>
      </c>
      <c r="P1046" t="s">
        <v>6338</v>
      </c>
    </row>
    <row r="1047" spans="1:18">
      <c r="B1047" t="s">
        <v>6332</v>
      </c>
      <c r="C1047" t="s">
        <v>520</v>
      </c>
      <c r="K1047">
        <v>20</v>
      </c>
    </row>
    <row r="1048" spans="1:18">
      <c r="B1048" t="s">
        <v>6340</v>
      </c>
      <c r="C1048" t="s">
        <v>494</v>
      </c>
      <c r="K1048">
        <v>21</v>
      </c>
      <c r="L1048">
        <v>3</v>
      </c>
    </row>
    <row r="1049" spans="1:18">
      <c r="B1049" t="s">
        <v>6449</v>
      </c>
      <c r="C1049" t="s">
        <v>493</v>
      </c>
      <c r="D1049">
        <v>50</v>
      </c>
      <c r="K1049">
        <v>22</v>
      </c>
    </row>
    <row r="1051" spans="1:18">
      <c r="A1051" t="s">
        <v>6258</v>
      </c>
      <c r="B1051" t="s">
        <v>6259</v>
      </c>
      <c r="C1051" t="s">
        <v>494</v>
      </c>
      <c r="E1051" t="s">
        <v>476</v>
      </c>
      <c r="F1051">
        <v>22</v>
      </c>
      <c r="G1051">
        <v>2254</v>
      </c>
      <c r="H1051" t="s">
        <v>6450</v>
      </c>
      <c r="J1051">
        <v>2203</v>
      </c>
      <c r="K1051">
        <v>1</v>
      </c>
      <c r="L1051">
        <v>52</v>
      </c>
      <c r="N1051">
        <v>2253</v>
      </c>
      <c r="O1051" t="s">
        <v>6251</v>
      </c>
    </row>
    <row r="1052" spans="1:18">
      <c r="B1052" t="s">
        <v>6260</v>
      </c>
      <c r="C1052" t="s">
        <v>494</v>
      </c>
      <c r="E1052" t="s">
        <v>476</v>
      </c>
      <c r="K1052">
        <v>2</v>
      </c>
      <c r="L1052">
        <v>8</v>
      </c>
    </row>
    <row r="1053" spans="1:18">
      <c r="B1053" t="s">
        <v>6261</v>
      </c>
      <c r="C1053" t="s">
        <v>494</v>
      </c>
      <c r="K1053">
        <v>3</v>
      </c>
      <c r="L1053">
        <v>6</v>
      </c>
    </row>
    <row r="1054" spans="1:18">
      <c r="B1054" t="s">
        <v>6262</v>
      </c>
      <c r="C1054" t="s">
        <v>494</v>
      </c>
      <c r="K1054">
        <v>4</v>
      </c>
      <c r="L1054">
        <v>7</v>
      </c>
    </row>
    <row r="1055" spans="1:18">
      <c r="B1055" t="s">
        <v>6263</v>
      </c>
      <c r="C1055" t="s">
        <v>494</v>
      </c>
      <c r="K1055">
        <v>5</v>
      </c>
      <c r="L1055">
        <v>3</v>
      </c>
      <c r="N1055" s="1" t="s">
        <v>3664</v>
      </c>
      <c r="O1055" s="23" t="s">
        <v>3666</v>
      </c>
      <c r="P1055" s="23" t="s">
        <v>3667</v>
      </c>
      <c r="Q1055" s="10"/>
    </row>
    <row r="1056" spans="1:18">
      <c r="B1056" t="s">
        <v>6264</v>
      </c>
      <c r="C1056" t="s">
        <v>494</v>
      </c>
      <c r="K1056">
        <v>6</v>
      </c>
      <c r="L1056">
        <v>3</v>
      </c>
      <c r="M1056">
        <v>31</v>
      </c>
      <c r="N1056" s="64" t="s">
        <v>3655</v>
      </c>
      <c r="O1056" s="66" t="s">
        <v>3648</v>
      </c>
      <c r="P1056" s="66" t="s">
        <v>3657</v>
      </c>
      <c r="Q1056" s="64" t="s">
        <v>3658</v>
      </c>
      <c r="R1056">
        <v>5</v>
      </c>
    </row>
    <row r="1057" spans="1:18">
      <c r="B1057" t="s">
        <v>6265</v>
      </c>
      <c r="C1057" t="s">
        <v>520</v>
      </c>
      <c r="K1057">
        <v>7</v>
      </c>
    </row>
    <row r="1059" spans="1:18">
      <c r="A1059" t="s">
        <v>6268</v>
      </c>
      <c r="B1059" t="s">
        <v>6269</v>
      </c>
      <c r="C1059" t="s">
        <v>494</v>
      </c>
      <c r="E1059" t="s">
        <v>476</v>
      </c>
      <c r="F1059">
        <v>22</v>
      </c>
      <c r="G1059">
        <v>2255</v>
      </c>
      <c r="H1059" t="s">
        <v>6451</v>
      </c>
      <c r="J1059">
        <v>2203</v>
      </c>
      <c r="K1059">
        <v>1</v>
      </c>
      <c r="L1059">
        <v>52</v>
      </c>
      <c r="N1059">
        <v>2253</v>
      </c>
      <c r="O1059" t="s">
        <v>6251</v>
      </c>
    </row>
    <row r="1060" spans="1:18">
      <c r="B1060" t="s">
        <v>6270</v>
      </c>
      <c r="C1060" t="s">
        <v>494</v>
      </c>
      <c r="E1060" t="s">
        <v>476</v>
      </c>
      <c r="K1060">
        <v>2</v>
      </c>
      <c r="L1060">
        <v>3</v>
      </c>
      <c r="N1060" t="s">
        <v>6279</v>
      </c>
      <c r="O1060" t="s">
        <v>6282</v>
      </c>
      <c r="P1060" t="s">
        <v>6285</v>
      </c>
    </row>
    <row r="1061" spans="1:18">
      <c r="B1061" t="s">
        <v>6271</v>
      </c>
      <c r="C1061" t="s">
        <v>494</v>
      </c>
      <c r="K1061">
        <v>3</v>
      </c>
      <c r="L1061">
        <v>6</v>
      </c>
    </row>
    <row r="1062" spans="1:18">
      <c r="B1062" t="s">
        <v>6272</v>
      </c>
      <c r="C1062" t="s">
        <v>493</v>
      </c>
      <c r="D1062">
        <v>1</v>
      </c>
      <c r="K1062">
        <v>4</v>
      </c>
      <c r="L1062">
        <v>3</v>
      </c>
    </row>
    <row r="1064" spans="1:18">
      <c r="A1064" t="s">
        <v>6295</v>
      </c>
      <c r="B1064" t="s">
        <v>6462</v>
      </c>
      <c r="C1064" t="s">
        <v>494</v>
      </c>
      <c r="E1064" t="s">
        <v>476</v>
      </c>
      <c r="F1064">
        <v>22</v>
      </c>
      <c r="G1064">
        <v>2259</v>
      </c>
      <c r="H1064" t="s">
        <v>6463</v>
      </c>
      <c r="J1064">
        <v>2203</v>
      </c>
      <c r="K1064">
        <v>1</v>
      </c>
      <c r="L1064">
        <v>52</v>
      </c>
      <c r="N1064">
        <v>2253</v>
      </c>
      <c r="O1064" t="s">
        <v>6251</v>
      </c>
    </row>
    <row r="1065" spans="1:18">
      <c r="B1065" t="s">
        <v>6296</v>
      </c>
      <c r="C1065" t="s">
        <v>494</v>
      </c>
      <c r="E1065" t="s">
        <v>476</v>
      </c>
      <c r="K1065">
        <v>2</v>
      </c>
      <c r="L1065">
        <v>6</v>
      </c>
    </row>
    <row r="1066" spans="1:18">
      <c r="B1066" t="s">
        <v>6297</v>
      </c>
      <c r="C1066" t="s">
        <v>494</v>
      </c>
      <c r="K1066">
        <v>3</v>
      </c>
      <c r="L1066">
        <v>6</v>
      </c>
    </row>
    <row r="1067" spans="1:18">
      <c r="B1067" t="s">
        <v>6298</v>
      </c>
      <c r="C1067" t="s">
        <v>494</v>
      </c>
      <c r="K1067">
        <v>4</v>
      </c>
      <c r="L1067">
        <v>3</v>
      </c>
      <c r="N1067" t="s">
        <v>6288</v>
      </c>
      <c r="O1067" t="s">
        <v>6289</v>
      </c>
      <c r="P1067" t="s">
        <v>6290</v>
      </c>
    </row>
    <row r="1068" spans="1:18">
      <c r="B1068" t="s">
        <v>6299</v>
      </c>
      <c r="C1068" t="s">
        <v>494</v>
      </c>
      <c r="K1068">
        <v>5</v>
      </c>
      <c r="L1068">
        <v>3</v>
      </c>
      <c r="M1068">
        <v>31</v>
      </c>
      <c r="N1068" t="s">
        <v>6316</v>
      </c>
      <c r="O1068" t="s">
        <v>6317</v>
      </c>
      <c r="P1068" t="s">
        <v>6318</v>
      </c>
      <c r="Q1068" t="s">
        <v>6320</v>
      </c>
      <c r="R1068">
        <v>4</v>
      </c>
    </row>
    <row r="1069" spans="1:18">
      <c r="B1069" t="s">
        <v>6300</v>
      </c>
      <c r="C1069" t="s">
        <v>494</v>
      </c>
      <c r="K1069">
        <v>6</v>
      </c>
      <c r="L1069">
        <v>7</v>
      </c>
    </row>
    <row r="1070" spans="1:18">
      <c r="B1070" t="s">
        <v>6301</v>
      </c>
      <c r="C1070" t="s">
        <v>494</v>
      </c>
      <c r="K1070">
        <v>7</v>
      </c>
      <c r="L1070">
        <v>7</v>
      </c>
    </row>
    <row r="1071" spans="1:18">
      <c r="B1071" t="s">
        <v>6302</v>
      </c>
      <c r="C1071" t="s">
        <v>494</v>
      </c>
      <c r="K1071">
        <v>8</v>
      </c>
      <c r="L1071">
        <v>7</v>
      </c>
    </row>
    <row r="1072" spans="1:18">
      <c r="B1072" t="s">
        <v>6303</v>
      </c>
      <c r="C1072" t="s">
        <v>494</v>
      </c>
      <c r="K1072">
        <v>9</v>
      </c>
      <c r="M1072">
        <v>71</v>
      </c>
    </row>
    <row r="1073" spans="1:16">
      <c r="B1073" t="s">
        <v>6304</v>
      </c>
      <c r="C1073" t="s">
        <v>494</v>
      </c>
      <c r="K1073">
        <v>10</v>
      </c>
      <c r="M1073">
        <v>72</v>
      </c>
    </row>
    <row r="1074" spans="1:16">
      <c r="B1074" t="s">
        <v>6305</v>
      </c>
      <c r="C1074" t="s">
        <v>494</v>
      </c>
      <c r="K1074">
        <v>11</v>
      </c>
    </row>
    <row r="1075" spans="1:16">
      <c r="B1075" t="s">
        <v>6306</v>
      </c>
      <c r="C1075" t="s">
        <v>520</v>
      </c>
      <c r="K1075">
        <v>12</v>
      </c>
    </row>
    <row r="1076" spans="1:16">
      <c r="B1076" t="s">
        <v>6307</v>
      </c>
      <c r="C1076" t="s">
        <v>494</v>
      </c>
      <c r="K1076">
        <v>13</v>
      </c>
      <c r="L1076">
        <v>8</v>
      </c>
    </row>
    <row r="1077" spans="1:16">
      <c r="B1077" t="s">
        <v>6308</v>
      </c>
      <c r="C1077" t="s">
        <v>494</v>
      </c>
      <c r="K1077">
        <v>14</v>
      </c>
      <c r="L1077">
        <v>7</v>
      </c>
    </row>
    <row r="1079" spans="1:16">
      <c r="A1079" t="s">
        <v>6310</v>
      </c>
      <c r="B1079" t="s">
        <v>6464</v>
      </c>
      <c r="C1079" t="s">
        <v>494</v>
      </c>
      <c r="E1079" t="s">
        <v>476</v>
      </c>
      <c r="F1079">
        <v>22</v>
      </c>
      <c r="G1079">
        <v>2260</v>
      </c>
      <c r="H1079" t="s">
        <v>111</v>
      </c>
      <c r="J1079">
        <v>2203</v>
      </c>
      <c r="K1079">
        <v>1</v>
      </c>
      <c r="L1079">
        <v>52</v>
      </c>
      <c r="N1079">
        <v>2253</v>
      </c>
      <c r="O1079" t="s">
        <v>6251</v>
      </c>
    </row>
    <row r="1080" spans="1:16">
      <c r="B1080" t="s">
        <v>6311</v>
      </c>
      <c r="C1080" t="s">
        <v>494</v>
      </c>
      <c r="E1080" t="s">
        <v>476</v>
      </c>
      <c r="K1080">
        <v>2</v>
      </c>
      <c r="L1080">
        <v>3</v>
      </c>
      <c r="N1080" t="s">
        <v>6295</v>
      </c>
      <c r="O1080" t="s">
        <v>6297</v>
      </c>
      <c r="P1080" t="s">
        <v>6296</v>
      </c>
    </row>
    <row r="1081" spans="1:16">
      <c r="B1081" t="s">
        <v>6312</v>
      </c>
      <c r="C1081" t="s">
        <v>494</v>
      </c>
      <c r="E1081" t="s">
        <v>476</v>
      </c>
      <c r="K1081">
        <v>3</v>
      </c>
      <c r="L1081">
        <v>6</v>
      </c>
    </row>
    <row r="1082" spans="1:16">
      <c r="B1082" t="s">
        <v>6313</v>
      </c>
      <c r="C1082" t="s">
        <v>494</v>
      </c>
      <c r="K1082">
        <v>4</v>
      </c>
      <c r="L1082">
        <v>6</v>
      </c>
    </row>
    <row r="1083" spans="1:16">
      <c r="B1083" t="s">
        <v>6309</v>
      </c>
      <c r="C1083" t="s">
        <v>494</v>
      </c>
      <c r="K1083">
        <v>5</v>
      </c>
      <c r="L1083">
        <v>91</v>
      </c>
    </row>
    <row r="1084" spans="1:16">
      <c r="B1084" t="s">
        <v>6315</v>
      </c>
      <c r="C1084" t="s">
        <v>494</v>
      </c>
      <c r="K1084">
        <v>6</v>
      </c>
      <c r="L1084">
        <v>92</v>
      </c>
    </row>
    <row r="1085" spans="1:16">
      <c r="B1085" t="s">
        <v>6314</v>
      </c>
      <c r="C1085" t="s">
        <v>520</v>
      </c>
      <c r="K1085">
        <v>7</v>
      </c>
    </row>
    <row r="1087" spans="1:16">
      <c r="A1087" t="s">
        <v>6321</v>
      </c>
      <c r="B1087" t="s">
        <v>6322</v>
      </c>
      <c r="C1087" t="s">
        <v>494</v>
      </c>
      <c r="E1087" t="s">
        <v>476</v>
      </c>
      <c r="F1087">
        <v>22</v>
      </c>
      <c r="G1087">
        <v>2262</v>
      </c>
      <c r="H1087" t="s">
        <v>4443</v>
      </c>
      <c r="J1087">
        <v>2203</v>
      </c>
      <c r="K1087">
        <v>1</v>
      </c>
      <c r="L1087">
        <v>52</v>
      </c>
      <c r="N1087">
        <v>2253</v>
      </c>
      <c r="O1087" t="s">
        <v>6251</v>
      </c>
    </row>
    <row r="1088" spans="1:16">
      <c r="B1088" t="s">
        <v>6325</v>
      </c>
      <c r="C1088" t="s">
        <v>494</v>
      </c>
      <c r="E1088" t="s">
        <v>476</v>
      </c>
      <c r="K1088">
        <v>2</v>
      </c>
      <c r="L1088">
        <v>6</v>
      </c>
    </row>
    <row r="1089" spans="1:16">
      <c r="B1089" t="s">
        <v>6326</v>
      </c>
      <c r="C1089" t="s">
        <v>494</v>
      </c>
      <c r="K1089">
        <v>3</v>
      </c>
      <c r="L1089">
        <v>6</v>
      </c>
    </row>
    <row r="1090" spans="1:16">
      <c r="B1090" t="s">
        <v>6323</v>
      </c>
      <c r="C1090" t="s">
        <v>494</v>
      </c>
      <c r="K1090">
        <v>4</v>
      </c>
      <c r="L1090">
        <v>3</v>
      </c>
      <c r="N1090" t="s">
        <v>6288</v>
      </c>
      <c r="O1090" t="s">
        <v>6289</v>
      </c>
      <c r="P1090" t="s">
        <v>6290</v>
      </c>
    </row>
    <row r="1091" spans="1:16">
      <c r="B1091" t="s">
        <v>6324</v>
      </c>
      <c r="C1091" t="s">
        <v>494</v>
      </c>
      <c r="K1091">
        <v>5</v>
      </c>
      <c r="L1091">
        <v>3</v>
      </c>
      <c r="N1091" t="s">
        <v>6288</v>
      </c>
      <c r="O1091" t="s">
        <v>6289</v>
      </c>
      <c r="P1091" t="s">
        <v>6290</v>
      </c>
    </row>
    <row r="1092" spans="1:16">
      <c r="B1092" t="s">
        <v>6329</v>
      </c>
      <c r="C1092" t="s">
        <v>520</v>
      </c>
      <c r="K1092">
        <v>6</v>
      </c>
    </row>
    <row r="1093" spans="1:16">
      <c r="B1093" t="s">
        <v>6327</v>
      </c>
      <c r="C1093" t="s">
        <v>494</v>
      </c>
      <c r="K1093">
        <v>7</v>
      </c>
      <c r="L1093">
        <v>8</v>
      </c>
    </row>
    <row r="1094" spans="1:16">
      <c r="B1094" t="s">
        <v>6328</v>
      </c>
      <c r="C1094" t="s">
        <v>494</v>
      </c>
      <c r="K1094">
        <v>8</v>
      </c>
      <c r="L1094">
        <v>7</v>
      </c>
    </row>
    <row r="1096" spans="1:16">
      <c r="A1096" t="s">
        <v>6342</v>
      </c>
      <c r="B1096" t="s">
        <v>6452</v>
      </c>
      <c r="C1096" t="s">
        <v>494</v>
      </c>
      <c r="E1096" t="s">
        <v>476</v>
      </c>
      <c r="F1096">
        <v>22</v>
      </c>
      <c r="G1096">
        <v>2264</v>
      </c>
      <c r="H1096" t="s">
        <v>4520</v>
      </c>
      <c r="J1096">
        <v>2203</v>
      </c>
      <c r="K1096">
        <v>1</v>
      </c>
      <c r="L1096">
        <v>52</v>
      </c>
      <c r="N1096">
        <v>2253</v>
      </c>
      <c r="O1096" t="s">
        <v>6251</v>
      </c>
    </row>
    <row r="1097" spans="1:16">
      <c r="B1097" t="s">
        <v>6453</v>
      </c>
      <c r="C1097" t="s">
        <v>494</v>
      </c>
      <c r="E1097" t="s">
        <v>476</v>
      </c>
      <c r="K1097">
        <v>2</v>
      </c>
      <c r="L1097">
        <v>6</v>
      </c>
    </row>
    <row r="1098" spans="1:16">
      <c r="B1098" t="s">
        <v>6454</v>
      </c>
      <c r="C1098" t="s">
        <v>494</v>
      </c>
      <c r="K1098">
        <v>3</v>
      </c>
      <c r="L1098">
        <v>6</v>
      </c>
    </row>
    <row r="1099" spans="1:16">
      <c r="B1099" t="s">
        <v>6455</v>
      </c>
      <c r="C1099" t="s">
        <v>494</v>
      </c>
      <c r="K1099">
        <v>4</v>
      </c>
      <c r="L1099">
        <v>8</v>
      </c>
    </row>
    <row r="1100" spans="1:16">
      <c r="B1100" t="s">
        <v>6456</v>
      </c>
      <c r="C1100" t="s">
        <v>494</v>
      </c>
      <c r="K1100">
        <v>5</v>
      </c>
      <c r="L1100">
        <v>8</v>
      </c>
    </row>
    <row r="1101" spans="1:16">
      <c r="B1101" t="s">
        <v>6457</v>
      </c>
      <c r="C1101" t="s">
        <v>520</v>
      </c>
      <c r="K1101">
        <v>6</v>
      </c>
    </row>
    <row r="1102" spans="1:16">
      <c r="B1102" t="s">
        <v>6458</v>
      </c>
      <c r="C1102" t="s">
        <v>494</v>
      </c>
      <c r="K1102">
        <v>7</v>
      </c>
      <c r="L1102">
        <v>8</v>
      </c>
    </row>
    <row r="1103" spans="1:16">
      <c r="B1103" t="s">
        <v>6459</v>
      </c>
      <c r="C1103" t="s">
        <v>494</v>
      </c>
      <c r="K1103">
        <v>8</v>
      </c>
      <c r="L1103">
        <v>7</v>
      </c>
    </row>
    <row r="1105" spans="1:15">
      <c r="A1105" t="s">
        <v>6273</v>
      </c>
      <c r="B1105" t="s">
        <v>6274</v>
      </c>
      <c r="C1105" t="s">
        <v>494</v>
      </c>
      <c r="E1105" t="s">
        <v>476</v>
      </c>
      <c r="F1105">
        <v>22</v>
      </c>
      <c r="G1105">
        <v>2256</v>
      </c>
      <c r="H1105" t="s">
        <v>6460</v>
      </c>
      <c r="I1105" t="s">
        <v>6461</v>
      </c>
      <c r="J1105">
        <v>2203</v>
      </c>
      <c r="K1105">
        <v>1</v>
      </c>
      <c r="L1105">
        <v>6</v>
      </c>
    </row>
    <row r="1106" spans="1:15">
      <c r="B1106" t="s">
        <v>6275</v>
      </c>
      <c r="C1106" t="s">
        <v>494</v>
      </c>
      <c r="K1106">
        <v>2</v>
      </c>
      <c r="L1106">
        <v>6</v>
      </c>
    </row>
    <row r="1107" spans="1:15">
      <c r="B1107" t="s">
        <v>6276</v>
      </c>
      <c r="C1107" t="s">
        <v>493</v>
      </c>
      <c r="D1107">
        <v>1</v>
      </c>
      <c r="K1107">
        <v>3</v>
      </c>
      <c r="L1107">
        <v>3</v>
      </c>
    </row>
    <row r="1108" spans="1:15">
      <c r="B1108" t="s">
        <v>6277</v>
      </c>
      <c r="C1108" t="s">
        <v>493</v>
      </c>
      <c r="D1108">
        <v>100</v>
      </c>
      <c r="K1108">
        <v>4</v>
      </c>
    </row>
    <row r="1109" spans="1:15">
      <c r="B1109" t="s">
        <v>6278</v>
      </c>
      <c r="C1109" t="s">
        <v>520</v>
      </c>
      <c r="K1109">
        <v>5</v>
      </c>
    </row>
    <row r="1111" spans="1:15">
      <c r="A1111" t="s">
        <v>6279</v>
      </c>
      <c r="B1111" t="s">
        <v>6280</v>
      </c>
      <c r="C1111" t="s">
        <v>494</v>
      </c>
      <c r="E1111" t="s">
        <v>476</v>
      </c>
      <c r="F1111">
        <v>22</v>
      </c>
      <c r="G1111">
        <v>2257</v>
      </c>
      <c r="H1111" t="s">
        <v>6451</v>
      </c>
      <c r="J1111">
        <v>2203</v>
      </c>
      <c r="K1111">
        <v>1</v>
      </c>
      <c r="L1111">
        <v>52</v>
      </c>
      <c r="N1111">
        <v>2256</v>
      </c>
      <c r="O1111" t="s">
        <v>6275</v>
      </c>
    </row>
    <row r="1112" spans="1:15">
      <c r="B1112" t="s">
        <v>6281</v>
      </c>
      <c r="C1112" t="s">
        <v>494</v>
      </c>
      <c r="E1112" t="s">
        <v>476</v>
      </c>
      <c r="K1112">
        <v>2</v>
      </c>
      <c r="L1112">
        <v>6</v>
      </c>
    </row>
    <row r="1113" spans="1:15">
      <c r="B1113" t="s">
        <v>6282</v>
      </c>
      <c r="C1113" t="s">
        <v>494</v>
      </c>
      <c r="K1113">
        <v>3</v>
      </c>
      <c r="L1113">
        <v>6</v>
      </c>
    </row>
    <row r="1114" spans="1:15">
      <c r="B1114" t="s">
        <v>6283</v>
      </c>
      <c r="C1114" t="s">
        <v>493</v>
      </c>
      <c r="K1114">
        <v>4</v>
      </c>
      <c r="L1114">
        <v>3</v>
      </c>
    </row>
    <row r="1115" spans="1:15">
      <c r="B1115" t="s">
        <v>6284</v>
      </c>
      <c r="C1115" t="s">
        <v>494</v>
      </c>
      <c r="K1115">
        <v>5</v>
      </c>
    </row>
    <row r="1116" spans="1:15">
      <c r="B1116" t="s">
        <v>6285</v>
      </c>
      <c r="C1116" t="s">
        <v>493</v>
      </c>
      <c r="D1116">
        <v>250</v>
      </c>
      <c r="K1116">
        <v>6</v>
      </c>
    </row>
    <row r="1117" spans="1:15">
      <c r="B1117" t="s">
        <v>6286</v>
      </c>
      <c r="C1117" t="s">
        <v>520</v>
      </c>
      <c r="K1117">
        <v>7</v>
      </c>
    </row>
    <row r="1119" spans="1:15">
      <c r="A1119" t="s">
        <v>6288</v>
      </c>
      <c r="B1119" t="s">
        <v>6289</v>
      </c>
      <c r="C1119" t="s">
        <v>494</v>
      </c>
      <c r="E1119" t="s">
        <v>476</v>
      </c>
    </row>
    <row r="1120" spans="1:15">
      <c r="B1120" t="s">
        <v>6290</v>
      </c>
      <c r="C1120" t="s">
        <v>493</v>
      </c>
      <c r="D1120">
        <v>100</v>
      </c>
      <c r="H1120" t="s">
        <v>6339</v>
      </c>
    </row>
    <row r="1122" spans="1:16">
      <c r="A1122" t="s">
        <v>6316</v>
      </c>
      <c r="B1122" t="s">
        <v>6319</v>
      </c>
      <c r="C1122" t="s">
        <v>494</v>
      </c>
      <c r="E1122" t="s">
        <v>476</v>
      </c>
      <c r="F1122">
        <v>22</v>
      </c>
      <c r="G1122">
        <v>2261</v>
      </c>
      <c r="H1122" t="s">
        <v>6465</v>
      </c>
      <c r="I1122" t="s">
        <v>6466</v>
      </c>
      <c r="J1122">
        <v>2203</v>
      </c>
      <c r="K1122">
        <v>1</v>
      </c>
      <c r="L1122">
        <v>6</v>
      </c>
    </row>
    <row r="1123" spans="1:16">
      <c r="B1123" t="s">
        <v>6317</v>
      </c>
      <c r="C1123" t="s">
        <v>494</v>
      </c>
      <c r="K1123">
        <v>2</v>
      </c>
      <c r="L1123">
        <v>6</v>
      </c>
    </row>
    <row r="1124" spans="1:16">
      <c r="B1124" t="s">
        <v>6320</v>
      </c>
      <c r="C1124" t="s">
        <v>494</v>
      </c>
      <c r="K1124">
        <v>3</v>
      </c>
      <c r="L1124">
        <v>3</v>
      </c>
      <c r="N1124" t="s">
        <v>6288</v>
      </c>
      <c r="O1124" t="s">
        <v>6289</v>
      </c>
      <c r="P1124" t="s">
        <v>6290</v>
      </c>
    </row>
    <row r="1125" spans="1:16">
      <c r="B1125" t="s">
        <v>6318</v>
      </c>
      <c r="C1125" t="s">
        <v>493</v>
      </c>
      <c r="D1125">
        <v>100</v>
      </c>
      <c r="K1125">
        <v>4</v>
      </c>
    </row>
    <row r="1127" spans="1:16">
      <c r="A1127" t="s">
        <v>6333</v>
      </c>
      <c r="B1127" t="s">
        <v>6334</v>
      </c>
      <c r="C1127" t="s">
        <v>494</v>
      </c>
      <c r="E1127" t="s">
        <v>476</v>
      </c>
      <c r="F1127">
        <v>22</v>
      </c>
      <c r="G1127">
        <v>2263</v>
      </c>
      <c r="H1127" t="s">
        <v>6467</v>
      </c>
      <c r="I1127" t="s">
        <v>6468</v>
      </c>
      <c r="J1127">
        <v>2203</v>
      </c>
      <c r="K1127">
        <v>1</v>
      </c>
      <c r="L1127">
        <v>6</v>
      </c>
    </row>
    <row r="1128" spans="1:16">
      <c r="B1128" t="s">
        <v>6335</v>
      </c>
      <c r="C1128" t="s">
        <v>494</v>
      </c>
      <c r="K1128">
        <v>2</v>
      </c>
      <c r="L1128">
        <v>6</v>
      </c>
    </row>
    <row r="1129" spans="1:16">
      <c r="B1129" t="s">
        <v>6336</v>
      </c>
      <c r="C1129" t="s">
        <v>493</v>
      </c>
      <c r="D1129">
        <v>1</v>
      </c>
      <c r="K1129">
        <v>3</v>
      </c>
      <c r="L1129">
        <v>3</v>
      </c>
    </row>
    <row r="1130" spans="1:16">
      <c r="B1130" t="s">
        <v>6337</v>
      </c>
      <c r="C1130" t="s">
        <v>494</v>
      </c>
      <c r="K1130">
        <v>4</v>
      </c>
    </row>
    <row r="1131" spans="1:16">
      <c r="B1131" t="s">
        <v>6338</v>
      </c>
      <c r="C1131" t="s">
        <v>493</v>
      </c>
      <c r="D1131">
        <v>100</v>
      </c>
      <c r="K1131">
        <v>5</v>
      </c>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sheetPr codeName="Hoja15">
    <tabColor rgb="FF00B050"/>
  </sheetPr>
  <dimension ref="A1:R635"/>
  <sheetViews>
    <sheetView workbookViewId="0">
      <pane ySplit="1" topLeftCell="A2" activePane="bottomLeft" state="frozenSplit"/>
      <selection pane="bottomLeft" activeCell="B20" sqref="B20"/>
    </sheetView>
  </sheetViews>
  <sheetFormatPr baseColWidth="10" defaultRowHeight="12.75"/>
  <cols>
    <col min="1" max="1" width="20.42578125" bestFit="1" customWidth="1"/>
    <col min="2" max="2" width="27.5703125" bestFit="1" customWidth="1"/>
    <col min="3" max="3" width="9.42578125" customWidth="1"/>
    <col min="4" max="4" width="4.28515625" customWidth="1"/>
    <col min="5" max="5" width="2.28515625" customWidth="1"/>
    <col min="6" max="6" width="4.7109375" customWidth="1"/>
    <col min="7" max="7" width="7.7109375" bestFit="1" customWidth="1"/>
    <col min="8" max="9" width="20.85546875" bestFit="1" customWidth="1"/>
    <col min="10" max="10" width="5.28515625" customWidth="1"/>
    <col min="11" max="11" width="4.140625" customWidth="1"/>
    <col min="12" max="12" width="3.7109375" customWidth="1"/>
    <col min="13" max="13" width="3.42578125" customWidth="1"/>
    <col min="14" max="14" width="15.42578125" customWidth="1"/>
    <col min="15" max="15" width="12.42578125" customWidth="1"/>
    <col min="16" max="16" width="15.7109375" bestFit="1" customWidth="1"/>
    <col min="17" max="17" width="14.140625" customWidth="1"/>
    <col min="18" max="18" width="5.140625" customWidth="1"/>
  </cols>
  <sheetData>
    <row r="1" spans="1:18" s="3" customFormat="1">
      <c r="A1" s="3" t="s">
        <v>3242</v>
      </c>
      <c r="B1" s="3" t="s">
        <v>3243</v>
      </c>
      <c r="C1" s="3" t="s">
        <v>3244</v>
      </c>
      <c r="D1" s="3" t="s">
        <v>3245</v>
      </c>
      <c r="E1" s="3" t="s">
        <v>3246</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3937</v>
      </c>
      <c r="B2" s="70" t="s">
        <v>3938</v>
      </c>
      <c r="C2" s="62" t="s">
        <v>494</v>
      </c>
      <c r="E2" s="62" t="s">
        <v>476</v>
      </c>
      <c r="F2">
        <v>23</v>
      </c>
      <c r="G2">
        <v>2300</v>
      </c>
      <c r="H2" s="62" t="s">
        <v>3940</v>
      </c>
      <c r="I2" s="62" t="s">
        <v>3941</v>
      </c>
      <c r="J2">
        <v>2</v>
      </c>
      <c r="K2" s="76">
        <v>1</v>
      </c>
    </row>
    <row r="3" spans="1:18">
      <c r="B3" s="62" t="s">
        <v>3939</v>
      </c>
      <c r="C3" s="62" t="s">
        <v>494</v>
      </c>
      <c r="K3">
        <v>2</v>
      </c>
      <c r="L3">
        <v>3</v>
      </c>
      <c r="N3" t="s">
        <v>551</v>
      </c>
      <c r="O3" s="62" t="s">
        <v>552</v>
      </c>
      <c r="P3" s="1" t="s">
        <v>553</v>
      </c>
    </row>
    <row r="4" spans="1:18">
      <c r="B4" s="62" t="s">
        <v>4260</v>
      </c>
      <c r="C4" s="62" t="s">
        <v>494</v>
      </c>
      <c r="K4">
        <v>3</v>
      </c>
      <c r="L4">
        <v>3</v>
      </c>
      <c r="N4" t="s">
        <v>551</v>
      </c>
      <c r="O4" s="62" t="s">
        <v>552</v>
      </c>
      <c r="P4" s="1" t="s">
        <v>553</v>
      </c>
    </row>
    <row r="6" spans="1:18" s="3" customFormat="1">
      <c r="A6" s="62" t="s">
        <v>3362</v>
      </c>
      <c r="B6" s="62" t="s">
        <v>3363</v>
      </c>
      <c r="C6" s="62" t="s">
        <v>494</v>
      </c>
      <c r="D6" s="62"/>
      <c r="E6" s="62" t="s">
        <v>476</v>
      </c>
      <c r="F6" s="62">
        <v>23</v>
      </c>
      <c r="G6" s="62">
        <v>2301</v>
      </c>
      <c r="H6" s="62" t="s">
        <v>2360</v>
      </c>
      <c r="I6" s="62" t="s">
        <v>3383</v>
      </c>
      <c r="J6" s="62">
        <v>2301</v>
      </c>
      <c r="K6" s="76">
        <v>1</v>
      </c>
      <c r="L6" s="9">
        <v>3</v>
      </c>
      <c r="M6" s="1"/>
      <c r="N6" s="64" t="s">
        <v>506</v>
      </c>
      <c r="O6" s="64" t="s">
        <v>514</v>
      </c>
      <c r="P6" s="1" t="s">
        <v>515</v>
      </c>
      <c r="Q6" s="12"/>
      <c r="R6" s="12"/>
    </row>
    <row r="7" spans="1:18" s="3" customFormat="1">
      <c r="A7" s="62"/>
      <c r="B7" s="62" t="s">
        <v>3364</v>
      </c>
      <c r="C7" s="62" t="s">
        <v>494</v>
      </c>
      <c r="D7" s="62"/>
      <c r="E7" s="62" t="s">
        <v>476</v>
      </c>
      <c r="F7" s="62"/>
      <c r="G7" s="62"/>
      <c r="H7" s="62"/>
      <c r="I7" s="62"/>
      <c r="J7" s="62"/>
      <c r="K7" s="76">
        <v>2</v>
      </c>
      <c r="L7" s="62">
        <v>8</v>
      </c>
      <c r="M7" s="62"/>
      <c r="N7" s="62"/>
      <c r="O7" s="62"/>
      <c r="P7" s="62"/>
      <c r="Q7" s="12"/>
      <c r="R7" s="12"/>
    </row>
    <row r="8" spans="1:18" s="3" customFormat="1">
      <c r="A8" s="62"/>
      <c r="B8" s="62" t="s">
        <v>3381</v>
      </c>
      <c r="C8" s="62" t="s">
        <v>494</v>
      </c>
      <c r="D8" s="62"/>
      <c r="E8" s="62"/>
      <c r="F8" s="62"/>
      <c r="G8" s="62"/>
      <c r="H8" s="62"/>
      <c r="I8" s="62"/>
      <c r="J8" s="62"/>
      <c r="K8" s="76">
        <v>3</v>
      </c>
      <c r="L8" s="62">
        <v>6</v>
      </c>
      <c r="M8" s="62"/>
      <c r="N8" s="62"/>
      <c r="O8" s="62"/>
      <c r="P8" s="62"/>
      <c r="Q8" s="12"/>
      <c r="R8" s="12"/>
    </row>
    <row r="9" spans="1:18" s="3" customFormat="1">
      <c r="A9" s="62"/>
      <c r="B9" s="62" t="s">
        <v>3385</v>
      </c>
      <c r="C9" s="62" t="s">
        <v>493</v>
      </c>
      <c r="D9" s="62">
        <v>1</v>
      </c>
      <c r="E9" s="62"/>
      <c r="F9" s="62"/>
      <c r="G9" s="62"/>
      <c r="H9" s="62"/>
      <c r="I9" s="62"/>
      <c r="J9" s="62"/>
      <c r="K9" s="76">
        <v>4</v>
      </c>
      <c r="L9" s="75">
        <v>30</v>
      </c>
      <c r="M9" s="62"/>
      <c r="N9" s="62"/>
      <c r="O9" s="62"/>
      <c r="P9" s="62"/>
      <c r="Q9" s="12"/>
      <c r="R9" s="12"/>
    </row>
    <row r="10" spans="1:18" s="3" customFormat="1">
      <c r="A10" s="62"/>
      <c r="B10" s="62" t="s">
        <v>3528</v>
      </c>
      <c r="C10" s="62" t="s">
        <v>494</v>
      </c>
      <c r="D10" s="62"/>
      <c r="E10" s="62"/>
      <c r="F10" s="62"/>
      <c r="G10" s="62"/>
      <c r="H10" s="62"/>
      <c r="I10" s="62"/>
      <c r="J10" s="62"/>
      <c r="K10" s="76">
        <v>5</v>
      </c>
      <c r="L10" s="75"/>
      <c r="M10" s="62"/>
      <c r="N10" s="62"/>
      <c r="O10" s="62"/>
      <c r="P10" s="62"/>
      <c r="Q10" s="12"/>
      <c r="R10" s="12"/>
    </row>
    <row r="11" spans="1:18" s="3" customFormat="1">
      <c r="A11" s="62"/>
      <c r="B11" s="62" t="s">
        <v>3529</v>
      </c>
      <c r="C11" s="62" t="s">
        <v>494</v>
      </c>
      <c r="D11" s="62"/>
      <c r="E11" s="62"/>
      <c r="F11" s="62"/>
      <c r="G11" s="62"/>
      <c r="H11" s="62"/>
      <c r="I11" s="62"/>
      <c r="J11" s="62"/>
      <c r="K11" s="76">
        <v>6</v>
      </c>
      <c r="L11" s="75"/>
      <c r="M11" s="62"/>
      <c r="N11" s="62"/>
      <c r="O11" s="62"/>
      <c r="P11" s="62"/>
      <c r="Q11" s="12"/>
      <c r="R11" s="12"/>
    </row>
    <row r="12" spans="1:18" s="3" customFormat="1">
      <c r="A12" s="62"/>
      <c r="B12" s="62" t="s">
        <v>3530</v>
      </c>
      <c r="C12" s="62" t="s">
        <v>494</v>
      </c>
      <c r="D12" s="62"/>
      <c r="E12" s="62"/>
      <c r="F12" s="62"/>
      <c r="G12" s="62"/>
      <c r="H12" s="62"/>
      <c r="I12" s="62"/>
      <c r="J12" s="62"/>
      <c r="K12" s="76">
        <v>7</v>
      </c>
      <c r="L12" s="75"/>
      <c r="M12" s="62"/>
      <c r="N12" s="62"/>
      <c r="O12" s="62"/>
      <c r="P12" s="62"/>
      <c r="Q12" s="12"/>
      <c r="R12" s="12"/>
    </row>
    <row r="13" spans="1:18" s="3" customFormat="1">
      <c r="A13" s="62"/>
      <c r="B13" s="62" t="s">
        <v>3531</v>
      </c>
      <c r="C13" s="62" t="s">
        <v>494</v>
      </c>
      <c r="D13" s="62"/>
      <c r="E13" s="62"/>
      <c r="F13" s="62"/>
      <c r="G13" s="62"/>
      <c r="H13" s="62"/>
      <c r="I13" s="62"/>
      <c r="J13" s="62"/>
      <c r="K13" s="76">
        <v>8</v>
      </c>
      <c r="L13" s="75"/>
      <c r="M13" s="62"/>
      <c r="N13" s="62"/>
      <c r="O13" s="62"/>
      <c r="P13" s="62"/>
      <c r="Q13" s="12"/>
      <c r="R13" s="12"/>
    </row>
    <row r="14" spans="1:18" s="3" customFormat="1">
      <c r="A14" s="62"/>
      <c r="B14" s="62" t="s">
        <v>3532</v>
      </c>
      <c r="C14" s="62" t="s">
        <v>494</v>
      </c>
      <c r="D14" s="62"/>
      <c r="E14" s="62"/>
      <c r="F14" s="62"/>
      <c r="G14" s="62"/>
      <c r="H14" s="62"/>
      <c r="I14" s="62"/>
      <c r="J14" s="62"/>
      <c r="K14" s="76">
        <v>9</v>
      </c>
      <c r="L14" s="75"/>
      <c r="M14" s="62"/>
      <c r="N14" s="62"/>
      <c r="O14" s="62"/>
      <c r="P14" s="62"/>
      <c r="Q14" s="12"/>
      <c r="R14" s="12"/>
    </row>
    <row r="15" spans="1:18" s="3" customFormat="1">
      <c r="A15" s="62"/>
      <c r="B15" s="62" t="s">
        <v>3547</v>
      </c>
      <c r="C15" s="62" t="s">
        <v>494</v>
      </c>
      <c r="D15" s="62"/>
      <c r="E15" s="62"/>
      <c r="F15" s="62"/>
      <c r="G15" s="62"/>
      <c r="H15" s="62"/>
      <c r="I15" s="62"/>
      <c r="J15" s="62"/>
      <c r="K15" s="76">
        <v>10</v>
      </c>
      <c r="L15" s="75"/>
      <c r="M15" s="62"/>
      <c r="N15" s="62"/>
      <c r="O15" s="62"/>
      <c r="P15" s="62"/>
      <c r="Q15" s="12"/>
      <c r="R15" s="12"/>
    </row>
    <row r="16" spans="1:18" s="3" customFormat="1">
      <c r="A16" s="62"/>
      <c r="B16" s="62" t="s">
        <v>3548</v>
      </c>
      <c r="C16" s="62" t="s">
        <v>494</v>
      </c>
      <c r="D16" s="62"/>
      <c r="E16" s="62"/>
      <c r="F16" s="62"/>
      <c r="G16" s="62"/>
      <c r="H16" s="62"/>
      <c r="I16" s="62"/>
      <c r="J16" s="62"/>
      <c r="K16" s="76">
        <v>11</v>
      </c>
      <c r="L16" s="75"/>
      <c r="M16" s="62"/>
      <c r="N16" s="62"/>
      <c r="O16" s="62"/>
      <c r="P16" s="62"/>
      <c r="Q16" s="12"/>
      <c r="R16" s="12"/>
    </row>
    <row r="17" spans="1:18" s="3" customFormat="1">
      <c r="A17" s="62"/>
      <c r="B17" s="62" t="s">
        <v>3549</v>
      </c>
      <c r="C17" s="62" t="s">
        <v>494</v>
      </c>
      <c r="D17" s="62"/>
      <c r="E17" s="62"/>
      <c r="F17" s="62"/>
      <c r="G17" s="62"/>
      <c r="H17" s="62"/>
      <c r="I17" s="62"/>
      <c r="J17" s="62"/>
      <c r="K17" s="76">
        <v>12</v>
      </c>
      <c r="L17" s="75"/>
      <c r="M17" s="62"/>
      <c r="N17" s="62"/>
      <c r="O17" s="62"/>
      <c r="P17" s="62"/>
      <c r="Q17" s="12"/>
      <c r="R17" s="12"/>
    </row>
    <row r="18" spans="1:18" s="3" customFormat="1">
      <c r="A18" s="62"/>
      <c r="B18" s="62" t="s">
        <v>3550</v>
      </c>
      <c r="C18" s="62" t="s">
        <v>494</v>
      </c>
      <c r="D18" s="62"/>
      <c r="E18" s="62"/>
      <c r="F18" s="62"/>
      <c r="G18" s="62"/>
      <c r="H18" s="62"/>
      <c r="I18" s="62"/>
      <c r="J18" s="62"/>
      <c r="K18" s="76">
        <v>13</v>
      </c>
      <c r="L18" s="75"/>
      <c r="M18" s="62"/>
      <c r="N18" s="62"/>
      <c r="O18" s="62"/>
      <c r="P18" s="62"/>
      <c r="Q18" s="12"/>
      <c r="R18" s="12"/>
    </row>
    <row r="19" spans="1:18" s="3" customFormat="1">
      <c r="A19" s="62"/>
      <c r="B19" s="62" t="s">
        <v>3551</v>
      </c>
      <c r="C19" s="62" t="s">
        <v>494</v>
      </c>
      <c r="D19" s="62"/>
      <c r="E19" s="62"/>
      <c r="F19" s="62"/>
      <c r="G19" s="62"/>
      <c r="H19" s="62"/>
      <c r="I19" s="62"/>
      <c r="J19" s="62"/>
      <c r="K19" s="76">
        <v>14</v>
      </c>
      <c r="L19" s="75"/>
      <c r="M19" s="62"/>
      <c r="N19" s="62"/>
      <c r="O19" s="62"/>
      <c r="P19" s="62"/>
      <c r="Q19" s="12"/>
      <c r="R19" s="12"/>
    </row>
    <row r="20" spans="1:18" s="3" customFormat="1">
      <c r="A20" s="62"/>
      <c r="B20" s="62" t="s">
        <v>3365</v>
      </c>
      <c r="C20" s="62" t="s">
        <v>494</v>
      </c>
      <c r="D20" s="62"/>
      <c r="E20" s="62"/>
      <c r="F20" s="62"/>
      <c r="G20" s="62"/>
      <c r="H20" s="62"/>
      <c r="I20" s="62"/>
      <c r="J20" s="62"/>
      <c r="K20" s="76">
        <v>15</v>
      </c>
      <c r="L20" s="62">
        <v>7</v>
      </c>
      <c r="M20" s="62"/>
      <c r="N20" s="62"/>
      <c r="O20" s="62"/>
      <c r="P20" s="62"/>
      <c r="Q20" s="12"/>
      <c r="R20" s="12"/>
    </row>
    <row r="21" spans="1:18" s="3" customFormat="1">
      <c r="A21" s="62"/>
      <c r="B21" s="62" t="s">
        <v>3366</v>
      </c>
      <c r="C21" s="62" t="s">
        <v>494</v>
      </c>
      <c r="D21" s="62"/>
      <c r="E21" s="62"/>
      <c r="F21" s="62"/>
      <c r="G21" s="62"/>
      <c r="H21" s="62"/>
      <c r="I21" s="62"/>
      <c r="J21" s="62"/>
      <c r="K21" s="76">
        <v>16</v>
      </c>
      <c r="L21" s="62"/>
      <c r="M21" s="62">
        <v>1</v>
      </c>
      <c r="N21" s="62"/>
      <c r="O21" s="62"/>
      <c r="P21" s="62"/>
      <c r="Q21" s="12"/>
      <c r="R21" s="12"/>
    </row>
    <row r="22" spans="1:18" s="3" customFormat="1">
      <c r="A22" s="62"/>
      <c r="B22" s="62" t="s">
        <v>3367</v>
      </c>
      <c r="C22" s="62" t="s">
        <v>493</v>
      </c>
      <c r="D22" s="62">
        <v>1</v>
      </c>
      <c r="E22" s="62"/>
      <c r="F22" s="62"/>
      <c r="G22" s="62"/>
      <c r="H22" s="62"/>
      <c r="I22" s="62"/>
      <c r="J22" s="62"/>
      <c r="K22" s="76">
        <v>17</v>
      </c>
      <c r="L22" s="9">
        <v>3</v>
      </c>
      <c r="M22" s="1"/>
      <c r="N22" s="1"/>
      <c r="O22" s="1">
        <v>111</v>
      </c>
      <c r="P22" s="1">
        <v>1</v>
      </c>
      <c r="Q22" s="12"/>
      <c r="R22" s="12"/>
    </row>
    <row r="23" spans="1:18" s="3" customFormat="1">
      <c r="A23" s="62"/>
      <c r="B23" s="62" t="s">
        <v>3369</v>
      </c>
      <c r="C23" s="62" t="s">
        <v>493</v>
      </c>
      <c r="D23" s="62">
        <v>3</v>
      </c>
      <c r="E23" s="62"/>
      <c r="F23" s="62"/>
      <c r="G23" s="62"/>
      <c r="H23" s="62"/>
      <c r="I23" s="62"/>
      <c r="J23" s="62"/>
      <c r="K23" s="76">
        <v>18</v>
      </c>
      <c r="L23" s="9">
        <v>3</v>
      </c>
      <c r="M23" s="1"/>
      <c r="N23" s="1" t="s">
        <v>399</v>
      </c>
      <c r="O23" s="1" t="s">
        <v>401</v>
      </c>
      <c r="P23" s="1" t="s">
        <v>400</v>
      </c>
      <c r="Q23" s="1"/>
      <c r="R23" s="1"/>
    </row>
    <row r="24" spans="1:18" s="3" customFormat="1">
      <c r="A24" s="62"/>
      <c r="B24" s="62" t="s">
        <v>3370</v>
      </c>
      <c r="C24" s="62" t="s">
        <v>493</v>
      </c>
      <c r="D24" s="62">
        <v>5</v>
      </c>
      <c r="E24" s="62"/>
      <c r="F24" s="62"/>
      <c r="G24" s="62"/>
      <c r="H24" s="62"/>
      <c r="I24" s="62"/>
      <c r="J24" s="62"/>
      <c r="K24" s="76">
        <v>19</v>
      </c>
      <c r="L24" s="32">
        <v>3</v>
      </c>
      <c r="M24">
        <v>31</v>
      </c>
      <c r="N24" s="1" t="s">
        <v>404</v>
      </c>
      <c r="O24" s="1" t="s">
        <v>405</v>
      </c>
      <c r="P24" s="1" t="s">
        <v>406</v>
      </c>
      <c r="Q24" s="1" t="s">
        <v>407</v>
      </c>
      <c r="R24">
        <v>18</v>
      </c>
    </row>
    <row r="25" spans="1:18" s="3" customFormat="1">
      <c r="A25" s="62"/>
      <c r="B25" s="62" t="s">
        <v>3371</v>
      </c>
      <c r="C25" s="62" t="s">
        <v>493</v>
      </c>
      <c r="D25" s="62">
        <v>8</v>
      </c>
      <c r="E25" s="62"/>
      <c r="F25" s="62"/>
      <c r="G25" s="62"/>
      <c r="H25" s="62"/>
      <c r="I25" s="62"/>
      <c r="J25" s="62"/>
      <c r="K25" s="76">
        <v>20</v>
      </c>
      <c r="L25" s="32">
        <v>3</v>
      </c>
      <c r="M25">
        <v>31</v>
      </c>
      <c r="N25" s="1" t="s">
        <v>410</v>
      </c>
      <c r="O25" s="1" t="s">
        <v>413</v>
      </c>
      <c r="P25" s="1" t="s">
        <v>414</v>
      </c>
      <c r="Q25" s="1" t="s">
        <v>415</v>
      </c>
      <c r="R25">
        <v>19</v>
      </c>
    </row>
    <row r="26" spans="1:18" s="3" customFormat="1">
      <c r="A26" s="62"/>
      <c r="B26" s="62" t="s">
        <v>3373</v>
      </c>
      <c r="C26" s="62" t="s">
        <v>493</v>
      </c>
      <c r="D26" s="62">
        <v>100</v>
      </c>
      <c r="E26" s="62"/>
      <c r="F26" s="62"/>
      <c r="G26" s="62"/>
      <c r="H26" s="62"/>
      <c r="I26" s="62"/>
      <c r="J26" s="62"/>
      <c r="K26" s="76">
        <v>21</v>
      </c>
      <c r="L26" s="62"/>
      <c r="M26" s="62"/>
      <c r="N26" s="62"/>
      <c r="O26" s="62"/>
      <c r="P26" s="62"/>
      <c r="Q26" s="12"/>
      <c r="R26" s="12"/>
    </row>
    <row r="27" spans="1:18" s="3" customFormat="1">
      <c r="A27" s="62"/>
      <c r="B27" s="62" t="s">
        <v>3372</v>
      </c>
      <c r="C27" s="62" t="s">
        <v>493</v>
      </c>
      <c r="D27" s="62">
        <v>100</v>
      </c>
      <c r="E27" s="62"/>
      <c r="F27" s="62"/>
      <c r="G27" s="62"/>
      <c r="H27" s="62"/>
      <c r="I27" s="62"/>
      <c r="J27" s="62"/>
      <c r="K27" s="76">
        <v>22</v>
      </c>
      <c r="L27" s="62"/>
      <c r="M27" s="62"/>
      <c r="N27" s="62"/>
      <c r="O27" s="62"/>
      <c r="P27" s="62"/>
      <c r="Q27" s="12"/>
      <c r="R27" s="12"/>
    </row>
    <row r="28" spans="1:18" s="3" customFormat="1">
      <c r="A28" s="62"/>
      <c r="B28" s="62" t="s">
        <v>3368</v>
      </c>
      <c r="C28" s="62" t="s">
        <v>494</v>
      </c>
      <c r="D28" s="62"/>
      <c r="E28" s="62"/>
      <c r="F28" s="62"/>
      <c r="G28" s="62"/>
      <c r="H28" s="62"/>
      <c r="I28" s="62"/>
      <c r="J28" s="62"/>
      <c r="K28" s="76">
        <v>23</v>
      </c>
      <c r="L28" s="62">
        <v>3</v>
      </c>
      <c r="M28" s="62"/>
      <c r="N28" s="62"/>
      <c r="O28" s="62"/>
      <c r="P28" s="62"/>
      <c r="Q28" s="12"/>
      <c r="R28" s="12"/>
    </row>
    <row r="29" spans="1:18" s="3" customFormat="1">
      <c r="A29" s="62"/>
      <c r="B29" s="62" t="s">
        <v>3374</v>
      </c>
      <c r="C29" s="62" t="s">
        <v>493</v>
      </c>
      <c r="D29" s="62">
        <v>1</v>
      </c>
      <c r="E29" s="62"/>
      <c r="F29" s="62"/>
      <c r="G29" s="62"/>
      <c r="H29" s="62"/>
      <c r="I29" s="62"/>
      <c r="J29" s="62"/>
      <c r="K29" s="76">
        <v>24</v>
      </c>
      <c r="L29" s="62">
        <v>3</v>
      </c>
      <c r="M29" s="62"/>
      <c r="N29" s="62"/>
      <c r="O29" s="62"/>
      <c r="P29" s="62"/>
      <c r="Q29" s="12"/>
      <c r="R29" s="12"/>
    </row>
    <row r="30" spans="1:18" s="3" customFormat="1">
      <c r="A30" s="62"/>
      <c r="B30" s="62" t="s">
        <v>3375</v>
      </c>
      <c r="C30" s="62" t="s">
        <v>493</v>
      </c>
      <c r="D30" s="62">
        <v>1</v>
      </c>
      <c r="E30" s="62"/>
      <c r="F30" s="62"/>
      <c r="G30" s="62"/>
      <c r="H30" s="62"/>
      <c r="I30" s="62"/>
      <c r="J30" s="62"/>
      <c r="K30" s="76">
        <v>25</v>
      </c>
      <c r="L30" s="9">
        <v>3</v>
      </c>
      <c r="M30" s="1"/>
      <c r="N30" s="1" t="s">
        <v>424</v>
      </c>
      <c r="O30" s="1" t="s">
        <v>417</v>
      </c>
      <c r="P30" s="1" t="s">
        <v>418</v>
      </c>
      <c r="Q30" s="12"/>
      <c r="R30" s="12"/>
    </row>
    <row r="31" spans="1:18" s="3" customFormat="1">
      <c r="A31" s="62"/>
      <c r="B31" s="62" t="s">
        <v>3376</v>
      </c>
      <c r="C31" s="62" t="s">
        <v>493</v>
      </c>
      <c r="D31" s="62">
        <v>100</v>
      </c>
      <c r="E31" s="62"/>
      <c r="F31" s="62"/>
      <c r="G31" s="62"/>
      <c r="H31" s="62"/>
      <c r="I31" s="62"/>
      <c r="J31" s="62"/>
      <c r="K31" s="76">
        <v>26</v>
      </c>
      <c r="L31" s="62"/>
      <c r="M31" s="62"/>
      <c r="N31" s="62"/>
      <c r="O31" s="62"/>
      <c r="P31" s="62"/>
      <c r="Q31" s="12"/>
      <c r="R31" s="12"/>
    </row>
    <row r="32" spans="1:18" s="3" customFormat="1">
      <c r="A32" s="62"/>
      <c r="B32" s="62" t="s">
        <v>3377</v>
      </c>
      <c r="C32" s="62" t="s">
        <v>493</v>
      </c>
      <c r="D32" s="62">
        <v>100</v>
      </c>
      <c r="E32" s="62"/>
      <c r="F32" s="62"/>
      <c r="G32" s="62"/>
      <c r="H32" s="62"/>
      <c r="I32" s="62"/>
      <c r="J32" s="62"/>
      <c r="K32" s="76">
        <v>27</v>
      </c>
      <c r="L32" s="62"/>
      <c r="M32" s="62"/>
      <c r="N32" s="62"/>
      <c r="O32" s="62"/>
      <c r="P32" s="62"/>
      <c r="Q32" s="12"/>
      <c r="R32" s="12"/>
    </row>
    <row r="33" spans="1:18" s="3" customFormat="1">
      <c r="A33" s="62"/>
      <c r="B33" s="62" t="s">
        <v>3378</v>
      </c>
      <c r="C33" s="62" t="s">
        <v>493</v>
      </c>
      <c r="D33" s="62">
        <v>50</v>
      </c>
      <c r="E33" s="62"/>
      <c r="F33" s="62"/>
      <c r="G33" s="62"/>
      <c r="H33" s="62"/>
      <c r="I33" s="62"/>
      <c r="J33" s="62"/>
      <c r="K33" s="76">
        <v>28</v>
      </c>
      <c r="L33" s="62"/>
      <c r="M33" s="62"/>
      <c r="N33" s="62"/>
      <c r="O33" s="62"/>
      <c r="P33" s="62"/>
      <c r="Q33" s="12"/>
      <c r="R33" s="12"/>
    </row>
    <row r="34" spans="1:18" s="3" customFormat="1">
      <c r="A34" s="62"/>
      <c r="B34" s="62" t="s">
        <v>3379</v>
      </c>
      <c r="C34" s="62" t="s">
        <v>493</v>
      </c>
      <c r="D34" s="62">
        <v>50</v>
      </c>
      <c r="E34" s="62"/>
      <c r="F34" s="62"/>
      <c r="G34" s="62"/>
      <c r="H34" s="62"/>
      <c r="I34" s="62"/>
      <c r="J34" s="62"/>
      <c r="K34" s="76">
        <v>29</v>
      </c>
      <c r="L34" s="62"/>
      <c r="M34" s="62"/>
      <c r="N34" s="62"/>
      <c r="O34" s="62"/>
      <c r="P34" s="62"/>
      <c r="Q34" s="12"/>
      <c r="R34" s="12"/>
    </row>
    <row r="35" spans="1:18">
      <c r="B35" s="66" t="s">
        <v>3380</v>
      </c>
      <c r="C35" s="62" t="s">
        <v>494</v>
      </c>
      <c r="K35" s="76">
        <v>30</v>
      </c>
      <c r="L35" s="68">
        <v>3</v>
      </c>
      <c r="M35">
        <v>3</v>
      </c>
      <c r="N35" s="62" t="s">
        <v>693</v>
      </c>
      <c r="O35" s="1" t="s">
        <v>695</v>
      </c>
      <c r="P35" s="62" t="s">
        <v>696</v>
      </c>
    </row>
    <row r="36" spans="1:18">
      <c r="B36" s="66" t="s">
        <v>3382</v>
      </c>
      <c r="C36" s="62" t="s">
        <v>494</v>
      </c>
      <c r="E36" s="62"/>
      <c r="K36" s="76">
        <v>31</v>
      </c>
      <c r="L36" s="15">
        <v>3</v>
      </c>
      <c r="M36" s="14">
        <v>31</v>
      </c>
      <c r="N36" s="62" t="s">
        <v>379</v>
      </c>
      <c r="O36" s="62" t="s">
        <v>698</v>
      </c>
      <c r="P36" s="62" t="s">
        <v>699</v>
      </c>
      <c r="Q36" s="62" t="s">
        <v>383</v>
      </c>
      <c r="R36" s="14">
        <v>30</v>
      </c>
    </row>
    <row r="37" spans="1:18" s="3" customFormat="1">
      <c r="A37" s="62"/>
      <c r="B37" s="62" t="s">
        <v>3384</v>
      </c>
      <c r="C37" s="62" t="s">
        <v>493</v>
      </c>
      <c r="D37" s="62">
        <v>1</v>
      </c>
      <c r="E37" s="62"/>
      <c r="F37" s="62"/>
      <c r="G37" s="62"/>
      <c r="H37" s="62"/>
      <c r="I37" s="62"/>
      <c r="J37" s="62"/>
      <c r="K37" s="76">
        <v>32</v>
      </c>
      <c r="L37" s="62">
        <v>3</v>
      </c>
      <c r="M37" s="62"/>
      <c r="N37" s="62"/>
      <c r="O37" s="62"/>
      <c r="P37" s="62"/>
      <c r="Q37" s="12"/>
      <c r="R37" s="12"/>
    </row>
    <row r="38" spans="1:18" s="3" customFormat="1">
      <c r="A38" s="62"/>
      <c r="B38" s="62" t="s">
        <v>3386</v>
      </c>
      <c r="C38" s="62" t="s">
        <v>493</v>
      </c>
      <c r="D38" s="62">
        <v>1</v>
      </c>
      <c r="E38" s="62"/>
      <c r="F38" s="62"/>
      <c r="G38" s="62"/>
      <c r="H38" s="62"/>
      <c r="I38" s="62"/>
      <c r="J38" s="62"/>
      <c r="K38" s="76">
        <v>33</v>
      </c>
      <c r="L38" s="62">
        <v>3</v>
      </c>
      <c r="M38" s="62"/>
      <c r="N38" s="62"/>
      <c r="O38" s="62"/>
      <c r="P38" s="62"/>
      <c r="Q38" s="12"/>
      <c r="R38" s="12"/>
    </row>
    <row r="39" spans="1:18" s="3" customFormat="1">
      <c r="A39" s="62"/>
      <c r="B39" s="62" t="s">
        <v>3387</v>
      </c>
      <c r="C39" s="62" t="s">
        <v>493</v>
      </c>
      <c r="D39" s="62">
        <v>1</v>
      </c>
      <c r="E39" s="62"/>
      <c r="F39" s="62"/>
      <c r="G39" s="62"/>
      <c r="H39" s="62"/>
      <c r="I39" s="62"/>
      <c r="J39" s="62"/>
      <c r="K39" s="76">
        <v>34</v>
      </c>
      <c r="L39" s="62">
        <v>3</v>
      </c>
      <c r="M39" s="62"/>
      <c r="N39" s="62"/>
      <c r="O39" s="62"/>
      <c r="P39" s="62"/>
      <c r="Q39" s="12"/>
      <c r="R39" s="12"/>
    </row>
    <row r="40" spans="1:18" s="3" customFormat="1">
      <c r="A40" s="62"/>
      <c r="B40" s="62" t="s">
        <v>3388</v>
      </c>
      <c r="C40" s="62" t="s">
        <v>493</v>
      </c>
      <c r="D40" s="62">
        <v>1</v>
      </c>
      <c r="E40" s="62"/>
      <c r="F40" s="62"/>
      <c r="G40" s="62"/>
      <c r="H40" s="62"/>
      <c r="I40" s="62"/>
      <c r="J40" s="62"/>
      <c r="K40" s="76">
        <v>35</v>
      </c>
      <c r="L40" s="62">
        <v>3</v>
      </c>
      <c r="M40" s="62"/>
      <c r="N40" s="62"/>
      <c r="O40" s="62"/>
      <c r="P40" s="62"/>
      <c r="Q40" s="12"/>
      <c r="R40" s="12"/>
    </row>
    <row r="41" spans="1:18" s="3" customFormat="1">
      <c r="A41" s="62"/>
      <c r="B41" s="62" t="s">
        <v>3389</v>
      </c>
      <c r="C41" s="62" t="s">
        <v>493</v>
      </c>
      <c r="D41" s="62">
        <v>1</v>
      </c>
      <c r="E41" s="62"/>
      <c r="F41" s="62"/>
      <c r="G41" s="62"/>
      <c r="H41" s="62"/>
      <c r="I41" s="62"/>
      <c r="J41" s="62"/>
      <c r="K41" s="76">
        <v>36</v>
      </c>
      <c r="L41" s="62">
        <v>3</v>
      </c>
      <c r="M41" s="62"/>
      <c r="N41" s="62"/>
      <c r="O41" s="62"/>
      <c r="P41" s="62"/>
      <c r="Q41" s="12"/>
      <c r="R41" s="12"/>
    </row>
    <row r="42" spans="1:18" s="3" customFormat="1">
      <c r="A42" s="62"/>
      <c r="B42" s="62" t="s">
        <v>3390</v>
      </c>
      <c r="C42" s="62" t="s">
        <v>493</v>
      </c>
      <c r="D42" s="62">
        <v>1</v>
      </c>
      <c r="E42" s="62"/>
      <c r="F42" s="62"/>
      <c r="G42" s="62"/>
      <c r="H42" s="62"/>
      <c r="I42" s="62"/>
      <c r="J42" s="62"/>
      <c r="K42" s="76">
        <v>37</v>
      </c>
      <c r="L42" s="62">
        <v>3</v>
      </c>
      <c r="M42" s="62"/>
      <c r="N42" s="62"/>
      <c r="O42" s="62"/>
      <c r="P42" s="62"/>
      <c r="Q42" s="12"/>
      <c r="R42" s="12"/>
    </row>
    <row r="43" spans="1:18" s="3" customFormat="1">
      <c r="A43" s="62"/>
      <c r="B43" s="62" t="s">
        <v>3391</v>
      </c>
      <c r="C43" s="62" t="s">
        <v>494</v>
      </c>
      <c r="D43" s="62"/>
      <c r="E43" s="62"/>
      <c r="F43" s="62"/>
      <c r="G43" s="62"/>
      <c r="H43" s="62"/>
      <c r="I43" s="62"/>
      <c r="J43" s="62"/>
      <c r="K43" s="76">
        <v>38</v>
      </c>
      <c r="L43" s="62">
        <v>3</v>
      </c>
      <c r="M43" s="62"/>
      <c r="N43" s="62" t="s">
        <v>3392</v>
      </c>
      <c r="O43" s="62" t="s">
        <v>3394</v>
      </c>
      <c r="P43" s="62" t="s">
        <v>3395</v>
      </c>
      <c r="Q43" s="12"/>
      <c r="R43" s="47">
        <v>2302</v>
      </c>
    </row>
    <row r="44" spans="1:18" s="3" customFormat="1">
      <c r="A44" s="62"/>
      <c r="B44" s="62" t="s">
        <v>3398</v>
      </c>
      <c r="C44" s="62" t="s">
        <v>493</v>
      </c>
      <c r="D44" s="62">
        <v>1</v>
      </c>
      <c r="E44" s="62"/>
      <c r="F44" s="62"/>
      <c r="G44" s="62"/>
      <c r="H44" s="62"/>
      <c r="I44" s="62"/>
      <c r="J44" s="62"/>
      <c r="K44" s="76">
        <v>39</v>
      </c>
      <c r="L44" s="62">
        <v>3</v>
      </c>
      <c r="M44" s="62"/>
      <c r="N44" s="62"/>
      <c r="O44" s="62"/>
      <c r="P44" s="62"/>
      <c r="Q44" s="12"/>
      <c r="R44" s="12"/>
    </row>
    <row r="45" spans="1:18" s="3" customFormat="1">
      <c r="A45" s="62"/>
      <c r="B45" s="62" t="s">
        <v>3399</v>
      </c>
      <c r="C45" s="62" t="s">
        <v>494</v>
      </c>
      <c r="D45" s="62"/>
      <c r="E45" s="62"/>
      <c r="F45" s="62"/>
      <c r="G45" s="62"/>
      <c r="H45" s="62"/>
      <c r="I45" s="62"/>
      <c r="J45" s="62"/>
      <c r="K45" s="76">
        <v>40</v>
      </c>
      <c r="L45" s="62">
        <v>8</v>
      </c>
      <c r="M45" s="62">
        <v>1</v>
      </c>
      <c r="N45" s="62"/>
      <c r="O45" s="62"/>
      <c r="P45" s="62"/>
      <c r="Q45" s="12"/>
      <c r="R45" s="12"/>
    </row>
    <row r="46" spans="1:18" s="3" customFormat="1">
      <c r="A46" s="62"/>
      <c r="B46" s="62" t="s">
        <v>3400</v>
      </c>
      <c r="C46" s="62" t="s">
        <v>494</v>
      </c>
      <c r="D46" s="62"/>
      <c r="E46" s="62"/>
      <c r="F46" s="62"/>
      <c r="G46" s="62"/>
      <c r="H46" s="62"/>
      <c r="I46" s="62"/>
      <c r="J46" s="62"/>
      <c r="K46" s="76">
        <v>41</v>
      </c>
      <c r="L46" s="62">
        <v>7</v>
      </c>
      <c r="M46" s="62">
        <v>1</v>
      </c>
      <c r="N46" s="62"/>
      <c r="O46" s="62"/>
      <c r="P46" s="62"/>
      <c r="Q46" s="12"/>
      <c r="R46" s="12"/>
    </row>
    <row r="47" spans="1:18" s="3" customFormat="1">
      <c r="A47" s="62"/>
      <c r="B47" s="62" t="s">
        <v>3401</v>
      </c>
      <c r="C47" s="62" t="s">
        <v>493</v>
      </c>
      <c r="D47" s="62">
        <v>1</v>
      </c>
      <c r="E47" s="62"/>
      <c r="F47" s="62"/>
      <c r="G47" s="62"/>
      <c r="H47" s="62"/>
      <c r="I47" s="62"/>
      <c r="J47" s="62"/>
      <c r="K47" s="76">
        <v>42</v>
      </c>
      <c r="L47" s="62">
        <v>3</v>
      </c>
      <c r="M47" s="62"/>
      <c r="N47" s="62"/>
      <c r="O47" s="62"/>
      <c r="P47" s="62"/>
      <c r="Q47" s="12"/>
      <c r="R47" s="12"/>
    </row>
    <row r="48" spans="1:18" s="3" customFormat="1">
      <c r="A48" s="62"/>
      <c r="B48" s="62" t="s">
        <v>3402</v>
      </c>
      <c r="C48" s="62" t="s">
        <v>494</v>
      </c>
      <c r="D48" s="62"/>
      <c r="E48" s="62"/>
      <c r="F48" s="62"/>
      <c r="G48" s="62"/>
      <c r="H48" s="62"/>
      <c r="I48" s="62"/>
      <c r="J48" s="62"/>
      <c r="K48" s="76">
        <v>43</v>
      </c>
      <c r="L48" s="62">
        <v>8</v>
      </c>
      <c r="M48" s="62">
        <v>1</v>
      </c>
      <c r="N48" s="62"/>
      <c r="O48" s="62"/>
      <c r="P48" s="62"/>
      <c r="Q48" s="12"/>
      <c r="R48" s="12"/>
    </row>
    <row r="49" spans="1:18" s="3" customFormat="1">
      <c r="A49" s="62"/>
      <c r="B49" s="62" t="s">
        <v>3403</v>
      </c>
      <c r="C49" s="62" t="s">
        <v>494</v>
      </c>
      <c r="D49" s="62"/>
      <c r="E49" s="62"/>
      <c r="F49" s="62"/>
      <c r="G49" s="62"/>
      <c r="H49" s="62"/>
      <c r="I49" s="62"/>
      <c r="J49" s="62"/>
      <c r="K49" s="76">
        <v>44</v>
      </c>
      <c r="L49" s="62">
        <v>7</v>
      </c>
      <c r="M49" s="62">
        <v>1</v>
      </c>
      <c r="N49" s="62"/>
      <c r="O49" s="62"/>
      <c r="P49" s="62"/>
      <c r="Q49" s="12"/>
      <c r="R49" s="12"/>
    </row>
    <row r="50" spans="1:18" s="3" customFormat="1">
      <c r="A50" s="62"/>
      <c r="B50" s="62" t="s">
        <v>3404</v>
      </c>
      <c r="C50" s="62" t="s">
        <v>493</v>
      </c>
      <c r="D50" s="62">
        <v>1</v>
      </c>
      <c r="E50" s="62"/>
      <c r="F50" s="62"/>
      <c r="G50" s="62"/>
      <c r="H50" s="62"/>
      <c r="I50" s="62"/>
      <c r="J50" s="62"/>
      <c r="K50" s="76">
        <v>45</v>
      </c>
      <c r="L50" s="62">
        <v>3</v>
      </c>
      <c r="M50" s="62"/>
      <c r="N50" s="62"/>
      <c r="O50" s="62"/>
      <c r="P50" s="62"/>
      <c r="Q50" s="12"/>
      <c r="R50" s="12"/>
    </row>
    <row r="51" spans="1:18" s="3" customFormat="1">
      <c r="A51" s="62"/>
      <c r="B51" s="62" t="s">
        <v>3405</v>
      </c>
      <c r="C51" s="62" t="s">
        <v>493</v>
      </c>
      <c r="D51" s="62">
        <v>1</v>
      </c>
      <c r="E51" s="62"/>
      <c r="F51" s="62"/>
      <c r="G51" s="62"/>
      <c r="H51" s="62"/>
      <c r="I51" s="62"/>
      <c r="J51" s="62"/>
      <c r="K51" s="76">
        <v>46</v>
      </c>
      <c r="L51" s="62">
        <v>3</v>
      </c>
      <c r="M51" s="62"/>
      <c r="N51" s="62"/>
      <c r="O51" s="62"/>
      <c r="P51" s="62"/>
      <c r="Q51" s="12"/>
      <c r="R51" s="12"/>
    </row>
    <row r="52" spans="1:18" s="3" customFormat="1">
      <c r="A52" s="62"/>
      <c r="B52" s="62" t="s">
        <v>3406</v>
      </c>
      <c r="C52" s="62" t="s">
        <v>494</v>
      </c>
      <c r="D52" s="62"/>
      <c r="E52" s="62"/>
      <c r="F52" s="62"/>
      <c r="G52" s="62"/>
      <c r="H52" s="62"/>
      <c r="I52" s="62"/>
      <c r="J52" s="62"/>
      <c r="K52" s="76">
        <v>47</v>
      </c>
      <c r="L52" s="62">
        <v>3</v>
      </c>
      <c r="M52" s="62"/>
      <c r="N52" s="62"/>
      <c r="O52" s="62"/>
      <c r="P52" s="62"/>
      <c r="Q52" s="12"/>
      <c r="R52" s="12"/>
    </row>
    <row r="53" spans="1:18" s="3" customFormat="1">
      <c r="A53" s="62"/>
      <c r="B53" s="62" t="s">
        <v>3407</v>
      </c>
      <c r="C53" s="62" t="s">
        <v>494</v>
      </c>
      <c r="D53" s="62"/>
      <c r="E53" s="62"/>
      <c r="F53" s="62"/>
      <c r="G53" s="62"/>
      <c r="H53" s="62"/>
      <c r="I53" s="62"/>
      <c r="J53" s="62"/>
      <c r="K53" s="76">
        <v>48</v>
      </c>
      <c r="L53" s="62">
        <v>3</v>
      </c>
      <c r="M53" s="62"/>
      <c r="N53" s="62" t="s">
        <v>3409</v>
      </c>
      <c r="O53" s="62" t="s">
        <v>3410</v>
      </c>
      <c r="P53" s="62" t="s">
        <v>3411</v>
      </c>
      <c r="Q53" s="12"/>
      <c r="R53" s="12"/>
    </row>
    <row r="54" spans="1:18" s="3" customFormat="1">
      <c r="A54" s="62"/>
      <c r="B54" s="62" t="s">
        <v>3416</v>
      </c>
      <c r="C54" s="62" t="s">
        <v>493</v>
      </c>
      <c r="D54" s="62">
        <v>1</v>
      </c>
      <c r="E54" s="62"/>
      <c r="F54" s="62"/>
      <c r="G54" s="62"/>
      <c r="H54" s="62"/>
      <c r="I54" s="62"/>
      <c r="J54" s="62"/>
      <c r="K54" s="76">
        <v>49</v>
      </c>
      <c r="L54" s="62">
        <v>3</v>
      </c>
      <c r="M54" s="62"/>
      <c r="N54" s="62"/>
      <c r="O54" s="62"/>
      <c r="P54" s="62"/>
      <c r="Q54" s="12"/>
      <c r="R54" s="12"/>
    </row>
    <row r="55" spans="1:18" s="3" customFormat="1">
      <c r="A55" s="62"/>
      <c r="B55" s="62" t="s">
        <v>3417</v>
      </c>
      <c r="C55" s="62" t="s">
        <v>493</v>
      </c>
      <c r="D55" s="62">
        <v>1</v>
      </c>
      <c r="E55" s="62"/>
      <c r="F55" s="62"/>
      <c r="G55" s="62"/>
      <c r="H55" s="62"/>
      <c r="I55" s="62"/>
      <c r="J55" s="62"/>
      <c r="K55" s="76">
        <v>50</v>
      </c>
      <c r="L55" s="62">
        <v>3</v>
      </c>
      <c r="M55" s="62"/>
      <c r="N55" s="62"/>
      <c r="O55" s="62"/>
      <c r="P55" s="62"/>
      <c r="Q55" s="12"/>
      <c r="R55" s="12"/>
    </row>
    <row r="56" spans="1:18" s="3" customFormat="1">
      <c r="A56" s="62"/>
      <c r="B56" s="62" t="s">
        <v>3418</v>
      </c>
      <c r="C56" s="62" t="s">
        <v>493</v>
      </c>
      <c r="D56" s="62">
        <v>1</v>
      </c>
      <c r="E56" s="62"/>
      <c r="F56" s="62"/>
      <c r="G56" s="62"/>
      <c r="H56" s="62"/>
      <c r="I56" s="62"/>
      <c r="J56" s="62"/>
      <c r="K56" s="76">
        <v>51</v>
      </c>
      <c r="L56" s="62">
        <v>3</v>
      </c>
      <c r="M56" s="62"/>
      <c r="N56" s="62"/>
      <c r="O56" s="62"/>
      <c r="P56" s="62"/>
      <c r="Q56" s="12"/>
      <c r="R56" s="12"/>
    </row>
    <row r="57" spans="1:18" s="3" customFormat="1">
      <c r="A57" s="62"/>
      <c r="B57" s="62" t="s">
        <v>3419</v>
      </c>
      <c r="C57" s="62" t="s">
        <v>494</v>
      </c>
      <c r="D57" s="62"/>
      <c r="E57" s="62"/>
      <c r="F57" s="62"/>
      <c r="G57" s="62"/>
      <c r="H57" s="62"/>
      <c r="I57" s="62"/>
      <c r="J57" s="62"/>
      <c r="K57" s="76">
        <v>52</v>
      </c>
      <c r="L57" s="62">
        <v>8</v>
      </c>
      <c r="M57" s="62">
        <v>1</v>
      </c>
      <c r="N57" s="62"/>
      <c r="O57" s="62"/>
      <c r="P57" s="62"/>
      <c r="Q57" s="12"/>
      <c r="R57" s="12"/>
    </row>
    <row r="58" spans="1:18" s="3" customFormat="1">
      <c r="A58" s="62"/>
      <c r="B58" s="62" t="s">
        <v>3420</v>
      </c>
      <c r="C58" s="62" t="s">
        <v>494</v>
      </c>
      <c r="D58" s="62"/>
      <c r="E58" s="62"/>
      <c r="F58" s="62"/>
      <c r="G58" s="62"/>
      <c r="H58" s="62"/>
      <c r="I58" s="62"/>
      <c r="J58" s="62"/>
      <c r="K58" s="76">
        <v>53</v>
      </c>
      <c r="L58" s="62">
        <v>7</v>
      </c>
      <c r="M58" s="62">
        <v>1</v>
      </c>
      <c r="N58" s="62"/>
      <c r="O58" s="62"/>
      <c r="P58" s="62"/>
      <c r="Q58" s="12"/>
      <c r="R58" s="12"/>
    </row>
    <row r="59" spans="1:18" s="3" customFormat="1">
      <c r="A59" s="62"/>
      <c r="B59" s="62" t="s">
        <v>3421</v>
      </c>
      <c r="C59" s="62" t="s">
        <v>494</v>
      </c>
      <c r="D59" s="62"/>
      <c r="E59" s="62"/>
      <c r="F59" s="62"/>
      <c r="G59" s="62"/>
      <c r="H59" s="62"/>
      <c r="I59" s="62"/>
      <c r="J59" s="62"/>
      <c r="K59" s="76">
        <v>54</v>
      </c>
      <c r="L59" s="62">
        <v>3</v>
      </c>
      <c r="M59" s="62"/>
      <c r="N59" s="62"/>
      <c r="O59" s="62"/>
      <c r="P59" s="62"/>
      <c r="Q59" s="12"/>
      <c r="R59" s="12"/>
    </row>
    <row r="60" spans="1:18" s="3" customFormat="1">
      <c r="A60" s="62"/>
      <c r="B60" s="62" t="s">
        <v>3422</v>
      </c>
      <c r="C60" s="62" t="s">
        <v>494</v>
      </c>
      <c r="D60" s="62"/>
      <c r="E60" s="62"/>
      <c r="F60" s="62"/>
      <c r="G60" s="62"/>
      <c r="H60" s="62"/>
      <c r="I60" s="62"/>
      <c r="J60" s="62"/>
      <c r="K60" s="76">
        <v>55</v>
      </c>
      <c r="L60" s="62">
        <v>3</v>
      </c>
      <c r="M60" s="62"/>
      <c r="N60" s="62"/>
      <c r="O60" s="62"/>
      <c r="P60" s="62"/>
      <c r="Q60" s="12"/>
      <c r="R60" s="12"/>
    </row>
    <row r="61" spans="1:18" s="3" customFormat="1">
      <c r="A61" s="62"/>
      <c r="B61" s="62" t="s">
        <v>3423</v>
      </c>
      <c r="C61" s="62" t="s">
        <v>494</v>
      </c>
      <c r="D61" s="62"/>
      <c r="E61" s="62"/>
      <c r="F61" s="62"/>
      <c r="G61" s="62"/>
      <c r="H61" s="62"/>
      <c r="I61" s="62"/>
      <c r="J61" s="62"/>
      <c r="K61" s="76">
        <v>56</v>
      </c>
      <c r="L61" s="62">
        <v>3</v>
      </c>
      <c r="M61" s="62"/>
      <c r="N61" s="62"/>
      <c r="O61" s="62"/>
      <c r="P61" s="62"/>
      <c r="Q61" s="12"/>
      <c r="R61" s="12"/>
    </row>
    <row r="62" spans="1:18" s="3" customFormat="1">
      <c r="A62" s="62"/>
      <c r="B62" s="62" t="s">
        <v>3424</v>
      </c>
      <c r="C62" s="62" t="s">
        <v>494</v>
      </c>
      <c r="D62" s="62"/>
      <c r="E62" s="62"/>
      <c r="F62" s="62"/>
      <c r="G62" s="62"/>
      <c r="H62" s="62"/>
      <c r="I62" s="62"/>
      <c r="J62" s="62"/>
      <c r="K62" s="76">
        <v>57</v>
      </c>
      <c r="L62" s="62">
        <v>3</v>
      </c>
      <c r="M62" s="62"/>
      <c r="N62" s="62"/>
      <c r="O62" s="62"/>
      <c r="P62" s="62"/>
      <c r="Q62" s="12"/>
      <c r="R62" s="12"/>
    </row>
    <row r="63" spans="1:18" s="3" customFormat="1">
      <c r="A63" s="62"/>
      <c r="B63" s="62" t="s">
        <v>3425</v>
      </c>
      <c r="C63" s="62" t="s">
        <v>494</v>
      </c>
      <c r="D63" s="62"/>
      <c r="E63" s="62"/>
      <c r="F63" s="62"/>
      <c r="G63" s="62"/>
      <c r="H63" s="62"/>
      <c r="I63" s="62"/>
      <c r="J63" s="62"/>
      <c r="K63" s="76">
        <v>58</v>
      </c>
      <c r="L63" s="62">
        <v>3</v>
      </c>
      <c r="M63" s="62"/>
      <c r="N63" s="62"/>
      <c r="O63" s="62"/>
      <c r="P63" s="62"/>
      <c r="Q63" s="12"/>
      <c r="R63" s="12"/>
    </row>
    <row r="64" spans="1:18" s="3" customFormat="1">
      <c r="A64" s="62"/>
      <c r="B64" s="62" t="s">
        <v>3426</v>
      </c>
      <c r="C64" s="62" t="s">
        <v>493</v>
      </c>
      <c r="D64" s="62">
        <v>1</v>
      </c>
      <c r="E64" s="62"/>
      <c r="F64" s="62"/>
      <c r="G64" s="62"/>
      <c r="H64" s="62"/>
      <c r="I64" s="62"/>
      <c r="J64" s="62"/>
      <c r="K64" s="76">
        <v>59</v>
      </c>
      <c r="L64" s="62">
        <v>3</v>
      </c>
      <c r="M64" s="62"/>
      <c r="N64" s="62"/>
      <c r="O64" s="62"/>
      <c r="P64" s="62"/>
      <c r="Q64" s="12"/>
      <c r="R64" s="12"/>
    </row>
    <row r="65" spans="1:18" s="3" customFormat="1">
      <c r="A65" s="62"/>
      <c r="B65" s="62" t="s">
        <v>3427</v>
      </c>
      <c r="C65" s="62" t="s">
        <v>494</v>
      </c>
      <c r="D65" s="62"/>
      <c r="E65" s="62"/>
      <c r="F65" s="62"/>
      <c r="G65" s="62"/>
      <c r="H65" s="62"/>
      <c r="I65" s="62"/>
      <c r="J65" s="62"/>
      <c r="K65" s="76">
        <v>60</v>
      </c>
      <c r="L65" s="62">
        <v>3</v>
      </c>
      <c r="M65" s="62"/>
      <c r="N65" s="62"/>
      <c r="O65" s="62"/>
      <c r="P65" s="62"/>
      <c r="Q65" s="12"/>
      <c r="R65" s="12"/>
    </row>
    <row r="66" spans="1:18" s="3" customFormat="1">
      <c r="A66" s="62"/>
      <c r="B66" s="62" t="s">
        <v>3428</v>
      </c>
      <c r="C66" s="62" t="s">
        <v>494</v>
      </c>
      <c r="D66" s="62"/>
      <c r="E66" s="62"/>
      <c r="F66" s="62"/>
      <c r="G66" s="62"/>
      <c r="H66" s="62"/>
      <c r="I66" s="62"/>
      <c r="J66" s="62"/>
      <c r="K66" s="76">
        <v>61</v>
      </c>
      <c r="L66" s="62">
        <v>3</v>
      </c>
      <c r="M66" s="62"/>
      <c r="N66" s="62"/>
      <c r="O66" s="62"/>
      <c r="P66" s="62"/>
      <c r="Q66" s="12"/>
      <c r="R66" s="12"/>
    </row>
    <row r="67" spans="1:18" s="3" customFormat="1">
      <c r="A67" s="62"/>
      <c r="B67" s="62" t="s">
        <v>3429</v>
      </c>
      <c r="C67" s="62" t="s">
        <v>494</v>
      </c>
      <c r="D67" s="62"/>
      <c r="E67" s="62"/>
      <c r="F67" s="62"/>
      <c r="G67" s="62"/>
      <c r="H67" s="62"/>
      <c r="I67" s="62"/>
      <c r="J67" s="62"/>
      <c r="K67" s="76">
        <v>62</v>
      </c>
      <c r="L67" s="62">
        <v>3</v>
      </c>
      <c r="M67" s="62"/>
      <c r="N67" s="62"/>
      <c r="O67" s="62"/>
      <c r="P67" s="62"/>
      <c r="Q67" s="12"/>
      <c r="R67" s="12"/>
    </row>
    <row r="68" spans="1:18" s="3" customFormat="1">
      <c r="A68" s="62"/>
      <c r="B68" s="62" t="s">
        <v>3430</v>
      </c>
      <c r="C68" s="62" t="s">
        <v>494</v>
      </c>
      <c r="D68" s="62"/>
      <c r="E68" s="62"/>
      <c r="F68" s="62"/>
      <c r="G68" s="62"/>
      <c r="H68" s="62"/>
      <c r="I68" s="62"/>
      <c r="J68" s="62"/>
      <c r="K68" s="76">
        <v>63</v>
      </c>
      <c r="L68" s="62">
        <v>3</v>
      </c>
      <c r="M68" s="62"/>
      <c r="N68" s="62"/>
      <c r="O68" s="62"/>
      <c r="P68" s="62"/>
      <c r="Q68" s="12"/>
      <c r="R68" s="12"/>
    </row>
    <row r="69" spans="1:18" s="3" customFormat="1">
      <c r="A69" s="62"/>
      <c r="B69" s="62" t="s">
        <v>3431</v>
      </c>
      <c r="C69" s="62" t="s">
        <v>493</v>
      </c>
      <c r="D69" s="62">
        <v>1</v>
      </c>
      <c r="E69" s="62"/>
      <c r="F69" s="62"/>
      <c r="G69" s="62"/>
      <c r="H69" s="62"/>
      <c r="I69" s="62"/>
      <c r="J69" s="62"/>
      <c r="K69" s="76">
        <v>64</v>
      </c>
      <c r="L69" s="62">
        <v>3</v>
      </c>
      <c r="M69" s="62"/>
      <c r="N69" s="62"/>
      <c r="O69" s="62"/>
      <c r="P69" s="62"/>
      <c r="Q69" s="12"/>
      <c r="R69" s="12"/>
    </row>
    <row r="70" spans="1:18" s="3" customFormat="1">
      <c r="A70" s="62"/>
      <c r="B70" s="62" t="s">
        <v>3432</v>
      </c>
      <c r="C70" s="62" t="s">
        <v>494</v>
      </c>
      <c r="D70" s="62"/>
      <c r="E70" s="62"/>
      <c r="F70" s="62"/>
      <c r="G70" s="62"/>
      <c r="H70" s="62"/>
      <c r="I70" s="62"/>
      <c r="J70" s="62"/>
      <c r="K70" s="76">
        <v>65</v>
      </c>
      <c r="L70" s="62">
        <v>3</v>
      </c>
      <c r="M70" s="62"/>
      <c r="N70" s="62"/>
      <c r="O70" s="62"/>
      <c r="P70" s="62"/>
      <c r="Q70" s="12"/>
      <c r="R70" s="12"/>
    </row>
    <row r="71" spans="1:18" s="3" customFormat="1">
      <c r="A71" s="62"/>
      <c r="B71" s="62" t="s">
        <v>3433</v>
      </c>
      <c r="C71" s="62" t="s">
        <v>494</v>
      </c>
      <c r="D71" s="62"/>
      <c r="E71" s="62"/>
      <c r="F71" s="62"/>
      <c r="G71" s="62"/>
      <c r="H71" s="62"/>
      <c r="I71" s="62"/>
      <c r="J71" s="62"/>
      <c r="K71" s="76">
        <v>66</v>
      </c>
      <c r="L71" s="62">
        <v>3</v>
      </c>
      <c r="M71" s="62"/>
      <c r="N71" s="62"/>
      <c r="O71" s="62"/>
      <c r="P71" s="62"/>
      <c r="Q71" s="12"/>
      <c r="R71" s="12"/>
    </row>
    <row r="72" spans="1:18" s="3" customFormat="1">
      <c r="A72" s="62"/>
      <c r="B72" s="62" t="s">
        <v>3434</v>
      </c>
      <c r="C72" s="62" t="s">
        <v>493</v>
      </c>
      <c r="D72" s="62">
        <v>1</v>
      </c>
      <c r="E72" s="62"/>
      <c r="F72" s="62"/>
      <c r="G72" s="62"/>
      <c r="H72" s="62"/>
      <c r="I72" s="62"/>
      <c r="J72" s="62"/>
      <c r="K72" s="76">
        <v>67</v>
      </c>
      <c r="L72" s="62">
        <v>3</v>
      </c>
      <c r="M72" s="62"/>
      <c r="N72" s="62"/>
      <c r="O72" s="62"/>
      <c r="P72" s="62"/>
      <c r="Q72" s="12"/>
      <c r="R72" s="12"/>
    </row>
    <row r="73" spans="1:18" s="3" customFormat="1">
      <c r="A73" s="62"/>
      <c r="B73" s="62" t="s">
        <v>3435</v>
      </c>
      <c r="C73" s="62" t="s">
        <v>494</v>
      </c>
      <c r="D73" s="62"/>
      <c r="E73" s="62"/>
      <c r="F73" s="62"/>
      <c r="G73" s="62"/>
      <c r="H73" s="62"/>
      <c r="I73" s="62"/>
      <c r="J73" s="62"/>
      <c r="K73" s="76">
        <v>68</v>
      </c>
      <c r="L73" s="62">
        <v>3</v>
      </c>
      <c r="M73" s="62"/>
      <c r="N73" s="62"/>
      <c r="O73" s="62"/>
      <c r="P73" s="62"/>
      <c r="Q73" s="12"/>
      <c r="R73" s="12"/>
    </row>
    <row r="74" spans="1:18" s="3" customFormat="1">
      <c r="A74" s="62"/>
      <c r="B74" s="62" t="s">
        <v>3436</v>
      </c>
      <c r="C74" s="62" t="s">
        <v>493</v>
      </c>
      <c r="D74" s="62">
        <v>1</v>
      </c>
      <c r="E74" s="62"/>
      <c r="F74" s="62"/>
      <c r="G74" s="62"/>
      <c r="H74" s="62"/>
      <c r="I74" s="62"/>
      <c r="J74" s="62"/>
      <c r="K74" s="76">
        <v>69</v>
      </c>
      <c r="L74" s="62">
        <v>3</v>
      </c>
      <c r="M74" s="62"/>
      <c r="N74" s="62"/>
      <c r="O74" s="62"/>
      <c r="P74" s="62"/>
      <c r="Q74" s="12"/>
      <c r="R74" s="12"/>
    </row>
    <row r="75" spans="1:18" s="3" customFormat="1">
      <c r="A75" s="62"/>
      <c r="B75" s="62" t="s">
        <v>3437</v>
      </c>
      <c r="C75" s="62" t="s">
        <v>493</v>
      </c>
      <c r="D75" s="62">
        <v>1</v>
      </c>
      <c r="E75" s="62"/>
      <c r="F75" s="62"/>
      <c r="G75" s="62"/>
      <c r="H75" s="62"/>
      <c r="I75" s="62"/>
      <c r="J75" s="62"/>
      <c r="K75" s="76">
        <v>70</v>
      </c>
      <c r="L75" s="62">
        <v>3</v>
      </c>
      <c r="M75" s="62"/>
      <c r="N75" s="62"/>
      <c r="O75" s="62"/>
      <c r="P75" s="62"/>
      <c r="Q75" s="12"/>
      <c r="R75" s="12"/>
    </row>
    <row r="76" spans="1:18" s="3" customFormat="1">
      <c r="A76" s="62"/>
      <c r="B76" s="62" t="s">
        <v>3438</v>
      </c>
      <c r="C76" s="62" t="s">
        <v>494</v>
      </c>
      <c r="D76" s="62"/>
      <c r="E76" s="62"/>
      <c r="F76" s="62"/>
      <c r="G76" s="62"/>
      <c r="H76" s="62"/>
      <c r="I76" s="62"/>
      <c r="J76" s="62"/>
      <c r="K76" s="76">
        <v>71</v>
      </c>
      <c r="L76" s="62">
        <v>3</v>
      </c>
      <c r="M76" s="62"/>
      <c r="N76" s="62"/>
      <c r="O76" s="62"/>
      <c r="P76" s="62"/>
      <c r="Q76" s="12"/>
      <c r="R76" s="12"/>
    </row>
    <row r="77" spans="1:18" s="3" customFormat="1">
      <c r="A77" s="62"/>
      <c r="B77" s="62" t="s">
        <v>3439</v>
      </c>
      <c r="C77" s="62" t="s">
        <v>494</v>
      </c>
      <c r="D77" s="62"/>
      <c r="E77" s="62"/>
      <c r="F77" s="62"/>
      <c r="G77" s="62"/>
      <c r="H77" s="62"/>
      <c r="I77" s="62"/>
      <c r="J77" s="62"/>
      <c r="K77" s="76">
        <v>72</v>
      </c>
      <c r="L77" s="62">
        <v>3</v>
      </c>
      <c r="M77" s="62"/>
      <c r="N77" s="62" t="s">
        <v>3445</v>
      </c>
      <c r="O77" s="62" t="s">
        <v>3441</v>
      </c>
      <c r="P77" s="62" t="s">
        <v>3442</v>
      </c>
      <c r="Q77" s="12"/>
      <c r="R77" s="12"/>
    </row>
    <row r="78" spans="1:18" s="3" customFormat="1">
      <c r="A78" s="62"/>
      <c r="B78" s="62" t="s">
        <v>3448</v>
      </c>
      <c r="C78" s="62" t="s">
        <v>493</v>
      </c>
      <c r="D78" s="62">
        <v>1</v>
      </c>
      <c r="E78" s="62"/>
      <c r="F78" s="62"/>
      <c r="G78" s="62"/>
      <c r="H78" s="62"/>
      <c r="I78" s="62"/>
      <c r="J78" s="62"/>
      <c r="K78" s="76">
        <v>73</v>
      </c>
      <c r="L78" s="62">
        <v>3</v>
      </c>
      <c r="M78" s="62"/>
      <c r="N78" s="62"/>
      <c r="O78" s="62"/>
      <c r="P78" s="62"/>
      <c r="Q78" s="12"/>
      <c r="R78" s="12"/>
    </row>
    <row r="79" spans="1:18" s="3" customFormat="1">
      <c r="A79" s="62"/>
      <c r="B79" s="62" t="s">
        <v>3449</v>
      </c>
      <c r="C79" s="62" t="s">
        <v>493</v>
      </c>
      <c r="D79" s="62">
        <v>250</v>
      </c>
      <c r="E79" s="62"/>
      <c r="F79" s="62"/>
      <c r="G79" s="62"/>
      <c r="H79" s="62"/>
      <c r="I79" s="62"/>
      <c r="J79" s="62"/>
      <c r="K79" s="76">
        <v>74</v>
      </c>
      <c r="L79" s="62"/>
      <c r="M79" s="62"/>
      <c r="N79" s="62"/>
      <c r="O79" s="62"/>
      <c r="P79" s="62"/>
      <c r="Q79" s="12"/>
      <c r="R79" s="12"/>
    </row>
    <row r="80" spans="1:18" s="3" customFormat="1">
      <c r="A80" s="62"/>
      <c r="B80" s="62" t="s">
        <v>3450</v>
      </c>
      <c r="C80" s="62" t="s">
        <v>494</v>
      </c>
      <c r="D80" s="62"/>
      <c r="E80" s="62"/>
      <c r="F80" s="62"/>
      <c r="G80" s="62"/>
      <c r="H80" s="62"/>
      <c r="I80" s="62"/>
      <c r="J80" s="62"/>
      <c r="K80" s="76">
        <v>75</v>
      </c>
      <c r="L80" s="62">
        <v>3</v>
      </c>
      <c r="M80" s="62"/>
      <c r="N80" s="62" t="s">
        <v>3456</v>
      </c>
      <c r="O80" s="62" t="s">
        <v>3452</v>
      </c>
      <c r="P80" s="62" t="s">
        <v>3455</v>
      </c>
      <c r="Q80" s="12"/>
      <c r="R80" s="12"/>
    </row>
    <row r="81" spans="1:18" s="3" customFormat="1">
      <c r="A81" s="62"/>
      <c r="B81" s="62" t="s">
        <v>3459</v>
      </c>
      <c r="C81" s="62" t="s">
        <v>493</v>
      </c>
      <c r="D81" s="62">
        <v>1</v>
      </c>
      <c r="E81" s="62"/>
      <c r="F81" s="62"/>
      <c r="G81" s="62"/>
      <c r="H81" s="62"/>
      <c r="I81" s="62"/>
      <c r="J81" s="62"/>
      <c r="K81" s="76">
        <v>76</v>
      </c>
      <c r="L81" s="62">
        <v>3</v>
      </c>
      <c r="M81" s="62"/>
      <c r="N81" s="62"/>
      <c r="O81" s="62"/>
      <c r="P81" s="62"/>
      <c r="Q81" s="12"/>
      <c r="R81" s="12"/>
    </row>
    <row r="82" spans="1:18" s="3" customFormat="1">
      <c r="A82" s="62"/>
      <c r="B82" s="62" t="s">
        <v>3460</v>
      </c>
      <c r="C82" s="62" t="s">
        <v>493</v>
      </c>
      <c r="D82" s="62">
        <v>1</v>
      </c>
      <c r="E82" s="62"/>
      <c r="F82" s="62"/>
      <c r="G82" s="62"/>
      <c r="H82" s="62"/>
      <c r="I82" s="62"/>
      <c r="J82" s="62"/>
      <c r="K82" s="76">
        <v>77</v>
      </c>
      <c r="L82" s="62">
        <v>3</v>
      </c>
      <c r="M82" s="62"/>
      <c r="N82" s="62"/>
      <c r="O82" s="62"/>
      <c r="P82" s="62"/>
      <c r="Q82" s="12"/>
      <c r="R82" s="12"/>
    </row>
    <row r="83" spans="1:18" s="3" customFormat="1">
      <c r="A83" s="62"/>
      <c r="B83" s="62" t="s">
        <v>3461</v>
      </c>
      <c r="C83" s="62" t="s">
        <v>493</v>
      </c>
      <c r="D83" s="62">
        <v>1</v>
      </c>
      <c r="E83" s="62"/>
      <c r="F83" s="62"/>
      <c r="G83" s="62"/>
      <c r="H83" s="62"/>
      <c r="I83" s="62"/>
      <c r="J83" s="62"/>
      <c r="K83" s="76">
        <v>78</v>
      </c>
      <c r="L83" s="62">
        <v>3</v>
      </c>
      <c r="M83" s="62"/>
      <c r="N83" s="62"/>
      <c r="O83" s="62"/>
      <c r="P83" s="62"/>
      <c r="Q83" s="12"/>
      <c r="R83" s="12"/>
    </row>
    <row r="84" spans="1:18" s="3" customFormat="1">
      <c r="A84" s="62"/>
      <c r="B84" s="62" t="s">
        <v>3462</v>
      </c>
      <c r="C84" s="62" t="s">
        <v>493</v>
      </c>
      <c r="D84" s="62">
        <v>1</v>
      </c>
      <c r="E84" s="62"/>
      <c r="F84" s="62"/>
      <c r="G84" s="62"/>
      <c r="H84" s="62"/>
      <c r="I84" s="62"/>
      <c r="J84" s="62"/>
      <c r="K84" s="76">
        <v>79</v>
      </c>
      <c r="L84" s="62">
        <v>3</v>
      </c>
      <c r="M84" s="62"/>
      <c r="N84" s="62"/>
      <c r="O84" s="62"/>
      <c r="P84" s="62"/>
      <c r="Q84" s="12"/>
      <c r="R84" s="12"/>
    </row>
    <row r="85" spans="1:18" s="3" customFormat="1">
      <c r="A85" s="62"/>
      <c r="B85" s="62" t="s">
        <v>3463</v>
      </c>
      <c r="C85" s="62" t="s">
        <v>494</v>
      </c>
      <c r="D85" s="62"/>
      <c r="E85" s="62"/>
      <c r="F85" s="62"/>
      <c r="G85" s="62"/>
      <c r="H85" s="62"/>
      <c r="I85" s="62"/>
      <c r="J85" s="62"/>
      <c r="K85" s="76">
        <v>80</v>
      </c>
      <c r="L85" s="62">
        <v>3</v>
      </c>
      <c r="M85" s="62"/>
      <c r="N85" s="62"/>
      <c r="O85" s="62"/>
      <c r="P85" s="62"/>
      <c r="Q85" s="12"/>
      <c r="R85" s="12"/>
    </row>
    <row r="86" spans="1:18" s="3" customFormat="1">
      <c r="A86" s="62"/>
      <c r="B86" s="62" t="s">
        <v>3464</v>
      </c>
      <c r="C86" s="62" t="s">
        <v>494</v>
      </c>
      <c r="D86" s="62"/>
      <c r="E86" s="62"/>
      <c r="F86" s="62"/>
      <c r="G86" s="62"/>
      <c r="H86" s="62"/>
      <c r="I86" s="62"/>
      <c r="J86" s="62"/>
      <c r="K86" s="76">
        <v>81</v>
      </c>
      <c r="L86" s="62">
        <v>3</v>
      </c>
      <c r="M86" s="62"/>
      <c r="N86" s="62"/>
      <c r="O86" s="62"/>
      <c r="P86" s="62"/>
      <c r="Q86" s="12"/>
      <c r="R86" s="12"/>
    </row>
    <row r="87" spans="1:18" s="3" customFormat="1">
      <c r="A87" s="62"/>
      <c r="B87" s="62" t="s">
        <v>3465</v>
      </c>
      <c r="C87" s="62" t="s">
        <v>493</v>
      </c>
      <c r="D87" s="62">
        <v>1</v>
      </c>
      <c r="E87" s="62"/>
      <c r="F87" s="62"/>
      <c r="G87" s="62"/>
      <c r="H87" s="62"/>
      <c r="I87" s="62"/>
      <c r="J87" s="62"/>
      <c r="K87" s="76">
        <v>82</v>
      </c>
      <c r="L87" s="62">
        <v>3</v>
      </c>
      <c r="M87" s="62"/>
      <c r="N87" s="62"/>
      <c r="O87" s="62"/>
      <c r="P87" s="62"/>
      <c r="Q87" s="12"/>
      <c r="R87" s="12"/>
    </row>
    <row r="88" spans="1:18" s="3" customFormat="1">
      <c r="A88" s="62"/>
      <c r="B88" s="62" t="s">
        <v>3466</v>
      </c>
      <c r="C88" s="62" t="s">
        <v>493</v>
      </c>
      <c r="D88" s="62">
        <v>1</v>
      </c>
      <c r="E88" s="62"/>
      <c r="F88" s="62"/>
      <c r="G88" s="62"/>
      <c r="H88" s="62"/>
      <c r="I88" s="62"/>
      <c r="J88" s="62"/>
      <c r="K88" s="76">
        <v>83</v>
      </c>
      <c r="L88" s="62">
        <v>3</v>
      </c>
      <c r="M88" s="62"/>
      <c r="N88" s="62"/>
      <c r="O88" s="62"/>
      <c r="P88" s="62"/>
      <c r="Q88" s="12"/>
      <c r="R88" s="12"/>
    </row>
    <row r="89" spans="1:18" s="3" customFormat="1">
      <c r="A89" s="62"/>
      <c r="B89" s="62" t="s">
        <v>3467</v>
      </c>
      <c r="C89" s="62" t="s">
        <v>493</v>
      </c>
      <c r="D89" s="62">
        <v>1</v>
      </c>
      <c r="E89" s="62"/>
      <c r="F89" s="62"/>
      <c r="G89" s="62"/>
      <c r="H89" s="62"/>
      <c r="I89" s="62"/>
      <c r="J89" s="62"/>
      <c r="K89" s="76">
        <v>84</v>
      </c>
      <c r="L89" s="62">
        <v>3</v>
      </c>
      <c r="M89" s="62"/>
      <c r="N89" s="62"/>
      <c r="O89" s="62"/>
      <c r="P89" s="62"/>
      <c r="Q89" s="12"/>
      <c r="R89" s="12"/>
    </row>
    <row r="90" spans="1:18" s="3" customFormat="1">
      <c r="A90" s="62"/>
      <c r="B90" s="62" t="s">
        <v>3468</v>
      </c>
      <c r="C90" s="62" t="s">
        <v>493</v>
      </c>
      <c r="D90" s="62">
        <v>1</v>
      </c>
      <c r="E90" s="62"/>
      <c r="F90" s="62"/>
      <c r="G90" s="62"/>
      <c r="H90" s="62"/>
      <c r="I90" s="62"/>
      <c r="J90" s="62"/>
      <c r="K90" s="76">
        <v>85</v>
      </c>
      <c r="L90" s="62">
        <v>3</v>
      </c>
      <c r="M90" s="62"/>
      <c r="N90" s="62"/>
      <c r="O90" s="62"/>
      <c r="P90" s="62"/>
      <c r="Q90" s="12"/>
      <c r="R90" s="12"/>
    </row>
    <row r="91" spans="1:18" s="3" customFormat="1">
      <c r="A91" s="62"/>
      <c r="B91" s="62" t="s">
        <v>3469</v>
      </c>
      <c r="C91" s="62" t="s">
        <v>494</v>
      </c>
      <c r="D91" s="62"/>
      <c r="E91" s="62"/>
      <c r="F91" s="62"/>
      <c r="G91" s="62"/>
      <c r="H91" s="62"/>
      <c r="I91" s="62"/>
      <c r="J91" s="62"/>
      <c r="K91" s="76">
        <v>86</v>
      </c>
      <c r="L91" s="62">
        <v>3</v>
      </c>
      <c r="M91" s="62"/>
      <c r="N91" s="62"/>
      <c r="O91" s="62"/>
      <c r="P91" s="62"/>
      <c r="Q91" s="12"/>
      <c r="R91" s="12"/>
    </row>
    <row r="92" spans="1:18" s="3" customFormat="1">
      <c r="A92" s="62"/>
      <c r="B92" s="62" t="s">
        <v>3470</v>
      </c>
      <c r="C92" s="62" t="s">
        <v>493</v>
      </c>
      <c r="D92" s="62">
        <v>1</v>
      </c>
      <c r="E92" s="62"/>
      <c r="F92" s="62"/>
      <c r="G92" s="62"/>
      <c r="H92" s="62"/>
      <c r="I92" s="62"/>
      <c r="J92" s="62"/>
      <c r="K92" s="76">
        <v>87</v>
      </c>
      <c r="L92" s="62">
        <v>3</v>
      </c>
      <c r="M92" s="62"/>
      <c r="N92" s="62"/>
      <c r="O92" s="62"/>
      <c r="P92" s="62"/>
      <c r="Q92" s="12"/>
      <c r="R92" s="12"/>
    </row>
    <row r="93" spans="1:18" s="3" customFormat="1">
      <c r="A93" s="62"/>
      <c r="B93" s="62" t="s">
        <v>3471</v>
      </c>
      <c r="C93" s="62" t="s">
        <v>493</v>
      </c>
      <c r="D93" s="62">
        <v>1</v>
      </c>
      <c r="E93" s="62"/>
      <c r="F93" s="62"/>
      <c r="G93" s="62"/>
      <c r="H93" s="62"/>
      <c r="I93" s="62"/>
      <c r="J93" s="62"/>
      <c r="K93" s="76">
        <v>88</v>
      </c>
      <c r="L93" s="62">
        <v>3</v>
      </c>
      <c r="M93" s="62"/>
      <c r="N93" s="62"/>
      <c r="O93" s="62"/>
      <c r="P93" s="62"/>
      <c r="Q93" s="12"/>
      <c r="R93" s="12"/>
    </row>
    <row r="94" spans="1:18" s="3" customFormat="1">
      <c r="A94" s="62"/>
      <c r="B94" s="62" t="s">
        <v>3472</v>
      </c>
      <c r="C94" s="62" t="s">
        <v>493</v>
      </c>
      <c r="D94" s="62">
        <v>1</v>
      </c>
      <c r="E94" s="62"/>
      <c r="F94" s="62"/>
      <c r="G94" s="62"/>
      <c r="H94" s="62"/>
      <c r="I94" s="62"/>
      <c r="J94" s="62"/>
      <c r="K94" s="76">
        <v>89</v>
      </c>
      <c r="L94" s="62">
        <v>3</v>
      </c>
      <c r="M94" s="62"/>
      <c r="N94" s="62"/>
      <c r="O94" s="62"/>
      <c r="P94" s="62"/>
      <c r="Q94" s="12"/>
      <c r="R94" s="12"/>
    </row>
    <row r="95" spans="1:18" s="3" customFormat="1">
      <c r="A95" s="62"/>
      <c r="B95" s="62" t="s">
        <v>3473</v>
      </c>
      <c r="C95" s="62" t="s">
        <v>493</v>
      </c>
      <c r="D95" s="62">
        <v>1</v>
      </c>
      <c r="E95" s="62"/>
      <c r="F95" s="62"/>
      <c r="G95" s="62"/>
      <c r="H95" s="62"/>
      <c r="I95" s="62"/>
      <c r="J95" s="62"/>
      <c r="K95" s="76">
        <v>90</v>
      </c>
      <c r="L95" s="62">
        <v>3</v>
      </c>
      <c r="M95" s="62"/>
      <c r="N95" s="62"/>
      <c r="O95" s="62"/>
      <c r="P95" s="62"/>
      <c r="Q95" s="12"/>
      <c r="R95" s="12"/>
    </row>
    <row r="96" spans="1:18" s="3" customFormat="1">
      <c r="A96" s="62"/>
      <c r="B96" s="62" t="s">
        <v>3474</v>
      </c>
      <c r="C96" s="62" t="s">
        <v>494</v>
      </c>
      <c r="D96" s="62"/>
      <c r="E96" s="62"/>
      <c r="F96" s="62"/>
      <c r="G96" s="62"/>
      <c r="H96" s="62"/>
      <c r="I96" s="62"/>
      <c r="J96" s="62"/>
      <c r="K96" s="76">
        <v>91</v>
      </c>
      <c r="L96" s="62">
        <v>3</v>
      </c>
      <c r="M96" s="62"/>
      <c r="N96" s="62"/>
      <c r="O96" s="62"/>
      <c r="P96" s="62"/>
      <c r="Q96" s="12"/>
      <c r="R96" s="12"/>
    </row>
    <row r="97" spans="1:18" s="3" customFormat="1">
      <c r="A97" s="62"/>
      <c r="B97" s="62" t="s">
        <v>3475</v>
      </c>
      <c r="C97" s="62" t="s">
        <v>494</v>
      </c>
      <c r="D97" s="62"/>
      <c r="E97" s="62"/>
      <c r="F97" s="62"/>
      <c r="G97" s="62"/>
      <c r="H97" s="62"/>
      <c r="I97" s="62"/>
      <c r="J97" s="62"/>
      <c r="K97" s="76">
        <v>92</v>
      </c>
      <c r="L97" s="62">
        <v>3</v>
      </c>
      <c r="M97" s="62"/>
      <c r="N97" s="62"/>
      <c r="O97" s="62"/>
      <c r="P97" s="62"/>
      <c r="Q97" s="12"/>
      <c r="R97" s="12"/>
    </row>
    <row r="98" spans="1:18" s="3" customFormat="1">
      <c r="A98" s="62"/>
      <c r="B98" s="62" t="s">
        <v>3476</v>
      </c>
      <c r="C98" s="62" t="s">
        <v>494</v>
      </c>
      <c r="D98" s="62"/>
      <c r="E98" s="62"/>
      <c r="F98" s="62"/>
      <c r="G98" s="62"/>
      <c r="H98" s="62"/>
      <c r="I98" s="62"/>
      <c r="J98" s="62"/>
      <c r="K98" s="76">
        <v>93</v>
      </c>
      <c r="L98" s="62">
        <v>3</v>
      </c>
      <c r="M98" s="62"/>
      <c r="N98" s="62"/>
      <c r="O98" s="62"/>
      <c r="P98" s="62"/>
      <c r="Q98" s="12"/>
      <c r="R98" s="12"/>
    </row>
    <row r="99" spans="1:18" s="3" customFormat="1">
      <c r="A99" s="62"/>
      <c r="B99" s="62" t="s">
        <v>3477</v>
      </c>
      <c r="C99" s="62" t="s">
        <v>494</v>
      </c>
      <c r="D99" s="62"/>
      <c r="E99" s="62"/>
      <c r="F99" s="62"/>
      <c r="G99" s="62"/>
      <c r="H99" s="62"/>
      <c r="I99" s="62"/>
      <c r="J99" s="62"/>
      <c r="K99" s="76">
        <v>94</v>
      </c>
      <c r="L99" s="62">
        <v>3</v>
      </c>
      <c r="M99" s="62"/>
      <c r="N99" s="62"/>
      <c r="O99" s="62"/>
      <c r="P99" s="62"/>
      <c r="Q99" s="12"/>
      <c r="R99" s="12"/>
    </row>
    <row r="100" spans="1:18" s="3" customFormat="1">
      <c r="A100" s="62"/>
      <c r="B100" s="62" t="s">
        <v>3478</v>
      </c>
      <c r="C100" s="62" t="s">
        <v>494</v>
      </c>
      <c r="D100" s="62"/>
      <c r="E100" s="62"/>
      <c r="F100" s="62"/>
      <c r="G100" s="62"/>
      <c r="H100" s="62"/>
      <c r="I100" s="62"/>
      <c r="J100" s="62"/>
      <c r="K100" s="76">
        <v>95</v>
      </c>
      <c r="L100" s="62">
        <v>3</v>
      </c>
      <c r="M100" s="62"/>
      <c r="N100" s="62"/>
      <c r="O100" s="62"/>
      <c r="P100" s="62"/>
      <c r="Q100" s="12"/>
      <c r="R100" s="12"/>
    </row>
    <row r="101" spans="1:18" s="3" customFormat="1">
      <c r="A101" s="62"/>
      <c r="B101" s="62" t="s">
        <v>3479</v>
      </c>
      <c r="C101" s="62" t="s">
        <v>494</v>
      </c>
      <c r="D101" s="62"/>
      <c r="E101" s="62"/>
      <c r="F101" s="62"/>
      <c r="G101" s="62"/>
      <c r="H101" s="62"/>
      <c r="I101" s="62"/>
      <c r="J101" s="62"/>
      <c r="K101" s="76">
        <v>96</v>
      </c>
      <c r="L101" s="62">
        <v>3</v>
      </c>
      <c r="M101" s="62"/>
      <c r="N101" s="62"/>
      <c r="O101" s="62"/>
      <c r="P101" s="62"/>
      <c r="Q101" s="12"/>
      <c r="R101" s="12"/>
    </row>
    <row r="102" spans="1:18" s="3" customFormat="1">
      <c r="A102" s="62"/>
      <c r="B102" s="62" t="s">
        <v>3480</v>
      </c>
      <c r="C102" s="62" t="s">
        <v>494</v>
      </c>
      <c r="D102" s="62"/>
      <c r="E102" s="62"/>
      <c r="F102" s="62"/>
      <c r="G102" s="62"/>
      <c r="H102" s="62"/>
      <c r="I102" s="62"/>
      <c r="J102" s="62"/>
      <c r="K102" s="76">
        <v>97</v>
      </c>
      <c r="L102" s="62">
        <v>3</v>
      </c>
      <c r="M102" s="62"/>
      <c r="N102" s="62"/>
      <c r="O102" s="62"/>
      <c r="P102" s="62"/>
      <c r="Q102" s="12"/>
      <c r="R102" s="12"/>
    </row>
    <row r="103" spans="1:18" s="3" customFormat="1">
      <c r="A103" s="62"/>
      <c r="B103" s="62" t="s">
        <v>3481</v>
      </c>
      <c r="C103" s="62" t="s">
        <v>494</v>
      </c>
      <c r="D103" s="62"/>
      <c r="E103" s="62"/>
      <c r="F103" s="62"/>
      <c r="G103" s="62"/>
      <c r="H103" s="62"/>
      <c r="I103" s="62"/>
      <c r="J103" s="62"/>
      <c r="K103" s="76">
        <v>98</v>
      </c>
      <c r="L103" s="62">
        <v>3</v>
      </c>
      <c r="M103" s="62"/>
      <c r="N103" s="62"/>
      <c r="O103" s="62"/>
      <c r="P103" s="62"/>
      <c r="Q103" s="12"/>
      <c r="R103" s="12"/>
    </row>
    <row r="104" spans="1:18" s="3" customFormat="1">
      <c r="A104" s="62"/>
      <c r="B104" s="62" t="s">
        <v>3482</v>
      </c>
      <c r="C104" s="62" t="s">
        <v>494</v>
      </c>
      <c r="D104" s="62"/>
      <c r="E104" s="62"/>
      <c r="F104" s="62"/>
      <c r="G104" s="62"/>
      <c r="H104" s="62"/>
      <c r="I104" s="62"/>
      <c r="J104" s="62"/>
      <c r="K104" s="76">
        <v>99</v>
      </c>
      <c r="L104" s="62">
        <v>3</v>
      </c>
      <c r="M104" s="62"/>
      <c r="N104" s="62"/>
      <c r="O104" s="62"/>
      <c r="P104" s="62"/>
      <c r="Q104" s="12"/>
      <c r="R104" s="12"/>
    </row>
    <row r="105" spans="1:18" s="3" customFormat="1">
      <c r="A105" s="62"/>
      <c r="B105" s="62" t="s">
        <v>3483</v>
      </c>
      <c r="C105" s="62" t="s">
        <v>494</v>
      </c>
      <c r="D105" s="62"/>
      <c r="E105" s="62"/>
      <c r="F105" s="62"/>
      <c r="G105" s="62"/>
      <c r="H105" s="62"/>
      <c r="I105" s="62"/>
      <c r="J105" s="62"/>
      <c r="K105" s="76">
        <v>100</v>
      </c>
      <c r="L105" s="62">
        <v>3</v>
      </c>
      <c r="M105" s="62"/>
      <c r="N105" s="62"/>
      <c r="O105" s="62"/>
      <c r="P105" s="62"/>
      <c r="Q105" s="12"/>
      <c r="R105" s="12"/>
    </row>
    <row r="106" spans="1:18" s="3" customFormat="1">
      <c r="A106" s="62"/>
      <c r="B106" s="62" t="s">
        <v>3484</v>
      </c>
      <c r="C106" s="62" t="s">
        <v>494</v>
      </c>
      <c r="D106" s="62"/>
      <c r="E106" s="62"/>
      <c r="F106" s="62"/>
      <c r="G106" s="62"/>
      <c r="H106" s="62"/>
      <c r="I106" s="62"/>
      <c r="J106" s="62"/>
      <c r="K106" s="76">
        <v>101</v>
      </c>
      <c r="L106" s="62">
        <v>3</v>
      </c>
      <c r="M106" s="62"/>
      <c r="N106" s="62"/>
      <c r="O106" s="62"/>
      <c r="P106" s="62"/>
      <c r="Q106" s="12"/>
      <c r="R106" s="12"/>
    </row>
    <row r="107" spans="1:18" s="3" customFormat="1">
      <c r="A107" s="62"/>
      <c r="B107" s="62" t="s">
        <v>3485</v>
      </c>
      <c r="C107" s="62" t="s">
        <v>493</v>
      </c>
      <c r="D107" s="62">
        <v>1</v>
      </c>
      <c r="E107" s="62"/>
      <c r="F107" s="62"/>
      <c r="G107" s="62"/>
      <c r="H107" s="62"/>
      <c r="I107" s="62"/>
      <c r="J107" s="62"/>
      <c r="K107" s="76">
        <v>102</v>
      </c>
      <c r="L107" s="62">
        <v>3</v>
      </c>
      <c r="M107" s="62"/>
      <c r="N107" s="62"/>
      <c r="O107" s="62"/>
      <c r="P107" s="62"/>
      <c r="Q107" s="12"/>
      <c r="R107" s="12"/>
    </row>
    <row r="108" spans="1:18" s="3" customFormat="1">
      <c r="A108" s="62"/>
      <c r="B108" s="62" t="s">
        <v>3486</v>
      </c>
      <c r="C108" s="62" t="s">
        <v>494</v>
      </c>
      <c r="D108" s="62"/>
      <c r="E108" s="62"/>
      <c r="F108" s="62"/>
      <c r="G108" s="62"/>
      <c r="H108" s="62"/>
      <c r="I108" s="62"/>
      <c r="J108" s="62"/>
      <c r="K108" s="76">
        <v>103</v>
      </c>
      <c r="L108" s="62">
        <v>3</v>
      </c>
      <c r="M108" s="62"/>
      <c r="N108" s="62"/>
      <c r="O108" s="62"/>
      <c r="P108" s="62"/>
      <c r="Q108" s="12"/>
      <c r="R108" s="12"/>
    </row>
    <row r="109" spans="1:18" s="3" customFormat="1">
      <c r="A109" s="62"/>
      <c r="B109" s="62" t="s">
        <v>3487</v>
      </c>
      <c r="C109" s="62" t="s">
        <v>493</v>
      </c>
      <c r="D109" s="62">
        <v>1</v>
      </c>
      <c r="E109" s="62"/>
      <c r="F109" s="62"/>
      <c r="G109" s="62"/>
      <c r="H109" s="62"/>
      <c r="I109" s="62"/>
      <c r="J109" s="62"/>
      <c r="K109" s="76">
        <v>104</v>
      </c>
      <c r="L109" s="62">
        <v>3</v>
      </c>
      <c r="M109" s="62"/>
      <c r="N109" s="62"/>
      <c r="O109" s="62"/>
      <c r="P109" s="62"/>
      <c r="Q109" s="12"/>
      <c r="R109" s="12"/>
    </row>
    <row r="110" spans="1:18" s="3" customFormat="1">
      <c r="A110" s="62"/>
      <c r="B110" s="62" t="s">
        <v>3488</v>
      </c>
      <c r="C110" s="62" t="s">
        <v>493</v>
      </c>
      <c r="D110" s="62">
        <v>1</v>
      </c>
      <c r="E110" s="62"/>
      <c r="F110" s="62"/>
      <c r="G110" s="62"/>
      <c r="H110" s="62"/>
      <c r="I110" s="62"/>
      <c r="J110" s="62"/>
      <c r="K110" s="76">
        <v>105</v>
      </c>
      <c r="L110" s="62">
        <v>3</v>
      </c>
      <c r="M110" s="62"/>
      <c r="N110" s="62"/>
      <c r="O110" s="62"/>
      <c r="P110" s="62"/>
      <c r="Q110" s="12"/>
      <c r="R110" s="12"/>
    </row>
    <row r="111" spans="1:18" s="3" customFormat="1">
      <c r="A111" s="62"/>
      <c r="B111" s="62" t="s">
        <v>3489</v>
      </c>
      <c r="C111" s="62" t="s">
        <v>493</v>
      </c>
      <c r="D111" s="62">
        <v>1</v>
      </c>
      <c r="E111" s="62"/>
      <c r="F111" s="62"/>
      <c r="G111" s="62"/>
      <c r="H111" s="62"/>
      <c r="I111" s="62"/>
      <c r="J111" s="62"/>
      <c r="K111" s="76">
        <v>106</v>
      </c>
      <c r="L111" s="62">
        <v>3</v>
      </c>
      <c r="M111" s="62"/>
      <c r="N111" s="62"/>
      <c r="O111" s="62"/>
      <c r="P111" s="62"/>
      <c r="Q111" s="12"/>
      <c r="R111" s="12"/>
    </row>
    <row r="112" spans="1:18" s="3" customFormat="1">
      <c r="A112" s="62"/>
      <c r="B112" s="62" t="s">
        <v>3490</v>
      </c>
      <c r="C112" s="62" t="s">
        <v>493</v>
      </c>
      <c r="D112" s="62">
        <v>1</v>
      </c>
      <c r="E112" s="62"/>
      <c r="F112" s="62"/>
      <c r="G112" s="62"/>
      <c r="H112" s="62"/>
      <c r="I112" s="62"/>
      <c r="J112" s="62"/>
      <c r="K112" s="76">
        <v>107</v>
      </c>
      <c r="L112" s="62">
        <v>3</v>
      </c>
      <c r="M112" s="62"/>
      <c r="N112" s="62"/>
      <c r="O112" s="62"/>
      <c r="P112" s="62"/>
      <c r="Q112" s="12"/>
      <c r="R112" s="12"/>
    </row>
    <row r="113" spans="1:18" s="3" customFormat="1">
      <c r="A113" s="62"/>
      <c r="B113" s="62" t="s">
        <v>3491</v>
      </c>
      <c r="C113" s="62" t="s">
        <v>493</v>
      </c>
      <c r="D113" s="62">
        <v>1</v>
      </c>
      <c r="E113" s="62"/>
      <c r="F113" s="62"/>
      <c r="G113" s="62"/>
      <c r="H113" s="62"/>
      <c r="I113" s="62"/>
      <c r="J113" s="62"/>
      <c r="K113" s="76">
        <v>108</v>
      </c>
      <c r="L113" s="62">
        <v>3</v>
      </c>
      <c r="M113" s="62"/>
      <c r="N113" s="62"/>
      <c r="O113" s="62"/>
      <c r="P113" s="62"/>
      <c r="Q113" s="12"/>
      <c r="R113" s="12"/>
    </row>
    <row r="114" spans="1:18" s="3" customFormat="1">
      <c r="A114" s="62"/>
      <c r="B114" s="62" t="s">
        <v>3492</v>
      </c>
      <c r="C114" s="62" t="s">
        <v>493</v>
      </c>
      <c r="D114" s="62">
        <v>1</v>
      </c>
      <c r="E114" s="62"/>
      <c r="F114" s="62"/>
      <c r="G114" s="62"/>
      <c r="H114" s="62"/>
      <c r="I114" s="62"/>
      <c r="J114" s="62"/>
      <c r="K114" s="76">
        <v>109</v>
      </c>
      <c r="L114" s="62">
        <v>3</v>
      </c>
      <c r="M114" s="62"/>
      <c r="N114" s="62"/>
      <c r="O114" s="62"/>
      <c r="P114" s="62"/>
      <c r="Q114" s="12"/>
      <c r="R114" s="12"/>
    </row>
    <row r="115" spans="1:18" s="3" customFormat="1">
      <c r="A115" s="62"/>
      <c r="B115" s="62" t="s">
        <v>3493</v>
      </c>
      <c r="C115" s="62" t="s">
        <v>493</v>
      </c>
      <c r="D115" s="62">
        <v>1</v>
      </c>
      <c r="E115" s="62"/>
      <c r="F115" s="62"/>
      <c r="G115" s="62"/>
      <c r="H115" s="62"/>
      <c r="I115" s="62"/>
      <c r="J115" s="62"/>
      <c r="K115" s="76">
        <v>110</v>
      </c>
      <c r="L115" s="62">
        <v>3</v>
      </c>
      <c r="M115" s="62"/>
      <c r="N115" s="62"/>
      <c r="O115" s="62"/>
      <c r="P115" s="62"/>
      <c r="Q115" s="12"/>
      <c r="R115" s="12"/>
    </row>
    <row r="116" spans="1:18" s="3" customFormat="1">
      <c r="A116" s="62"/>
      <c r="B116" s="62" t="s">
        <v>3501</v>
      </c>
      <c r="C116" s="62" t="s">
        <v>493</v>
      </c>
      <c r="D116" s="62">
        <v>1</v>
      </c>
      <c r="E116" s="62"/>
      <c r="F116" s="62"/>
      <c r="G116" s="62"/>
      <c r="H116" s="62"/>
      <c r="I116" s="62"/>
      <c r="J116" s="62"/>
      <c r="K116" s="76">
        <v>111</v>
      </c>
      <c r="L116" s="62">
        <v>3</v>
      </c>
      <c r="M116" s="62"/>
      <c r="N116" s="62"/>
      <c r="O116" s="62"/>
      <c r="P116" s="62"/>
      <c r="Q116" s="12"/>
      <c r="R116" s="12"/>
    </row>
    <row r="117" spans="1:18" s="3" customFormat="1">
      <c r="A117" s="62"/>
      <c r="B117" s="62" t="s">
        <v>3494</v>
      </c>
      <c r="C117" s="62" t="s">
        <v>493</v>
      </c>
      <c r="D117" s="62">
        <v>200</v>
      </c>
      <c r="E117" s="62"/>
      <c r="F117" s="62"/>
      <c r="G117" s="62"/>
      <c r="H117" s="62"/>
      <c r="I117" s="62"/>
      <c r="J117" s="62"/>
      <c r="K117" s="76">
        <v>112</v>
      </c>
      <c r="L117" s="62"/>
      <c r="M117" s="62"/>
      <c r="N117" s="62"/>
      <c r="O117" s="62"/>
      <c r="P117" s="62"/>
      <c r="Q117" s="12"/>
      <c r="R117" s="12"/>
    </row>
    <row r="118" spans="1:18" s="3" customFormat="1">
      <c r="A118" s="62"/>
      <c r="B118" s="62" t="s">
        <v>3495</v>
      </c>
      <c r="C118" s="62" t="s">
        <v>493</v>
      </c>
      <c r="D118" s="62">
        <v>1</v>
      </c>
      <c r="E118" s="62"/>
      <c r="F118" s="62"/>
      <c r="G118" s="62"/>
      <c r="H118" s="62"/>
      <c r="I118" s="62"/>
      <c r="J118" s="62"/>
      <c r="K118" s="76">
        <v>113</v>
      </c>
      <c r="L118" s="62">
        <v>3</v>
      </c>
      <c r="M118" s="62"/>
      <c r="N118" s="62"/>
      <c r="O118" s="62"/>
      <c r="P118" s="62"/>
      <c r="Q118" s="12"/>
      <c r="R118" s="12"/>
    </row>
    <row r="119" spans="1:18" s="3" customFormat="1">
      <c r="A119" s="62"/>
      <c r="B119" s="62" t="s">
        <v>3496</v>
      </c>
      <c r="C119" s="62" t="s">
        <v>493</v>
      </c>
      <c r="D119" s="62">
        <v>1</v>
      </c>
      <c r="E119" s="62"/>
      <c r="F119" s="62"/>
      <c r="G119" s="62"/>
      <c r="H119" s="62"/>
      <c r="I119" s="62"/>
      <c r="J119" s="62"/>
      <c r="K119" s="76">
        <v>114</v>
      </c>
      <c r="L119" s="62">
        <v>3</v>
      </c>
      <c r="M119" s="62"/>
      <c r="N119" s="62"/>
      <c r="O119" s="62"/>
      <c r="P119" s="62"/>
      <c r="Q119" s="12"/>
      <c r="R119" s="12"/>
    </row>
    <row r="120" spans="1:18" s="3" customFormat="1">
      <c r="A120" s="62"/>
      <c r="B120" s="62" t="s">
        <v>3497</v>
      </c>
      <c r="C120" s="62" t="s">
        <v>493</v>
      </c>
      <c r="D120" s="62">
        <v>1</v>
      </c>
      <c r="E120" s="62"/>
      <c r="F120" s="62"/>
      <c r="G120" s="62"/>
      <c r="H120" s="62"/>
      <c r="I120" s="62"/>
      <c r="J120" s="62"/>
      <c r="K120" s="76">
        <v>115</v>
      </c>
      <c r="L120" s="62">
        <v>3</v>
      </c>
      <c r="M120" s="62"/>
      <c r="N120" s="62"/>
      <c r="O120" s="62"/>
      <c r="P120" s="62"/>
      <c r="Q120" s="12"/>
      <c r="R120" s="12"/>
    </row>
    <row r="121" spans="1:18" s="3" customFormat="1">
      <c r="A121" s="62"/>
      <c r="B121" s="62" t="s">
        <v>3498</v>
      </c>
      <c r="C121" s="62" t="s">
        <v>493</v>
      </c>
      <c r="D121" s="62">
        <v>1</v>
      </c>
      <c r="E121" s="62"/>
      <c r="F121" s="62"/>
      <c r="G121" s="62"/>
      <c r="H121" s="62"/>
      <c r="I121" s="62"/>
      <c r="J121" s="62"/>
      <c r="K121" s="76">
        <v>116</v>
      </c>
      <c r="L121" s="62">
        <v>3</v>
      </c>
      <c r="M121" s="62"/>
      <c r="N121" s="62"/>
      <c r="O121" s="62"/>
      <c r="P121" s="62"/>
      <c r="Q121" s="12"/>
      <c r="R121" s="12"/>
    </row>
    <row r="122" spans="1:18" s="3" customFormat="1">
      <c r="A122" s="62"/>
      <c r="B122" s="62" t="s">
        <v>3499</v>
      </c>
      <c r="C122" s="62" t="s">
        <v>493</v>
      </c>
      <c r="D122" s="62">
        <v>1</v>
      </c>
      <c r="E122" s="62"/>
      <c r="F122" s="62"/>
      <c r="G122" s="62"/>
      <c r="H122" s="62"/>
      <c r="I122" s="62"/>
      <c r="J122" s="62"/>
      <c r="K122" s="76">
        <v>117</v>
      </c>
      <c r="L122" s="62">
        <v>3</v>
      </c>
      <c r="M122" s="62"/>
      <c r="N122" s="62"/>
      <c r="O122" s="62"/>
      <c r="P122" s="62"/>
      <c r="Q122" s="12"/>
      <c r="R122" s="12"/>
    </row>
    <row r="123" spans="1:18" s="3" customFormat="1">
      <c r="A123" s="62"/>
      <c r="B123" s="62" t="s">
        <v>3500</v>
      </c>
      <c r="C123" s="62" t="s">
        <v>493</v>
      </c>
      <c r="D123" s="62">
        <v>1</v>
      </c>
      <c r="E123" s="62"/>
      <c r="F123" s="62"/>
      <c r="G123" s="62"/>
      <c r="H123" s="62"/>
      <c r="I123" s="62"/>
      <c r="J123" s="62"/>
      <c r="K123" s="76">
        <v>118</v>
      </c>
      <c r="L123" s="62">
        <v>3</v>
      </c>
      <c r="M123" s="62"/>
      <c r="N123" s="62"/>
      <c r="O123" s="62"/>
      <c r="P123" s="62"/>
      <c r="Q123" s="12"/>
      <c r="R123" s="12"/>
    </row>
    <row r="124" spans="1:18" s="3" customFormat="1">
      <c r="A124" s="62"/>
      <c r="B124" s="62" t="s">
        <v>3502</v>
      </c>
      <c r="C124" s="62" t="s">
        <v>493</v>
      </c>
      <c r="D124" s="62">
        <v>1</v>
      </c>
      <c r="E124" s="62"/>
      <c r="F124" s="62"/>
      <c r="G124" s="62"/>
      <c r="H124" s="62"/>
      <c r="I124" s="62"/>
      <c r="J124" s="62"/>
      <c r="K124" s="76">
        <v>119</v>
      </c>
      <c r="L124" s="62">
        <v>3</v>
      </c>
      <c r="M124" s="62"/>
      <c r="N124" s="62"/>
      <c r="O124" s="62"/>
      <c r="P124" s="62"/>
      <c r="Q124" s="12"/>
      <c r="R124" s="12"/>
    </row>
    <row r="125" spans="1:18" s="3" customFormat="1">
      <c r="A125" s="62"/>
      <c r="B125" s="62" t="s">
        <v>3503</v>
      </c>
      <c r="C125" s="62" t="s">
        <v>493</v>
      </c>
      <c r="D125" s="62">
        <v>200</v>
      </c>
      <c r="E125" s="62"/>
      <c r="F125" s="62"/>
      <c r="G125" s="62"/>
      <c r="H125" s="62"/>
      <c r="I125" s="62"/>
      <c r="J125" s="62"/>
      <c r="K125" s="76">
        <v>120</v>
      </c>
      <c r="L125" s="62"/>
      <c r="M125" s="62"/>
      <c r="N125" s="62"/>
      <c r="O125" s="62"/>
      <c r="P125" s="62"/>
      <c r="Q125" s="12"/>
      <c r="R125" s="12"/>
    </row>
    <row r="126" spans="1:18" s="3" customFormat="1">
      <c r="A126" s="62"/>
      <c r="B126" s="62" t="s">
        <v>3504</v>
      </c>
      <c r="C126" s="62" t="s">
        <v>494</v>
      </c>
      <c r="D126" s="62"/>
      <c r="E126" s="62"/>
      <c r="F126" s="62"/>
      <c r="G126" s="62"/>
      <c r="H126" s="62"/>
      <c r="I126" s="62"/>
      <c r="J126" s="62"/>
      <c r="K126" s="76">
        <v>121</v>
      </c>
      <c r="L126" s="62">
        <v>3</v>
      </c>
      <c r="M126" s="62"/>
      <c r="N126" s="62"/>
      <c r="O126" s="62"/>
      <c r="P126" s="62"/>
      <c r="Q126" s="12"/>
      <c r="R126" s="12"/>
    </row>
    <row r="127" spans="1:18" s="3" customFormat="1">
      <c r="A127" s="62"/>
      <c r="B127" s="62" t="s">
        <v>3505</v>
      </c>
      <c r="C127" s="62" t="s">
        <v>494</v>
      </c>
      <c r="D127" s="62"/>
      <c r="E127" s="62"/>
      <c r="F127" s="62"/>
      <c r="G127" s="62"/>
      <c r="H127" s="62"/>
      <c r="I127" s="62"/>
      <c r="J127" s="62"/>
      <c r="K127" s="76">
        <v>122</v>
      </c>
      <c r="L127" s="62">
        <v>3</v>
      </c>
      <c r="M127" s="62"/>
      <c r="N127" s="62"/>
      <c r="O127" s="62"/>
      <c r="P127" s="62"/>
      <c r="Q127" s="12"/>
      <c r="R127" s="12"/>
    </row>
    <row r="128" spans="1:18" s="3" customFormat="1">
      <c r="A128" s="62"/>
      <c r="B128" s="62" t="s">
        <v>3506</v>
      </c>
      <c r="C128" s="62" t="s">
        <v>493</v>
      </c>
      <c r="D128" s="62">
        <v>1</v>
      </c>
      <c r="E128" s="62"/>
      <c r="F128" s="62"/>
      <c r="G128" s="62"/>
      <c r="H128" s="62"/>
      <c r="I128" s="62"/>
      <c r="J128" s="62"/>
      <c r="K128" s="76">
        <v>123</v>
      </c>
      <c r="L128" s="62">
        <v>3</v>
      </c>
      <c r="M128" s="62"/>
      <c r="N128" s="62"/>
      <c r="O128" s="62"/>
      <c r="P128" s="62"/>
      <c r="Q128" s="12"/>
      <c r="R128" s="12"/>
    </row>
    <row r="129" spans="1:18" s="3" customFormat="1">
      <c r="A129" s="62"/>
      <c r="B129" s="62" t="s">
        <v>3507</v>
      </c>
      <c r="C129" s="62" t="s">
        <v>493</v>
      </c>
      <c r="D129" s="62">
        <v>1</v>
      </c>
      <c r="E129" s="62"/>
      <c r="F129" s="62"/>
      <c r="G129" s="62"/>
      <c r="H129" s="62"/>
      <c r="I129" s="62"/>
      <c r="J129" s="62"/>
      <c r="K129" s="76">
        <v>124</v>
      </c>
      <c r="L129" s="62">
        <v>3</v>
      </c>
      <c r="M129" s="62"/>
      <c r="N129" s="62"/>
      <c r="O129" s="62"/>
      <c r="P129" s="62"/>
      <c r="Q129" s="12"/>
      <c r="R129" s="12"/>
    </row>
    <row r="130" spans="1:18" s="3" customFormat="1">
      <c r="A130" s="62"/>
      <c r="B130" s="62" t="s">
        <v>3508</v>
      </c>
      <c r="C130" s="62" t="s">
        <v>493</v>
      </c>
      <c r="D130" s="62">
        <v>1</v>
      </c>
      <c r="E130" s="62"/>
      <c r="F130" s="62"/>
      <c r="G130" s="62"/>
      <c r="H130" s="62"/>
      <c r="I130" s="62"/>
      <c r="J130" s="62"/>
      <c r="K130" s="76">
        <v>125</v>
      </c>
      <c r="L130" s="62">
        <v>3</v>
      </c>
      <c r="M130" s="62"/>
      <c r="N130" s="62"/>
      <c r="O130" s="62"/>
      <c r="P130" s="62"/>
      <c r="Q130" s="12"/>
      <c r="R130" s="12"/>
    </row>
    <row r="131" spans="1:18" s="3" customFormat="1">
      <c r="A131" s="62"/>
      <c r="B131" s="62" t="s">
        <v>3509</v>
      </c>
      <c r="C131" s="62" t="s">
        <v>493</v>
      </c>
      <c r="D131" s="62">
        <v>1</v>
      </c>
      <c r="E131" s="62"/>
      <c r="F131" s="62"/>
      <c r="G131" s="62"/>
      <c r="H131" s="62"/>
      <c r="I131" s="62"/>
      <c r="J131" s="62"/>
      <c r="K131" s="76">
        <v>126</v>
      </c>
      <c r="L131" s="62">
        <v>3</v>
      </c>
      <c r="M131" s="62"/>
      <c r="N131" s="62"/>
      <c r="O131" s="62"/>
      <c r="P131" s="62"/>
      <c r="Q131" s="12"/>
      <c r="R131" s="12"/>
    </row>
    <row r="132" spans="1:18" s="3" customFormat="1">
      <c r="A132" s="62"/>
      <c r="B132" s="62" t="s">
        <v>3510</v>
      </c>
      <c r="C132" s="62" t="s">
        <v>494</v>
      </c>
      <c r="D132" s="62"/>
      <c r="E132" s="62"/>
      <c r="F132" s="62"/>
      <c r="G132" s="62"/>
      <c r="H132" s="62"/>
      <c r="I132" s="62"/>
      <c r="J132" s="62"/>
      <c r="K132" s="76">
        <v>127</v>
      </c>
      <c r="L132" s="62">
        <v>3</v>
      </c>
      <c r="M132" s="62"/>
      <c r="N132" s="62"/>
      <c r="O132" s="62"/>
      <c r="P132" s="62"/>
      <c r="Q132" s="12"/>
      <c r="R132" s="12"/>
    </row>
    <row r="133" spans="1:18" s="3" customFormat="1">
      <c r="A133" s="62"/>
      <c r="B133" s="62" t="s">
        <v>3511</v>
      </c>
      <c r="C133" s="62" t="s">
        <v>493</v>
      </c>
      <c r="D133" s="62">
        <v>1</v>
      </c>
      <c r="E133" s="62"/>
      <c r="F133" s="62"/>
      <c r="G133" s="62"/>
      <c r="H133" s="62"/>
      <c r="I133" s="62"/>
      <c r="J133" s="62"/>
      <c r="K133" s="76">
        <v>128</v>
      </c>
      <c r="L133" s="62">
        <v>3</v>
      </c>
      <c r="M133" s="62"/>
      <c r="N133" s="62"/>
      <c r="O133" s="62"/>
      <c r="P133" s="62"/>
      <c r="Q133" s="12"/>
      <c r="R133" s="12"/>
    </row>
    <row r="134" spans="1:18" s="3" customFormat="1">
      <c r="A134" s="62"/>
      <c r="B134" s="62" t="s">
        <v>3512</v>
      </c>
      <c r="C134" s="62" t="s">
        <v>493</v>
      </c>
      <c r="D134" s="62">
        <v>200</v>
      </c>
      <c r="E134" s="62"/>
      <c r="F134" s="62"/>
      <c r="G134" s="62"/>
      <c r="H134" s="62"/>
      <c r="I134" s="62"/>
      <c r="J134" s="62"/>
      <c r="K134" s="76">
        <v>129</v>
      </c>
      <c r="L134" s="62"/>
      <c r="M134" s="62"/>
      <c r="N134" s="62"/>
      <c r="O134" s="62"/>
      <c r="P134" s="62"/>
      <c r="Q134" s="12"/>
      <c r="R134" s="12"/>
    </row>
    <row r="135" spans="1:18" s="3" customFormat="1">
      <c r="A135" s="62"/>
      <c r="B135" s="62" t="s">
        <v>3513</v>
      </c>
      <c r="C135" s="62" t="s">
        <v>493</v>
      </c>
      <c r="D135" s="62">
        <v>1</v>
      </c>
      <c r="E135" s="62"/>
      <c r="F135" s="62"/>
      <c r="G135" s="62"/>
      <c r="H135" s="62"/>
      <c r="I135" s="62"/>
      <c r="J135" s="62"/>
      <c r="K135" s="76">
        <v>130</v>
      </c>
      <c r="L135" s="62">
        <v>3</v>
      </c>
      <c r="M135" s="62"/>
      <c r="N135" s="62"/>
      <c r="O135" s="62"/>
      <c r="P135" s="62"/>
      <c r="Q135" s="12"/>
      <c r="R135" s="12"/>
    </row>
    <row r="136" spans="1:18" s="3" customFormat="1">
      <c r="A136" s="62"/>
      <c r="B136" s="62" t="s">
        <v>3514</v>
      </c>
      <c r="C136" s="62" t="s">
        <v>493</v>
      </c>
      <c r="D136" s="62">
        <v>200</v>
      </c>
      <c r="E136" s="62"/>
      <c r="F136" s="62"/>
      <c r="G136" s="62"/>
      <c r="H136" s="62"/>
      <c r="I136" s="62"/>
      <c r="J136" s="62"/>
      <c r="K136" s="76">
        <v>131</v>
      </c>
      <c r="L136" s="62"/>
      <c r="M136" s="62"/>
      <c r="N136" s="62"/>
      <c r="O136" s="62"/>
      <c r="P136" s="62"/>
      <c r="Q136" s="12"/>
      <c r="R136" s="12"/>
    </row>
    <row r="137" spans="1:18" s="3" customFormat="1">
      <c r="A137" s="62"/>
      <c r="B137" s="62" t="s">
        <v>3515</v>
      </c>
      <c r="C137" s="62" t="s">
        <v>493</v>
      </c>
      <c r="D137" s="62">
        <v>1</v>
      </c>
      <c r="E137" s="62"/>
      <c r="F137" s="62"/>
      <c r="G137" s="62"/>
      <c r="H137" s="62"/>
      <c r="I137" s="62"/>
      <c r="J137" s="62"/>
      <c r="K137" s="76">
        <v>132</v>
      </c>
      <c r="L137" s="62">
        <v>3</v>
      </c>
      <c r="M137" s="62"/>
      <c r="N137" s="62"/>
      <c r="O137" s="62"/>
      <c r="P137" s="62"/>
      <c r="Q137" s="12"/>
      <c r="R137" s="12"/>
    </row>
    <row r="138" spans="1:18" s="3" customFormat="1">
      <c r="A138" s="62"/>
      <c r="B138" s="62" t="s">
        <v>3516</v>
      </c>
      <c r="C138" s="62" t="s">
        <v>493</v>
      </c>
      <c r="D138" s="62">
        <v>1</v>
      </c>
      <c r="E138" s="62"/>
      <c r="F138" s="62"/>
      <c r="G138" s="62"/>
      <c r="H138" s="62"/>
      <c r="I138" s="62"/>
      <c r="J138" s="62"/>
      <c r="K138" s="76">
        <v>133</v>
      </c>
      <c r="L138" s="62">
        <v>3</v>
      </c>
      <c r="M138" s="62"/>
      <c r="N138" s="62"/>
      <c r="O138" s="62"/>
      <c r="P138" s="62"/>
      <c r="Q138" s="12"/>
      <c r="R138" s="12"/>
    </row>
    <row r="139" spans="1:18" s="3" customFormat="1">
      <c r="A139" s="62"/>
      <c r="B139" s="62" t="s">
        <v>3517</v>
      </c>
      <c r="C139" s="62" t="s">
        <v>493</v>
      </c>
      <c r="D139" s="62">
        <v>1</v>
      </c>
      <c r="E139" s="62"/>
      <c r="F139" s="62"/>
      <c r="G139" s="62"/>
      <c r="H139" s="62"/>
      <c r="I139" s="62"/>
      <c r="J139" s="62"/>
      <c r="K139" s="76">
        <v>134</v>
      </c>
      <c r="L139" s="62">
        <v>3</v>
      </c>
      <c r="M139" s="62"/>
      <c r="N139" s="62"/>
      <c r="O139" s="62"/>
      <c r="P139" s="62"/>
      <c r="Q139" s="12"/>
      <c r="R139" s="12"/>
    </row>
    <row r="140" spans="1:18" s="3" customFormat="1">
      <c r="A140" s="62"/>
      <c r="B140" s="62" t="s">
        <v>3518</v>
      </c>
      <c r="C140" s="62" t="s">
        <v>493</v>
      </c>
      <c r="D140" s="62">
        <v>1</v>
      </c>
      <c r="E140" s="62"/>
      <c r="F140" s="62"/>
      <c r="G140" s="62"/>
      <c r="H140" s="62"/>
      <c r="I140" s="62"/>
      <c r="J140" s="62"/>
      <c r="K140" s="76">
        <v>135</v>
      </c>
      <c r="L140" s="62">
        <v>3</v>
      </c>
      <c r="M140" s="62"/>
      <c r="N140" s="62"/>
      <c r="O140" s="62"/>
      <c r="P140" s="62"/>
      <c r="Q140" s="12"/>
      <c r="R140" s="12"/>
    </row>
    <row r="141" spans="1:18" s="3" customFormat="1">
      <c r="A141" s="62"/>
      <c r="B141" s="62" t="s">
        <v>3519</v>
      </c>
      <c r="C141" s="62" t="s">
        <v>493</v>
      </c>
      <c r="D141" s="62">
        <v>1</v>
      </c>
      <c r="E141" s="62"/>
      <c r="F141" s="62"/>
      <c r="G141" s="62"/>
      <c r="H141" s="62"/>
      <c r="I141" s="62"/>
      <c r="J141" s="62"/>
      <c r="K141" s="76">
        <v>136</v>
      </c>
      <c r="L141" s="62">
        <v>3</v>
      </c>
      <c r="M141" s="62"/>
      <c r="N141" s="62"/>
      <c r="O141" s="62"/>
      <c r="P141" s="62"/>
      <c r="Q141" s="12"/>
      <c r="R141" s="12"/>
    </row>
    <row r="142" spans="1:18" s="3" customFormat="1">
      <c r="A142" s="62"/>
      <c r="B142" s="62" t="s">
        <v>3520</v>
      </c>
      <c r="C142" s="62" t="s">
        <v>493</v>
      </c>
      <c r="D142" s="62">
        <v>1</v>
      </c>
      <c r="E142" s="62"/>
      <c r="F142" s="62"/>
      <c r="G142" s="62"/>
      <c r="H142" s="62"/>
      <c r="I142" s="62"/>
      <c r="J142" s="62"/>
      <c r="K142" s="76">
        <v>137</v>
      </c>
      <c r="L142" s="62">
        <v>3</v>
      </c>
      <c r="M142" s="62"/>
      <c r="N142" s="62"/>
      <c r="O142" s="62"/>
      <c r="P142" s="62"/>
      <c r="Q142" s="12"/>
      <c r="R142" s="12"/>
    </row>
    <row r="143" spans="1:18" s="3" customFormat="1">
      <c r="A143" s="62"/>
      <c r="B143" s="62" t="s">
        <v>3521</v>
      </c>
      <c r="C143" s="62" t="s">
        <v>493</v>
      </c>
      <c r="D143" s="62">
        <v>1</v>
      </c>
      <c r="E143" s="62"/>
      <c r="F143" s="62"/>
      <c r="G143" s="62"/>
      <c r="H143" s="62"/>
      <c r="I143" s="62"/>
      <c r="J143" s="62"/>
      <c r="K143" s="76">
        <v>138</v>
      </c>
      <c r="L143" s="62">
        <v>3</v>
      </c>
      <c r="M143" s="62"/>
      <c r="N143" s="62"/>
      <c r="O143" s="62"/>
      <c r="P143" s="62"/>
      <c r="Q143" s="12"/>
      <c r="R143" s="12"/>
    </row>
    <row r="144" spans="1:18" s="3" customFormat="1">
      <c r="A144" s="62"/>
      <c r="B144" s="62" t="s">
        <v>3522</v>
      </c>
      <c r="C144" s="62" t="s">
        <v>493</v>
      </c>
      <c r="D144" s="62">
        <v>1</v>
      </c>
      <c r="E144" s="62"/>
      <c r="F144" s="62"/>
      <c r="G144" s="62"/>
      <c r="H144" s="62"/>
      <c r="I144" s="62"/>
      <c r="J144" s="62"/>
      <c r="K144" s="76">
        <v>139</v>
      </c>
      <c r="L144" s="62">
        <v>3</v>
      </c>
      <c r="M144" s="62"/>
      <c r="N144" s="62"/>
      <c r="O144" s="62"/>
      <c r="P144" s="62"/>
      <c r="Q144" s="12"/>
      <c r="R144" s="12"/>
    </row>
    <row r="145" spans="1:18" s="3" customFormat="1">
      <c r="A145" s="62"/>
      <c r="B145" s="62" t="s">
        <v>3523</v>
      </c>
      <c r="C145" s="62" t="s">
        <v>493</v>
      </c>
      <c r="D145" s="62">
        <v>1</v>
      </c>
      <c r="E145" s="62"/>
      <c r="F145" s="62"/>
      <c r="G145" s="62"/>
      <c r="H145" s="62"/>
      <c r="I145" s="62"/>
      <c r="J145" s="62"/>
      <c r="K145" s="76">
        <v>140</v>
      </c>
      <c r="L145" s="62">
        <v>3</v>
      </c>
      <c r="M145" s="62"/>
      <c r="N145" s="62"/>
      <c r="O145" s="62"/>
      <c r="P145" s="62"/>
      <c r="Q145" s="12"/>
      <c r="R145" s="12"/>
    </row>
    <row r="146" spans="1:18" s="3" customFormat="1">
      <c r="A146" s="62"/>
      <c r="B146" s="62" t="s">
        <v>3524</v>
      </c>
      <c r="C146" s="62" t="s">
        <v>493</v>
      </c>
      <c r="D146" s="62">
        <v>1</v>
      </c>
      <c r="E146" s="62"/>
      <c r="F146" s="62"/>
      <c r="G146" s="62"/>
      <c r="H146" s="62"/>
      <c r="I146" s="62"/>
      <c r="J146" s="62"/>
      <c r="K146" s="76">
        <v>141</v>
      </c>
      <c r="L146" s="62">
        <v>3</v>
      </c>
      <c r="M146" s="62"/>
      <c r="N146" s="62"/>
      <c r="O146" s="62"/>
      <c r="P146" s="62"/>
      <c r="Q146" s="12"/>
      <c r="R146" s="12"/>
    </row>
    <row r="147" spans="1:18" s="3" customFormat="1">
      <c r="A147" s="62"/>
      <c r="B147" s="62" t="s">
        <v>3525</v>
      </c>
      <c r="C147" s="62" t="s">
        <v>493</v>
      </c>
      <c r="D147" s="62">
        <v>1</v>
      </c>
      <c r="E147" s="62"/>
      <c r="F147" s="62"/>
      <c r="G147" s="62"/>
      <c r="H147" s="62"/>
      <c r="I147" s="62"/>
      <c r="J147" s="62"/>
      <c r="K147" s="76">
        <v>142</v>
      </c>
      <c r="L147" s="62">
        <v>3</v>
      </c>
      <c r="M147" s="62"/>
      <c r="N147" s="62"/>
      <c r="O147" s="62"/>
      <c r="P147" s="62"/>
      <c r="Q147" s="12"/>
      <c r="R147" s="12"/>
    </row>
    <row r="148" spans="1:18" s="3" customFormat="1">
      <c r="A148" s="62"/>
      <c r="B148" s="62" t="s">
        <v>3526</v>
      </c>
      <c r="C148" s="62" t="s">
        <v>493</v>
      </c>
      <c r="D148" s="62">
        <v>1</v>
      </c>
      <c r="E148" s="62"/>
      <c r="F148" s="62"/>
      <c r="G148" s="62"/>
      <c r="H148" s="62"/>
      <c r="I148" s="62"/>
      <c r="J148" s="62"/>
      <c r="K148" s="76">
        <v>143</v>
      </c>
      <c r="L148" s="62">
        <v>3</v>
      </c>
      <c r="M148" s="62"/>
      <c r="N148" s="62"/>
      <c r="O148" s="62"/>
      <c r="P148" s="62"/>
      <c r="Q148" s="12"/>
      <c r="R148" s="12"/>
    </row>
    <row r="149" spans="1:18" s="3" customFormat="1">
      <c r="A149" s="62"/>
      <c r="B149" s="62" t="s">
        <v>3527</v>
      </c>
      <c r="C149" s="62" t="s">
        <v>493</v>
      </c>
      <c r="D149" s="62">
        <v>200</v>
      </c>
      <c r="E149" s="62"/>
      <c r="F149" s="62"/>
      <c r="G149" s="62"/>
      <c r="H149" s="62"/>
      <c r="I149" s="62"/>
      <c r="J149" s="62"/>
      <c r="K149" s="76">
        <v>144</v>
      </c>
      <c r="L149" s="62"/>
      <c r="M149" s="62"/>
      <c r="N149" s="62"/>
      <c r="O149" s="62"/>
      <c r="P149" s="62"/>
      <c r="Q149" s="12"/>
      <c r="R149" s="12"/>
    </row>
    <row r="150" spans="1:18" s="3" customFormat="1">
      <c r="A150" s="62"/>
      <c r="B150" s="62" t="s">
        <v>3533</v>
      </c>
      <c r="C150" s="62" t="s">
        <v>494</v>
      </c>
      <c r="D150" s="62"/>
      <c r="E150" s="62"/>
      <c r="F150" s="62"/>
      <c r="G150" s="62"/>
      <c r="H150" s="62"/>
      <c r="I150" s="62"/>
      <c r="J150" s="62"/>
      <c r="K150" s="76">
        <v>145</v>
      </c>
      <c r="L150" s="62">
        <v>3</v>
      </c>
      <c r="M150" s="62"/>
      <c r="N150" s="62"/>
      <c r="O150" s="62"/>
      <c r="P150" s="62"/>
      <c r="Q150" s="12"/>
      <c r="R150" s="12"/>
    </row>
    <row r="151" spans="1:18" s="3" customFormat="1">
      <c r="A151" s="62"/>
      <c r="B151" s="62" t="s">
        <v>3534</v>
      </c>
      <c r="C151" s="62" t="s">
        <v>494</v>
      </c>
      <c r="D151" s="62"/>
      <c r="E151" s="62"/>
      <c r="F151" s="62"/>
      <c r="G151" s="62"/>
      <c r="H151" s="62"/>
      <c r="I151" s="62"/>
      <c r="J151" s="62"/>
      <c r="K151" s="76">
        <v>146</v>
      </c>
      <c r="L151" s="62">
        <v>3</v>
      </c>
      <c r="M151" s="62"/>
      <c r="N151" s="62"/>
      <c r="O151" s="62"/>
      <c r="P151" s="62"/>
      <c r="Q151" s="12"/>
      <c r="R151" s="12"/>
    </row>
    <row r="152" spans="1:18" s="3" customFormat="1">
      <c r="A152" s="62"/>
      <c r="B152" s="62" t="s">
        <v>3535</v>
      </c>
      <c r="C152" s="62" t="s">
        <v>494</v>
      </c>
      <c r="D152" s="62"/>
      <c r="E152" s="62"/>
      <c r="F152" s="62"/>
      <c r="G152" s="62"/>
      <c r="H152" s="62"/>
      <c r="I152" s="62"/>
      <c r="J152" s="62"/>
      <c r="K152" s="76">
        <v>147</v>
      </c>
      <c r="L152" s="62">
        <v>3</v>
      </c>
      <c r="M152" s="62"/>
      <c r="N152" s="62"/>
      <c r="O152" s="62"/>
      <c r="P152" s="62"/>
      <c r="Q152" s="12"/>
      <c r="R152" s="12"/>
    </row>
    <row r="153" spans="1:18" s="3" customFormat="1">
      <c r="A153" s="62"/>
      <c r="B153" s="62" t="s">
        <v>3536</v>
      </c>
      <c r="C153" s="62" t="s">
        <v>494</v>
      </c>
      <c r="D153" s="62"/>
      <c r="E153" s="62"/>
      <c r="F153" s="62"/>
      <c r="G153" s="62"/>
      <c r="H153" s="62"/>
      <c r="I153" s="62"/>
      <c r="J153" s="62"/>
      <c r="K153" s="76">
        <v>148</v>
      </c>
      <c r="L153" s="62">
        <v>3</v>
      </c>
      <c r="M153" s="62"/>
      <c r="N153" s="62"/>
      <c r="O153" s="62"/>
      <c r="P153" s="62"/>
      <c r="Q153" s="12"/>
      <c r="R153" s="12"/>
    </row>
    <row r="154" spans="1:18" s="3" customFormat="1">
      <c r="A154" s="62"/>
      <c r="B154" s="62" t="s">
        <v>3537</v>
      </c>
      <c r="C154" s="62" t="s">
        <v>494</v>
      </c>
      <c r="D154" s="62"/>
      <c r="E154" s="62"/>
      <c r="F154" s="62"/>
      <c r="G154" s="62"/>
      <c r="H154" s="62"/>
      <c r="I154" s="62"/>
      <c r="J154" s="62"/>
      <c r="K154" s="76">
        <v>149</v>
      </c>
      <c r="L154" s="62">
        <v>3</v>
      </c>
      <c r="M154" s="62"/>
      <c r="N154" s="62"/>
      <c r="O154" s="62"/>
      <c r="P154" s="62"/>
      <c r="Q154" s="12"/>
      <c r="R154" s="12"/>
    </row>
    <row r="155" spans="1:18" s="3" customFormat="1">
      <c r="A155" s="62"/>
      <c r="B155" s="62" t="s">
        <v>3538</v>
      </c>
      <c r="C155" s="62" t="s">
        <v>494</v>
      </c>
      <c r="D155" s="62"/>
      <c r="E155" s="62"/>
      <c r="F155" s="62"/>
      <c r="G155" s="62"/>
      <c r="H155" s="62"/>
      <c r="I155" s="62"/>
      <c r="J155" s="62"/>
      <c r="K155" s="76">
        <v>150</v>
      </c>
      <c r="L155" s="62">
        <v>3</v>
      </c>
      <c r="M155" s="62"/>
      <c r="N155" s="62"/>
      <c r="O155" s="62"/>
      <c r="P155" s="62"/>
      <c r="Q155" s="12"/>
      <c r="R155" s="12"/>
    </row>
    <row r="156" spans="1:18" s="3" customFormat="1">
      <c r="A156" s="62"/>
      <c r="B156" s="62" t="s">
        <v>3539</v>
      </c>
      <c r="C156" s="62" t="s">
        <v>494</v>
      </c>
      <c r="D156" s="62"/>
      <c r="E156" s="62"/>
      <c r="F156" s="62"/>
      <c r="G156" s="62"/>
      <c r="H156" s="62"/>
      <c r="I156" s="62"/>
      <c r="J156" s="62"/>
      <c r="K156" s="76">
        <v>151</v>
      </c>
      <c r="L156" s="62">
        <v>3</v>
      </c>
      <c r="M156" s="62"/>
      <c r="N156" s="62"/>
      <c r="O156" s="62"/>
      <c r="P156" s="62"/>
      <c r="Q156" s="12"/>
      <c r="R156" s="12"/>
    </row>
    <row r="157" spans="1:18" s="3" customFormat="1">
      <c r="A157" s="62"/>
      <c r="B157" s="62" t="s">
        <v>3540</v>
      </c>
      <c r="C157" s="62" t="s">
        <v>494</v>
      </c>
      <c r="D157" s="62"/>
      <c r="E157" s="62"/>
      <c r="F157" s="62"/>
      <c r="G157" s="62"/>
      <c r="H157" s="62"/>
      <c r="I157" s="62"/>
      <c r="J157" s="62"/>
      <c r="K157" s="76">
        <v>152</v>
      </c>
      <c r="L157" s="62">
        <v>3</v>
      </c>
      <c r="M157" s="62"/>
      <c r="N157" s="62"/>
      <c r="O157" s="62"/>
      <c r="P157" s="62"/>
      <c r="Q157" s="12"/>
      <c r="R157" s="12"/>
    </row>
    <row r="158" spans="1:18" s="3" customFormat="1">
      <c r="A158" s="62"/>
      <c r="B158" s="62" t="s">
        <v>3541</v>
      </c>
      <c r="C158" s="62" t="s">
        <v>494</v>
      </c>
      <c r="D158" s="62"/>
      <c r="E158" s="62"/>
      <c r="F158" s="62"/>
      <c r="G158" s="62"/>
      <c r="H158" s="62"/>
      <c r="I158" s="62"/>
      <c r="J158" s="62"/>
      <c r="K158" s="76">
        <v>153</v>
      </c>
      <c r="L158" s="62">
        <v>3</v>
      </c>
      <c r="M158" s="62"/>
      <c r="N158" s="62"/>
      <c r="O158" s="62"/>
      <c r="P158" s="62"/>
      <c r="Q158" s="12"/>
      <c r="R158" s="12"/>
    </row>
    <row r="159" spans="1:18" s="3" customFormat="1">
      <c r="A159" s="62"/>
      <c r="B159" s="62" t="s">
        <v>3542</v>
      </c>
      <c r="C159" s="62" t="s">
        <v>494</v>
      </c>
      <c r="D159" s="62"/>
      <c r="E159" s="62"/>
      <c r="F159" s="62"/>
      <c r="G159" s="62"/>
      <c r="H159" s="62"/>
      <c r="I159" s="62"/>
      <c r="J159" s="62"/>
      <c r="K159" s="76">
        <v>154</v>
      </c>
      <c r="L159" s="62">
        <v>3</v>
      </c>
      <c r="M159" s="62"/>
      <c r="N159" s="62"/>
      <c r="O159" s="62"/>
      <c r="P159" s="62"/>
      <c r="Q159" s="12"/>
      <c r="R159" s="12"/>
    </row>
    <row r="160" spans="1:18" s="3" customFormat="1">
      <c r="A160" s="62"/>
      <c r="B160" s="62" t="s">
        <v>3543</v>
      </c>
      <c r="C160" s="62" t="s">
        <v>494</v>
      </c>
      <c r="D160" s="62"/>
      <c r="E160" s="62"/>
      <c r="F160" s="62"/>
      <c r="G160" s="62"/>
      <c r="H160" s="62"/>
      <c r="I160" s="62"/>
      <c r="J160" s="62"/>
      <c r="K160" s="76">
        <v>155</v>
      </c>
      <c r="L160" s="62"/>
      <c r="M160" s="62">
        <v>1</v>
      </c>
      <c r="N160" s="62"/>
      <c r="O160" s="62"/>
      <c r="P160" s="62"/>
      <c r="Q160" s="12"/>
      <c r="R160" s="12"/>
    </row>
    <row r="161" spans="1:18" s="3" customFormat="1">
      <c r="A161" s="62"/>
      <c r="B161" s="62" t="s">
        <v>3544</v>
      </c>
      <c r="C161" s="62" t="s">
        <v>494</v>
      </c>
      <c r="D161" s="62"/>
      <c r="E161" s="62"/>
      <c r="F161" s="62"/>
      <c r="G161" s="62"/>
      <c r="H161" s="62"/>
      <c r="I161" s="62"/>
      <c r="J161" s="62"/>
      <c r="K161" s="76">
        <v>156</v>
      </c>
      <c r="L161" s="62"/>
      <c r="M161" s="62">
        <v>1</v>
      </c>
      <c r="N161" s="62"/>
      <c r="O161" s="62"/>
      <c r="P161" s="62"/>
      <c r="Q161" s="12"/>
      <c r="R161" s="12"/>
    </row>
    <row r="162" spans="1:18" s="3" customFormat="1">
      <c r="A162" s="62"/>
      <c r="B162" s="62" t="s">
        <v>3545</v>
      </c>
      <c r="C162" s="62" t="s">
        <v>494</v>
      </c>
      <c r="D162" s="62"/>
      <c r="E162" s="62"/>
      <c r="F162" s="62"/>
      <c r="G162" s="62"/>
      <c r="H162" s="62"/>
      <c r="I162" s="62"/>
      <c r="J162" s="62"/>
      <c r="K162" s="76">
        <v>157</v>
      </c>
      <c r="L162" s="62"/>
      <c r="M162" s="62">
        <v>1</v>
      </c>
      <c r="N162" s="62"/>
      <c r="O162" s="62"/>
      <c r="P162" s="62"/>
      <c r="Q162" s="12"/>
      <c r="R162" s="12"/>
    </row>
    <row r="163" spans="1:18" s="3" customFormat="1">
      <c r="A163" s="62"/>
      <c r="B163" s="62" t="s">
        <v>3546</v>
      </c>
      <c r="C163" s="62" t="s">
        <v>494</v>
      </c>
      <c r="D163" s="62"/>
      <c r="E163" s="62"/>
      <c r="F163" s="62"/>
      <c r="G163" s="62"/>
      <c r="H163" s="62"/>
      <c r="I163" s="62"/>
      <c r="J163" s="62"/>
      <c r="K163" s="76">
        <v>158</v>
      </c>
      <c r="L163" s="62"/>
      <c r="M163" s="62">
        <v>1</v>
      </c>
      <c r="N163" s="62"/>
      <c r="O163" s="62"/>
      <c r="P163" s="62"/>
      <c r="Q163" s="12"/>
      <c r="R163" s="12"/>
    </row>
    <row r="164" spans="1:18" s="3" customFormat="1">
      <c r="A164" s="62"/>
      <c r="B164" s="70" t="s">
        <v>3552</v>
      </c>
      <c r="C164" s="62" t="s">
        <v>494</v>
      </c>
      <c r="D164" s="62"/>
      <c r="E164" s="62"/>
      <c r="F164" s="62"/>
      <c r="G164" s="62"/>
      <c r="H164" s="62"/>
      <c r="I164" s="62"/>
      <c r="J164" s="62"/>
      <c r="K164" s="76">
        <v>159</v>
      </c>
      <c r="L164" s="62">
        <v>8</v>
      </c>
      <c r="M164" s="62">
        <v>1</v>
      </c>
      <c r="N164" s="62"/>
      <c r="O164" s="62"/>
      <c r="P164" s="62"/>
      <c r="Q164" s="12"/>
      <c r="R164" s="12"/>
    </row>
    <row r="165" spans="1:18" s="3" customFormat="1">
      <c r="A165" s="62"/>
      <c r="B165" s="62" t="s">
        <v>3553</v>
      </c>
      <c r="C165" s="62" t="s">
        <v>494</v>
      </c>
      <c r="D165" s="62"/>
      <c r="E165" s="62"/>
      <c r="F165" s="62"/>
      <c r="G165" s="62"/>
      <c r="H165" s="62" t="s">
        <v>3554</v>
      </c>
      <c r="I165" s="62"/>
      <c r="J165" s="62"/>
      <c r="K165" s="76">
        <v>160</v>
      </c>
      <c r="L165" s="62">
        <v>7</v>
      </c>
      <c r="M165" s="62">
        <v>1</v>
      </c>
      <c r="N165" s="62"/>
      <c r="O165" s="62"/>
      <c r="P165" s="62"/>
      <c r="Q165" s="12"/>
      <c r="R165" s="12"/>
    </row>
    <row r="166" spans="1:18" s="3" customFormat="1">
      <c r="A166" s="62"/>
      <c r="B166" s="70" t="s">
        <v>3603</v>
      </c>
      <c r="C166" s="62" t="s">
        <v>493</v>
      </c>
      <c r="D166" s="62">
        <v>20</v>
      </c>
      <c r="E166" s="62"/>
      <c r="F166" s="62"/>
      <c r="G166" s="62"/>
      <c r="H166" s="62"/>
      <c r="I166" s="62"/>
      <c r="J166" s="62"/>
      <c r="K166" s="76">
        <v>161</v>
      </c>
      <c r="L166" s="62"/>
      <c r="M166" s="62"/>
      <c r="N166" s="62"/>
      <c r="O166" s="62"/>
      <c r="P166" s="62"/>
      <c r="Q166" s="12"/>
      <c r="R166" s="12"/>
    </row>
    <row r="167" spans="1:18" s="3" customFormat="1">
      <c r="A167" s="62"/>
      <c r="B167" s="70" t="s">
        <v>3604</v>
      </c>
      <c r="C167" s="62" t="s">
        <v>493</v>
      </c>
      <c r="D167" s="62">
        <v>20</v>
      </c>
      <c r="E167" s="62"/>
      <c r="F167" s="62"/>
      <c r="G167" s="62"/>
      <c r="H167" s="62"/>
      <c r="I167" s="62"/>
      <c r="J167" s="62"/>
      <c r="K167" s="76">
        <v>162</v>
      </c>
      <c r="L167" s="62"/>
      <c r="M167" s="62"/>
      <c r="N167" s="62"/>
      <c r="O167" s="62"/>
      <c r="P167" s="62"/>
      <c r="Q167" s="12"/>
      <c r="R167" s="12"/>
    </row>
    <row r="168" spans="1:18" s="3" customFormat="1">
      <c r="A168" s="62"/>
      <c r="B168" s="70" t="s">
        <v>3605</v>
      </c>
      <c r="C168" s="62" t="s">
        <v>493</v>
      </c>
      <c r="D168" s="62">
        <v>50</v>
      </c>
      <c r="E168" s="62"/>
      <c r="F168" s="62"/>
      <c r="G168" s="62"/>
      <c r="H168" s="62"/>
      <c r="I168" s="62"/>
      <c r="J168" s="62"/>
      <c r="K168" s="76">
        <v>163</v>
      </c>
      <c r="L168" s="62"/>
      <c r="M168" s="62"/>
      <c r="N168" s="62"/>
      <c r="O168" s="62"/>
      <c r="P168" s="62"/>
      <c r="Q168" s="12"/>
      <c r="R168" s="12"/>
    </row>
    <row r="169" spans="1:18" s="3" customFormat="1">
      <c r="A169" s="62"/>
      <c r="B169" s="70" t="s">
        <v>3606</v>
      </c>
      <c r="C169" s="62" t="s">
        <v>494</v>
      </c>
      <c r="D169" s="62"/>
      <c r="E169" s="62"/>
      <c r="F169" s="62"/>
      <c r="G169" s="62"/>
      <c r="H169" s="62"/>
      <c r="I169" s="62"/>
      <c r="J169" s="62"/>
      <c r="K169" s="76">
        <v>164</v>
      </c>
      <c r="L169" s="62"/>
      <c r="M169" s="62">
        <v>1</v>
      </c>
      <c r="N169" s="62"/>
      <c r="O169" s="62"/>
      <c r="P169" s="62"/>
      <c r="Q169" s="12"/>
      <c r="R169" s="12"/>
    </row>
    <row r="170" spans="1:18" s="3" customFormat="1">
      <c r="A170" s="62"/>
      <c r="B170" s="70" t="s">
        <v>3607</v>
      </c>
      <c r="C170" s="62" t="s">
        <v>494</v>
      </c>
      <c r="D170" s="62"/>
      <c r="E170" s="62"/>
      <c r="F170" s="62"/>
      <c r="G170" s="62"/>
      <c r="H170" s="62"/>
      <c r="I170" s="62"/>
      <c r="J170" s="62"/>
      <c r="K170" s="76">
        <v>165</v>
      </c>
      <c r="L170" s="62"/>
      <c r="M170" s="62">
        <v>1</v>
      </c>
      <c r="N170" s="62"/>
      <c r="O170" s="62"/>
      <c r="P170" s="62"/>
      <c r="Q170" s="12"/>
      <c r="R170" s="12"/>
    </row>
    <row r="171" spans="1:18" s="3" customFormat="1">
      <c r="A171" s="62"/>
      <c r="B171" s="70" t="s">
        <v>3610</v>
      </c>
      <c r="C171" s="62" t="s">
        <v>494</v>
      </c>
      <c r="D171" s="62"/>
      <c r="E171" s="62"/>
      <c r="F171" s="62"/>
      <c r="G171" s="62"/>
      <c r="H171" s="97"/>
      <c r="I171" s="62"/>
      <c r="J171" s="62"/>
      <c r="K171" s="76">
        <v>166</v>
      </c>
      <c r="L171" s="75"/>
      <c r="M171" s="62"/>
      <c r="N171" s="62"/>
      <c r="O171" s="62"/>
      <c r="P171" s="62"/>
      <c r="Q171" s="12"/>
      <c r="R171" s="12"/>
    </row>
    <row r="172" spans="1:18" s="3" customFormat="1">
      <c r="A172" s="62"/>
      <c r="B172" s="62" t="s">
        <v>3711</v>
      </c>
      <c r="C172" s="62" t="s">
        <v>494</v>
      </c>
      <c r="D172" s="62"/>
      <c r="E172" s="62"/>
      <c r="F172" s="62"/>
      <c r="G172" s="62"/>
      <c r="H172" s="62"/>
      <c r="I172" s="62"/>
      <c r="J172" s="62"/>
      <c r="K172" s="76">
        <v>167</v>
      </c>
      <c r="L172" s="62"/>
      <c r="M172" s="62">
        <v>1</v>
      </c>
      <c r="N172" s="62"/>
      <c r="O172" s="62"/>
      <c r="P172" s="62"/>
      <c r="Q172" s="12"/>
      <c r="R172" s="12"/>
    </row>
    <row r="173" spans="1:18" s="3" customFormat="1">
      <c r="A173" s="62"/>
      <c r="B173" s="70" t="s">
        <v>3612</v>
      </c>
      <c r="C173" s="62" t="s">
        <v>494</v>
      </c>
      <c r="D173" s="62"/>
      <c r="E173" s="62"/>
      <c r="F173" s="62"/>
      <c r="G173" s="62"/>
      <c r="H173" s="62"/>
      <c r="I173" s="62"/>
      <c r="J173" s="62"/>
      <c r="K173" s="76">
        <v>168</v>
      </c>
      <c r="L173" s="75"/>
      <c r="M173" s="62"/>
      <c r="N173" s="62"/>
      <c r="O173" s="62"/>
      <c r="P173" s="62"/>
      <c r="Q173" s="12"/>
      <c r="R173" s="12"/>
    </row>
    <row r="174" spans="1:18" s="3" customFormat="1">
      <c r="A174" s="62"/>
      <c r="B174" s="62" t="s">
        <v>3712</v>
      </c>
      <c r="C174" s="62" t="s">
        <v>494</v>
      </c>
      <c r="D174" s="62"/>
      <c r="E174" s="62"/>
      <c r="F174" s="62"/>
      <c r="G174" s="62"/>
      <c r="H174" s="62"/>
      <c r="I174" s="62"/>
      <c r="J174" s="62"/>
      <c r="K174" s="76">
        <v>169</v>
      </c>
      <c r="L174" s="62"/>
      <c r="M174" s="62">
        <v>1</v>
      </c>
      <c r="N174" s="62"/>
      <c r="O174" s="62"/>
      <c r="P174" s="62"/>
      <c r="Q174" s="12"/>
      <c r="R174" s="12"/>
    </row>
    <row r="175" spans="1:18" s="3" customFormat="1">
      <c r="A175" s="62"/>
      <c r="B175" s="70" t="s">
        <v>3611</v>
      </c>
      <c r="C175" s="62" t="s">
        <v>494</v>
      </c>
      <c r="D175" s="62"/>
      <c r="E175" s="62"/>
      <c r="F175" s="62"/>
      <c r="G175" s="62"/>
      <c r="H175" s="62"/>
      <c r="I175" s="62"/>
      <c r="J175" s="62"/>
      <c r="K175" s="76">
        <v>170</v>
      </c>
      <c r="L175" s="75"/>
      <c r="M175" s="62"/>
      <c r="N175" s="62"/>
      <c r="O175" s="62"/>
      <c r="P175" s="62"/>
      <c r="Q175" s="12"/>
      <c r="R175" s="12"/>
    </row>
    <row r="176" spans="1:18" s="3" customFormat="1">
      <c r="A176" s="62"/>
      <c r="B176" s="62" t="s">
        <v>3713</v>
      </c>
      <c r="C176" s="62" t="s">
        <v>494</v>
      </c>
      <c r="D176" s="62"/>
      <c r="E176" s="62"/>
      <c r="F176" s="62"/>
      <c r="G176" s="62"/>
      <c r="H176" s="62"/>
      <c r="I176" s="62"/>
      <c r="J176" s="62"/>
      <c r="K176" s="76">
        <v>171</v>
      </c>
      <c r="L176" s="62"/>
      <c r="M176" s="62">
        <v>1</v>
      </c>
      <c r="N176" s="62"/>
      <c r="O176" s="62"/>
      <c r="P176" s="62"/>
      <c r="Q176" s="12"/>
      <c r="R176" s="12"/>
    </row>
    <row r="177" spans="1:18" s="3" customFormat="1">
      <c r="A177" s="62"/>
      <c r="B177" s="70" t="s">
        <v>3613</v>
      </c>
      <c r="C177" s="62" t="s">
        <v>494</v>
      </c>
      <c r="D177" s="62"/>
      <c r="E177" s="62"/>
      <c r="F177" s="62"/>
      <c r="G177" s="62"/>
      <c r="H177" s="62"/>
      <c r="I177" s="62"/>
      <c r="J177" s="62"/>
      <c r="K177" s="76">
        <v>172</v>
      </c>
      <c r="L177" s="75">
        <v>3</v>
      </c>
      <c r="M177" s="62">
        <v>3</v>
      </c>
      <c r="N177" s="62" t="s">
        <v>3620</v>
      </c>
      <c r="O177" s="62" t="s">
        <v>3622</v>
      </c>
      <c r="P177" s="62" t="s">
        <v>3623</v>
      </c>
      <c r="Q177" s="12"/>
      <c r="R177" s="47">
        <v>2311</v>
      </c>
    </row>
    <row r="178" spans="1:18" s="3" customFormat="1">
      <c r="A178" s="62"/>
      <c r="B178" s="98" t="s">
        <v>3791</v>
      </c>
      <c r="C178" s="62" t="s">
        <v>494</v>
      </c>
      <c r="D178" s="62"/>
      <c r="E178" s="62"/>
      <c r="F178" s="62"/>
      <c r="G178" s="62"/>
      <c r="H178" s="62"/>
      <c r="I178" s="62"/>
      <c r="J178" s="62"/>
      <c r="K178" s="76">
        <v>173</v>
      </c>
      <c r="L178" s="75">
        <v>3</v>
      </c>
      <c r="M178" s="62"/>
      <c r="N178" s="62" t="s">
        <v>3793</v>
      </c>
      <c r="O178" s="62" t="s">
        <v>3795</v>
      </c>
      <c r="P178" s="62" t="s">
        <v>3798</v>
      </c>
      <c r="Q178" s="12"/>
      <c r="R178" s="47"/>
    </row>
    <row r="179" spans="1:18" s="3" customFormat="1">
      <c r="A179" s="62"/>
      <c r="B179" s="70" t="s">
        <v>3792</v>
      </c>
      <c r="C179" s="62" t="s">
        <v>493</v>
      </c>
      <c r="D179" s="62">
        <v>200</v>
      </c>
      <c r="E179" s="62"/>
      <c r="F179" s="62"/>
      <c r="G179" s="62"/>
      <c r="H179" s="62"/>
      <c r="I179" s="62"/>
      <c r="J179" s="62"/>
      <c r="K179" s="76">
        <v>174</v>
      </c>
      <c r="L179" s="75"/>
      <c r="M179" s="62"/>
      <c r="N179" s="62"/>
      <c r="O179" s="62"/>
      <c r="P179" s="62"/>
      <c r="Q179" s="12"/>
      <c r="R179" s="47"/>
    </row>
    <row r="180" spans="1:18" s="3" customFormat="1">
      <c r="A180" s="62"/>
      <c r="B180" s="62" t="s">
        <v>3801</v>
      </c>
      <c r="C180" s="62" t="s">
        <v>493</v>
      </c>
      <c r="D180" s="62">
        <v>100</v>
      </c>
      <c r="E180" s="62"/>
      <c r="F180" s="62"/>
      <c r="G180" s="62"/>
      <c r="H180" s="62"/>
      <c r="I180" s="62"/>
      <c r="J180" s="62"/>
      <c r="K180" s="76">
        <v>175</v>
      </c>
      <c r="L180" s="62"/>
      <c r="M180" s="62"/>
      <c r="N180" s="62"/>
      <c r="O180" s="62"/>
      <c r="P180" s="62"/>
      <c r="Q180" s="12"/>
      <c r="R180" s="12"/>
    </row>
    <row r="181" spans="1:18" s="3" customFormat="1">
      <c r="A181" s="62"/>
      <c r="B181" s="62" t="s">
        <v>3802</v>
      </c>
      <c r="C181" s="62" t="s">
        <v>493</v>
      </c>
      <c r="D181" s="62">
        <v>100</v>
      </c>
      <c r="E181" s="62"/>
      <c r="F181" s="62"/>
      <c r="G181" s="62"/>
      <c r="H181" s="62"/>
      <c r="I181" s="62"/>
      <c r="J181" s="62"/>
      <c r="K181" s="76">
        <v>176</v>
      </c>
      <c r="L181" s="62"/>
      <c r="M181" s="62"/>
      <c r="N181" s="62"/>
      <c r="O181" s="62"/>
      <c r="P181" s="62"/>
      <c r="Q181" s="12"/>
      <c r="R181" s="12"/>
    </row>
    <row r="182" spans="1:18" s="3" customFormat="1">
      <c r="A182" s="62"/>
      <c r="B182" s="62" t="s">
        <v>3803</v>
      </c>
      <c r="C182" s="62" t="s">
        <v>493</v>
      </c>
      <c r="D182" s="62">
        <v>100</v>
      </c>
      <c r="E182" s="62"/>
      <c r="F182" s="62"/>
      <c r="G182" s="62"/>
      <c r="H182" s="62"/>
      <c r="I182" s="62"/>
      <c r="J182" s="62"/>
      <c r="K182" s="76">
        <v>177</v>
      </c>
      <c r="L182" s="62"/>
      <c r="M182" s="62"/>
      <c r="N182" s="62"/>
      <c r="O182" s="62"/>
      <c r="P182" s="62"/>
      <c r="Q182" s="12"/>
      <c r="R182" s="12"/>
    </row>
    <row r="183" spans="1:18" s="3" customFormat="1">
      <c r="A183" s="62"/>
      <c r="B183" s="70" t="s">
        <v>3804</v>
      </c>
      <c r="C183" s="62" t="s">
        <v>494</v>
      </c>
      <c r="D183" s="62"/>
      <c r="E183" s="62"/>
      <c r="F183" s="62"/>
      <c r="G183" s="62"/>
      <c r="H183" s="62"/>
      <c r="I183" s="62"/>
      <c r="J183" s="62"/>
      <c r="K183" s="76">
        <v>178</v>
      </c>
      <c r="L183" s="75"/>
      <c r="M183" s="62">
        <v>1</v>
      </c>
      <c r="N183" s="62"/>
      <c r="O183" s="62"/>
      <c r="P183" s="62"/>
      <c r="Q183" s="12"/>
      <c r="R183" s="47"/>
    </row>
    <row r="184" spans="1:18" s="3" customFormat="1">
      <c r="A184" s="62"/>
      <c r="B184" s="70" t="s">
        <v>3805</v>
      </c>
      <c r="C184" s="62" t="s">
        <v>494</v>
      </c>
      <c r="D184" s="62"/>
      <c r="E184" s="62"/>
      <c r="F184" s="62"/>
      <c r="G184" s="62"/>
      <c r="H184" s="62"/>
      <c r="I184" s="62"/>
      <c r="J184" s="62"/>
      <c r="K184" s="76">
        <v>179</v>
      </c>
      <c r="L184" s="75"/>
      <c r="M184" s="62">
        <v>1</v>
      </c>
      <c r="N184" s="62"/>
      <c r="O184" s="62"/>
      <c r="P184" s="62"/>
      <c r="Q184" s="12"/>
      <c r="R184" s="47"/>
    </row>
    <row r="185" spans="1:18" s="3" customFormat="1">
      <c r="A185" s="62"/>
      <c r="B185" s="70" t="s">
        <v>3808</v>
      </c>
      <c r="C185" s="62" t="s">
        <v>494</v>
      </c>
      <c r="D185" s="62"/>
      <c r="E185" s="62"/>
      <c r="F185" s="62"/>
      <c r="G185" s="62"/>
      <c r="H185" s="62" t="s">
        <v>5630</v>
      </c>
      <c r="I185" s="62"/>
      <c r="J185" s="62"/>
      <c r="K185" s="76">
        <v>180</v>
      </c>
      <c r="L185" s="75"/>
      <c r="M185" s="62">
        <v>1</v>
      </c>
      <c r="N185" s="62"/>
      <c r="O185" s="62"/>
      <c r="P185" s="62"/>
      <c r="Q185" s="12"/>
      <c r="R185" s="47"/>
    </row>
    <row r="186" spans="1:18" s="3" customFormat="1">
      <c r="A186" s="62"/>
      <c r="B186" s="70" t="s">
        <v>3809</v>
      </c>
      <c r="C186" s="62" t="s">
        <v>494</v>
      </c>
      <c r="D186" s="62"/>
      <c r="E186" s="62"/>
      <c r="F186" s="62"/>
      <c r="G186" s="62"/>
      <c r="H186" s="62" t="s">
        <v>5631</v>
      </c>
      <c r="I186" s="62"/>
      <c r="J186" s="62"/>
      <c r="K186" s="76">
        <v>181</v>
      </c>
      <c r="L186" s="75"/>
      <c r="M186" s="62">
        <v>1</v>
      </c>
      <c r="N186" s="62"/>
      <c r="O186" s="62"/>
      <c r="P186" s="62"/>
      <c r="Q186" s="12"/>
      <c r="R186" s="47"/>
    </row>
    <row r="187" spans="1:18" s="3" customFormat="1">
      <c r="A187" s="62"/>
      <c r="B187" s="70" t="s">
        <v>3810</v>
      </c>
      <c r="C187" s="62" t="s">
        <v>494</v>
      </c>
      <c r="D187" s="62"/>
      <c r="E187" s="62"/>
      <c r="F187" s="62"/>
      <c r="G187" s="62"/>
      <c r="H187" s="62"/>
      <c r="I187" s="62"/>
      <c r="J187" s="62"/>
      <c r="K187" s="76">
        <v>182</v>
      </c>
      <c r="L187" s="75"/>
      <c r="M187" s="62">
        <v>1</v>
      </c>
      <c r="N187" s="62"/>
      <c r="O187" s="62"/>
      <c r="P187" s="62"/>
      <c r="Q187" s="12"/>
      <c r="R187" s="47"/>
    </row>
    <row r="188" spans="1:18" s="3" customFormat="1">
      <c r="A188" s="62"/>
      <c r="B188" s="70" t="s">
        <v>3811</v>
      </c>
      <c r="C188" s="62" t="s">
        <v>494</v>
      </c>
      <c r="D188" s="62"/>
      <c r="E188" s="62"/>
      <c r="F188" s="62"/>
      <c r="G188" s="62"/>
      <c r="H188" s="62" t="s">
        <v>5632</v>
      </c>
      <c r="I188" s="62"/>
      <c r="J188" s="62"/>
      <c r="K188" s="76">
        <v>183</v>
      </c>
      <c r="L188" s="75"/>
      <c r="M188" s="62">
        <v>1</v>
      </c>
      <c r="N188" s="62"/>
      <c r="O188" s="62"/>
      <c r="P188" s="62"/>
      <c r="Q188" s="12"/>
      <c r="R188" s="47"/>
    </row>
    <row r="189" spans="1:18" s="3" customFormat="1">
      <c r="A189" s="62"/>
      <c r="B189" s="70" t="s">
        <v>3806</v>
      </c>
      <c r="C189" s="62" t="s">
        <v>494</v>
      </c>
      <c r="D189" s="62"/>
      <c r="E189" s="62"/>
      <c r="F189" s="62"/>
      <c r="G189" s="62"/>
      <c r="H189" s="62" t="s">
        <v>5633</v>
      </c>
      <c r="I189" s="62"/>
      <c r="J189" s="62"/>
      <c r="K189" s="76">
        <v>184</v>
      </c>
      <c r="L189" s="75"/>
      <c r="M189" s="62">
        <v>1</v>
      </c>
      <c r="N189" s="62"/>
      <c r="O189" s="62"/>
      <c r="P189" s="62"/>
      <c r="Q189" s="12"/>
      <c r="R189" s="47"/>
    </row>
    <row r="190" spans="1:18" s="3" customFormat="1">
      <c r="A190" s="62"/>
      <c r="B190" s="70" t="s">
        <v>3807</v>
      </c>
      <c r="C190" s="62" t="s">
        <v>494</v>
      </c>
      <c r="D190" s="62"/>
      <c r="E190" s="62"/>
      <c r="F190" s="62"/>
      <c r="G190" s="62"/>
      <c r="H190" s="62" t="s">
        <v>6092</v>
      </c>
      <c r="I190" s="62"/>
      <c r="J190" s="62"/>
      <c r="K190" s="76">
        <v>185</v>
      </c>
      <c r="L190" s="75">
        <v>3</v>
      </c>
      <c r="M190" s="62"/>
      <c r="N190" s="62" t="s">
        <v>3823</v>
      </c>
      <c r="O190" s="62" t="s">
        <v>3819</v>
      </c>
      <c r="P190" s="62" t="s">
        <v>3822</v>
      </c>
      <c r="Q190" s="12"/>
      <c r="R190" s="47"/>
    </row>
    <row r="191" spans="1:18" s="3" customFormat="1">
      <c r="A191" s="62"/>
      <c r="B191" s="70" t="s">
        <v>3812</v>
      </c>
      <c r="C191" s="62" t="s">
        <v>493</v>
      </c>
      <c r="D191" s="62">
        <v>1</v>
      </c>
      <c r="E191" s="62"/>
      <c r="F191" s="62"/>
      <c r="G191" s="62"/>
      <c r="H191" s="62"/>
      <c r="I191" s="62"/>
      <c r="J191" s="62"/>
      <c r="K191" s="76">
        <v>186</v>
      </c>
      <c r="L191" s="75">
        <v>3</v>
      </c>
      <c r="M191" s="62"/>
      <c r="N191" s="62"/>
      <c r="O191" s="62"/>
      <c r="P191" s="62"/>
      <c r="Q191" s="12"/>
      <c r="R191" s="47"/>
    </row>
    <row r="192" spans="1:18" s="3" customFormat="1">
      <c r="A192" s="62"/>
      <c r="B192" s="70" t="s">
        <v>3813</v>
      </c>
      <c r="C192" s="62" t="s">
        <v>494</v>
      </c>
      <c r="D192" s="62"/>
      <c r="E192" s="62"/>
      <c r="F192" s="62"/>
      <c r="G192" s="62"/>
      <c r="H192" s="62" t="s">
        <v>6093</v>
      </c>
      <c r="I192" s="62"/>
      <c r="J192" s="62"/>
      <c r="K192" s="76">
        <v>187</v>
      </c>
      <c r="L192" s="75">
        <v>3</v>
      </c>
      <c r="M192" s="62"/>
      <c r="N192" s="62" t="s">
        <v>3823</v>
      </c>
      <c r="O192" s="62" t="s">
        <v>3819</v>
      </c>
      <c r="P192" s="62" t="s">
        <v>3822</v>
      </c>
      <c r="Q192" s="12"/>
      <c r="R192" s="47">
        <v>2315</v>
      </c>
    </row>
    <row r="193" spans="1:18" s="3" customFormat="1">
      <c r="A193" s="62"/>
      <c r="B193" s="62" t="s">
        <v>3876</v>
      </c>
      <c r="C193" s="62" t="s">
        <v>494</v>
      </c>
      <c r="D193" s="62"/>
      <c r="E193" s="62"/>
      <c r="F193" s="62"/>
      <c r="G193" s="62"/>
      <c r="H193" s="62"/>
      <c r="I193" s="62"/>
      <c r="J193" s="62"/>
      <c r="K193" s="76">
        <v>188</v>
      </c>
      <c r="L193" s="62"/>
      <c r="M193" s="62">
        <v>1</v>
      </c>
      <c r="N193" s="62"/>
      <c r="O193" s="62"/>
      <c r="P193" s="62"/>
      <c r="Q193" s="12"/>
      <c r="R193" s="12"/>
    </row>
    <row r="194" spans="1:18" s="3" customFormat="1">
      <c r="A194" s="62"/>
      <c r="B194" s="70" t="s">
        <v>5472</v>
      </c>
      <c r="C194" s="62" t="s">
        <v>494</v>
      </c>
      <c r="D194" s="62"/>
      <c r="E194" s="62"/>
      <c r="F194" s="62"/>
      <c r="G194" s="62"/>
      <c r="H194" s="62"/>
      <c r="I194" s="62"/>
      <c r="J194" s="62"/>
      <c r="K194" s="76">
        <v>189</v>
      </c>
      <c r="L194" s="62"/>
      <c r="M194" s="62"/>
      <c r="N194" s="62"/>
      <c r="O194" s="62"/>
      <c r="P194" s="62"/>
      <c r="Q194" s="12"/>
      <c r="R194" s="12"/>
    </row>
    <row r="195" spans="1:18" s="3" customFormat="1">
      <c r="A195" s="62"/>
      <c r="B195" s="70" t="s">
        <v>5627</v>
      </c>
      <c r="C195" s="62" t="s">
        <v>494</v>
      </c>
      <c r="D195" s="62"/>
      <c r="E195" s="62"/>
      <c r="F195" s="62"/>
      <c r="G195" s="62"/>
      <c r="H195" s="62"/>
      <c r="I195" s="62"/>
      <c r="J195" s="62"/>
      <c r="K195" s="76">
        <v>190</v>
      </c>
      <c r="L195" s="62"/>
      <c r="M195" s="62">
        <v>1</v>
      </c>
      <c r="N195" s="62"/>
      <c r="O195" s="62"/>
      <c r="P195" s="62"/>
      <c r="Q195" s="12"/>
      <c r="R195" s="12"/>
    </row>
    <row r="196" spans="1:18" s="3" customFormat="1">
      <c r="A196" s="62"/>
      <c r="B196" s="70" t="s">
        <v>5628</v>
      </c>
      <c r="C196" s="62" t="s">
        <v>494</v>
      </c>
      <c r="D196" s="62"/>
      <c r="E196" s="62"/>
      <c r="F196" s="62"/>
      <c r="G196" s="62"/>
      <c r="H196" s="62"/>
      <c r="I196" s="62"/>
      <c r="J196" s="62"/>
      <c r="K196" s="76">
        <v>192</v>
      </c>
      <c r="L196" s="62"/>
      <c r="M196" s="62">
        <v>1</v>
      </c>
      <c r="N196" s="62"/>
      <c r="O196" s="62"/>
      <c r="P196" s="62"/>
      <c r="Q196" s="12"/>
      <c r="R196" s="12"/>
    </row>
    <row r="197" spans="1:18" s="3" customFormat="1">
      <c r="A197" s="62"/>
      <c r="B197" s="70" t="s">
        <v>5629</v>
      </c>
      <c r="C197" s="62" t="s">
        <v>494</v>
      </c>
      <c r="D197" s="62"/>
      <c r="E197" s="62"/>
      <c r="F197" s="62"/>
      <c r="G197" s="62"/>
      <c r="H197" s="62"/>
      <c r="I197" s="62"/>
      <c r="J197" s="62"/>
      <c r="K197" s="76">
        <v>193</v>
      </c>
      <c r="L197" s="62"/>
      <c r="M197" s="62">
        <v>1</v>
      </c>
      <c r="N197" s="62"/>
      <c r="O197" s="62"/>
      <c r="P197" s="62"/>
      <c r="Q197" s="12"/>
      <c r="R197" s="12"/>
    </row>
    <row r="198" spans="1:18" s="3" customFormat="1">
      <c r="A198" s="62"/>
      <c r="B198" s="70" t="s">
        <v>5904</v>
      </c>
      <c r="C198" s="62" t="s">
        <v>494</v>
      </c>
      <c r="D198" s="62"/>
      <c r="E198" s="62"/>
      <c r="F198" s="62"/>
      <c r="G198" s="62"/>
      <c r="H198" s="62"/>
      <c r="I198" s="62"/>
      <c r="J198" s="62"/>
      <c r="K198" s="76">
        <v>194</v>
      </c>
      <c r="L198" s="62"/>
      <c r="M198" s="62">
        <v>1</v>
      </c>
      <c r="N198" s="62"/>
      <c r="O198" s="62"/>
      <c r="P198" s="62"/>
      <c r="Q198" s="12"/>
      <c r="R198" s="12"/>
    </row>
    <row r="199" spans="1:18" s="3" customFormat="1">
      <c r="A199" s="62"/>
      <c r="B199" s="70" t="s">
        <v>6141</v>
      </c>
      <c r="C199" s="62" t="s">
        <v>494</v>
      </c>
      <c r="D199" s="62"/>
      <c r="E199" s="62"/>
      <c r="F199" s="62"/>
      <c r="G199" s="62"/>
      <c r="H199" s="62" t="s">
        <v>6142</v>
      </c>
      <c r="I199" s="62"/>
      <c r="J199" s="62"/>
      <c r="K199" s="76">
        <v>195</v>
      </c>
      <c r="L199" s="62">
        <v>3</v>
      </c>
      <c r="M199" s="62"/>
      <c r="N199" s="62" t="s">
        <v>6132</v>
      </c>
      <c r="O199" s="62" t="s">
        <v>6134</v>
      </c>
      <c r="P199" s="62" t="s">
        <v>6137</v>
      </c>
      <c r="Q199" s="12"/>
      <c r="R199" s="12"/>
    </row>
    <row r="200" spans="1:18" s="3" customFormat="1">
      <c r="A200" s="62"/>
      <c r="B200" s="64" t="s">
        <v>6858</v>
      </c>
      <c r="C200" s="62" t="s">
        <v>494</v>
      </c>
      <c r="D200" s="62"/>
      <c r="E200" s="62"/>
      <c r="F200" s="62"/>
      <c r="G200" s="62"/>
      <c r="H200" s="62"/>
      <c r="I200" s="62"/>
      <c r="J200" s="62"/>
      <c r="K200" s="76">
        <v>196</v>
      </c>
      <c r="L200" s="75"/>
      <c r="M200" s="62">
        <v>2</v>
      </c>
      <c r="N200" s="62"/>
      <c r="O200" s="62"/>
      <c r="P200" s="62"/>
      <c r="Q200" s="12"/>
      <c r="R200" s="12"/>
    </row>
    <row r="201" spans="1:18" s="3" customFormat="1">
      <c r="A201" s="62"/>
      <c r="B201" s="70" t="s">
        <v>6859</v>
      </c>
      <c r="C201" s="62" t="s">
        <v>494</v>
      </c>
      <c r="D201" s="62"/>
      <c r="E201" s="62"/>
      <c r="F201" s="62"/>
      <c r="G201" s="62"/>
      <c r="H201" s="62"/>
      <c r="I201" s="62"/>
      <c r="J201" s="62"/>
      <c r="K201" s="76">
        <v>197</v>
      </c>
      <c r="L201" s="75">
        <v>3</v>
      </c>
      <c r="M201" s="62"/>
      <c r="N201" s="62" t="s">
        <v>6872</v>
      </c>
      <c r="O201" s="62" t="s">
        <v>6874</v>
      </c>
      <c r="P201" s="62" t="s">
        <v>6878</v>
      </c>
      <c r="Q201" s="12"/>
      <c r="R201" s="12"/>
    </row>
    <row r="202" spans="1:18" s="3" customFormat="1">
      <c r="A202" s="62"/>
      <c r="B202" s="70" t="s">
        <v>6861</v>
      </c>
      <c r="C202" s="62" t="s">
        <v>494</v>
      </c>
      <c r="D202" s="62"/>
      <c r="E202" s="62"/>
      <c r="F202" s="62"/>
      <c r="G202" s="62"/>
      <c r="H202" s="62"/>
      <c r="I202" s="62"/>
      <c r="J202" s="62"/>
      <c r="K202" s="76">
        <v>198</v>
      </c>
      <c r="L202" s="75">
        <v>3</v>
      </c>
      <c r="M202" s="62"/>
      <c r="N202" s="62" t="s">
        <v>6872</v>
      </c>
      <c r="O202" s="62" t="s">
        <v>6874</v>
      </c>
      <c r="P202" s="62" t="s">
        <v>6878</v>
      </c>
      <c r="Q202" s="12"/>
      <c r="R202" s="12"/>
    </row>
    <row r="203" spans="1:18" s="3" customFormat="1">
      <c r="A203" s="62"/>
      <c r="B203" s="70" t="s">
        <v>6860</v>
      </c>
      <c r="C203" s="62" t="s">
        <v>494</v>
      </c>
      <c r="D203" s="62"/>
      <c r="E203" s="62"/>
      <c r="F203" s="62"/>
      <c r="G203" s="62"/>
      <c r="H203" s="62"/>
      <c r="I203" s="62"/>
      <c r="J203" s="62"/>
      <c r="K203" s="76">
        <v>199</v>
      </c>
      <c r="L203" s="75">
        <v>3</v>
      </c>
      <c r="M203" s="62"/>
      <c r="N203" s="62" t="s">
        <v>6872</v>
      </c>
      <c r="O203" s="62" t="s">
        <v>6874</v>
      </c>
      <c r="P203" s="62" t="s">
        <v>6878</v>
      </c>
      <c r="Q203" s="12"/>
      <c r="R203" s="12"/>
    </row>
    <row r="204" spans="1:18" s="3" customFormat="1">
      <c r="A204" s="62"/>
      <c r="B204" s="70" t="s">
        <v>6862</v>
      </c>
      <c r="C204" s="62" t="s">
        <v>494</v>
      </c>
      <c r="D204" s="62"/>
      <c r="E204" s="62"/>
      <c r="F204" s="62"/>
      <c r="G204" s="62"/>
      <c r="H204" s="62"/>
      <c r="I204" s="62"/>
      <c r="J204" s="62"/>
      <c r="K204" s="76">
        <v>200</v>
      </c>
      <c r="L204" s="75">
        <v>3</v>
      </c>
      <c r="M204" s="62"/>
      <c r="N204" s="62" t="s">
        <v>6872</v>
      </c>
      <c r="O204" s="62" t="s">
        <v>6874</v>
      </c>
      <c r="P204" s="62" t="s">
        <v>6878</v>
      </c>
      <c r="Q204" s="12"/>
      <c r="R204" s="12"/>
    </row>
    <row r="205" spans="1:18" s="3" customFormat="1">
      <c r="A205" s="62"/>
      <c r="B205" s="70" t="s">
        <v>6863</v>
      </c>
      <c r="C205" s="62" t="s">
        <v>494</v>
      </c>
      <c r="D205" s="62"/>
      <c r="E205" s="62"/>
      <c r="F205" s="62"/>
      <c r="G205" s="62"/>
      <c r="H205" s="62"/>
      <c r="I205" s="62"/>
      <c r="J205" s="62"/>
      <c r="K205" s="76">
        <v>201</v>
      </c>
      <c r="L205" s="75">
        <v>3</v>
      </c>
      <c r="M205" s="62"/>
      <c r="N205" s="62"/>
      <c r="O205" s="62"/>
      <c r="P205" s="62"/>
      <c r="Q205" s="12"/>
      <c r="R205" s="12"/>
    </row>
    <row r="206" spans="1:18" s="3" customFormat="1">
      <c r="A206" s="62"/>
      <c r="B206" s="70" t="s">
        <v>6866</v>
      </c>
      <c r="C206" s="62" t="s">
        <v>493</v>
      </c>
      <c r="D206" s="62">
        <v>250</v>
      </c>
      <c r="E206" s="62"/>
      <c r="F206" s="62"/>
      <c r="G206" s="62"/>
      <c r="H206" s="62"/>
      <c r="I206" s="62"/>
      <c r="J206" s="62"/>
      <c r="K206" s="76">
        <v>202</v>
      </c>
      <c r="L206" s="75"/>
      <c r="M206" s="62"/>
      <c r="N206" s="62"/>
      <c r="O206" s="62"/>
      <c r="P206" s="62"/>
      <c r="Q206" s="12"/>
      <c r="R206" s="12"/>
    </row>
    <row r="207" spans="1:18" s="3" customFormat="1">
      <c r="A207" s="62"/>
      <c r="B207" s="70" t="s">
        <v>6864</v>
      </c>
      <c r="C207" s="62" t="s">
        <v>494</v>
      </c>
      <c r="D207" s="62"/>
      <c r="E207" s="62"/>
      <c r="F207" s="62"/>
      <c r="G207" s="62"/>
      <c r="H207" s="62"/>
      <c r="I207" s="62"/>
      <c r="J207" s="62"/>
      <c r="K207" s="76">
        <v>203</v>
      </c>
      <c r="L207" s="75">
        <v>3</v>
      </c>
      <c r="M207" s="62"/>
      <c r="N207" s="62"/>
      <c r="O207" s="62"/>
      <c r="P207" s="62"/>
      <c r="Q207" s="12"/>
      <c r="R207" s="12"/>
    </row>
    <row r="208" spans="1:18" s="3" customFormat="1">
      <c r="A208" s="62"/>
      <c r="B208" s="70" t="s">
        <v>6865</v>
      </c>
      <c r="C208" s="62" t="s">
        <v>493</v>
      </c>
      <c r="D208" s="62">
        <v>250</v>
      </c>
      <c r="E208" s="62"/>
      <c r="F208" s="62"/>
      <c r="G208" s="62"/>
      <c r="H208" s="62"/>
      <c r="I208" s="62"/>
      <c r="J208" s="62"/>
      <c r="K208" s="76">
        <v>204</v>
      </c>
      <c r="L208" s="75"/>
      <c r="M208" s="62"/>
      <c r="N208" s="62"/>
      <c r="O208" s="62"/>
      <c r="P208" s="62"/>
      <c r="Q208" s="12"/>
      <c r="R208" s="12"/>
    </row>
    <row r="209" spans="1:18" s="3" customFormat="1">
      <c r="A209" s="62"/>
      <c r="B209" s="70" t="s">
        <v>6867</v>
      </c>
      <c r="C209" s="62" t="s">
        <v>494</v>
      </c>
      <c r="D209" s="62"/>
      <c r="E209" s="62"/>
      <c r="F209" s="62"/>
      <c r="G209" s="62"/>
      <c r="H209" s="62"/>
      <c r="I209" s="62"/>
      <c r="J209" s="62"/>
      <c r="K209" s="76">
        <v>205</v>
      </c>
      <c r="L209" s="75">
        <v>3</v>
      </c>
      <c r="M209" s="62"/>
      <c r="N209" s="62" t="s">
        <v>6883</v>
      </c>
      <c r="O209" s="62" t="s">
        <v>6885</v>
      </c>
      <c r="P209" s="62" t="s">
        <v>6888</v>
      </c>
      <c r="Q209" s="12"/>
      <c r="R209" s="12"/>
    </row>
    <row r="210" spans="1:18" s="3" customFormat="1">
      <c r="A210" s="62"/>
      <c r="B210" s="62"/>
      <c r="C210" s="62"/>
      <c r="D210" s="62"/>
      <c r="E210" s="62"/>
      <c r="F210" s="62"/>
      <c r="G210" s="62"/>
      <c r="H210" s="62"/>
      <c r="I210" s="62"/>
      <c r="J210" s="62"/>
      <c r="K210" s="76"/>
      <c r="L210" s="75"/>
      <c r="M210" s="62"/>
      <c r="N210" s="62"/>
      <c r="O210" s="62"/>
      <c r="P210" s="62"/>
      <c r="Q210" s="12"/>
      <c r="R210" s="12"/>
    </row>
    <row r="211" spans="1:18" s="3" customFormat="1">
      <c r="A211" s="62" t="s">
        <v>3594</v>
      </c>
      <c r="B211" s="62" t="s">
        <v>3595</v>
      </c>
      <c r="C211" s="62" t="s">
        <v>494</v>
      </c>
      <c r="D211" s="62"/>
      <c r="E211" s="62" t="s">
        <v>476</v>
      </c>
      <c r="F211" s="62">
        <v>23</v>
      </c>
      <c r="G211" s="62">
        <v>2310</v>
      </c>
      <c r="H211" s="62" t="s">
        <v>3602</v>
      </c>
      <c r="I211" s="62"/>
      <c r="J211" s="62">
        <v>2301</v>
      </c>
      <c r="K211" s="76">
        <v>1</v>
      </c>
      <c r="L211" s="62">
        <v>52</v>
      </c>
      <c r="M211" s="62"/>
      <c r="N211" s="62">
        <v>2301</v>
      </c>
      <c r="O211" s="62" t="s">
        <v>3381</v>
      </c>
      <c r="P211" s="62"/>
      <c r="Q211" s="12"/>
      <c r="R211" s="12"/>
    </row>
    <row r="212" spans="1:18" s="3" customFormat="1">
      <c r="A212" s="62"/>
      <c r="B212" s="62" t="s">
        <v>3596</v>
      </c>
      <c r="C212" s="62" t="s">
        <v>494</v>
      </c>
      <c r="D212" s="62"/>
      <c r="E212" s="62" t="s">
        <v>476</v>
      </c>
      <c r="F212" s="62"/>
      <c r="G212" s="62"/>
      <c r="H212" s="62"/>
      <c r="I212" s="62"/>
      <c r="J212" s="62"/>
      <c r="K212" s="76">
        <v>2</v>
      </c>
      <c r="L212" s="62">
        <v>3</v>
      </c>
      <c r="M212" s="62"/>
      <c r="N212" s="62" t="s">
        <v>3562</v>
      </c>
      <c r="O212" s="62" t="s">
        <v>3563</v>
      </c>
      <c r="P212" s="62" t="s">
        <v>3564</v>
      </c>
      <c r="Q212" s="12"/>
      <c r="R212" s="12"/>
    </row>
    <row r="213" spans="1:18" s="3" customFormat="1">
      <c r="A213" s="62"/>
      <c r="B213" s="62" t="s">
        <v>3597</v>
      </c>
      <c r="C213" s="62" t="s">
        <v>494</v>
      </c>
      <c r="D213" s="62"/>
      <c r="E213" s="62" t="s">
        <v>476</v>
      </c>
      <c r="F213" s="62"/>
      <c r="G213" s="62"/>
      <c r="H213" s="62"/>
      <c r="I213" s="62"/>
      <c r="J213" s="62"/>
      <c r="K213" s="76">
        <v>3</v>
      </c>
      <c r="L213" s="62">
        <v>6</v>
      </c>
      <c r="M213" s="62"/>
      <c r="N213" s="62"/>
      <c r="O213" s="62"/>
      <c r="P213" s="62"/>
      <c r="Q213" s="12"/>
      <c r="R213" s="12"/>
    </row>
    <row r="214" spans="1:18" s="3" customFormat="1">
      <c r="A214" s="62"/>
      <c r="B214" s="62" t="s">
        <v>3599</v>
      </c>
      <c r="C214" s="62" t="s">
        <v>494</v>
      </c>
      <c r="D214" s="62"/>
      <c r="E214" s="62"/>
      <c r="F214" s="62"/>
      <c r="G214" s="62"/>
      <c r="H214" s="62"/>
      <c r="I214" s="62"/>
      <c r="J214" s="62"/>
      <c r="K214" s="76">
        <v>4</v>
      </c>
      <c r="L214" s="62">
        <v>6</v>
      </c>
      <c r="M214" s="62"/>
      <c r="N214" s="62"/>
      <c r="O214" s="62"/>
      <c r="P214" s="62"/>
      <c r="Q214" s="12"/>
      <c r="R214" s="12"/>
    </row>
    <row r="215" spans="1:18" s="3" customFormat="1">
      <c r="A215" s="62"/>
      <c r="B215" s="62" t="s">
        <v>3598</v>
      </c>
      <c r="C215" s="62" t="s">
        <v>494</v>
      </c>
      <c r="D215" s="62"/>
      <c r="E215" s="62"/>
      <c r="F215" s="62"/>
      <c r="G215" s="62"/>
      <c r="H215" s="62"/>
      <c r="I215" s="62"/>
      <c r="J215" s="62"/>
      <c r="K215" s="76">
        <v>5</v>
      </c>
      <c r="L215" s="62">
        <v>3</v>
      </c>
      <c r="M215" s="62"/>
      <c r="N215" s="62" t="s">
        <v>3565</v>
      </c>
      <c r="O215" s="62" t="s">
        <v>3568</v>
      </c>
      <c r="P215" s="62" t="s">
        <v>3569</v>
      </c>
      <c r="Q215" s="12"/>
      <c r="R215" s="47">
        <v>2308</v>
      </c>
    </row>
    <row r="216" spans="1:18" s="3" customFormat="1">
      <c r="A216" s="62"/>
      <c r="B216" s="62" t="s">
        <v>3600</v>
      </c>
      <c r="C216" s="62" t="s">
        <v>494</v>
      </c>
      <c r="D216" s="62"/>
      <c r="E216" s="62"/>
      <c r="F216" s="62"/>
      <c r="G216" s="62"/>
      <c r="H216" s="62"/>
      <c r="I216" s="62"/>
      <c r="J216" s="62"/>
      <c r="K216" s="76">
        <v>6</v>
      </c>
      <c r="L216" s="62"/>
      <c r="M216" s="62">
        <v>1</v>
      </c>
      <c r="N216" s="62"/>
      <c r="O216" s="62"/>
      <c r="P216" s="62"/>
      <c r="Q216" s="12"/>
      <c r="R216" s="12"/>
    </row>
    <row r="217" spans="1:18" s="3" customFormat="1">
      <c r="A217" s="62"/>
      <c r="B217" s="62" t="s">
        <v>3601</v>
      </c>
      <c r="C217" s="62" t="s">
        <v>494</v>
      </c>
      <c r="D217" s="62"/>
      <c r="E217" s="62"/>
      <c r="F217" s="62"/>
      <c r="G217" s="62"/>
      <c r="H217" s="62"/>
      <c r="I217" s="62"/>
      <c r="J217" s="62"/>
      <c r="K217" s="76">
        <v>7</v>
      </c>
      <c r="L217" s="62"/>
      <c r="M217" s="62">
        <v>1</v>
      </c>
      <c r="N217" s="62"/>
      <c r="O217" s="62"/>
      <c r="P217" s="62"/>
      <c r="Q217" s="12"/>
      <c r="R217" s="12"/>
    </row>
    <row r="218" spans="1:18" s="3" customFormat="1">
      <c r="A218" s="62"/>
      <c r="B218" s="70" t="s">
        <v>3609</v>
      </c>
      <c r="C218" s="70" t="s">
        <v>494</v>
      </c>
      <c r="D218" s="62"/>
      <c r="E218" s="62"/>
      <c r="F218" s="62"/>
      <c r="G218" s="62"/>
      <c r="H218" s="62"/>
      <c r="I218" s="62"/>
      <c r="J218" s="62"/>
      <c r="K218" s="76">
        <v>8</v>
      </c>
      <c r="L218" s="62">
        <v>3</v>
      </c>
      <c r="M218" s="62"/>
      <c r="N218" s="62"/>
      <c r="O218" s="62"/>
      <c r="P218" s="62"/>
      <c r="Q218" s="12"/>
      <c r="R218" s="12"/>
    </row>
    <row r="219" spans="1:18" s="3" customFormat="1">
      <c r="A219" s="62"/>
      <c r="B219" s="64"/>
      <c r="C219" s="64"/>
      <c r="D219" s="62"/>
      <c r="E219" s="62"/>
      <c r="F219" s="62"/>
      <c r="G219" s="62"/>
      <c r="H219" s="62"/>
      <c r="I219" s="62"/>
      <c r="J219" s="62"/>
      <c r="K219" s="76"/>
      <c r="L219" s="62"/>
      <c r="M219" s="62"/>
      <c r="N219" s="62"/>
      <c r="O219" s="62"/>
      <c r="P219" s="62"/>
      <c r="Q219" s="12"/>
      <c r="R219" s="12"/>
    </row>
    <row r="220" spans="1:18" s="3" customFormat="1">
      <c r="A220" s="62" t="s">
        <v>6783</v>
      </c>
      <c r="B220" s="64" t="s">
        <v>6787</v>
      </c>
      <c r="C220" s="64" t="s">
        <v>494</v>
      </c>
      <c r="D220" s="62"/>
      <c r="E220" s="62" t="s">
        <v>476</v>
      </c>
      <c r="F220" s="62">
        <v>23</v>
      </c>
      <c r="G220" s="62">
        <v>2307</v>
      </c>
      <c r="H220" s="62" t="s">
        <v>6785</v>
      </c>
      <c r="I220" s="62" t="s">
        <v>6786</v>
      </c>
      <c r="J220" s="62">
        <v>1</v>
      </c>
      <c r="K220" s="76">
        <v>1</v>
      </c>
      <c r="L220" s="62">
        <v>3</v>
      </c>
      <c r="M220" s="62"/>
      <c r="N220" s="62" t="s">
        <v>693</v>
      </c>
      <c r="O220" s="1" t="s">
        <v>695</v>
      </c>
      <c r="P220" s="1" t="s">
        <v>696</v>
      </c>
      <c r="Q220" s="12"/>
      <c r="R220" s="12"/>
    </row>
    <row r="221" spans="1:18" s="3" customFormat="1">
      <c r="A221" s="62"/>
      <c r="B221" s="64" t="s">
        <v>6784</v>
      </c>
      <c r="C221" s="64" t="s">
        <v>494</v>
      </c>
      <c r="D221" s="62"/>
      <c r="K221" s="76">
        <v>2</v>
      </c>
      <c r="L221" s="62">
        <v>3</v>
      </c>
      <c r="M221" s="62">
        <v>31</v>
      </c>
      <c r="N221" s="62" t="s">
        <v>3782</v>
      </c>
      <c r="O221" s="62" t="s">
        <v>3785</v>
      </c>
      <c r="P221" s="62" t="s">
        <v>3786</v>
      </c>
      <c r="Q221" s="47" t="s">
        <v>3380</v>
      </c>
      <c r="R221" s="47">
        <v>1</v>
      </c>
    </row>
    <row r="222" spans="1:18" s="3" customFormat="1">
      <c r="A222" s="62"/>
      <c r="B222" s="62"/>
      <c r="C222" s="62"/>
      <c r="D222" s="62"/>
      <c r="E222" s="62"/>
      <c r="F222" s="62"/>
      <c r="G222" s="62"/>
      <c r="H222" s="62"/>
      <c r="I222" s="62"/>
      <c r="J222" s="62"/>
      <c r="K222" s="76"/>
      <c r="L222" s="62"/>
      <c r="M222" s="62"/>
      <c r="N222" s="62"/>
      <c r="O222" s="62"/>
      <c r="P222" s="62"/>
      <c r="Q222" s="12"/>
      <c r="R222" s="12"/>
    </row>
    <row r="223" spans="1:18" s="3" customFormat="1">
      <c r="A223" s="62" t="s">
        <v>3620</v>
      </c>
      <c r="B223" s="62" t="s">
        <v>3621</v>
      </c>
      <c r="C223" s="62" t="s">
        <v>494</v>
      </c>
      <c r="D223" s="62"/>
      <c r="E223" s="62" t="s">
        <v>476</v>
      </c>
      <c r="F223" s="62">
        <v>23</v>
      </c>
      <c r="G223" s="62">
        <v>2311</v>
      </c>
      <c r="H223" s="62" t="s">
        <v>3631</v>
      </c>
      <c r="I223" s="62" t="s">
        <v>3632</v>
      </c>
      <c r="J223" s="62">
        <v>1</v>
      </c>
      <c r="K223" s="76">
        <v>1</v>
      </c>
      <c r="L223" s="62">
        <v>6</v>
      </c>
      <c r="M223" s="62"/>
      <c r="N223" s="62"/>
      <c r="O223" s="62"/>
      <c r="P223" s="62"/>
      <c r="Q223" s="12"/>
      <c r="R223" s="12"/>
    </row>
    <row r="224" spans="1:18" s="3" customFormat="1">
      <c r="A224" s="62"/>
      <c r="B224" s="62" t="s">
        <v>3622</v>
      </c>
      <c r="C224" s="62" t="s">
        <v>494</v>
      </c>
      <c r="D224" s="62"/>
      <c r="E224" s="62"/>
      <c r="F224" s="62"/>
      <c r="G224" s="62"/>
      <c r="H224" s="62"/>
      <c r="I224" s="62"/>
      <c r="J224" s="62"/>
      <c r="K224" s="76">
        <v>2</v>
      </c>
      <c r="L224" s="62">
        <v>6</v>
      </c>
      <c r="M224" s="62"/>
      <c r="N224" s="62"/>
      <c r="O224" s="62"/>
      <c r="P224" s="62"/>
      <c r="Q224" s="12"/>
      <c r="R224" s="12"/>
    </row>
    <row r="225" spans="1:18" s="3" customFormat="1">
      <c r="A225" s="62"/>
      <c r="B225" s="62" t="s">
        <v>3623</v>
      </c>
      <c r="C225" s="62" t="s">
        <v>493</v>
      </c>
      <c r="D225" s="62">
        <v>100</v>
      </c>
      <c r="E225" s="62"/>
      <c r="F225" s="62"/>
      <c r="G225" s="62"/>
      <c r="H225" s="62"/>
      <c r="I225" s="62"/>
      <c r="J225" s="62"/>
      <c r="K225" s="76">
        <v>3</v>
      </c>
      <c r="L225" s="62"/>
      <c r="M225" s="62"/>
      <c r="N225" s="62"/>
      <c r="O225" s="62"/>
      <c r="P225" s="62"/>
      <c r="Q225" s="12"/>
      <c r="R225" s="12"/>
    </row>
    <row r="226" spans="1:18" s="3" customFormat="1">
      <c r="A226" s="62"/>
      <c r="B226" s="62" t="s">
        <v>3624</v>
      </c>
      <c r="C226" s="62" t="s">
        <v>493</v>
      </c>
      <c r="D226" s="62">
        <v>1</v>
      </c>
      <c r="E226" s="62"/>
      <c r="F226" s="62"/>
      <c r="G226" s="62"/>
      <c r="H226" s="62"/>
      <c r="I226" s="62"/>
      <c r="J226" s="62"/>
      <c r="K226" s="76">
        <v>4</v>
      </c>
      <c r="L226" s="62">
        <v>3</v>
      </c>
      <c r="M226" s="62"/>
      <c r="N226" s="62"/>
      <c r="O226" s="62"/>
      <c r="P226" s="62"/>
      <c r="Q226" s="12"/>
      <c r="R226" s="12"/>
    </row>
    <row r="227" spans="1:18" s="3" customFormat="1">
      <c r="A227" s="62"/>
      <c r="B227" s="62" t="s">
        <v>3635</v>
      </c>
      <c r="C227" s="62" t="s">
        <v>494</v>
      </c>
      <c r="D227" s="62"/>
      <c r="E227" s="62"/>
      <c r="F227" s="62"/>
      <c r="G227" s="62"/>
      <c r="H227" s="62"/>
      <c r="I227" s="62"/>
      <c r="J227" s="62"/>
      <c r="K227" s="76">
        <v>5</v>
      </c>
      <c r="L227" s="62"/>
      <c r="M227" s="62"/>
      <c r="N227" s="62"/>
      <c r="O227" s="62"/>
      <c r="P227" s="62"/>
      <c r="Q227" s="12"/>
      <c r="R227" s="12"/>
    </row>
    <row r="228" spans="1:18" s="3" customFormat="1">
      <c r="A228" s="62"/>
      <c r="B228" s="62" t="s">
        <v>3634</v>
      </c>
      <c r="C228" s="62" t="s">
        <v>494</v>
      </c>
      <c r="D228" s="62"/>
      <c r="E228" s="62"/>
      <c r="F228" s="62"/>
      <c r="G228" s="62"/>
      <c r="H228" s="62"/>
      <c r="I228" s="62"/>
      <c r="J228" s="62"/>
      <c r="K228" s="76">
        <v>6</v>
      </c>
      <c r="L228" s="62"/>
      <c r="M228" s="62"/>
      <c r="N228" s="62"/>
      <c r="O228" s="62"/>
      <c r="P228" s="62"/>
      <c r="Q228" s="12"/>
      <c r="R228" s="12"/>
    </row>
    <row r="229" spans="1:18" s="3" customFormat="1">
      <c r="A229" s="62"/>
      <c r="B229" s="62" t="s">
        <v>3625</v>
      </c>
      <c r="C229" s="62" t="s">
        <v>493</v>
      </c>
      <c r="D229" s="62">
        <v>1</v>
      </c>
      <c r="E229" s="62"/>
      <c r="F229" s="62"/>
      <c r="G229" s="62"/>
      <c r="H229" s="62"/>
      <c r="I229" s="62"/>
      <c r="J229" s="62"/>
      <c r="K229" s="76">
        <v>7</v>
      </c>
      <c r="L229" s="62">
        <v>3</v>
      </c>
      <c r="M229" s="62"/>
      <c r="N229" s="62"/>
      <c r="O229" s="62"/>
      <c r="P229" s="62"/>
      <c r="Q229" s="12"/>
      <c r="R229" s="12"/>
    </row>
    <row r="230" spans="1:18" s="3" customFormat="1">
      <c r="A230" s="62"/>
      <c r="B230" s="62" t="s">
        <v>3636</v>
      </c>
      <c r="C230" s="62" t="s">
        <v>494</v>
      </c>
      <c r="D230" s="62"/>
      <c r="E230" s="62"/>
      <c r="F230" s="62"/>
      <c r="G230" s="62"/>
      <c r="H230" s="62"/>
      <c r="I230" s="62"/>
      <c r="J230" s="62"/>
      <c r="K230" s="76">
        <v>8</v>
      </c>
      <c r="L230" s="62"/>
      <c r="M230" s="62"/>
      <c r="N230" s="62"/>
      <c r="O230" s="62"/>
      <c r="P230" s="62"/>
      <c r="Q230" s="12"/>
      <c r="R230" s="12"/>
    </row>
    <row r="231" spans="1:18" s="3" customFormat="1">
      <c r="A231" s="62"/>
      <c r="B231" s="62" t="s">
        <v>3637</v>
      </c>
      <c r="C231" s="62" t="s">
        <v>494</v>
      </c>
      <c r="D231" s="62"/>
      <c r="E231" s="62"/>
      <c r="F231" s="62"/>
      <c r="G231" s="62"/>
      <c r="H231" s="62"/>
      <c r="I231" s="62"/>
      <c r="J231" s="62"/>
      <c r="K231" s="76">
        <v>9</v>
      </c>
      <c r="L231" s="62"/>
      <c r="M231" s="62"/>
      <c r="N231" s="62"/>
      <c r="O231" s="62"/>
      <c r="P231" s="62"/>
      <c r="Q231" s="12"/>
      <c r="R231" s="12"/>
    </row>
    <row r="232" spans="1:18" s="3" customFormat="1">
      <c r="A232" s="62"/>
      <c r="B232" s="62" t="s">
        <v>3626</v>
      </c>
      <c r="C232" s="62" t="s">
        <v>493</v>
      </c>
      <c r="D232" s="62">
        <v>1</v>
      </c>
      <c r="E232" s="62"/>
      <c r="F232" s="62"/>
      <c r="G232" s="62"/>
      <c r="H232" s="62"/>
      <c r="I232" s="62"/>
      <c r="J232" s="62"/>
      <c r="K232" s="76">
        <v>10</v>
      </c>
      <c r="L232" s="62">
        <v>3</v>
      </c>
      <c r="M232" s="62"/>
      <c r="N232" s="62"/>
      <c r="O232" s="62"/>
      <c r="P232" s="62"/>
      <c r="Q232" s="12"/>
      <c r="R232" s="12"/>
    </row>
    <row r="233" spans="1:18" s="3" customFormat="1">
      <c r="A233" s="62"/>
      <c r="B233" s="62" t="s">
        <v>3638</v>
      </c>
      <c r="C233" s="62" t="s">
        <v>494</v>
      </c>
      <c r="D233" s="62"/>
      <c r="E233" s="62"/>
      <c r="F233" s="62"/>
      <c r="G233" s="62"/>
      <c r="H233" s="62"/>
      <c r="I233" s="62"/>
      <c r="J233" s="62"/>
      <c r="K233" s="76">
        <v>11</v>
      </c>
      <c r="L233" s="62"/>
      <c r="M233" s="62"/>
      <c r="N233" s="62"/>
      <c r="O233" s="62"/>
      <c r="P233" s="62"/>
      <c r="Q233" s="12"/>
      <c r="R233" s="12"/>
    </row>
    <row r="234" spans="1:18" s="3" customFormat="1">
      <c r="A234" s="62"/>
      <c r="B234" s="62" t="s">
        <v>3639</v>
      </c>
      <c r="C234" s="62" t="s">
        <v>494</v>
      </c>
      <c r="D234" s="62"/>
      <c r="E234" s="62"/>
      <c r="F234" s="62"/>
      <c r="G234" s="62"/>
      <c r="H234" s="62"/>
      <c r="I234" s="62"/>
      <c r="J234" s="62"/>
      <c r="K234" s="76">
        <v>12</v>
      </c>
      <c r="L234" s="62"/>
      <c r="M234" s="62"/>
      <c r="N234" s="62"/>
      <c r="O234" s="62"/>
      <c r="P234" s="62"/>
      <c r="Q234" s="12"/>
      <c r="R234" s="12"/>
    </row>
    <row r="235" spans="1:18" s="3" customFormat="1">
      <c r="A235" s="62"/>
      <c r="B235" s="62" t="s">
        <v>3627</v>
      </c>
      <c r="C235" s="62" t="s">
        <v>493</v>
      </c>
      <c r="D235" s="62">
        <v>1</v>
      </c>
      <c r="E235" s="62"/>
      <c r="F235" s="62"/>
      <c r="G235" s="62"/>
      <c r="H235" s="62"/>
      <c r="I235" s="62"/>
      <c r="J235" s="62"/>
      <c r="K235" s="76">
        <v>13</v>
      </c>
      <c r="L235" s="62">
        <v>3</v>
      </c>
      <c r="M235" s="62"/>
      <c r="N235" s="62"/>
      <c r="O235" s="62"/>
      <c r="P235" s="62"/>
      <c r="Q235" s="12"/>
      <c r="R235" s="12"/>
    </row>
    <row r="236" spans="1:18" s="3" customFormat="1">
      <c r="A236" s="62"/>
      <c r="B236" s="62" t="s">
        <v>3640</v>
      </c>
      <c r="C236" s="62" t="s">
        <v>494</v>
      </c>
      <c r="D236" s="62"/>
      <c r="E236" s="62"/>
      <c r="F236" s="62"/>
      <c r="G236" s="62"/>
      <c r="H236" s="62"/>
      <c r="I236" s="62"/>
      <c r="J236" s="62"/>
      <c r="K236" s="76">
        <v>14</v>
      </c>
      <c r="L236" s="62"/>
      <c r="M236" s="62"/>
      <c r="N236" s="62"/>
      <c r="O236" s="62"/>
      <c r="P236" s="62"/>
      <c r="Q236" s="12"/>
      <c r="R236" s="12"/>
    </row>
    <row r="237" spans="1:18" s="3" customFormat="1">
      <c r="A237" s="62"/>
      <c r="B237" s="62" t="s">
        <v>3641</v>
      </c>
      <c r="C237" s="62" t="s">
        <v>494</v>
      </c>
      <c r="D237" s="62"/>
      <c r="E237" s="62"/>
      <c r="F237" s="62"/>
      <c r="G237" s="62"/>
      <c r="H237" s="62"/>
      <c r="I237" s="62"/>
      <c r="J237" s="62"/>
      <c r="K237" s="76">
        <v>15</v>
      </c>
      <c r="L237" s="62"/>
      <c r="M237" s="62"/>
      <c r="N237" s="62"/>
      <c r="O237" s="62"/>
      <c r="P237" s="62"/>
      <c r="Q237" s="12"/>
      <c r="R237" s="12"/>
    </row>
    <row r="238" spans="1:18" s="3" customFormat="1">
      <c r="A238" s="62"/>
      <c r="B238" s="62" t="s">
        <v>3628</v>
      </c>
      <c r="C238" s="62" t="s">
        <v>493</v>
      </c>
      <c r="D238" s="62">
        <v>1</v>
      </c>
      <c r="E238" s="62"/>
      <c r="F238" s="62"/>
      <c r="G238" s="62"/>
      <c r="H238" s="62"/>
      <c r="I238" s="62"/>
      <c r="J238" s="62"/>
      <c r="K238" s="76">
        <v>16</v>
      </c>
      <c r="L238" s="62">
        <v>3</v>
      </c>
      <c r="M238" s="62"/>
      <c r="N238" s="62"/>
      <c r="O238" s="62"/>
      <c r="P238" s="62"/>
      <c r="Q238" s="12"/>
      <c r="R238" s="12"/>
    </row>
    <row r="239" spans="1:18" s="3" customFormat="1">
      <c r="A239" s="62"/>
      <c r="B239" s="62" t="s">
        <v>3642</v>
      </c>
      <c r="C239" s="62" t="s">
        <v>494</v>
      </c>
      <c r="D239" s="62"/>
      <c r="E239" s="62"/>
      <c r="F239" s="62"/>
      <c r="G239" s="62"/>
      <c r="H239" s="62"/>
      <c r="I239" s="62"/>
      <c r="J239" s="62"/>
      <c r="K239" s="76">
        <v>17</v>
      </c>
      <c r="L239" s="62"/>
      <c r="M239" s="62"/>
      <c r="N239" s="62"/>
      <c r="O239" s="62"/>
      <c r="P239" s="62"/>
      <c r="Q239" s="12"/>
      <c r="R239" s="12"/>
    </row>
    <row r="240" spans="1:18" s="3" customFormat="1">
      <c r="A240" s="62"/>
      <c r="B240" s="62" t="s">
        <v>3643</v>
      </c>
      <c r="C240" s="62" t="s">
        <v>494</v>
      </c>
      <c r="D240" s="62"/>
      <c r="E240" s="62"/>
      <c r="F240" s="62"/>
      <c r="G240" s="62"/>
      <c r="H240" s="62"/>
      <c r="I240" s="62"/>
      <c r="J240" s="62"/>
      <c r="K240" s="76">
        <v>18</v>
      </c>
      <c r="L240" s="62"/>
      <c r="M240" s="62"/>
      <c r="N240" s="62"/>
      <c r="O240" s="62"/>
      <c r="P240" s="62"/>
      <c r="Q240" s="12"/>
      <c r="R240" s="12"/>
    </row>
    <row r="241" spans="1:18" s="3" customFormat="1">
      <c r="A241" s="62"/>
      <c r="B241" s="62" t="s">
        <v>3629</v>
      </c>
      <c r="C241" s="62" t="s">
        <v>493</v>
      </c>
      <c r="D241" s="62">
        <v>1</v>
      </c>
      <c r="E241" s="62"/>
      <c r="F241" s="62"/>
      <c r="G241" s="62"/>
      <c r="H241" s="62"/>
      <c r="I241" s="62"/>
      <c r="J241" s="62"/>
      <c r="K241" s="76">
        <v>19</v>
      </c>
      <c r="L241" s="62">
        <v>3</v>
      </c>
      <c r="M241" s="62"/>
      <c r="N241" s="62"/>
      <c r="O241" s="62"/>
      <c r="P241" s="62"/>
      <c r="Q241" s="12"/>
      <c r="R241" s="12"/>
    </row>
    <row r="242" spans="1:18" s="3" customFormat="1">
      <c r="A242" s="62"/>
      <c r="B242" s="62" t="s">
        <v>3644</v>
      </c>
      <c r="C242" s="62" t="s">
        <v>494</v>
      </c>
      <c r="D242" s="62"/>
      <c r="E242" s="62"/>
      <c r="F242" s="62"/>
      <c r="G242" s="62"/>
      <c r="H242" s="62"/>
      <c r="I242" s="62"/>
      <c r="J242" s="62"/>
      <c r="K242" s="76">
        <v>20</v>
      </c>
      <c r="L242" s="62"/>
      <c r="M242" s="62"/>
      <c r="N242" s="62"/>
      <c r="O242" s="62"/>
      <c r="P242" s="62"/>
      <c r="Q242" s="12"/>
      <c r="R242" s="12"/>
    </row>
    <row r="243" spans="1:18" s="3" customFormat="1">
      <c r="A243" s="62"/>
      <c r="B243" s="62" t="s">
        <v>3645</v>
      </c>
      <c r="C243" s="62" t="s">
        <v>494</v>
      </c>
      <c r="D243" s="62"/>
      <c r="E243" s="62"/>
      <c r="F243" s="62"/>
      <c r="G243" s="62"/>
      <c r="H243" s="62"/>
      <c r="I243" s="62"/>
      <c r="J243" s="62"/>
      <c r="K243" s="76">
        <v>21</v>
      </c>
      <c r="L243" s="62"/>
      <c r="M243" s="62"/>
      <c r="N243" s="62"/>
      <c r="O243" s="62"/>
      <c r="P243" s="62"/>
      <c r="Q243" s="12"/>
      <c r="R243" s="12"/>
    </row>
    <row r="244" spans="1:18" s="3" customFormat="1">
      <c r="A244" s="62"/>
      <c r="B244" s="62" t="s">
        <v>3630</v>
      </c>
      <c r="C244" s="62" t="s">
        <v>493</v>
      </c>
      <c r="D244" s="62">
        <v>1</v>
      </c>
      <c r="E244" s="62"/>
      <c r="F244" s="62"/>
      <c r="G244" s="62"/>
      <c r="H244" s="62"/>
      <c r="I244" s="62"/>
      <c r="J244" s="62"/>
      <c r="K244" s="76">
        <v>22</v>
      </c>
      <c r="L244" s="62">
        <v>3</v>
      </c>
      <c r="M244" s="62"/>
      <c r="N244" s="62"/>
      <c r="O244" s="62"/>
      <c r="P244" s="62"/>
      <c r="Q244" s="12"/>
      <c r="R244" s="12"/>
    </row>
    <row r="245" spans="1:18" s="3" customFormat="1">
      <c r="A245" s="62"/>
      <c r="B245" s="62" t="s">
        <v>3646</v>
      </c>
      <c r="C245" s="62" t="s">
        <v>494</v>
      </c>
      <c r="D245" s="62"/>
      <c r="E245" s="62"/>
      <c r="F245" s="62"/>
      <c r="G245" s="62"/>
      <c r="H245" s="62"/>
      <c r="I245" s="62"/>
      <c r="J245" s="62"/>
      <c r="K245" s="76">
        <v>23</v>
      </c>
      <c r="L245" s="62"/>
      <c r="M245" s="62"/>
      <c r="N245" s="62"/>
      <c r="O245" s="62"/>
      <c r="P245" s="62"/>
      <c r="Q245" s="12"/>
      <c r="R245" s="12"/>
    </row>
    <row r="246" spans="1:18" s="3" customFormat="1">
      <c r="A246" s="62"/>
      <c r="B246" s="62" t="s">
        <v>3647</v>
      </c>
      <c r="C246" s="62" t="s">
        <v>494</v>
      </c>
      <c r="D246" s="62"/>
      <c r="E246" s="62"/>
      <c r="F246" s="62"/>
      <c r="G246" s="62"/>
      <c r="H246" s="62"/>
      <c r="I246" s="62"/>
      <c r="J246" s="62"/>
      <c r="K246" s="76">
        <v>24</v>
      </c>
      <c r="L246" s="62"/>
      <c r="M246" s="62"/>
      <c r="N246" s="62"/>
      <c r="O246" s="62"/>
      <c r="P246" s="62"/>
      <c r="Q246" s="12"/>
      <c r="R246" s="12"/>
    </row>
    <row r="247" spans="1:18" s="3" customFormat="1">
      <c r="A247" s="62"/>
      <c r="B247" s="62" t="s">
        <v>3709</v>
      </c>
      <c r="C247" s="62" t="s">
        <v>493</v>
      </c>
      <c r="D247" s="62">
        <v>1</v>
      </c>
      <c r="E247" s="62"/>
      <c r="F247" s="62"/>
      <c r="G247" s="62"/>
      <c r="H247" s="62"/>
      <c r="I247" s="62"/>
      <c r="J247" s="62"/>
      <c r="K247" s="76">
        <v>25</v>
      </c>
      <c r="L247" s="62">
        <v>3</v>
      </c>
      <c r="M247" s="62"/>
      <c r="N247" s="62"/>
      <c r="O247" s="62"/>
      <c r="P247" s="62"/>
      <c r="Q247" s="12"/>
      <c r="R247" s="12"/>
    </row>
    <row r="248" spans="1:18" s="3" customFormat="1">
      <c r="A248" s="62"/>
      <c r="B248" s="62"/>
      <c r="C248" s="62"/>
      <c r="D248" s="62"/>
      <c r="E248" s="62"/>
      <c r="F248" s="62"/>
      <c r="G248" s="62"/>
      <c r="H248" s="62"/>
      <c r="I248" s="62"/>
      <c r="J248" s="62"/>
      <c r="K248" s="76"/>
      <c r="L248" s="62"/>
      <c r="M248" s="62"/>
      <c r="N248" s="62"/>
      <c r="O248" s="62"/>
      <c r="P248" s="62"/>
      <c r="Q248" s="12"/>
      <c r="R248" s="12"/>
    </row>
    <row r="249" spans="1:18" s="3" customFormat="1">
      <c r="A249" s="62" t="s">
        <v>3392</v>
      </c>
      <c r="B249" s="62" t="s">
        <v>3393</v>
      </c>
      <c r="C249" s="62" t="s">
        <v>494</v>
      </c>
      <c r="D249" s="62"/>
      <c r="E249" s="62" t="s">
        <v>476</v>
      </c>
      <c r="F249" s="62">
        <v>23</v>
      </c>
      <c r="G249" s="62">
        <v>2302</v>
      </c>
      <c r="H249" s="62" t="s">
        <v>3396</v>
      </c>
      <c r="I249" s="62" t="s">
        <v>3397</v>
      </c>
      <c r="J249" s="62">
        <v>2</v>
      </c>
      <c r="K249" s="76">
        <v>1</v>
      </c>
      <c r="L249" s="62">
        <v>6</v>
      </c>
      <c r="M249" s="62"/>
      <c r="N249" s="62"/>
      <c r="O249" s="62"/>
      <c r="P249" s="62"/>
      <c r="Q249" s="12"/>
      <c r="R249" s="12"/>
    </row>
    <row r="250" spans="1:18" s="3" customFormat="1">
      <c r="A250" s="62"/>
      <c r="B250" s="62" t="s">
        <v>3394</v>
      </c>
      <c r="C250" s="62" t="s">
        <v>494</v>
      </c>
      <c r="D250" s="62"/>
      <c r="E250" s="62"/>
      <c r="F250" s="62"/>
      <c r="G250" s="62"/>
      <c r="H250" s="62"/>
      <c r="I250" s="62"/>
      <c r="J250" s="62"/>
      <c r="K250" s="76">
        <v>2</v>
      </c>
      <c r="L250" s="62">
        <v>6</v>
      </c>
      <c r="M250" s="62"/>
      <c r="N250" s="62"/>
      <c r="O250" s="62"/>
      <c r="P250" s="62"/>
      <c r="Q250" s="12"/>
      <c r="R250" s="12"/>
    </row>
    <row r="251" spans="1:18" s="3" customFormat="1">
      <c r="A251" s="62"/>
      <c r="B251" s="62" t="s">
        <v>3395</v>
      </c>
      <c r="C251" s="62" t="s">
        <v>493</v>
      </c>
      <c r="D251" s="62">
        <v>100</v>
      </c>
      <c r="E251" s="62"/>
      <c r="F251" s="62"/>
      <c r="G251" s="62"/>
      <c r="H251" s="62"/>
      <c r="I251" s="62"/>
      <c r="J251" s="62"/>
      <c r="K251" s="76">
        <v>3</v>
      </c>
      <c r="L251" s="62"/>
      <c r="M251" s="62"/>
      <c r="N251" s="62"/>
      <c r="O251" s="62"/>
      <c r="P251" s="62"/>
      <c r="Q251" s="12"/>
      <c r="R251" s="12"/>
    </row>
    <row r="252" spans="1:18" s="3" customFormat="1">
      <c r="A252" s="62"/>
      <c r="B252" s="62"/>
      <c r="C252" s="62"/>
      <c r="D252" s="62"/>
      <c r="E252" s="62"/>
      <c r="F252" s="62"/>
      <c r="G252" s="62"/>
      <c r="H252" s="62"/>
      <c r="I252" s="62"/>
      <c r="J252" s="62"/>
      <c r="K252" s="76"/>
      <c r="L252" s="62"/>
      <c r="M252" s="62"/>
      <c r="N252" s="62"/>
      <c r="O252" s="62"/>
      <c r="P252" s="62"/>
      <c r="Q252" s="12"/>
      <c r="R252" s="12"/>
    </row>
    <row r="253" spans="1:18" s="3" customFormat="1">
      <c r="A253" s="62" t="s">
        <v>3409</v>
      </c>
      <c r="B253" s="62" t="s">
        <v>3408</v>
      </c>
      <c r="C253" s="62" t="s">
        <v>494</v>
      </c>
      <c r="D253" s="62"/>
      <c r="E253" s="62" t="s">
        <v>476</v>
      </c>
      <c r="F253" s="62">
        <v>23</v>
      </c>
      <c r="G253" s="62">
        <v>2303</v>
      </c>
      <c r="H253" s="62" t="s">
        <v>3412</v>
      </c>
      <c r="I253" s="62" t="s">
        <v>3413</v>
      </c>
      <c r="J253" s="62">
        <v>2</v>
      </c>
      <c r="K253" s="76">
        <v>1</v>
      </c>
      <c r="L253" s="62">
        <v>6</v>
      </c>
      <c r="M253" s="62"/>
      <c r="N253" s="62"/>
      <c r="O253" s="62"/>
      <c r="P253" s="62"/>
      <c r="Q253" s="12"/>
      <c r="R253" s="12"/>
    </row>
    <row r="254" spans="1:18" s="3" customFormat="1">
      <c r="A254" s="62"/>
      <c r="B254" s="62" t="s">
        <v>3410</v>
      </c>
      <c r="C254" s="62" t="s">
        <v>494</v>
      </c>
      <c r="D254" s="62"/>
      <c r="E254" s="62"/>
      <c r="F254" s="62"/>
      <c r="G254" s="62"/>
      <c r="H254" s="62"/>
      <c r="I254" s="62"/>
      <c r="J254" s="62"/>
      <c r="K254" s="76">
        <v>2</v>
      </c>
      <c r="L254" s="62">
        <v>6</v>
      </c>
      <c r="M254" s="62"/>
      <c r="N254" s="62"/>
      <c r="O254" s="62"/>
      <c r="P254" s="62"/>
      <c r="Q254" s="12"/>
      <c r="R254" s="12"/>
    </row>
    <row r="255" spans="1:18" s="3" customFormat="1">
      <c r="A255" s="62"/>
      <c r="B255" s="62" t="s">
        <v>3411</v>
      </c>
      <c r="C255" s="62" t="s">
        <v>493</v>
      </c>
      <c r="D255" s="62">
        <v>100</v>
      </c>
      <c r="E255" s="62"/>
      <c r="F255" s="62"/>
      <c r="G255" s="62"/>
      <c r="H255" s="62"/>
      <c r="I255" s="62"/>
      <c r="J255" s="62"/>
      <c r="K255" s="76">
        <v>3</v>
      </c>
      <c r="L255" s="62"/>
      <c r="M255" s="62"/>
      <c r="N255" s="62"/>
      <c r="O255" s="62"/>
      <c r="P255" s="62"/>
      <c r="Q255" s="12"/>
      <c r="R255" s="12"/>
    </row>
    <row r="256" spans="1:18" s="3" customFormat="1">
      <c r="A256" s="62"/>
      <c r="B256" s="62"/>
      <c r="C256" s="62"/>
      <c r="D256" s="62"/>
      <c r="E256" s="62"/>
      <c r="F256" s="62"/>
      <c r="G256" s="62"/>
      <c r="H256" s="62"/>
      <c r="I256" s="62"/>
      <c r="J256" s="62"/>
      <c r="K256" s="76"/>
      <c r="L256" s="62"/>
      <c r="M256" s="62"/>
      <c r="N256" s="62"/>
      <c r="O256" s="62"/>
      <c r="P256" s="62"/>
      <c r="Q256" s="12"/>
      <c r="R256" s="12"/>
    </row>
    <row r="257" spans="1:18" s="3" customFormat="1">
      <c r="A257" s="62" t="s">
        <v>3445</v>
      </c>
      <c r="B257" s="62" t="s">
        <v>3440</v>
      </c>
      <c r="C257" s="62" t="s">
        <v>494</v>
      </c>
      <c r="D257" s="62"/>
      <c r="E257" s="62" t="s">
        <v>476</v>
      </c>
      <c r="F257" s="62">
        <v>23</v>
      </c>
      <c r="G257" s="62">
        <v>2304</v>
      </c>
      <c r="H257" s="62" t="s">
        <v>3446</v>
      </c>
      <c r="I257" s="62" t="s">
        <v>3447</v>
      </c>
      <c r="J257" s="62">
        <v>2</v>
      </c>
      <c r="K257" s="76">
        <v>1</v>
      </c>
      <c r="L257" s="62">
        <v>6</v>
      </c>
      <c r="M257" s="62"/>
      <c r="N257" s="62"/>
      <c r="O257" s="62"/>
      <c r="P257" s="62"/>
      <c r="Q257" s="12"/>
      <c r="R257" s="12"/>
    </row>
    <row r="258" spans="1:18" s="3" customFormat="1">
      <c r="A258" s="62"/>
      <c r="B258" s="62" t="s">
        <v>3441</v>
      </c>
      <c r="C258" s="62" t="s">
        <v>494</v>
      </c>
      <c r="D258" s="62"/>
      <c r="E258" s="62"/>
      <c r="F258" s="62"/>
      <c r="G258" s="62"/>
      <c r="H258" s="62"/>
      <c r="I258" s="62"/>
      <c r="J258" s="62"/>
      <c r="K258" s="76">
        <v>2</v>
      </c>
      <c r="L258" s="62">
        <v>6</v>
      </c>
      <c r="M258" s="62"/>
      <c r="N258" s="62"/>
      <c r="O258" s="62"/>
      <c r="P258" s="62"/>
      <c r="Q258" s="12"/>
      <c r="R258" s="12"/>
    </row>
    <row r="259" spans="1:18" s="3" customFormat="1">
      <c r="A259" s="62"/>
      <c r="B259" s="62" t="s">
        <v>3443</v>
      </c>
      <c r="C259" s="62" t="s">
        <v>493</v>
      </c>
      <c r="D259" s="62">
        <v>1</v>
      </c>
      <c r="E259" s="62"/>
      <c r="F259" s="62"/>
      <c r="G259" s="62"/>
      <c r="H259" s="62"/>
      <c r="I259" s="62"/>
      <c r="J259" s="62"/>
      <c r="K259" s="76">
        <v>3</v>
      </c>
      <c r="L259" s="62">
        <v>3</v>
      </c>
      <c r="M259" s="62"/>
      <c r="N259" s="62"/>
      <c r="O259" s="62"/>
      <c r="P259" s="62"/>
      <c r="Q259" s="12"/>
      <c r="R259" s="12"/>
    </row>
    <row r="260" spans="1:18" s="3" customFormat="1">
      <c r="A260" s="62"/>
      <c r="B260" s="62" t="s">
        <v>3444</v>
      </c>
      <c r="C260" s="62" t="s">
        <v>494</v>
      </c>
      <c r="D260" s="62"/>
      <c r="E260" s="62"/>
      <c r="F260" s="62"/>
      <c r="G260" s="62"/>
      <c r="H260" s="62"/>
      <c r="I260" s="62"/>
      <c r="J260" s="62"/>
      <c r="K260" s="76">
        <v>4</v>
      </c>
      <c r="L260" s="62"/>
      <c r="M260" s="62"/>
      <c r="N260" s="62"/>
      <c r="O260" s="62"/>
      <c r="P260" s="62"/>
      <c r="Q260" s="12"/>
      <c r="R260" s="12"/>
    </row>
    <row r="261" spans="1:18" s="3" customFormat="1">
      <c r="A261" s="62"/>
      <c r="B261" s="62" t="s">
        <v>3442</v>
      </c>
      <c r="C261" s="62" t="s">
        <v>493</v>
      </c>
      <c r="D261" s="62">
        <v>100</v>
      </c>
      <c r="E261" s="62"/>
      <c r="F261" s="62"/>
      <c r="G261" s="62"/>
      <c r="H261" s="62"/>
      <c r="I261" s="62"/>
      <c r="J261" s="62"/>
      <c r="K261" s="76">
        <v>5</v>
      </c>
      <c r="L261" s="62"/>
      <c r="M261" s="62"/>
      <c r="N261" s="62"/>
      <c r="O261" s="62"/>
      <c r="P261" s="62"/>
      <c r="Q261" s="12"/>
      <c r="R261" s="12"/>
    </row>
    <row r="262" spans="1:18" s="3" customFormat="1">
      <c r="A262" s="62"/>
      <c r="B262" s="62"/>
      <c r="C262" s="62"/>
      <c r="D262" s="62"/>
      <c r="E262" s="62"/>
      <c r="F262" s="62"/>
      <c r="G262" s="62"/>
      <c r="H262" s="62"/>
      <c r="I262" s="62"/>
      <c r="J262" s="62"/>
      <c r="K262" s="76"/>
      <c r="L262" s="62"/>
      <c r="M262" s="62"/>
      <c r="N262" s="62"/>
      <c r="O262" s="62"/>
      <c r="P262" s="62"/>
      <c r="Q262" s="12"/>
      <c r="R262" s="12"/>
    </row>
    <row r="263" spans="1:18" s="3" customFormat="1">
      <c r="A263" s="62" t="s">
        <v>3456</v>
      </c>
      <c r="B263" s="62" t="s">
        <v>3451</v>
      </c>
      <c r="C263" s="62" t="s">
        <v>494</v>
      </c>
      <c r="D263" s="62"/>
      <c r="E263" s="62" t="s">
        <v>476</v>
      </c>
      <c r="F263" s="62">
        <v>23</v>
      </c>
      <c r="G263" s="62">
        <v>2305</v>
      </c>
      <c r="H263" s="62" t="s">
        <v>3457</v>
      </c>
      <c r="I263" s="62" t="s">
        <v>3458</v>
      </c>
      <c r="J263" s="62">
        <v>2</v>
      </c>
      <c r="K263" s="76">
        <v>1</v>
      </c>
      <c r="L263" s="62">
        <v>6</v>
      </c>
      <c r="M263" s="62"/>
      <c r="N263" s="62"/>
      <c r="O263" s="62"/>
      <c r="P263" s="62"/>
      <c r="Q263" s="12"/>
      <c r="R263" s="12"/>
    </row>
    <row r="264" spans="1:18" s="3" customFormat="1">
      <c r="A264" s="62"/>
      <c r="B264" s="62" t="s">
        <v>3452</v>
      </c>
      <c r="C264" s="62" t="s">
        <v>494</v>
      </c>
      <c r="D264" s="62"/>
      <c r="E264" s="62"/>
      <c r="F264" s="62"/>
      <c r="G264" s="62"/>
      <c r="H264" s="62"/>
      <c r="I264" s="62"/>
      <c r="J264" s="62"/>
      <c r="K264" s="76">
        <v>2</v>
      </c>
      <c r="L264" s="62">
        <v>6</v>
      </c>
      <c r="M264" s="62"/>
      <c r="N264" s="62"/>
      <c r="O264" s="62"/>
      <c r="P264" s="62"/>
      <c r="Q264" s="12"/>
      <c r="R264" s="12"/>
    </row>
    <row r="265" spans="1:18" s="3" customFormat="1">
      <c r="A265" s="62"/>
      <c r="B265" s="62" t="s">
        <v>3453</v>
      </c>
      <c r="C265" s="62" t="s">
        <v>493</v>
      </c>
      <c r="D265" s="62">
        <v>1</v>
      </c>
      <c r="E265" s="62"/>
      <c r="F265" s="62"/>
      <c r="G265" s="62"/>
      <c r="H265" s="62"/>
      <c r="I265" s="62"/>
      <c r="J265" s="62"/>
      <c r="K265" s="76">
        <v>3</v>
      </c>
      <c r="L265" s="62">
        <v>3</v>
      </c>
      <c r="M265" s="62"/>
      <c r="N265" s="62"/>
      <c r="O265" s="62"/>
      <c r="P265" s="62"/>
      <c r="Q265" s="12"/>
      <c r="R265" s="12"/>
    </row>
    <row r="266" spans="1:18" s="3" customFormat="1">
      <c r="A266" s="62"/>
      <c r="B266" s="62" t="s">
        <v>3454</v>
      </c>
      <c r="C266" s="62" t="s">
        <v>494</v>
      </c>
      <c r="D266" s="62"/>
      <c r="E266" s="62"/>
      <c r="F266" s="62"/>
      <c r="G266" s="62"/>
      <c r="H266" s="62"/>
      <c r="I266" s="62"/>
      <c r="J266" s="62"/>
      <c r="K266" s="76">
        <v>4</v>
      </c>
      <c r="L266" s="62"/>
      <c r="M266" s="62"/>
      <c r="N266" s="62"/>
      <c r="O266" s="62"/>
      <c r="P266" s="62"/>
      <c r="Q266" s="12"/>
      <c r="R266" s="12"/>
    </row>
    <row r="267" spans="1:18" s="3" customFormat="1">
      <c r="A267" s="62"/>
      <c r="B267" s="62" t="s">
        <v>3455</v>
      </c>
      <c r="C267" s="62" t="s">
        <v>493</v>
      </c>
      <c r="D267" s="62">
        <v>100</v>
      </c>
      <c r="E267" s="62"/>
      <c r="F267" s="62"/>
      <c r="G267" s="62"/>
      <c r="H267" s="62"/>
      <c r="I267" s="62"/>
      <c r="J267" s="62"/>
      <c r="K267" s="76">
        <v>5</v>
      </c>
      <c r="L267" s="62"/>
      <c r="M267" s="62"/>
      <c r="N267" s="62"/>
      <c r="O267" s="62"/>
      <c r="P267" s="62"/>
      <c r="Q267" s="12"/>
      <c r="R267" s="12"/>
    </row>
    <row r="268" spans="1:18" s="3" customFormat="1">
      <c r="A268" s="62"/>
      <c r="B268" s="62"/>
      <c r="C268" s="62"/>
      <c r="D268" s="62"/>
      <c r="E268" s="62"/>
      <c r="F268" s="62"/>
      <c r="G268" s="62"/>
      <c r="H268" s="62"/>
      <c r="I268" s="62"/>
      <c r="J268" s="62"/>
      <c r="K268" s="76"/>
      <c r="L268" s="62"/>
      <c r="M268" s="62"/>
      <c r="N268" s="62"/>
      <c r="O268" s="62"/>
      <c r="P268" s="62"/>
      <c r="Q268" s="12"/>
      <c r="R268" s="12"/>
    </row>
    <row r="269" spans="1:18" s="1" customFormat="1">
      <c r="A269" s="62" t="s">
        <v>3584</v>
      </c>
      <c r="B269" s="62" t="s">
        <v>3585</v>
      </c>
      <c r="C269" s="62" t="s">
        <v>494</v>
      </c>
      <c r="E269" s="62" t="s">
        <v>476</v>
      </c>
      <c r="F269" s="1">
        <v>23</v>
      </c>
      <c r="G269" s="1">
        <v>2350</v>
      </c>
      <c r="H269" s="62" t="s">
        <v>1392</v>
      </c>
      <c r="I269" s="22" t="s">
        <v>3415</v>
      </c>
      <c r="J269" s="1">
        <v>11</v>
      </c>
      <c r="K269" s="82">
        <v>1</v>
      </c>
      <c r="L269" s="9">
        <v>3</v>
      </c>
      <c r="N269" s="10" t="s">
        <v>506</v>
      </c>
      <c r="O269" s="10" t="s">
        <v>514</v>
      </c>
      <c r="P269" s="1" t="s">
        <v>515</v>
      </c>
    </row>
    <row r="270" spans="1:18" s="1" customFormat="1">
      <c r="B270" s="62" t="s">
        <v>3586</v>
      </c>
      <c r="C270" s="62" t="s">
        <v>494</v>
      </c>
      <c r="I270" s="2"/>
      <c r="K270" s="82">
        <v>2</v>
      </c>
      <c r="L270" s="68">
        <v>3</v>
      </c>
      <c r="M270">
        <v>3</v>
      </c>
      <c r="N270" s="62" t="s">
        <v>693</v>
      </c>
      <c r="O270" s="1" t="s">
        <v>695</v>
      </c>
      <c r="P270" s="1" t="s">
        <v>696</v>
      </c>
      <c r="Q270"/>
      <c r="R270"/>
    </row>
    <row r="271" spans="1:18" s="1" customFormat="1">
      <c r="B271" s="62" t="s">
        <v>3587</v>
      </c>
      <c r="C271" s="62" t="s">
        <v>494</v>
      </c>
      <c r="I271" s="2"/>
      <c r="K271" s="82">
        <v>3</v>
      </c>
      <c r="L271" s="15">
        <v>3</v>
      </c>
      <c r="M271" s="14">
        <v>31</v>
      </c>
      <c r="N271" s="62" t="s">
        <v>379</v>
      </c>
      <c r="O271" s="62" t="s">
        <v>698</v>
      </c>
      <c r="P271" s="62" t="s">
        <v>699</v>
      </c>
      <c r="Q271" s="62" t="s">
        <v>383</v>
      </c>
      <c r="R271" s="14">
        <v>2</v>
      </c>
    </row>
    <row r="272" spans="1:18" s="1" customFormat="1">
      <c r="B272" s="62" t="s">
        <v>4261</v>
      </c>
      <c r="C272" s="62" t="s">
        <v>494</v>
      </c>
      <c r="I272" s="2"/>
      <c r="K272" s="82">
        <v>3</v>
      </c>
      <c r="L272" s="15"/>
      <c r="M272" s="14"/>
      <c r="N272" s="62"/>
      <c r="O272" s="62"/>
      <c r="P272" s="62"/>
      <c r="Q272" s="62"/>
      <c r="R272" s="14"/>
    </row>
    <row r="273" spans="1:16" s="1" customFormat="1">
      <c r="I273" s="2"/>
      <c r="K273" s="82"/>
      <c r="L273" s="9"/>
    </row>
    <row r="274" spans="1:16">
      <c r="A274" s="62" t="s">
        <v>3557</v>
      </c>
      <c r="B274" s="62" t="s">
        <v>3451</v>
      </c>
      <c r="C274" s="62" t="s">
        <v>494</v>
      </c>
      <c r="E274" s="62" t="s">
        <v>476</v>
      </c>
      <c r="F274">
        <v>23</v>
      </c>
      <c r="G274">
        <v>2306</v>
      </c>
      <c r="H274" s="62" t="s">
        <v>2384</v>
      </c>
      <c r="I274" s="62" t="s">
        <v>3561</v>
      </c>
      <c r="J274">
        <v>2</v>
      </c>
      <c r="K274" s="76">
        <v>1</v>
      </c>
      <c r="L274" s="32">
        <v>6</v>
      </c>
    </row>
    <row r="275" spans="1:16">
      <c r="B275" s="62" t="s">
        <v>3558</v>
      </c>
      <c r="C275" s="62" t="s">
        <v>494</v>
      </c>
      <c r="E275" s="62"/>
      <c r="K275" s="76">
        <v>2</v>
      </c>
      <c r="L275" s="32">
        <v>6</v>
      </c>
    </row>
    <row r="276" spans="1:16">
      <c r="B276" s="62" t="s">
        <v>3559</v>
      </c>
      <c r="C276" s="62" t="s">
        <v>494</v>
      </c>
      <c r="K276" s="76">
        <v>3</v>
      </c>
      <c r="L276" s="32">
        <v>3</v>
      </c>
      <c r="N276" s="62" t="s">
        <v>3562</v>
      </c>
      <c r="O276" s="62" t="s">
        <v>3563</v>
      </c>
      <c r="P276" s="62" t="s">
        <v>3564</v>
      </c>
    </row>
    <row r="277" spans="1:16">
      <c r="B277" s="62" t="s">
        <v>3560</v>
      </c>
      <c r="C277" s="62" t="s">
        <v>493</v>
      </c>
      <c r="D277">
        <v>100</v>
      </c>
      <c r="K277" s="76">
        <v>4</v>
      </c>
    </row>
    <row r="278" spans="1:16">
      <c r="B278" s="62" t="s">
        <v>3714</v>
      </c>
      <c r="C278" s="62" t="s">
        <v>520</v>
      </c>
      <c r="K278" s="76">
        <v>5</v>
      </c>
    </row>
    <row r="280" spans="1:16">
      <c r="A280" s="62" t="s">
        <v>3562</v>
      </c>
      <c r="B280" s="62" t="s">
        <v>3563</v>
      </c>
      <c r="C280" s="62" t="s">
        <v>494</v>
      </c>
      <c r="E280" s="62" t="s">
        <v>476</v>
      </c>
      <c r="K280" s="76">
        <v>1</v>
      </c>
    </row>
    <row r="281" spans="1:16">
      <c r="B281" s="62" t="s">
        <v>3564</v>
      </c>
      <c r="C281" s="62" t="s">
        <v>493</v>
      </c>
      <c r="D281">
        <v>100</v>
      </c>
      <c r="K281" s="76">
        <v>2</v>
      </c>
    </row>
    <row r="283" spans="1:16">
      <c r="A283" s="62" t="s">
        <v>3565</v>
      </c>
      <c r="B283" s="62" t="s">
        <v>3566</v>
      </c>
      <c r="C283" s="62" t="s">
        <v>494</v>
      </c>
      <c r="E283" s="62" t="s">
        <v>476</v>
      </c>
      <c r="F283">
        <v>23</v>
      </c>
      <c r="G283">
        <v>2308</v>
      </c>
      <c r="H283" s="62" t="s">
        <v>3575</v>
      </c>
      <c r="I283" s="62" t="s">
        <v>3576</v>
      </c>
      <c r="J283">
        <v>1</v>
      </c>
      <c r="K283" s="76">
        <v>1</v>
      </c>
    </row>
    <row r="284" spans="1:16">
      <c r="B284" s="62" t="s">
        <v>3567</v>
      </c>
      <c r="C284" s="62" t="s">
        <v>494</v>
      </c>
      <c r="E284" s="62" t="s">
        <v>476</v>
      </c>
      <c r="K284" s="76">
        <v>2</v>
      </c>
      <c r="L284">
        <v>6</v>
      </c>
    </row>
    <row r="285" spans="1:16">
      <c r="B285" s="62" t="s">
        <v>3568</v>
      </c>
      <c r="C285" s="62" t="s">
        <v>494</v>
      </c>
      <c r="K285" s="76">
        <v>3</v>
      </c>
      <c r="L285">
        <v>6</v>
      </c>
    </row>
    <row r="286" spans="1:16">
      <c r="B286" s="62" t="s">
        <v>3574</v>
      </c>
      <c r="C286" s="62" t="s">
        <v>493</v>
      </c>
      <c r="D286">
        <v>1</v>
      </c>
      <c r="K286" s="76">
        <v>4</v>
      </c>
      <c r="L286">
        <v>3</v>
      </c>
    </row>
    <row r="287" spans="1:16">
      <c r="B287" s="62" t="s">
        <v>3577</v>
      </c>
      <c r="C287" s="62" t="s">
        <v>494</v>
      </c>
      <c r="K287" s="76">
        <v>5</v>
      </c>
      <c r="L287">
        <v>3</v>
      </c>
      <c r="N287" s="62" t="s">
        <v>3557</v>
      </c>
      <c r="O287" s="62" t="s">
        <v>3558</v>
      </c>
      <c r="P287" s="62" t="s">
        <v>3560</v>
      </c>
    </row>
    <row r="288" spans="1:16">
      <c r="B288" s="62" t="s">
        <v>3569</v>
      </c>
      <c r="C288" s="62" t="s">
        <v>493</v>
      </c>
      <c r="D288">
        <v>100</v>
      </c>
      <c r="K288" s="76">
        <v>6</v>
      </c>
    </row>
    <row r="289" spans="1:15">
      <c r="B289" s="62" t="s">
        <v>3570</v>
      </c>
      <c r="C289" s="62" t="s">
        <v>520</v>
      </c>
      <c r="K289" s="76">
        <v>7</v>
      </c>
    </row>
    <row r="290" spans="1:15">
      <c r="B290" s="62" t="s">
        <v>3571</v>
      </c>
      <c r="C290" s="62" t="s">
        <v>494</v>
      </c>
      <c r="K290" s="76">
        <v>8</v>
      </c>
      <c r="L290">
        <v>3</v>
      </c>
    </row>
    <row r="291" spans="1:15">
      <c r="B291" s="62" t="s">
        <v>3572</v>
      </c>
      <c r="C291" s="62" t="s">
        <v>494</v>
      </c>
      <c r="K291" s="76">
        <v>9</v>
      </c>
    </row>
    <row r="292" spans="1:15">
      <c r="B292" s="62" t="s">
        <v>3573</v>
      </c>
      <c r="C292" s="62" t="s">
        <v>494</v>
      </c>
      <c r="K292" s="76">
        <v>10</v>
      </c>
      <c r="M292">
        <v>1</v>
      </c>
    </row>
    <row r="293" spans="1:15">
      <c r="B293" s="70" t="s">
        <v>3608</v>
      </c>
      <c r="C293" s="70" t="s">
        <v>494</v>
      </c>
      <c r="K293" s="76">
        <v>11</v>
      </c>
      <c r="L293">
        <v>3</v>
      </c>
    </row>
    <row r="295" spans="1:15">
      <c r="A295" s="62" t="s">
        <v>3578</v>
      </c>
      <c r="B295" s="62" t="s">
        <v>3579</v>
      </c>
      <c r="C295" s="62" t="s">
        <v>494</v>
      </c>
      <c r="E295" s="62" t="s">
        <v>476</v>
      </c>
      <c r="F295">
        <v>23</v>
      </c>
      <c r="G295">
        <v>2309</v>
      </c>
      <c r="H295" s="62" t="s">
        <v>1828</v>
      </c>
      <c r="J295">
        <v>1</v>
      </c>
      <c r="K295" s="76">
        <v>1</v>
      </c>
      <c r="L295">
        <v>52</v>
      </c>
      <c r="N295" s="62">
        <v>2308</v>
      </c>
      <c r="O295" s="62" t="s">
        <v>3568</v>
      </c>
    </row>
    <row r="296" spans="1:15">
      <c r="B296" s="62" t="s">
        <v>3580</v>
      </c>
      <c r="C296" s="62" t="s">
        <v>494</v>
      </c>
      <c r="E296" s="62" t="s">
        <v>476</v>
      </c>
      <c r="K296" s="76">
        <v>2</v>
      </c>
      <c r="L296">
        <v>6</v>
      </c>
    </row>
    <row r="297" spans="1:15">
      <c r="B297" s="62" t="s">
        <v>3581</v>
      </c>
      <c r="C297" s="62" t="s">
        <v>494</v>
      </c>
      <c r="K297" s="76">
        <v>3</v>
      </c>
      <c r="L297">
        <v>6</v>
      </c>
    </row>
    <row r="298" spans="1:15">
      <c r="B298" s="62" t="s">
        <v>3582</v>
      </c>
      <c r="C298" s="62" t="s">
        <v>494</v>
      </c>
      <c r="K298" s="76">
        <v>4</v>
      </c>
    </row>
    <row r="299" spans="1:15">
      <c r="B299" s="62" t="s">
        <v>3583</v>
      </c>
      <c r="C299" s="62" t="s">
        <v>520</v>
      </c>
      <c r="K299" s="76">
        <v>5</v>
      </c>
    </row>
    <row r="300" spans="1:15">
      <c r="B300" s="62"/>
      <c r="C300" s="62"/>
      <c r="K300" s="76"/>
    </row>
    <row r="301" spans="1:15">
      <c r="A301" s="62" t="s">
        <v>3852</v>
      </c>
      <c r="B301" s="62" t="s">
        <v>3854</v>
      </c>
      <c r="C301" s="62" t="s">
        <v>494</v>
      </c>
      <c r="E301" s="62" t="s">
        <v>476</v>
      </c>
      <c r="F301">
        <v>23</v>
      </c>
      <c r="G301">
        <v>2317</v>
      </c>
      <c r="H301" s="62" t="s">
        <v>111</v>
      </c>
      <c r="J301">
        <v>1</v>
      </c>
      <c r="K301" s="76">
        <v>1</v>
      </c>
      <c r="L301">
        <v>52</v>
      </c>
      <c r="N301" s="62">
        <v>2308</v>
      </c>
      <c r="O301" s="62" t="s">
        <v>3568</v>
      </c>
    </row>
    <row r="302" spans="1:15">
      <c r="B302" s="62" t="s">
        <v>3853</v>
      </c>
      <c r="C302" s="62" t="s">
        <v>494</v>
      </c>
      <c r="E302" s="62" t="s">
        <v>476</v>
      </c>
      <c r="K302" s="76">
        <v>2</v>
      </c>
      <c r="L302">
        <v>6</v>
      </c>
    </row>
    <row r="303" spans="1:15">
      <c r="B303" s="62" t="s">
        <v>3855</v>
      </c>
      <c r="C303" s="62" t="s">
        <v>494</v>
      </c>
      <c r="K303" s="76">
        <v>3</v>
      </c>
      <c r="L303">
        <v>6</v>
      </c>
    </row>
    <row r="304" spans="1:15">
      <c r="B304" s="62" t="s">
        <v>3856</v>
      </c>
      <c r="C304" s="62" t="s">
        <v>494</v>
      </c>
      <c r="K304" s="76">
        <v>4</v>
      </c>
      <c r="L304">
        <v>91</v>
      </c>
    </row>
    <row r="305" spans="1:18">
      <c r="B305" s="62" t="s">
        <v>3857</v>
      </c>
      <c r="C305" s="62" t="s">
        <v>494</v>
      </c>
      <c r="K305" s="76">
        <v>5</v>
      </c>
      <c r="L305">
        <v>92</v>
      </c>
    </row>
    <row r="306" spans="1:18">
      <c r="B306" s="62" t="s">
        <v>3858</v>
      </c>
      <c r="C306" s="62" t="s">
        <v>493</v>
      </c>
      <c r="D306">
        <v>100</v>
      </c>
      <c r="K306" s="76">
        <v>6</v>
      </c>
    </row>
    <row r="308" spans="1:18" s="3" customFormat="1">
      <c r="A308" s="70" t="s">
        <v>3362</v>
      </c>
      <c r="B308" s="70" t="s">
        <v>3363</v>
      </c>
      <c r="C308" s="70" t="s">
        <v>494</v>
      </c>
      <c r="D308" s="62"/>
      <c r="E308" s="62" t="s">
        <v>476</v>
      </c>
      <c r="F308" s="62">
        <v>23</v>
      </c>
      <c r="G308" s="62">
        <v>2312</v>
      </c>
      <c r="H308" s="62" t="s">
        <v>3780</v>
      </c>
      <c r="I308" s="62" t="s">
        <v>3781</v>
      </c>
      <c r="J308" s="62">
        <v>2301</v>
      </c>
      <c r="K308" s="76">
        <v>1</v>
      </c>
      <c r="L308" s="9">
        <v>6</v>
      </c>
      <c r="M308" s="1"/>
      <c r="N308" s="10" t="s">
        <v>506</v>
      </c>
      <c r="O308" s="10" t="s">
        <v>514</v>
      </c>
      <c r="P308" s="1" t="s">
        <v>515</v>
      </c>
      <c r="Q308" s="12"/>
      <c r="R308" s="12"/>
    </row>
    <row r="309" spans="1:18" s="3" customFormat="1">
      <c r="A309" s="70"/>
      <c r="B309" s="70" t="s">
        <v>3364</v>
      </c>
      <c r="C309" s="70" t="s">
        <v>494</v>
      </c>
      <c r="D309" s="62"/>
      <c r="E309" s="62" t="s">
        <v>476</v>
      </c>
      <c r="F309" s="62"/>
      <c r="G309" s="62"/>
      <c r="H309" s="62"/>
      <c r="I309" s="62"/>
      <c r="J309" s="62"/>
      <c r="K309" s="76">
        <v>2</v>
      </c>
      <c r="L309" s="62">
        <v>8</v>
      </c>
      <c r="M309" s="62"/>
      <c r="N309" s="62"/>
      <c r="O309" s="62"/>
      <c r="P309" s="62"/>
      <c r="Q309" s="12"/>
      <c r="R309" s="12"/>
    </row>
    <row r="310" spans="1:18" s="3" customFormat="1">
      <c r="A310" s="70"/>
      <c r="B310" s="70" t="s">
        <v>3381</v>
      </c>
      <c r="C310" s="70" t="s">
        <v>494</v>
      </c>
      <c r="D310" s="62"/>
      <c r="E310" s="62"/>
      <c r="F310" s="62"/>
      <c r="G310" s="62"/>
      <c r="H310" s="62"/>
      <c r="I310" s="62"/>
      <c r="J310" s="62"/>
      <c r="K310" s="76">
        <v>3</v>
      </c>
      <c r="L310" s="62">
        <v>6</v>
      </c>
      <c r="M310" s="62"/>
      <c r="N310" s="62"/>
      <c r="O310" s="62"/>
      <c r="P310" s="62"/>
      <c r="Q310" s="12"/>
      <c r="R310" s="12"/>
    </row>
    <row r="311" spans="1:18" s="3" customFormat="1">
      <c r="A311" s="70"/>
      <c r="B311" s="70" t="s">
        <v>3385</v>
      </c>
      <c r="C311" s="70" t="s">
        <v>493</v>
      </c>
      <c r="D311" s="62">
        <v>1</v>
      </c>
      <c r="E311" s="62"/>
      <c r="F311" s="62"/>
      <c r="G311" s="62"/>
      <c r="H311" s="62"/>
      <c r="I311" s="62"/>
      <c r="J311" s="62"/>
      <c r="K311" s="76">
        <v>4</v>
      </c>
      <c r="L311" s="75">
        <v>30</v>
      </c>
      <c r="M311" s="62"/>
      <c r="N311" s="62"/>
      <c r="O311" s="62"/>
      <c r="P311" s="62"/>
      <c r="Q311" s="12"/>
      <c r="R311" s="12"/>
    </row>
    <row r="312" spans="1:18">
      <c r="A312" s="94"/>
      <c r="B312" s="67" t="s">
        <v>3380</v>
      </c>
      <c r="C312" s="70" t="s">
        <v>494</v>
      </c>
      <c r="K312" s="76">
        <v>5</v>
      </c>
      <c r="L312" s="68">
        <v>3</v>
      </c>
      <c r="N312" s="62" t="s">
        <v>693</v>
      </c>
      <c r="O312" s="1" t="s">
        <v>695</v>
      </c>
      <c r="P312" s="1" t="s">
        <v>696</v>
      </c>
    </row>
    <row r="313" spans="1:18">
      <c r="A313" s="94"/>
      <c r="B313" s="67" t="s">
        <v>3382</v>
      </c>
      <c r="C313" s="70" t="s">
        <v>494</v>
      </c>
      <c r="E313" s="62"/>
      <c r="K313" s="76">
        <v>6</v>
      </c>
      <c r="L313" s="15">
        <v>3</v>
      </c>
      <c r="M313" s="14">
        <v>31</v>
      </c>
      <c r="N313" s="62" t="s">
        <v>379</v>
      </c>
      <c r="O313" s="62" t="s">
        <v>698</v>
      </c>
      <c r="P313" s="62" t="s">
        <v>699</v>
      </c>
      <c r="Q313" s="62" t="s">
        <v>383</v>
      </c>
      <c r="R313" s="14">
        <v>5</v>
      </c>
    </row>
    <row r="314" spans="1:18" s="3" customFormat="1">
      <c r="A314" s="62"/>
      <c r="B314" s="70" t="s">
        <v>3613</v>
      </c>
      <c r="C314" s="62" t="s">
        <v>494</v>
      </c>
      <c r="D314" s="62"/>
      <c r="E314" s="62"/>
      <c r="F314" s="62"/>
      <c r="G314" s="62"/>
      <c r="H314" s="62"/>
      <c r="I314" s="62"/>
      <c r="J314" s="62"/>
      <c r="K314" s="76">
        <v>7</v>
      </c>
      <c r="L314" s="75">
        <v>3</v>
      </c>
      <c r="M314" s="62"/>
      <c r="N314" s="62" t="s">
        <v>3620</v>
      </c>
      <c r="O314" s="62" t="s">
        <v>3622</v>
      </c>
      <c r="P314" s="62" t="s">
        <v>3623</v>
      </c>
      <c r="Q314" s="12"/>
      <c r="R314" s="47">
        <v>2311</v>
      </c>
    </row>
    <row r="315" spans="1:18" s="3" customFormat="1">
      <c r="A315" s="62"/>
      <c r="B315" s="70" t="s">
        <v>3552</v>
      </c>
      <c r="C315" s="62" t="s">
        <v>494</v>
      </c>
      <c r="D315" s="62"/>
      <c r="E315" s="62"/>
      <c r="F315" s="62"/>
      <c r="G315" s="62"/>
      <c r="H315" s="62"/>
      <c r="I315" s="62"/>
      <c r="J315" s="62"/>
      <c r="K315" s="76">
        <v>8</v>
      </c>
      <c r="L315" s="62">
        <v>8</v>
      </c>
      <c r="M315" s="62">
        <v>1</v>
      </c>
      <c r="N315" s="62"/>
      <c r="O315" s="62"/>
      <c r="P315" s="62"/>
      <c r="Q315" s="12"/>
      <c r="R315" s="12"/>
    </row>
    <row r="316" spans="1:18" s="3" customFormat="1">
      <c r="A316" s="62"/>
      <c r="B316" s="62"/>
      <c r="C316" s="62"/>
      <c r="D316" s="62"/>
      <c r="E316" s="62"/>
      <c r="F316" s="62"/>
      <c r="G316" s="62"/>
      <c r="H316" s="62"/>
      <c r="I316" s="62"/>
      <c r="J316" s="62"/>
      <c r="K316" s="76"/>
      <c r="L316" s="75"/>
      <c r="M316" s="62"/>
      <c r="N316" s="62"/>
      <c r="O316" s="62"/>
      <c r="P316" s="62"/>
      <c r="Q316" s="12"/>
      <c r="R316" s="12"/>
    </row>
    <row r="317" spans="1:18" s="3" customFormat="1">
      <c r="A317" s="70" t="s">
        <v>3594</v>
      </c>
      <c r="B317" s="70" t="s">
        <v>3595</v>
      </c>
      <c r="C317" s="70" t="s">
        <v>494</v>
      </c>
      <c r="D317" s="62"/>
      <c r="E317" s="62" t="s">
        <v>476</v>
      </c>
      <c r="F317" s="62">
        <v>23</v>
      </c>
      <c r="G317" s="62">
        <v>2310</v>
      </c>
      <c r="H317" s="62" t="s">
        <v>3602</v>
      </c>
      <c r="I317" s="62"/>
      <c r="J317" s="62">
        <v>2301</v>
      </c>
      <c r="K317" s="76">
        <v>1</v>
      </c>
      <c r="L317" s="62">
        <v>52</v>
      </c>
      <c r="M317" s="62"/>
      <c r="N317" s="62">
        <v>2312</v>
      </c>
      <c r="O317" s="62" t="s">
        <v>3381</v>
      </c>
      <c r="P317" s="62"/>
      <c r="Q317" s="12"/>
      <c r="R317" s="12"/>
    </row>
    <row r="318" spans="1:18" s="3" customFormat="1">
      <c r="A318" s="70"/>
      <c r="B318" s="70" t="s">
        <v>3596</v>
      </c>
      <c r="C318" s="70" t="s">
        <v>494</v>
      </c>
      <c r="D318" s="62"/>
      <c r="E318" s="62" t="s">
        <v>476</v>
      </c>
      <c r="F318" s="62"/>
      <c r="G318" s="62"/>
      <c r="H318" s="62"/>
      <c r="I318" s="62"/>
      <c r="J318" s="62"/>
      <c r="K318" s="76">
        <v>2</v>
      </c>
      <c r="L318" s="62">
        <v>3</v>
      </c>
      <c r="M318" s="62"/>
      <c r="N318" s="62" t="s">
        <v>3562</v>
      </c>
      <c r="O318" s="62" t="s">
        <v>3563</v>
      </c>
      <c r="P318" s="62" t="s">
        <v>3564</v>
      </c>
      <c r="Q318" s="12"/>
      <c r="R318" s="12"/>
    </row>
    <row r="319" spans="1:18" s="3" customFormat="1">
      <c r="A319" s="70"/>
      <c r="B319" s="70" t="s">
        <v>3597</v>
      </c>
      <c r="C319" s="70" t="s">
        <v>494</v>
      </c>
      <c r="D319" s="62"/>
      <c r="E319" s="62" t="s">
        <v>476</v>
      </c>
      <c r="F319" s="62"/>
      <c r="G319" s="62"/>
      <c r="H319" s="62"/>
      <c r="I319" s="62"/>
      <c r="J319" s="62"/>
      <c r="K319" s="76">
        <v>3</v>
      </c>
      <c r="L319" s="62">
        <v>6</v>
      </c>
      <c r="M319" s="62"/>
      <c r="N319" s="62"/>
      <c r="O319" s="62"/>
      <c r="P319" s="62"/>
      <c r="Q319" s="12"/>
      <c r="R319" s="12"/>
    </row>
    <row r="320" spans="1:18" s="3" customFormat="1">
      <c r="A320" s="70"/>
      <c r="B320" s="70" t="s">
        <v>3599</v>
      </c>
      <c r="C320" s="70" t="s">
        <v>494</v>
      </c>
      <c r="D320" s="62"/>
      <c r="E320" s="62"/>
      <c r="F320" s="62"/>
      <c r="G320" s="62"/>
      <c r="H320" s="62"/>
      <c r="I320" s="62"/>
      <c r="J320" s="62"/>
      <c r="K320" s="76">
        <v>4</v>
      </c>
      <c r="L320" s="62">
        <v>6</v>
      </c>
      <c r="M320" s="62"/>
      <c r="N320" s="62"/>
      <c r="O320" s="62"/>
      <c r="P320" s="62"/>
      <c r="Q320" s="12"/>
      <c r="R320" s="12"/>
    </row>
    <row r="321" spans="1:18" s="3" customFormat="1">
      <c r="A321" s="70"/>
      <c r="B321" s="70" t="s">
        <v>3598</v>
      </c>
      <c r="C321" s="70" t="s">
        <v>494</v>
      </c>
      <c r="D321" s="62"/>
      <c r="E321" s="62"/>
      <c r="F321" s="62"/>
      <c r="G321" s="62"/>
      <c r="H321" s="62"/>
      <c r="I321" s="62"/>
      <c r="J321" s="62"/>
      <c r="K321" s="76">
        <v>5</v>
      </c>
      <c r="L321" s="62">
        <v>3</v>
      </c>
      <c r="M321" s="62"/>
      <c r="N321" s="62" t="s">
        <v>3565</v>
      </c>
      <c r="O321" s="62" t="s">
        <v>3568</v>
      </c>
      <c r="P321" s="62" t="s">
        <v>3569</v>
      </c>
      <c r="Q321" s="12"/>
      <c r="R321" s="47">
        <v>2308</v>
      </c>
    </row>
    <row r="322" spans="1:18" s="3" customFormat="1">
      <c r="A322" s="70"/>
      <c r="B322" s="70" t="s">
        <v>3600</v>
      </c>
      <c r="C322" s="70" t="s">
        <v>494</v>
      </c>
      <c r="D322" s="62"/>
      <c r="E322" s="62"/>
      <c r="F322" s="62"/>
      <c r="G322" s="62"/>
      <c r="H322" s="62"/>
      <c r="I322" s="62"/>
      <c r="J322" s="62"/>
      <c r="K322" s="76">
        <v>6</v>
      </c>
      <c r="L322" s="62"/>
      <c r="M322" s="62">
        <v>1</v>
      </c>
      <c r="N322" s="62"/>
      <c r="O322" s="62"/>
      <c r="P322" s="62"/>
      <c r="Q322" s="12"/>
      <c r="R322" s="12"/>
    </row>
    <row r="323" spans="1:18" s="3" customFormat="1">
      <c r="A323" s="70"/>
      <c r="B323" s="70" t="s">
        <v>3601</v>
      </c>
      <c r="C323" s="70" t="s">
        <v>494</v>
      </c>
      <c r="D323" s="62"/>
      <c r="E323" s="62"/>
      <c r="F323" s="62"/>
      <c r="G323" s="62"/>
      <c r="H323" s="62"/>
      <c r="I323" s="62"/>
      <c r="J323" s="62"/>
      <c r="K323" s="76">
        <v>7</v>
      </c>
      <c r="L323" s="62"/>
      <c r="M323" s="62">
        <v>1</v>
      </c>
      <c r="N323" s="62"/>
      <c r="O323" s="62"/>
      <c r="P323" s="62"/>
      <c r="Q323" s="12"/>
      <c r="R323" s="12"/>
    </row>
    <row r="324" spans="1:18" s="3" customFormat="1">
      <c r="A324" s="70"/>
      <c r="B324" s="70" t="s">
        <v>3609</v>
      </c>
      <c r="C324" s="70" t="s">
        <v>494</v>
      </c>
      <c r="D324" s="62"/>
      <c r="E324" s="62"/>
      <c r="F324" s="62"/>
      <c r="G324" s="62"/>
      <c r="H324" s="62"/>
      <c r="I324" s="62"/>
      <c r="J324" s="62"/>
      <c r="K324" s="76">
        <v>8</v>
      </c>
      <c r="L324" s="62">
        <v>3</v>
      </c>
      <c r="M324" s="62"/>
      <c r="N324" s="62"/>
      <c r="O324" s="62"/>
      <c r="P324" s="62"/>
      <c r="Q324" s="12"/>
      <c r="R324" s="12"/>
    </row>
    <row r="325" spans="1:18" s="3" customFormat="1">
      <c r="A325" s="62"/>
      <c r="B325" s="62"/>
      <c r="C325" s="62"/>
      <c r="D325" s="62"/>
      <c r="E325" s="62"/>
      <c r="F325" s="62"/>
      <c r="G325" s="62"/>
      <c r="H325" s="62"/>
      <c r="I325" s="62"/>
      <c r="J325" s="62"/>
      <c r="K325" s="76"/>
      <c r="L325" s="62"/>
      <c r="M325" s="62"/>
      <c r="N325" s="62"/>
      <c r="O325" s="62"/>
      <c r="P325" s="62"/>
      <c r="Q325" s="12"/>
      <c r="R325" s="12"/>
    </row>
    <row r="326" spans="1:18" s="3" customFormat="1">
      <c r="A326" s="62" t="s">
        <v>3782</v>
      </c>
      <c r="B326" s="62" t="s">
        <v>3784</v>
      </c>
      <c r="C326" s="62" t="s">
        <v>494</v>
      </c>
      <c r="D326" s="62"/>
      <c r="E326" s="62" t="s">
        <v>476</v>
      </c>
      <c r="F326" s="62">
        <v>23</v>
      </c>
      <c r="G326" s="62">
        <v>2313</v>
      </c>
      <c r="H326" s="62" t="s">
        <v>3789</v>
      </c>
      <c r="I326" s="62" t="s">
        <v>3790</v>
      </c>
      <c r="J326" s="62">
        <v>1</v>
      </c>
      <c r="K326" s="76">
        <v>1</v>
      </c>
      <c r="L326" s="75">
        <v>3</v>
      </c>
      <c r="M326" s="62"/>
      <c r="N326" s="10" t="s">
        <v>506</v>
      </c>
      <c r="O326" s="10" t="s">
        <v>514</v>
      </c>
      <c r="P326" s="1" t="s">
        <v>515</v>
      </c>
      <c r="Q326" s="12"/>
      <c r="R326" s="12"/>
    </row>
    <row r="327" spans="1:18" s="3" customFormat="1">
      <c r="A327" s="62"/>
      <c r="B327" s="62" t="s">
        <v>3785</v>
      </c>
      <c r="C327" s="62" t="s">
        <v>494</v>
      </c>
      <c r="D327" s="62"/>
      <c r="E327" s="62" t="s">
        <v>476</v>
      </c>
      <c r="F327" s="62"/>
      <c r="G327" s="62"/>
      <c r="H327" s="62"/>
      <c r="I327" s="62"/>
      <c r="J327" s="62"/>
      <c r="K327" s="76">
        <v>2</v>
      </c>
      <c r="L327" s="75">
        <v>8</v>
      </c>
      <c r="M327" s="62"/>
      <c r="N327" s="62"/>
      <c r="O327" s="62"/>
      <c r="P327" s="62"/>
      <c r="Q327" s="12"/>
      <c r="R327" s="12"/>
    </row>
    <row r="328" spans="1:18" s="3" customFormat="1">
      <c r="A328" s="62"/>
      <c r="B328" s="62" t="s">
        <v>3786</v>
      </c>
      <c r="C328" s="62" t="s">
        <v>494</v>
      </c>
      <c r="D328" s="62"/>
      <c r="E328" s="62"/>
      <c r="F328" s="62"/>
      <c r="G328" s="62"/>
      <c r="H328" s="62"/>
      <c r="I328" s="62"/>
      <c r="J328" s="62"/>
      <c r="K328" s="76">
        <v>3</v>
      </c>
      <c r="L328" s="75">
        <v>6</v>
      </c>
      <c r="M328" s="62"/>
      <c r="N328" s="62"/>
      <c r="O328" s="62"/>
      <c r="P328" s="62"/>
      <c r="Q328" s="12"/>
      <c r="R328" s="12"/>
    </row>
    <row r="329" spans="1:18" s="3" customFormat="1">
      <c r="A329" s="62"/>
      <c r="B329" s="62" t="s">
        <v>3787</v>
      </c>
      <c r="C329" s="62" t="s">
        <v>493</v>
      </c>
      <c r="D329" s="62">
        <v>1</v>
      </c>
      <c r="E329" s="62"/>
      <c r="F329" s="62"/>
      <c r="G329" s="62"/>
      <c r="H329" s="62"/>
      <c r="I329" s="62"/>
      <c r="J329" s="62"/>
      <c r="K329" s="76">
        <v>4</v>
      </c>
      <c r="L329" s="75">
        <v>3</v>
      </c>
      <c r="M329" s="62"/>
      <c r="N329" s="62"/>
      <c r="O329" s="62"/>
      <c r="P329" s="62"/>
      <c r="Q329" s="12"/>
      <c r="R329" s="12"/>
    </row>
    <row r="330" spans="1:18">
      <c r="B330" s="66" t="s">
        <v>3380</v>
      </c>
      <c r="C330" s="62" t="s">
        <v>494</v>
      </c>
      <c r="K330" s="76">
        <v>5</v>
      </c>
      <c r="L330" s="68">
        <v>3</v>
      </c>
      <c r="M330">
        <v>3</v>
      </c>
      <c r="N330" s="62" t="s">
        <v>693</v>
      </c>
      <c r="O330" s="1" t="s">
        <v>695</v>
      </c>
      <c r="P330" s="1" t="s">
        <v>696</v>
      </c>
    </row>
    <row r="331" spans="1:18">
      <c r="B331" s="66" t="s">
        <v>3382</v>
      </c>
      <c r="C331" s="62" t="s">
        <v>494</v>
      </c>
      <c r="E331" s="62"/>
      <c r="K331" s="76">
        <v>6</v>
      </c>
      <c r="L331" s="15">
        <v>3</v>
      </c>
      <c r="M331" s="14">
        <v>31</v>
      </c>
      <c r="N331" s="62" t="s">
        <v>379</v>
      </c>
      <c r="O331" s="62" t="s">
        <v>698</v>
      </c>
      <c r="P331" s="62" t="s">
        <v>699</v>
      </c>
      <c r="Q331" s="62" t="s">
        <v>383</v>
      </c>
      <c r="R331" s="14">
        <v>5</v>
      </c>
    </row>
    <row r="332" spans="1:18" s="3" customFormat="1">
      <c r="A332" s="62"/>
      <c r="B332" s="62" t="s">
        <v>3783</v>
      </c>
      <c r="C332" s="62" t="s">
        <v>494</v>
      </c>
      <c r="D332" s="62"/>
      <c r="E332" s="62"/>
      <c r="F332" s="62"/>
      <c r="G332" s="62"/>
      <c r="H332" s="62"/>
      <c r="I332" s="62"/>
      <c r="J332" s="62"/>
      <c r="K332" s="76">
        <v>7</v>
      </c>
      <c r="L332" s="75"/>
      <c r="M332" s="62"/>
      <c r="N332" s="62"/>
      <c r="O332" s="62"/>
      <c r="P332" s="62"/>
      <c r="Q332" s="12"/>
      <c r="R332" s="12"/>
    </row>
    <row r="333" spans="1:18" s="3" customFormat="1">
      <c r="A333" s="62"/>
      <c r="B333" s="62" t="s">
        <v>3788</v>
      </c>
      <c r="C333" s="62" t="s">
        <v>494</v>
      </c>
      <c r="D333" s="62"/>
      <c r="E333" s="62"/>
      <c r="F333" s="62"/>
      <c r="G333" s="62"/>
      <c r="H333" s="62"/>
      <c r="I333" s="62"/>
      <c r="J333" s="62"/>
      <c r="K333" s="76">
        <v>8</v>
      </c>
      <c r="L333" s="75">
        <v>2</v>
      </c>
      <c r="M333" s="62"/>
      <c r="N333" s="62"/>
      <c r="O333" s="62"/>
      <c r="P333" s="62"/>
      <c r="Q333" s="12"/>
      <c r="R333" s="12"/>
    </row>
    <row r="334" spans="1:18" s="3" customFormat="1">
      <c r="A334" s="62"/>
      <c r="B334" s="62"/>
      <c r="C334" s="62"/>
      <c r="D334" s="62"/>
      <c r="E334" s="62"/>
      <c r="F334" s="62"/>
      <c r="G334" s="62"/>
      <c r="H334" s="62"/>
      <c r="I334" s="62"/>
      <c r="J334" s="62"/>
      <c r="K334" s="76"/>
      <c r="L334" s="75"/>
      <c r="M334" s="62"/>
      <c r="N334" s="62"/>
      <c r="O334" s="62"/>
      <c r="P334" s="62"/>
      <c r="Q334" s="12"/>
      <c r="R334" s="12"/>
    </row>
    <row r="335" spans="1:18" s="3" customFormat="1">
      <c r="A335" s="70" t="s">
        <v>3362</v>
      </c>
      <c r="B335" s="70" t="s">
        <v>3552</v>
      </c>
      <c r="C335" s="70" t="s">
        <v>494</v>
      </c>
      <c r="D335" s="62"/>
      <c r="E335" s="62" t="s">
        <v>476</v>
      </c>
      <c r="F335" s="62">
        <v>23</v>
      </c>
      <c r="G335" s="62">
        <v>2301</v>
      </c>
      <c r="H335" s="62" t="s">
        <v>2360</v>
      </c>
      <c r="I335" s="62"/>
      <c r="J335" s="62">
        <v>2301</v>
      </c>
      <c r="K335" s="76">
        <v>1</v>
      </c>
      <c r="L335" s="9">
        <v>52</v>
      </c>
      <c r="M335" s="1"/>
      <c r="N335" s="62">
        <v>2312</v>
      </c>
      <c r="O335" s="62" t="s">
        <v>3785</v>
      </c>
      <c r="P335" s="1"/>
      <c r="Q335" s="12"/>
      <c r="R335" s="12"/>
    </row>
    <row r="336" spans="1:18" s="3" customFormat="1">
      <c r="A336" s="70"/>
      <c r="B336" s="70" t="s">
        <v>3364</v>
      </c>
      <c r="C336" s="70" t="s">
        <v>494</v>
      </c>
      <c r="D336" s="62"/>
      <c r="E336" s="62" t="s">
        <v>476</v>
      </c>
      <c r="F336" s="62"/>
      <c r="G336" s="62"/>
      <c r="H336" s="62"/>
      <c r="I336" s="62"/>
      <c r="J336" s="62"/>
      <c r="K336" s="76">
        <v>2</v>
      </c>
      <c r="L336" s="62">
        <v>8</v>
      </c>
      <c r="M336" s="62"/>
      <c r="N336" s="62"/>
      <c r="O336" s="62"/>
      <c r="P336" s="62"/>
      <c r="Q336" s="12"/>
      <c r="R336" s="12"/>
    </row>
    <row r="337" spans="1:18" s="3" customFormat="1">
      <c r="A337" s="70"/>
      <c r="B337" s="70" t="s">
        <v>3381</v>
      </c>
      <c r="C337" s="70" t="s">
        <v>494</v>
      </c>
      <c r="D337" s="62"/>
      <c r="E337" s="62"/>
      <c r="F337" s="62"/>
      <c r="G337" s="62"/>
      <c r="H337" s="62"/>
      <c r="I337" s="62"/>
      <c r="J337" s="62"/>
      <c r="K337" s="76">
        <v>3</v>
      </c>
      <c r="L337" s="62">
        <v>6</v>
      </c>
      <c r="M337" s="62"/>
      <c r="N337" s="62"/>
      <c r="O337" s="62"/>
      <c r="P337" s="62"/>
      <c r="Q337" s="12"/>
      <c r="R337" s="12"/>
    </row>
    <row r="338" spans="1:18" s="3" customFormat="1">
      <c r="A338" s="70"/>
      <c r="B338" s="70" t="s">
        <v>3385</v>
      </c>
      <c r="C338" s="70" t="s">
        <v>493</v>
      </c>
      <c r="D338" s="62">
        <v>1</v>
      </c>
      <c r="E338" s="62"/>
      <c r="F338" s="62"/>
      <c r="G338" s="62"/>
      <c r="H338" s="62"/>
      <c r="I338" s="62"/>
      <c r="J338" s="62"/>
      <c r="K338" s="76">
        <v>4</v>
      </c>
      <c r="L338" s="75">
        <v>30</v>
      </c>
      <c r="M338" s="62"/>
      <c r="N338" s="62"/>
      <c r="O338" s="62"/>
      <c r="P338" s="62"/>
      <c r="Q338" s="12"/>
      <c r="R338" s="12"/>
    </row>
    <row r="339" spans="1:18" s="3" customFormat="1">
      <c r="A339" s="62"/>
      <c r="B339" s="70" t="s">
        <v>3613</v>
      </c>
      <c r="C339" s="62" t="s">
        <v>494</v>
      </c>
      <c r="D339" s="62"/>
      <c r="E339" s="62"/>
      <c r="F339" s="62"/>
      <c r="G339" s="62"/>
      <c r="H339" s="62"/>
      <c r="I339" s="62"/>
      <c r="J339" s="62"/>
      <c r="K339" s="76">
        <v>5</v>
      </c>
      <c r="L339" s="75">
        <v>3</v>
      </c>
      <c r="M339" s="62"/>
      <c r="N339" s="62" t="s">
        <v>3620</v>
      </c>
      <c r="O339" s="62" t="s">
        <v>3622</v>
      </c>
      <c r="P339" s="62" t="s">
        <v>3623</v>
      </c>
      <c r="Q339" s="12"/>
      <c r="R339" s="47">
        <v>2311</v>
      </c>
    </row>
    <row r="340" spans="1:18" s="3" customFormat="1">
      <c r="A340" s="62"/>
      <c r="B340" s="62"/>
      <c r="C340" s="62"/>
      <c r="D340" s="62"/>
      <c r="E340" s="62"/>
      <c r="F340" s="62"/>
      <c r="G340" s="62"/>
      <c r="H340" s="62"/>
      <c r="I340" s="62"/>
      <c r="J340" s="62"/>
      <c r="K340" s="76"/>
      <c r="L340" s="75"/>
      <c r="M340" s="62"/>
      <c r="N340" s="62"/>
      <c r="O340" s="62"/>
      <c r="P340" s="62"/>
      <c r="Q340" s="12"/>
      <c r="R340" s="12"/>
    </row>
    <row r="341" spans="1:18" s="3" customFormat="1">
      <c r="A341" s="62" t="s">
        <v>3793</v>
      </c>
      <c r="B341" s="62" t="s">
        <v>3794</v>
      </c>
      <c r="C341" s="62" t="s">
        <v>494</v>
      </c>
      <c r="D341" s="62"/>
      <c r="E341" s="62" t="s">
        <v>476</v>
      </c>
      <c r="F341" s="62">
        <v>23</v>
      </c>
      <c r="G341" s="62">
        <v>2314</v>
      </c>
      <c r="H341" s="62" t="s">
        <v>3799</v>
      </c>
      <c r="I341" s="62" t="s">
        <v>3800</v>
      </c>
      <c r="J341" s="62">
        <v>2</v>
      </c>
      <c r="K341" s="76">
        <v>1</v>
      </c>
      <c r="L341" s="75">
        <v>6</v>
      </c>
      <c r="M341" s="62"/>
      <c r="N341" s="62"/>
      <c r="O341" s="62"/>
      <c r="P341" s="62"/>
      <c r="Q341" s="12"/>
      <c r="R341" s="12"/>
    </row>
    <row r="342" spans="1:18" s="3" customFormat="1">
      <c r="A342" s="62"/>
      <c r="B342" s="62" t="s">
        <v>3795</v>
      </c>
      <c r="C342" s="62" t="s">
        <v>494</v>
      </c>
      <c r="D342" s="62"/>
      <c r="E342" s="62"/>
      <c r="F342" s="62"/>
      <c r="G342" s="62"/>
      <c r="H342" s="62"/>
      <c r="I342" s="62"/>
      <c r="J342" s="62"/>
      <c r="K342" s="76">
        <v>2</v>
      </c>
      <c r="L342" s="75">
        <v>6</v>
      </c>
      <c r="M342" s="62"/>
      <c r="N342" s="62"/>
      <c r="O342" s="62"/>
      <c r="P342" s="62"/>
      <c r="Q342" s="12"/>
      <c r="R342" s="12"/>
    </row>
    <row r="343" spans="1:18" s="3" customFormat="1">
      <c r="A343" s="62"/>
      <c r="B343" s="62" t="s">
        <v>3796</v>
      </c>
      <c r="C343" s="62" t="s">
        <v>493</v>
      </c>
      <c r="D343" s="62">
        <v>1</v>
      </c>
      <c r="E343" s="62"/>
      <c r="F343" s="62"/>
      <c r="G343" s="62"/>
      <c r="H343" s="62"/>
      <c r="I343" s="62"/>
      <c r="J343" s="62"/>
      <c r="K343" s="76">
        <v>3</v>
      </c>
      <c r="L343" s="75">
        <v>3</v>
      </c>
      <c r="M343" s="62"/>
      <c r="N343" s="62"/>
      <c r="O343" s="62"/>
      <c r="P343" s="62"/>
      <c r="Q343" s="12"/>
      <c r="R343" s="12"/>
    </row>
    <row r="344" spans="1:18" s="3" customFormat="1">
      <c r="A344" s="62"/>
      <c r="B344" s="62" t="s">
        <v>3797</v>
      </c>
      <c r="C344" s="62" t="s">
        <v>494</v>
      </c>
      <c r="D344" s="62"/>
      <c r="E344" s="62"/>
      <c r="F344" s="62"/>
      <c r="G344" s="62"/>
      <c r="H344" s="62"/>
      <c r="I344" s="62"/>
      <c r="J344" s="62"/>
      <c r="K344" s="76">
        <v>4</v>
      </c>
      <c r="L344" s="75"/>
      <c r="M344" s="62"/>
      <c r="N344" s="62"/>
      <c r="O344" s="62"/>
      <c r="P344" s="62"/>
      <c r="Q344" s="12"/>
      <c r="R344" s="12"/>
    </row>
    <row r="345" spans="1:18" s="3" customFormat="1">
      <c r="A345" s="62"/>
      <c r="B345" s="62" t="s">
        <v>3798</v>
      </c>
      <c r="C345" s="62" t="s">
        <v>493</v>
      </c>
      <c r="D345" s="62">
        <v>100</v>
      </c>
      <c r="E345" s="62"/>
      <c r="F345" s="62"/>
      <c r="G345" s="62"/>
      <c r="H345" s="62"/>
      <c r="I345" s="62"/>
      <c r="J345" s="62"/>
      <c r="K345" s="76">
        <v>5</v>
      </c>
      <c r="L345" s="75"/>
      <c r="M345" s="62"/>
      <c r="N345" s="62"/>
      <c r="O345" s="62"/>
      <c r="P345" s="62"/>
      <c r="Q345" s="12"/>
      <c r="R345" s="12"/>
    </row>
    <row r="346" spans="1:18" s="3" customFormat="1">
      <c r="A346" s="62"/>
      <c r="B346" s="62"/>
      <c r="C346" s="62"/>
      <c r="D346" s="62"/>
      <c r="E346" s="62"/>
      <c r="F346" s="62"/>
      <c r="G346" s="62"/>
      <c r="H346" s="62"/>
      <c r="I346" s="62"/>
      <c r="J346" s="62"/>
      <c r="K346" s="76"/>
      <c r="L346" s="75"/>
      <c r="M346" s="62"/>
      <c r="N346" s="62"/>
      <c r="O346" s="62"/>
      <c r="P346" s="62"/>
      <c r="Q346" s="12"/>
      <c r="R346" s="12"/>
    </row>
    <row r="347" spans="1:18" s="3" customFormat="1">
      <c r="A347" s="62" t="s">
        <v>3823</v>
      </c>
      <c r="B347" s="62" t="s">
        <v>3818</v>
      </c>
      <c r="C347" s="62" t="s">
        <v>494</v>
      </c>
      <c r="D347" s="62"/>
      <c r="E347" s="62" t="s">
        <v>476</v>
      </c>
      <c r="F347" s="62">
        <v>23</v>
      </c>
      <c r="G347" s="62">
        <v>2315</v>
      </c>
      <c r="H347" s="62" t="s">
        <v>3824</v>
      </c>
      <c r="I347" s="62" t="s">
        <v>3825</v>
      </c>
      <c r="J347" s="62">
        <v>2</v>
      </c>
      <c r="K347" s="76">
        <v>1</v>
      </c>
      <c r="L347" s="75">
        <v>6</v>
      </c>
      <c r="M347" s="62"/>
      <c r="N347" s="62"/>
      <c r="O347" s="62"/>
      <c r="P347" s="62"/>
      <c r="Q347" s="12"/>
      <c r="R347" s="12"/>
    </row>
    <row r="348" spans="1:18" s="3" customFormat="1">
      <c r="A348" s="62"/>
      <c r="B348" s="62" t="s">
        <v>3819</v>
      </c>
      <c r="C348" s="62" t="s">
        <v>494</v>
      </c>
      <c r="D348" s="62"/>
      <c r="E348" s="62"/>
      <c r="F348" s="62"/>
      <c r="G348" s="62"/>
      <c r="H348" s="62"/>
      <c r="I348" s="62"/>
      <c r="J348" s="62"/>
      <c r="K348" s="76">
        <v>2</v>
      </c>
      <c r="L348" s="75">
        <v>6</v>
      </c>
      <c r="M348" s="62"/>
      <c r="N348" s="62"/>
      <c r="O348" s="62"/>
      <c r="P348" s="62"/>
      <c r="Q348" s="12"/>
      <c r="R348" s="12"/>
    </row>
    <row r="349" spans="1:18" s="3" customFormat="1">
      <c r="A349" s="62"/>
      <c r="B349" s="62" t="s">
        <v>3820</v>
      </c>
      <c r="C349" s="62" t="s">
        <v>493</v>
      </c>
      <c r="D349" s="62">
        <v>1</v>
      </c>
      <c r="E349" s="62"/>
      <c r="F349" s="62"/>
      <c r="G349" s="62"/>
      <c r="H349" s="62"/>
      <c r="I349" s="62"/>
      <c r="J349" s="62"/>
      <c r="K349" s="76">
        <v>3</v>
      </c>
      <c r="L349" s="75">
        <v>3</v>
      </c>
      <c r="M349" s="62"/>
      <c r="N349" s="62"/>
      <c r="O349" s="62"/>
      <c r="P349" s="62"/>
      <c r="Q349" s="12"/>
      <c r="R349" s="12"/>
    </row>
    <row r="350" spans="1:18" s="3" customFormat="1">
      <c r="A350" s="62"/>
      <c r="B350" s="62" t="s">
        <v>3821</v>
      </c>
      <c r="C350" s="62" t="s">
        <v>494</v>
      </c>
      <c r="D350" s="62"/>
      <c r="E350" s="62"/>
      <c r="F350" s="62"/>
      <c r="G350" s="62"/>
      <c r="H350" s="62"/>
      <c r="I350" s="62"/>
      <c r="J350" s="62"/>
      <c r="K350" s="76">
        <v>4</v>
      </c>
      <c r="L350" s="75"/>
      <c r="M350" s="62"/>
      <c r="N350" s="62"/>
      <c r="O350" s="62"/>
      <c r="P350" s="62"/>
      <c r="Q350" s="12"/>
      <c r="R350" s="12"/>
    </row>
    <row r="351" spans="1:18" s="3" customFormat="1">
      <c r="A351" s="62"/>
      <c r="B351" s="62" t="s">
        <v>3822</v>
      </c>
      <c r="C351" s="62" t="s">
        <v>493</v>
      </c>
      <c r="D351" s="62">
        <v>100</v>
      </c>
      <c r="E351" s="62"/>
      <c r="F351" s="62"/>
      <c r="G351" s="62"/>
      <c r="H351" s="62"/>
      <c r="I351" s="62"/>
      <c r="J351" s="62"/>
      <c r="K351" s="76">
        <v>5</v>
      </c>
      <c r="L351" s="75"/>
      <c r="M351" s="62"/>
      <c r="N351" s="62"/>
      <c r="O351" s="62"/>
      <c r="P351" s="62"/>
      <c r="Q351" s="12"/>
      <c r="R351" s="12"/>
    </row>
    <row r="352" spans="1:18" s="3" customFormat="1">
      <c r="A352" s="62"/>
      <c r="B352" s="62" t="s">
        <v>3826</v>
      </c>
      <c r="C352" s="62" t="s">
        <v>494</v>
      </c>
      <c r="D352" s="62"/>
      <c r="E352" s="62"/>
      <c r="F352" s="62"/>
      <c r="G352" s="62"/>
      <c r="H352" s="62"/>
      <c r="I352" s="62"/>
      <c r="J352" s="62"/>
      <c r="K352" s="76">
        <v>6</v>
      </c>
      <c r="L352" s="75">
        <v>3</v>
      </c>
      <c r="M352" s="62"/>
      <c r="N352" s="62" t="s">
        <v>4302</v>
      </c>
      <c r="O352" s="66" t="s">
        <v>4303</v>
      </c>
      <c r="P352" s="66" t="s">
        <v>4304</v>
      </c>
      <c r="Q352" s="12"/>
      <c r="R352" s="12"/>
    </row>
    <row r="353" spans="1:18" s="3" customFormat="1">
      <c r="A353" s="62"/>
      <c r="B353" s="62"/>
      <c r="C353" s="62"/>
      <c r="D353" s="62"/>
      <c r="E353" s="62"/>
      <c r="F353" s="62"/>
      <c r="G353" s="62"/>
      <c r="H353" s="62"/>
      <c r="I353" s="62"/>
      <c r="J353" s="62"/>
      <c r="K353" s="76"/>
      <c r="L353" s="75"/>
      <c r="M353" s="62"/>
      <c r="N353" s="62"/>
      <c r="O353" s="66"/>
      <c r="P353" s="66"/>
      <c r="Q353" s="12"/>
      <c r="R353" s="12"/>
    </row>
    <row r="354" spans="1:18" s="3" customFormat="1">
      <c r="A354" s="62" t="s">
        <v>3849</v>
      </c>
      <c r="B354" s="62" t="s">
        <v>3850</v>
      </c>
      <c r="C354" s="62" t="s">
        <v>494</v>
      </c>
      <c r="D354" s="62"/>
      <c r="E354" s="62"/>
      <c r="F354" s="62">
        <v>23</v>
      </c>
      <c r="G354" s="62">
        <v>2316</v>
      </c>
      <c r="H354" s="62" t="s">
        <v>473</v>
      </c>
      <c r="I354" s="62" t="s">
        <v>998</v>
      </c>
      <c r="J354" s="62">
        <v>1</v>
      </c>
      <c r="K354" s="76">
        <v>1</v>
      </c>
      <c r="L354" s="75"/>
      <c r="M354" s="62"/>
      <c r="N354" s="62"/>
      <c r="O354" s="62"/>
      <c r="P354" s="62"/>
      <c r="Q354" s="12"/>
      <c r="R354" s="12"/>
    </row>
    <row r="355" spans="1:18" s="3" customFormat="1">
      <c r="A355" s="62"/>
      <c r="B355" s="62"/>
      <c r="C355" s="62"/>
      <c r="D355" s="62"/>
      <c r="E355" s="62"/>
      <c r="F355" s="62"/>
      <c r="G355" s="62"/>
      <c r="H355" s="62"/>
      <c r="I355" s="62"/>
      <c r="J355" s="62"/>
      <c r="K355" s="76"/>
      <c r="L355" s="75"/>
      <c r="M355" s="62"/>
      <c r="N355" s="62"/>
      <c r="O355" s="62"/>
      <c r="P355" s="62"/>
      <c r="Q355" s="12"/>
      <c r="R355" s="12"/>
    </row>
    <row r="356" spans="1:18">
      <c r="A356" s="70" t="s">
        <v>3655</v>
      </c>
      <c r="B356" s="67" t="s">
        <v>3656</v>
      </c>
      <c r="C356" s="62" t="s">
        <v>494</v>
      </c>
      <c r="E356" s="62" t="s">
        <v>476</v>
      </c>
      <c r="F356">
        <v>23</v>
      </c>
      <c r="G356">
        <v>2318</v>
      </c>
      <c r="H356" s="62" t="s">
        <v>3661</v>
      </c>
      <c r="I356" s="62" t="s">
        <v>3886</v>
      </c>
      <c r="J356">
        <v>1</v>
      </c>
      <c r="K356" s="62">
        <v>1</v>
      </c>
      <c r="L356" s="62">
        <v>6</v>
      </c>
    </row>
    <row r="357" spans="1:18">
      <c r="A357" s="70"/>
      <c r="B357" s="67" t="s">
        <v>3648</v>
      </c>
      <c r="C357" s="62" t="s">
        <v>494</v>
      </c>
      <c r="K357" s="62">
        <v>2</v>
      </c>
      <c r="L357">
        <v>6</v>
      </c>
    </row>
    <row r="358" spans="1:18">
      <c r="A358" s="70"/>
      <c r="B358" s="67" t="s">
        <v>3657</v>
      </c>
      <c r="C358" s="62" t="s">
        <v>493</v>
      </c>
      <c r="D358">
        <v>250</v>
      </c>
      <c r="H358" s="62" t="s">
        <v>3693</v>
      </c>
      <c r="K358" s="62">
        <v>3</v>
      </c>
      <c r="M358">
        <v>1</v>
      </c>
    </row>
    <row r="359" spans="1:18">
      <c r="A359" s="70"/>
      <c r="B359" s="67" t="s">
        <v>3708</v>
      </c>
      <c r="C359" s="62" t="s">
        <v>493</v>
      </c>
      <c r="D359">
        <v>1</v>
      </c>
      <c r="K359" s="62">
        <v>7</v>
      </c>
      <c r="L359">
        <v>3</v>
      </c>
      <c r="M359">
        <v>1</v>
      </c>
    </row>
    <row r="360" spans="1:18">
      <c r="A360" s="94"/>
      <c r="B360" s="67" t="s">
        <v>3879</v>
      </c>
      <c r="C360" s="62" t="s">
        <v>494</v>
      </c>
      <c r="K360">
        <v>8</v>
      </c>
      <c r="L360" s="80">
        <v>3</v>
      </c>
      <c r="M360" s="10"/>
      <c r="N360" s="62" t="s">
        <v>3620</v>
      </c>
      <c r="O360" s="62" t="s">
        <v>3622</v>
      </c>
      <c r="P360" s="62" t="s">
        <v>3623</v>
      </c>
      <c r="R360">
        <v>2311</v>
      </c>
    </row>
    <row r="362" spans="1:18" s="3" customFormat="1">
      <c r="A362" s="62" t="s">
        <v>3948</v>
      </c>
      <c r="B362" s="67" t="s">
        <v>3949</v>
      </c>
      <c r="C362" s="62" t="s">
        <v>494</v>
      </c>
      <c r="D362" s="62"/>
      <c r="E362" s="62"/>
      <c r="F362" s="62">
        <v>23</v>
      </c>
      <c r="G362" s="62">
        <v>2319</v>
      </c>
      <c r="H362" s="62" t="s">
        <v>3950</v>
      </c>
      <c r="I362" s="62" t="s">
        <v>3951</v>
      </c>
      <c r="J362" s="62">
        <v>11</v>
      </c>
      <c r="K362" s="76">
        <v>1</v>
      </c>
      <c r="L362" s="75">
        <v>8</v>
      </c>
      <c r="M362" s="62"/>
      <c r="N362" s="62"/>
      <c r="O362" s="62"/>
      <c r="P362" s="62"/>
      <c r="Q362" s="12"/>
      <c r="R362" s="12"/>
    </row>
    <row r="363" spans="1:18" s="3" customFormat="1">
      <c r="A363" s="62"/>
      <c r="B363" s="66"/>
      <c r="C363" s="62"/>
      <c r="D363" s="62"/>
      <c r="E363" s="62"/>
      <c r="F363" s="62"/>
      <c r="G363" s="62"/>
      <c r="H363" s="62"/>
      <c r="I363" s="62"/>
      <c r="J363" s="62"/>
      <c r="K363" s="76"/>
      <c r="L363" s="75"/>
      <c r="M363" s="62"/>
      <c r="N363" s="62"/>
      <c r="O363" s="62"/>
      <c r="P363" s="62"/>
      <c r="Q363" s="12"/>
      <c r="R363" s="12"/>
    </row>
    <row r="364" spans="1:18">
      <c r="A364" s="62" t="s">
        <v>3952</v>
      </c>
      <c r="B364" s="66" t="s">
        <v>3953</v>
      </c>
      <c r="C364" s="62" t="s">
        <v>494</v>
      </c>
      <c r="F364">
        <v>23</v>
      </c>
      <c r="G364">
        <v>2320</v>
      </c>
      <c r="H364" s="62" t="s">
        <v>3957</v>
      </c>
      <c r="I364" s="62" t="s">
        <v>3958</v>
      </c>
      <c r="J364">
        <v>11</v>
      </c>
      <c r="K364" s="55">
        <v>1</v>
      </c>
      <c r="L364">
        <v>3</v>
      </c>
    </row>
    <row r="365" spans="1:18">
      <c r="B365" s="66" t="s">
        <v>3954</v>
      </c>
      <c r="C365" s="62" t="s">
        <v>494</v>
      </c>
      <c r="K365" s="55">
        <v>2</v>
      </c>
      <c r="L365">
        <v>3</v>
      </c>
      <c r="N365" s="10" t="s">
        <v>506</v>
      </c>
      <c r="O365" s="10" t="s">
        <v>514</v>
      </c>
      <c r="P365" s="1" t="s">
        <v>515</v>
      </c>
    </row>
    <row r="366" spans="1:18">
      <c r="B366" s="66" t="s">
        <v>3956</v>
      </c>
      <c r="C366" s="62" t="s">
        <v>494</v>
      </c>
      <c r="K366" s="55">
        <v>3</v>
      </c>
      <c r="L366">
        <v>3</v>
      </c>
      <c r="N366" s="62" t="s">
        <v>3664</v>
      </c>
      <c r="O366" s="62" t="s">
        <v>3666</v>
      </c>
      <c r="P366" s="62" t="s">
        <v>3667</v>
      </c>
    </row>
    <row r="367" spans="1:18">
      <c r="B367" s="66" t="s">
        <v>3959</v>
      </c>
      <c r="C367" s="62" t="s">
        <v>494</v>
      </c>
      <c r="K367" s="55">
        <v>4</v>
      </c>
      <c r="L367" s="68">
        <v>3</v>
      </c>
      <c r="M367">
        <v>3</v>
      </c>
      <c r="N367" s="62" t="s">
        <v>693</v>
      </c>
      <c r="O367" s="1" t="s">
        <v>695</v>
      </c>
      <c r="P367" s="1" t="s">
        <v>696</v>
      </c>
    </row>
    <row r="368" spans="1:18">
      <c r="B368" s="66" t="s">
        <v>3960</v>
      </c>
      <c r="C368" s="62" t="s">
        <v>494</v>
      </c>
      <c r="E368" s="62"/>
      <c r="K368" s="55">
        <v>5</v>
      </c>
      <c r="L368" s="15">
        <v>3</v>
      </c>
      <c r="M368" s="14">
        <v>31</v>
      </c>
      <c r="N368" s="62" t="s">
        <v>379</v>
      </c>
      <c r="O368" s="62" t="s">
        <v>698</v>
      </c>
      <c r="P368" s="62" t="s">
        <v>699</v>
      </c>
      <c r="Q368" s="62" t="s">
        <v>383</v>
      </c>
      <c r="R368" s="14">
        <v>4</v>
      </c>
    </row>
    <row r="369" spans="1:18">
      <c r="B369" s="66" t="s">
        <v>3955</v>
      </c>
      <c r="C369" s="62" t="s">
        <v>494</v>
      </c>
      <c r="K369" s="55">
        <v>6</v>
      </c>
      <c r="L369">
        <v>3</v>
      </c>
      <c r="N369" s="1"/>
      <c r="O369" s="23"/>
      <c r="P369" s="23"/>
      <c r="Q369" s="23"/>
    </row>
    <row r="370" spans="1:18">
      <c r="B370" s="66"/>
      <c r="C370" s="62"/>
      <c r="K370" s="55"/>
      <c r="N370" s="1"/>
      <c r="O370" s="23"/>
      <c r="P370" s="23"/>
      <c r="Q370" s="23"/>
    </row>
    <row r="371" spans="1:18">
      <c r="A371" s="62" t="s">
        <v>4252</v>
      </c>
      <c r="B371" s="66" t="s">
        <v>4254</v>
      </c>
      <c r="C371" s="62" t="s">
        <v>494</v>
      </c>
      <c r="E371" t="s">
        <v>476</v>
      </c>
      <c r="F371">
        <v>23</v>
      </c>
      <c r="G371">
        <v>2321</v>
      </c>
      <c r="H371" t="s">
        <v>4257</v>
      </c>
      <c r="I371" t="s">
        <v>4258</v>
      </c>
      <c r="J371">
        <v>1</v>
      </c>
      <c r="K371" s="55">
        <v>1</v>
      </c>
      <c r="L371">
        <v>8</v>
      </c>
      <c r="N371" s="1"/>
      <c r="O371" s="23"/>
      <c r="P371" s="23"/>
      <c r="Q371" s="23"/>
    </row>
    <row r="372" spans="1:18">
      <c r="B372" s="66" t="s">
        <v>4253</v>
      </c>
      <c r="C372" s="62" t="s">
        <v>494</v>
      </c>
      <c r="K372" s="55">
        <v>2</v>
      </c>
      <c r="L372">
        <v>6</v>
      </c>
      <c r="N372" s="1"/>
      <c r="O372" s="23"/>
      <c r="P372" s="23"/>
      <c r="Q372" s="23"/>
    </row>
    <row r="373" spans="1:18">
      <c r="B373" s="66" t="s">
        <v>4255</v>
      </c>
      <c r="C373" s="62" t="s">
        <v>493</v>
      </c>
      <c r="D373">
        <v>1</v>
      </c>
      <c r="K373" s="55">
        <v>3</v>
      </c>
      <c r="L373">
        <v>3</v>
      </c>
      <c r="N373" s="62"/>
      <c r="O373" s="1"/>
      <c r="P373" s="1"/>
      <c r="Q373" s="23"/>
    </row>
    <row r="374" spans="1:18">
      <c r="B374" s="66" t="s">
        <v>4256</v>
      </c>
      <c r="C374" s="62" t="s">
        <v>494</v>
      </c>
      <c r="K374" s="55">
        <v>4</v>
      </c>
      <c r="L374">
        <v>3</v>
      </c>
      <c r="N374" s="62" t="s">
        <v>693</v>
      </c>
      <c r="O374" s="1" t="s">
        <v>695</v>
      </c>
      <c r="P374" s="1" t="s">
        <v>696</v>
      </c>
      <c r="Q374" s="23"/>
    </row>
    <row r="375" spans="1:18">
      <c r="B375" s="66"/>
      <c r="C375" s="62"/>
      <c r="K375" s="55"/>
      <c r="N375" s="1"/>
      <c r="O375" s="23"/>
      <c r="P375" s="23"/>
      <c r="Q375" s="23"/>
    </row>
    <row r="376" spans="1:18">
      <c r="A376" s="62" t="s">
        <v>4302</v>
      </c>
      <c r="B376" s="66" t="s">
        <v>4303</v>
      </c>
      <c r="C376" s="62" t="s">
        <v>494</v>
      </c>
      <c r="E376" s="62" t="s">
        <v>476</v>
      </c>
      <c r="K376" s="55"/>
      <c r="N376" s="1"/>
      <c r="O376" s="23"/>
      <c r="P376" s="23"/>
      <c r="Q376" s="23"/>
    </row>
    <row r="377" spans="1:18">
      <c r="A377" s="62"/>
      <c r="B377" s="66" t="s">
        <v>4304</v>
      </c>
      <c r="C377" s="62" t="s">
        <v>493</v>
      </c>
      <c r="D377">
        <v>50</v>
      </c>
      <c r="K377" s="55"/>
      <c r="N377" s="1"/>
      <c r="O377" s="23"/>
      <c r="P377" s="23"/>
      <c r="Q377" s="23"/>
    </row>
    <row r="378" spans="1:18">
      <c r="A378" s="62"/>
      <c r="B378" s="66"/>
      <c r="C378" s="62"/>
      <c r="K378" s="55"/>
      <c r="N378" s="1"/>
      <c r="O378" s="23"/>
      <c r="P378" s="23"/>
      <c r="Q378" s="23"/>
    </row>
    <row r="379" spans="1:18" s="3" customFormat="1">
      <c r="A379" s="70" t="s">
        <v>3362</v>
      </c>
      <c r="B379" s="70" t="s">
        <v>3363</v>
      </c>
      <c r="C379" s="70" t="s">
        <v>494</v>
      </c>
      <c r="D379" s="62"/>
      <c r="E379" s="62" t="s">
        <v>476</v>
      </c>
      <c r="F379" s="62">
        <v>23</v>
      </c>
      <c r="G379" s="62">
        <v>2322</v>
      </c>
      <c r="H379" s="62" t="s">
        <v>5435</v>
      </c>
      <c r="I379" s="62" t="s">
        <v>5487</v>
      </c>
      <c r="J379" s="62">
        <v>2302</v>
      </c>
      <c r="K379" s="76">
        <v>1</v>
      </c>
      <c r="L379" s="9">
        <v>3</v>
      </c>
      <c r="M379" s="1"/>
      <c r="N379" s="64" t="s">
        <v>506</v>
      </c>
      <c r="O379" s="64" t="s">
        <v>514</v>
      </c>
      <c r="P379" s="1" t="s">
        <v>515</v>
      </c>
      <c r="Q379" s="12"/>
      <c r="R379" s="12"/>
    </row>
    <row r="380" spans="1:18" s="3" customFormat="1">
      <c r="A380" s="70"/>
      <c r="B380" s="70" t="s">
        <v>3364</v>
      </c>
      <c r="C380" s="70" t="s">
        <v>494</v>
      </c>
      <c r="D380" s="62"/>
      <c r="E380" s="62" t="s">
        <v>476</v>
      </c>
      <c r="F380" s="62"/>
      <c r="G380" s="62"/>
      <c r="H380" s="62"/>
      <c r="I380" s="62"/>
      <c r="J380" s="62"/>
      <c r="K380" s="76">
        <v>2</v>
      </c>
      <c r="L380" s="62">
        <v>8</v>
      </c>
      <c r="M380" s="62"/>
      <c r="N380" s="62"/>
      <c r="O380" s="62"/>
      <c r="P380" s="62"/>
      <c r="Q380" s="12"/>
      <c r="R380" s="12"/>
    </row>
    <row r="381" spans="1:18" s="3" customFormat="1">
      <c r="A381" s="70"/>
      <c r="B381" s="70" t="s">
        <v>3381</v>
      </c>
      <c r="C381" s="70" t="s">
        <v>494</v>
      </c>
      <c r="D381" s="62"/>
      <c r="E381" s="62"/>
      <c r="F381" s="62"/>
      <c r="G381" s="62"/>
      <c r="H381" s="62"/>
      <c r="I381" s="62"/>
      <c r="J381" s="62"/>
      <c r="K381" s="76">
        <v>3</v>
      </c>
      <c r="L381" s="62">
        <v>6</v>
      </c>
      <c r="M381" s="62"/>
      <c r="N381" s="62"/>
      <c r="O381" s="62"/>
      <c r="P381" s="62"/>
      <c r="Q381" s="12"/>
      <c r="R381" s="12"/>
    </row>
    <row r="382" spans="1:18" s="3" customFormat="1">
      <c r="A382" s="70"/>
      <c r="B382" s="70" t="s">
        <v>3385</v>
      </c>
      <c r="C382" s="70" t="s">
        <v>493</v>
      </c>
      <c r="D382" s="62">
        <v>1</v>
      </c>
      <c r="E382" s="62"/>
      <c r="F382" s="62"/>
      <c r="G382" s="62"/>
      <c r="H382" s="62"/>
      <c r="I382" s="62"/>
      <c r="J382" s="62"/>
      <c r="K382" s="76">
        <v>4</v>
      </c>
      <c r="L382" s="75">
        <v>30</v>
      </c>
      <c r="M382" s="62"/>
      <c r="N382" s="62"/>
      <c r="O382" s="62"/>
      <c r="P382" s="62"/>
      <c r="Q382" s="12"/>
      <c r="R382" s="12"/>
    </row>
    <row r="383" spans="1:18" s="3" customFormat="1">
      <c r="A383" s="70"/>
      <c r="B383" s="70" t="s">
        <v>3365</v>
      </c>
      <c r="C383" s="70" t="s">
        <v>494</v>
      </c>
      <c r="D383" s="62"/>
      <c r="E383" s="62"/>
      <c r="F383" s="62"/>
      <c r="G383" s="62"/>
      <c r="H383" s="62"/>
      <c r="I383" s="62"/>
      <c r="J383" s="62"/>
      <c r="K383" s="76">
        <v>5</v>
      </c>
      <c r="L383" s="62">
        <v>7</v>
      </c>
      <c r="M383" s="62"/>
      <c r="N383" s="62"/>
      <c r="O383" s="62"/>
      <c r="P383" s="62"/>
      <c r="Q383" s="12"/>
      <c r="R383" s="12"/>
    </row>
    <row r="384" spans="1:18" s="3" customFormat="1">
      <c r="A384" s="70"/>
      <c r="B384" s="70" t="s">
        <v>3366</v>
      </c>
      <c r="C384" s="70" t="s">
        <v>494</v>
      </c>
      <c r="D384" s="62"/>
      <c r="E384" s="62"/>
      <c r="F384" s="62"/>
      <c r="G384" s="62"/>
      <c r="H384" s="62"/>
      <c r="I384" s="62"/>
      <c r="J384" s="62"/>
      <c r="K384" s="76">
        <v>6</v>
      </c>
      <c r="L384" s="62"/>
      <c r="M384" s="62">
        <v>1</v>
      </c>
      <c r="N384" s="62"/>
      <c r="O384" s="62"/>
      <c r="P384" s="62"/>
      <c r="Q384" s="12"/>
      <c r="R384" s="12"/>
    </row>
    <row r="385" spans="1:18" s="3" customFormat="1">
      <c r="A385" s="70"/>
      <c r="B385" s="70" t="s">
        <v>3367</v>
      </c>
      <c r="C385" s="70" t="s">
        <v>493</v>
      </c>
      <c r="D385" s="62">
        <v>1</v>
      </c>
      <c r="E385" s="62"/>
      <c r="F385" s="62"/>
      <c r="G385" s="62"/>
      <c r="H385" s="62"/>
      <c r="I385" s="62"/>
      <c r="J385" s="62"/>
      <c r="K385" s="76">
        <v>7</v>
      </c>
      <c r="L385" s="9">
        <v>3</v>
      </c>
      <c r="M385" s="1"/>
      <c r="N385" s="1"/>
      <c r="O385" s="1">
        <v>111</v>
      </c>
      <c r="P385" s="1">
        <v>1</v>
      </c>
      <c r="Q385" s="12"/>
      <c r="R385" s="12"/>
    </row>
    <row r="386" spans="1:18" s="3" customFormat="1">
      <c r="A386" s="70"/>
      <c r="B386" s="70" t="s">
        <v>3369</v>
      </c>
      <c r="C386" s="70" t="s">
        <v>493</v>
      </c>
      <c r="D386" s="62">
        <v>3</v>
      </c>
      <c r="E386" s="62"/>
      <c r="F386" s="62"/>
      <c r="G386" s="62"/>
      <c r="H386" s="62"/>
      <c r="I386" s="62"/>
      <c r="J386" s="62"/>
      <c r="K386" s="76">
        <v>8</v>
      </c>
      <c r="L386" s="9">
        <v>3</v>
      </c>
      <c r="M386" s="1"/>
      <c r="N386" s="1" t="s">
        <v>399</v>
      </c>
      <c r="O386" s="1" t="s">
        <v>401</v>
      </c>
      <c r="P386" s="1" t="s">
        <v>400</v>
      </c>
      <c r="Q386" s="1"/>
      <c r="R386" s="1"/>
    </row>
    <row r="387" spans="1:18" s="3" customFormat="1">
      <c r="A387" s="70"/>
      <c r="B387" s="70" t="s">
        <v>3370</v>
      </c>
      <c r="C387" s="70" t="s">
        <v>493</v>
      </c>
      <c r="D387" s="62">
        <v>5</v>
      </c>
      <c r="E387" s="62"/>
      <c r="F387" s="62"/>
      <c r="G387" s="62"/>
      <c r="H387" s="62"/>
      <c r="I387" s="62"/>
      <c r="J387" s="62"/>
      <c r="K387" s="76">
        <v>9</v>
      </c>
      <c r="L387" s="32">
        <v>3</v>
      </c>
      <c r="M387">
        <v>31</v>
      </c>
      <c r="N387" s="1" t="s">
        <v>404</v>
      </c>
      <c r="O387" s="1" t="s">
        <v>405</v>
      </c>
      <c r="P387" s="1" t="s">
        <v>406</v>
      </c>
      <c r="Q387" s="1" t="s">
        <v>407</v>
      </c>
      <c r="R387">
        <v>18</v>
      </c>
    </row>
    <row r="388" spans="1:18" s="3" customFormat="1">
      <c r="A388" s="70"/>
      <c r="B388" s="70" t="s">
        <v>3371</v>
      </c>
      <c r="C388" s="70" t="s">
        <v>493</v>
      </c>
      <c r="D388" s="62">
        <v>8</v>
      </c>
      <c r="E388" s="62"/>
      <c r="F388" s="62"/>
      <c r="G388" s="62"/>
      <c r="H388" s="62"/>
      <c r="I388" s="62"/>
      <c r="J388" s="62"/>
      <c r="K388" s="76">
        <v>10</v>
      </c>
      <c r="L388" s="32">
        <v>3</v>
      </c>
      <c r="M388">
        <v>31</v>
      </c>
      <c r="N388" s="1" t="s">
        <v>410</v>
      </c>
      <c r="O388" s="1" t="s">
        <v>413</v>
      </c>
      <c r="P388" s="1" t="s">
        <v>414</v>
      </c>
      <c r="Q388" s="1" t="s">
        <v>415</v>
      </c>
      <c r="R388">
        <v>19</v>
      </c>
    </row>
    <row r="389" spans="1:18" s="3" customFormat="1">
      <c r="A389" s="70"/>
      <c r="B389" s="70" t="s">
        <v>3373</v>
      </c>
      <c r="C389" s="70" t="s">
        <v>493</v>
      </c>
      <c r="D389" s="62">
        <v>100</v>
      </c>
      <c r="E389" s="62"/>
      <c r="F389" s="62"/>
      <c r="G389" s="62"/>
      <c r="H389" s="62"/>
      <c r="I389" s="62"/>
      <c r="J389" s="62"/>
      <c r="K389" s="76">
        <v>11</v>
      </c>
      <c r="L389" s="62"/>
      <c r="M389" s="62"/>
      <c r="N389" s="62"/>
      <c r="O389" s="62"/>
      <c r="P389" s="62"/>
      <c r="Q389" s="12"/>
      <c r="R389" s="12"/>
    </row>
    <row r="390" spans="1:18" s="3" customFormat="1">
      <c r="A390" s="70"/>
      <c r="B390" s="70" t="s">
        <v>3372</v>
      </c>
      <c r="C390" s="70" t="s">
        <v>493</v>
      </c>
      <c r="D390" s="62">
        <v>100</v>
      </c>
      <c r="E390" s="62"/>
      <c r="F390" s="62"/>
      <c r="G390" s="62"/>
      <c r="H390" s="62"/>
      <c r="I390" s="62"/>
      <c r="J390" s="62"/>
      <c r="K390" s="76">
        <v>12</v>
      </c>
      <c r="L390" s="62"/>
      <c r="M390" s="62"/>
      <c r="N390" s="62"/>
      <c r="O390" s="62"/>
      <c r="P390" s="62"/>
      <c r="Q390" s="12"/>
      <c r="R390" s="12"/>
    </row>
    <row r="391" spans="1:18" s="3" customFormat="1">
      <c r="A391" s="70"/>
      <c r="B391" s="70" t="s">
        <v>3368</v>
      </c>
      <c r="C391" s="70" t="s">
        <v>494</v>
      </c>
      <c r="D391" s="62"/>
      <c r="E391" s="62"/>
      <c r="F391" s="62"/>
      <c r="G391" s="62"/>
      <c r="H391" s="62"/>
      <c r="I391" s="62"/>
      <c r="J391" s="62"/>
      <c r="K391" s="76">
        <v>13</v>
      </c>
      <c r="L391" s="62">
        <v>3</v>
      </c>
      <c r="M391" s="62"/>
      <c r="N391" s="62"/>
      <c r="O391" s="62"/>
      <c r="P391" s="62"/>
      <c r="Q391" s="12"/>
      <c r="R391" s="12"/>
    </row>
    <row r="392" spans="1:18">
      <c r="A392" s="94"/>
      <c r="B392" s="67" t="s">
        <v>3380</v>
      </c>
      <c r="C392" s="70" t="s">
        <v>494</v>
      </c>
      <c r="K392" s="76">
        <v>14</v>
      </c>
      <c r="L392" s="68">
        <v>3</v>
      </c>
      <c r="M392">
        <v>3</v>
      </c>
      <c r="N392" s="62" t="s">
        <v>693</v>
      </c>
      <c r="O392" s="1" t="s">
        <v>695</v>
      </c>
      <c r="P392" s="62" t="s">
        <v>696</v>
      </c>
    </row>
    <row r="393" spans="1:18">
      <c r="A393" s="94"/>
      <c r="B393" s="67" t="s">
        <v>3382</v>
      </c>
      <c r="C393" s="70" t="s">
        <v>494</v>
      </c>
      <c r="E393" s="62"/>
      <c r="K393" s="76">
        <v>15</v>
      </c>
      <c r="L393" s="15">
        <v>3</v>
      </c>
      <c r="M393" s="14">
        <v>31</v>
      </c>
      <c r="N393" s="62" t="s">
        <v>379</v>
      </c>
      <c r="O393" s="62" t="s">
        <v>698</v>
      </c>
      <c r="P393" s="62" t="s">
        <v>699</v>
      </c>
      <c r="Q393" s="62" t="s">
        <v>383</v>
      </c>
      <c r="R393" s="14">
        <v>30</v>
      </c>
    </row>
    <row r="394" spans="1:18" s="3" customFormat="1">
      <c r="A394" s="70"/>
      <c r="B394" s="70" t="s">
        <v>3384</v>
      </c>
      <c r="C394" s="70" t="s">
        <v>493</v>
      </c>
      <c r="D394" s="62">
        <v>1</v>
      </c>
      <c r="E394" s="62"/>
      <c r="F394" s="62"/>
      <c r="G394" s="62"/>
      <c r="H394" s="62"/>
      <c r="I394" s="62"/>
      <c r="J394" s="62"/>
      <c r="K394" s="76">
        <v>16</v>
      </c>
      <c r="L394" s="62">
        <v>3</v>
      </c>
      <c r="M394" s="62"/>
      <c r="N394" s="62"/>
      <c r="O394" s="62"/>
      <c r="P394" s="62"/>
      <c r="Q394" s="12"/>
      <c r="R394" s="12"/>
    </row>
    <row r="395" spans="1:18" s="3" customFormat="1">
      <c r="A395" s="70"/>
      <c r="B395" s="70" t="s">
        <v>3391</v>
      </c>
      <c r="C395" s="70" t="s">
        <v>494</v>
      </c>
      <c r="D395" s="62"/>
      <c r="E395" s="62"/>
      <c r="F395" s="62"/>
      <c r="G395" s="62"/>
      <c r="H395" s="62"/>
      <c r="I395" s="62"/>
      <c r="J395" s="62"/>
      <c r="K395" s="76">
        <v>17</v>
      </c>
      <c r="L395" s="62">
        <v>3</v>
      </c>
      <c r="M395" s="62"/>
      <c r="N395" s="62" t="s">
        <v>3392</v>
      </c>
      <c r="O395" s="62" t="s">
        <v>3394</v>
      </c>
      <c r="P395" s="62" t="s">
        <v>3395</v>
      </c>
      <c r="Q395" s="12"/>
      <c r="R395" s="47">
        <v>2302</v>
      </c>
    </row>
    <row r="396" spans="1:18" s="3" customFormat="1">
      <c r="A396" s="70"/>
      <c r="B396" s="70" t="s">
        <v>3398</v>
      </c>
      <c r="C396" s="70" t="s">
        <v>493</v>
      </c>
      <c r="D396" s="62">
        <v>1</v>
      </c>
      <c r="E396" s="62"/>
      <c r="F396" s="62"/>
      <c r="G396" s="62"/>
      <c r="H396" s="62"/>
      <c r="I396" s="62"/>
      <c r="J396" s="62"/>
      <c r="K396" s="76">
        <v>18</v>
      </c>
      <c r="L396" s="62">
        <v>3</v>
      </c>
      <c r="M396" s="62"/>
      <c r="N396" s="62"/>
      <c r="O396" s="62"/>
      <c r="P396" s="62"/>
      <c r="Q396" s="12"/>
      <c r="R396" s="12"/>
    </row>
    <row r="397" spans="1:18" s="3" customFormat="1">
      <c r="A397" s="70"/>
      <c r="B397" s="70" t="s">
        <v>3402</v>
      </c>
      <c r="C397" s="70" t="s">
        <v>494</v>
      </c>
      <c r="D397" s="62"/>
      <c r="E397" s="62"/>
      <c r="F397" s="62"/>
      <c r="G397" s="62"/>
      <c r="H397" s="62"/>
      <c r="I397" s="62"/>
      <c r="J397" s="62"/>
      <c r="K397" s="76">
        <v>19</v>
      </c>
      <c r="L397" s="62">
        <v>8</v>
      </c>
      <c r="M397" s="62">
        <v>1</v>
      </c>
      <c r="N397" s="62"/>
      <c r="O397" s="62"/>
      <c r="P397" s="62"/>
      <c r="Q397" s="12"/>
      <c r="R397" s="12"/>
    </row>
    <row r="398" spans="1:18" s="3" customFormat="1">
      <c r="A398" s="70"/>
      <c r="B398" s="70" t="s">
        <v>3404</v>
      </c>
      <c r="C398" s="70" t="s">
        <v>493</v>
      </c>
      <c r="D398" s="62">
        <v>1</v>
      </c>
      <c r="E398" s="62"/>
      <c r="F398" s="62"/>
      <c r="G398" s="62"/>
      <c r="H398" s="62"/>
      <c r="I398" s="62"/>
      <c r="J398" s="62"/>
      <c r="K398" s="76">
        <v>20</v>
      </c>
      <c r="L398" s="62">
        <v>3</v>
      </c>
      <c r="M398" s="62"/>
      <c r="N398" s="62"/>
      <c r="O398" s="62"/>
      <c r="P398" s="62"/>
      <c r="Q398" s="12"/>
      <c r="R398" s="12"/>
    </row>
    <row r="399" spans="1:18" s="3" customFormat="1">
      <c r="A399" s="70"/>
      <c r="B399" s="70" t="s">
        <v>3405</v>
      </c>
      <c r="C399" s="70" t="s">
        <v>493</v>
      </c>
      <c r="D399" s="62">
        <v>1</v>
      </c>
      <c r="E399" s="62"/>
      <c r="F399" s="62"/>
      <c r="G399" s="62"/>
      <c r="H399" s="62"/>
      <c r="I399" s="62"/>
      <c r="J399" s="62"/>
      <c r="K399" s="76">
        <v>21</v>
      </c>
      <c r="L399" s="62">
        <v>3</v>
      </c>
      <c r="M399" s="62"/>
      <c r="N399" s="62"/>
      <c r="O399" s="62"/>
      <c r="P399" s="62"/>
      <c r="Q399" s="12"/>
      <c r="R399" s="12"/>
    </row>
    <row r="400" spans="1:18" s="3" customFormat="1">
      <c r="A400" s="70"/>
      <c r="B400" s="70" t="s">
        <v>3416</v>
      </c>
      <c r="C400" s="70" t="s">
        <v>493</v>
      </c>
      <c r="D400" s="62">
        <v>1</v>
      </c>
      <c r="E400" s="62"/>
      <c r="F400" s="62"/>
      <c r="G400" s="62"/>
      <c r="H400" s="62"/>
      <c r="I400" s="62"/>
      <c r="J400" s="62"/>
      <c r="K400" s="76">
        <v>22</v>
      </c>
      <c r="L400" s="62">
        <v>3</v>
      </c>
      <c r="M400" s="62"/>
      <c r="N400" s="62"/>
      <c r="O400" s="62"/>
      <c r="P400" s="62"/>
      <c r="Q400" s="12"/>
      <c r="R400" s="12"/>
    </row>
    <row r="401" spans="1:18" s="3" customFormat="1">
      <c r="A401" s="70"/>
      <c r="B401" s="70" t="s">
        <v>3417</v>
      </c>
      <c r="C401" s="70" t="s">
        <v>493</v>
      </c>
      <c r="D401" s="62">
        <v>1</v>
      </c>
      <c r="E401" s="62"/>
      <c r="F401" s="62"/>
      <c r="G401" s="62"/>
      <c r="H401" s="62"/>
      <c r="I401" s="62"/>
      <c r="J401" s="62"/>
      <c r="K401" s="76">
        <v>23</v>
      </c>
      <c r="L401" s="62">
        <v>3</v>
      </c>
      <c r="M401" s="62"/>
      <c r="N401" s="62"/>
      <c r="O401" s="62"/>
      <c r="P401" s="62"/>
      <c r="Q401" s="12"/>
      <c r="R401" s="12"/>
    </row>
    <row r="402" spans="1:18" s="3" customFormat="1">
      <c r="A402" s="70"/>
      <c r="B402" s="70" t="s">
        <v>3418</v>
      </c>
      <c r="C402" s="70" t="s">
        <v>493</v>
      </c>
      <c r="D402" s="62">
        <v>1</v>
      </c>
      <c r="E402" s="62"/>
      <c r="F402" s="62"/>
      <c r="G402" s="62"/>
      <c r="H402" s="62"/>
      <c r="I402" s="62"/>
      <c r="J402" s="62"/>
      <c r="K402" s="76">
        <v>24</v>
      </c>
      <c r="L402" s="62">
        <v>3</v>
      </c>
      <c r="M402" s="62"/>
      <c r="N402" s="62"/>
      <c r="O402" s="62"/>
      <c r="P402" s="62"/>
      <c r="Q402" s="12"/>
      <c r="R402" s="12"/>
    </row>
    <row r="403" spans="1:18" s="3" customFormat="1">
      <c r="A403" s="62"/>
      <c r="B403" s="70" t="s">
        <v>3606</v>
      </c>
      <c r="C403" s="62" t="s">
        <v>494</v>
      </c>
      <c r="D403" s="62"/>
      <c r="E403" s="62"/>
      <c r="F403" s="62"/>
      <c r="G403" s="62"/>
      <c r="H403" s="62"/>
      <c r="I403" s="62"/>
      <c r="J403" s="62"/>
      <c r="K403" s="76">
        <v>25</v>
      </c>
      <c r="L403" s="62"/>
      <c r="M403" s="62">
        <v>1</v>
      </c>
      <c r="N403" s="62"/>
      <c r="O403" s="62"/>
      <c r="P403" s="62"/>
      <c r="Q403" s="12"/>
      <c r="R403" s="12"/>
    </row>
    <row r="404" spans="1:18" s="3" customFormat="1">
      <c r="A404" s="62"/>
      <c r="B404" s="70" t="s">
        <v>3607</v>
      </c>
      <c r="C404" s="62" t="s">
        <v>494</v>
      </c>
      <c r="D404" s="62"/>
      <c r="E404" s="62"/>
      <c r="F404" s="62"/>
      <c r="G404" s="62"/>
      <c r="H404" s="62"/>
      <c r="I404" s="62"/>
      <c r="J404" s="62"/>
      <c r="K404" s="76">
        <v>26</v>
      </c>
      <c r="L404" s="62"/>
      <c r="M404" s="62">
        <v>1</v>
      </c>
      <c r="N404" s="62"/>
      <c r="O404" s="62"/>
      <c r="P404" s="62"/>
      <c r="Q404" s="12"/>
      <c r="R404" s="12"/>
    </row>
    <row r="405" spans="1:18" s="3" customFormat="1">
      <c r="A405" s="62"/>
      <c r="B405" s="70" t="s">
        <v>3610</v>
      </c>
      <c r="C405" s="62" t="s">
        <v>494</v>
      </c>
      <c r="D405" s="62"/>
      <c r="E405" s="62"/>
      <c r="F405" s="62"/>
      <c r="G405" s="62"/>
      <c r="H405" s="97"/>
      <c r="I405" s="62"/>
      <c r="J405" s="62"/>
      <c r="K405" s="76">
        <v>27</v>
      </c>
      <c r="L405" s="75"/>
      <c r="M405" s="62"/>
      <c r="N405" s="62"/>
      <c r="O405" s="62"/>
      <c r="P405" s="62"/>
      <c r="Q405" s="12"/>
      <c r="R405" s="12"/>
    </row>
    <row r="406" spans="1:18" s="3" customFormat="1">
      <c r="A406" s="62"/>
      <c r="B406" s="62" t="s">
        <v>3711</v>
      </c>
      <c r="C406" s="62" t="s">
        <v>494</v>
      </c>
      <c r="D406" s="62"/>
      <c r="E406" s="62"/>
      <c r="F406" s="62"/>
      <c r="G406" s="62"/>
      <c r="H406" s="62"/>
      <c r="I406" s="62"/>
      <c r="J406" s="62"/>
      <c r="K406" s="76">
        <v>28</v>
      </c>
      <c r="L406" s="62"/>
      <c r="M406" s="62">
        <v>1</v>
      </c>
      <c r="N406" s="62"/>
      <c r="O406" s="62"/>
      <c r="P406" s="62"/>
      <c r="Q406" s="12"/>
      <c r="R406" s="12"/>
    </row>
    <row r="407" spans="1:18" s="3" customFormat="1">
      <c r="A407" s="62"/>
      <c r="B407" s="70" t="s">
        <v>3612</v>
      </c>
      <c r="C407" s="62" t="s">
        <v>494</v>
      </c>
      <c r="D407" s="62"/>
      <c r="E407" s="62"/>
      <c r="F407" s="62"/>
      <c r="G407" s="62"/>
      <c r="H407" s="62"/>
      <c r="I407" s="62"/>
      <c r="J407" s="62"/>
      <c r="K407" s="76">
        <v>29</v>
      </c>
      <c r="L407" s="75"/>
      <c r="M407" s="62"/>
      <c r="N407" s="62"/>
      <c r="O407" s="62"/>
      <c r="P407" s="62"/>
      <c r="Q407" s="12"/>
      <c r="R407" s="12"/>
    </row>
    <row r="408" spans="1:18" s="3" customFormat="1">
      <c r="A408" s="62"/>
      <c r="B408" s="62" t="s">
        <v>3712</v>
      </c>
      <c r="C408" s="62" t="s">
        <v>494</v>
      </c>
      <c r="D408" s="62"/>
      <c r="E408" s="62"/>
      <c r="F408" s="62"/>
      <c r="G408" s="62"/>
      <c r="H408" s="62"/>
      <c r="I408" s="62"/>
      <c r="J408" s="62"/>
      <c r="K408" s="76">
        <v>30</v>
      </c>
      <c r="L408" s="62"/>
      <c r="M408" s="62">
        <v>1</v>
      </c>
      <c r="N408" s="62"/>
      <c r="O408" s="62"/>
      <c r="P408" s="62"/>
      <c r="Q408" s="12"/>
      <c r="R408" s="12"/>
    </row>
    <row r="409" spans="1:18" s="3" customFormat="1">
      <c r="A409" s="62"/>
      <c r="B409" s="70" t="s">
        <v>3611</v>
      </c>
      <c r="C409" s="62" t="s">
        <v>494</v>
      </c>
      <c r="D409" s="62"/>
      <c r="E409" s="62"/>
      <c r="F409" s="62"/>
      <c r="G409" s="62"/>
      <c r="H409" s="62"/>
      <c r="I409" s="62"/>
      <c r="J409" s="62"/>
      <c r="K409" s="76">
        <v>31</v>
      </c>
      <c r="L409" s="75"/>
      <c r="M409" s="62"/>
      <c r="N409" s="62"/>
      <c r="O409" s="62"/>
      <c r="P409" s="62"/>
      <c r="Q409" s="12"/>
      <c r="R409" s="12"/>
    </row>
    <row r="410" spans="1:18" s="3" customFormat="1">
      <c r="A410" s="62"/>
      <c r="B410" s="62" t="s">
        <v>3713</v>
      </c>
      <c r="C410" s="62" t="s">
        <v>494</v>
      </c>
      <c r="D410" s="62"/>
      <c r="E410" s="62"/>
      <c r="F410" s="62"/>
      <c r="G410" s="62"/>
      <c r="H410" s="62"/>
      <c r="I410" s="62"/>
      <c r="J410" s="62"/>
      <c r="K410" s="76">
        <v>32</v>
      </c>
      <c r="L410" s="62"/>
      <c r="M410" s="62">
        <v>1</v>
      </c>
      <c r="N410" s="62"/>
      <c r="O410" s="62"/>
      <c r="P410" s="62"/>
      <c r="Q410" s="12"/>
      <c r="R410" s="12"/>
    </row>
    <row r="411" spans="1:18" s="3" customFormat="1">
      <c r="A411" s="62"/>
      <c r="B411" s="70" t="s">
        <v>3613</v>
      </c>
      <c r="C411" s="62" t="s">
        <v>494</v>
      </c>
      <c r="D411" s="62"/>
      <c r="E411" s="62"/>
      <c r="F411" s="62"/>
      <c r="G411" s="62"/>
      <c r="H411" s="62"/>
      <c r="I411" s="62"/>
      <c r="J411" s="62"/>
      <c r="K411" s="76">
        <v>33</v>
      </c>
      <c r="L411" s="75">
        <v>3</v>
      </c>
      <c r="M411" s="62">
        <v>3</v>
      </c>
      <c r="N411" s="62" t="s">
        <v>3620</v>
      </c>
      <c r="O411" s="62" t="s">
        <v>3622</v>
      </c>
      <c r="P411" s="62" t="s">
        <v>3623</v>
      </c>
      <c r="Q411" s="12"/>
      <c r="R411" s="47">
        <v>2311</v>
      </c>
    </row>
    <row r="412" spans="1:18" s="3" customFormat="1">
      <c r="A412" s="62"/>
      <c r="B412" s="98" t="s">
        <v>3791</v>
      </c>
      <c r="C412" s="62" t="s">
        <v>494</v>
      </c>
      <c r="D412" s="62"/>
      <c r="E412" s="62"/>
      <c r="F412" s="62"/>
      <c r="G412" s="62"/>
      <c r="H412" s="62"/>
      <c r="I412" s="62"/>
      <c r="J412" s="62"/>
      <c r="K412" s="76">
        <v>34</v>
      </c>
      <c r="L412" s="75">
        <v>3</v>
      </c>
      <c r="M412" s="62"/>
      <c r="N412" s="62" t="s">
        <v>3793</v>
      </c>
      <c r="O412" s="62" t="s">
        <v>3795</v>
      </c>
      <c r="P412" s="62" t="s">
        <v>3798</v>
      </c>
      <c r="Q412" s="12"/>
      <c r="R412" s="47"/>
    </row>
    <row r="413" spans="1:18" s="3" customFormat="1">
      <c r="A413" s="62"/>
      <c r="B413" s="70" t="s">
        <v>3808</v>
      </c>
      <c r="C413" s="62" t="s">
        <v>494</v>
      </c>
      <c r="D413" s="62"/>
      <c r="E413" s="62"/>
      <c r="F413" s="62"/>
      <c r="G413" s="62"/>
      <c r="H413" s="62"/>
      <c r="I413" s="62"/>
      <c r="J413" s="62"/>
      <c r="K413" s="76">
        <v>35</v>
      </c>
      <c r="L413" s="75"/>
      <c r="M413" s="62">
        <v>1</v>
      </c>
      <c r="N413" s="62"/>
      <c r="O413" s="62"/>
      <c r="P413" s="62"/>
      <c r="Q413" s="12"/>
      <c r="R413" s="47"/>
    </row>
    <row r="414" spans="1:18" s="3" customFormat="1">
      <c r="A414" s="62"/>
      <c r="B414" s="70" t="s">
        <v>3809</v>
      </c>
      <c r="C414" s="62" t="s">
        <v>494</v>
      </c>
      <c r="D414" s="62"/>
      <c r="E414" s="62"/>
      <c r="F414" s="62"/>
      <c r="G414" s="62"/>
      <c r="H414" s="62"/>
      <c r="I414" s="62"/>
      <c r="J414" s="62"/>
      <c r="K414" s="76">
        <v>36</v>
      </c>
      <c r="L414" s="75"/>
      <c r="M414" s="62">
        <v>1</v>
      </c>
      <c r="N414" s="62"/>
      <c r="O414" s="62"/>
      <c r="P414" s="62"/>
      <c r="Q414" s="12"/>
      <c r="R414" s="47"/>
    </row>
    <row r="415" spans="1:18" s="3" customFormat="1">
      <c r="A415" s="62"/>
      <c r="B415" s="70" t="s">
        <v>3810</v>
      </c>
      <c r="C415" s="62" t="s">
        <v>494</v>
      </c>
      <c r="D415" s="62"/>
      <c r="E415" s="62"/>
      <c r="F415" s="62"/>
      <c r="G415" s="62"/>
      <c r="H415" s="62"/>
      <c r="I415" s="62"/>
      <c r="J415" s="62"/>
      <c r="K415" s="76">
        <v>37</v>
      </c>
      <c r="L415" s="75"/>
      <c r="M415" s="62">
        <v>1</v>
      </c>
      <c r="N415" s="62"/>
      <c r="O415" s="62"/>
      <c r="P415" s="62"/>
      <c r="Q415" s="12"/>
      <c r="R415" s="47"/>
    </row>
    <row r="416" spans="1:18" s="3" customFormat="1">
      <c r="A416" s="62"/>
      <c r="B416" s="70" t="s">
        <v>3811</v>
      </c>
      <c r="C416" s="62" t="s">
        <v>494</v>
      </c>
      <c r="D416" s="62"/>
      <c r="E416" s="62"/>
      <c r="F416" s="62"/>
      <c r="G416" s="62"/>
      <c r="H416" s="62"/>
      <c r="I416" s="62"/>
      <c r="J416" s="62"/>
      <c r="K416" s="76">
        <v>38</v>
      </c>
      <c r="L416" s="75"/>
      <c r="M416" s="62">
        <v>1</v>
      </c>
      <c r="N416" s="62"/>
      <c r="O416" s="62"/>
      <c r="P416" s="62"/>
      <c r="Q416" s="12"/>
      <c r="R416" s="47"/>
    </row>
    <row r="417" spans="1:18" s="3" customFormat="1">
      <c r="A417" s="62"/>
      <c r="B417" s="70" t="s">
        <v>3806</v>
      </c>
      <c r="C417" s="62" t="s">
        <v>494</v>
      </c>
      <c r="D417" s="62"/>
      <c r="E417" s="62"/>
      <c r="F417" s="62"/>
      <c r="G417" s="62"/>
      <c r="H417" s="62"/>
      <c r="I417" s="62"/>
      <c r="J417" s="62"/>
      <c r="K417" s="76">
        <v>39</v>
      </c>
      <c r="L417" s="75"/>
      <c r="M417" s="62">
        <v>1</v>
      </c>
      <c r="N417" s="62"/>
      <c r="O417" s="62"/>
      <c r="P417" s="62"/>
      <c r="Q417" s="12"/>
      <c r="R417" s="47"/>
    </row>
    <row r="418" spans="1:18" s="3" customFormat="1">
      <c r="A418" s="62"/>
      <c r="B418" s="70" t="s">
        <v>3807</v>
      </c>
      <c r="C418" s="62" t="s">
        <v>494</v>
      </c>
      <c r="D418" s="62"/>
      <c r="E418" s="62"/>
      <c r="F418" s="62"/>
      <c r="G418" s="62"/>
      <c r="H418" s="62"/>
      <c r="I418" s="62"/>
      <c r="J418" s="62"/>
      <c r="K418" s="76">
        <v>40</v>
      </c>
      <c r="L418" s="75">
        <v>3</v>
      </c>
      <c r="M418" s="62"/>
      <c r="N418" s="62"/>
      <c r="O418" s="62"/>
      <c r="P418" s="62"/>
      <c r="Q418" s="12"/>
      <c r="R418" s="47"/>
    </row>
    <row r="419" spans="1:18" s="3" customFormat="1">
      <c r="A419" s="62"/>
      <c r="B419" s="70" t="s">
        <v>3812</v>
      </c>
      <c r="C419" s="62" t="s">
        <v>493</v>
      </c>
      <c r="D419" s="62">
        <v>1</v>
      </c>
      <c r="E419" s="62"/>
      <c r="F419" s="62"/>
      <c r="G419" s="62"/>
      <c r="H419" s="62"/>
      <c r="I419" s="62"/>
      <c r="J419" s="62"/>
      <c r="K419" s="76">
        <v>41</v>
      </c>
      <c r="L419" s="75">
        <v>3</v>
      </c>
      <c r="M419" s="62"/>
      <c r="N419" s="62"/>
      <c r="O419" s="62"/>
      <c r="P419" s="62"/>
      <c r="Q419" s="12"/>
      <c r="R419" s="47"/>
    </row>
    <row r="420" spans="1:18" s="3" customFormat="1">
      <c r="A420" s="62"/>
      <c r="B420" s="70" t="s">
        <v>3813</v>
      </c>
      <c r="C420" s="62" t="s">
        <v>494</v>
      </c>
      <c r="D420" s="62"/>
      <c r="E420" s="62"/>
      <c r="F420" s="62"/>
      <c r="G420" s="62"/>
      <c r="H420" s="62"/>
      <c r="I420" s="62"/>
      <c r="J420" s="62"/>
      <c r="K420" s="76">
        <v>42</v>
      </c>
      <c r="L420" s="75">
        <v>3</v>
      </c>
      <c r="M420" s="62"/>
      <c r="N420" s="62" t="s">
        <v>3823</v>
      </c>
      <c r="O420" s="62" t="s">
        <v>3819</v>
      </c>
      <c r="P420" s="62" t="s">
        <v>3822</v>
      </c>
      <c r="Q420" s="12"/>
      <c r="R420" s="47">
        <v>2315</v>
      </c>
    </row>
    <row r="421" spans="1:18" s="3" customFormat="1">
      <c r="A421" s="62"/>
      <c r="B421" s="62" t="s">
        <v>3876</v>
      </c>
      <c r="C421" s="62" t="s">
        <v>494</v>
      </c>
      <c r="D421" s="62"/>
      <c r="E421" s="62"/>
      <c r="F421" s="62"/>
      <c r="G421" s="62"/>
      <c r="H421" s="62"/>
      <c r="I421" s="62"/>
      <c r="J421" s="62"/>
      <c r="K421" s="76">
        <v>43</v>
      </c>
      <c r="L421" s="62"/>
      <c r="M421" s="62">
        <v>1</v>
      </c>
      <c r="N421" s="62"/>
      <c r="O421" s="62"/>
      <c r="P421" s="62"/>
      <c r="Q421" s="12"/>
      <c r="R421" s="12"/>
    </row>
    <row r="422" spans="1:18" s="3" customFormat="1">
      <c r="A422" s="62"/>
      <c r="B422" s="70" t="s">
        <v>5472</v>
      </c>
      <c r="C422" s="62" t="s">
        <v>494</v>
      </c>
      <c r="D422" s="62"/>
      <c r="E422" s="62"/>
      <c r="F422" s="62"/>
      <c r="G422" s="62"/>
      <c r="H422" s="62"/>
      <c r="I422" s="62"/>
      <c r="J422" s="62"/>
      <c r="K422" s="76">
        <v>44</v>
      </c>
      <c r="L422" s="62"/>
      <c r="M422" s="62">
        <v>1</v>
      </c>
      <c r="N422" s="62"/>
      <c r="O422" s="62"/>
      <c r="P422" s="62"/>
      <c r="Q422" s="12"/>
      <c r="R422" s="12"/>
    </row>
    <row r="423" spans="1:18" s="3" customFormat="1">
      <c r="A423" s="62"/>
      <c r="B423" s="70" t="s">
        <v>5904</v>
      </c>
      <c r="C423" s="62" t="s">
        <v>494</v>
      </c>
      <c r="D423" s="62"/>
      <c r="E423" s="62"/>
      <c r="F423" s="62"/>
      <c r="G423" s="62"/>
      <c r="H423" s="62"/>
      <c r="I423" s="62"/>
      <c r="J423" s="62"/>
      <c r="K423" s="76">
        <v>45</v>
      </c>
      <c r="L423" s="62"/>
      <c r="M423" s="62">
        <v>1</v>
      </c>
      <c r="N423" s="62"/>
      <c r="O423" s="62"/>
      <c r="P423" s="62"/>
      <c r="Q423" s="12"/>
      <c r="R423" s="12"/>
    </row>
    <row r="424" spans="1:18" s="3" customFormat="1">
      <c r="A424" s="62"/>
      <c r="B424" s="70" t="s">
        <v>3804</v>
      </c>
      <c r="C424" s="62" t="s">
        <v>494</v>
      </c>
      <c r="D424" s="62"/>
      <c r="E424" s="62"/>
      <c r="F424" s="62"/>
      <c r="G424" s="62"/>
      <c r="H424" s="62"/>
      <c r="I424" s="62"/>
      <c r="J424" s="62"/>
      <c r="K424" s="76">
        <v>46</v>
      </c>
      <c r="L424" s="75"/>
      <c r="M424" s="62">
        <v>1</v>
      </c>
      <c r="N424" s="62"/>
      <c r="O424" s="62"/>
      <c r="P424" s="62"/>
      <c r="Q424" s="12"/>
      <c r="R424" s="47"/>
    </row>
    <row r="425" spans="1:18" s="3" customFormat="1">
      <c r="A425" s="62"/>
      <c r="B425" s="70" t="s">
        <v>3805</v>
      </c>
      <c r="C425" s="62" t="s">
        <v>494</v>
      </c>
      <c r="D425" s="62"/>
      <c r="E425" s="62"/>
      <c r="F425" s="62"/>
      <c r="G425" s="62"/>
      <c r="H425" s="62"/>
      <c r="I425" s="62"/>
      <c r="J425" s="62"/>
      <c r="K425" s="76">
        <v>47</v>
      </c>
      <c r="L425" s="75"/>
      <c r="M425" s="62">
        <v>1</v>
      </c>
      <c r="N425" s="62"/>
      <c r="O425" s="62"/>
      <c r="P425" s="62"/>
      <c r="Q425" s="12"/>
      <c r="R425" s="47"/>
    </row>
    <row r="426" spans="1:18" s="3" customFormat="1">
      <c r="A426" s="62"/>
      <c r="B426" s="70" t="s">
        <v>6141</v>
      </c>
      <c r="C426" s="62" t="s">
        <v>494</v>
      </c>
      <c r="D426" s="62"/>
      <c r="E426" s="62"/>
      <c r="F426" s="62"/>
      <c r="G426" s="62"/>
      <c r="H426" s="62" t="s">
        <v>6142</v>
      </c>
      <c r="I426" s="62"/>
      <c r="J426" s="62"/>
      <c r="K426" s="76">
        <v>48</v>
      </c>
      <c r="L426" s="62">
        <v>3</v>
      </c>
      <c r="M426" s="62"/>
      <c r="N426" s="62" t="s">
        <v>6132</v>
      </c>
      <c r="O426" s="62" t="s">
        <v>6134</v>
      </c>
      <c r="P426" s="62" t="s">
        <v>6137</v>
      </c>
      <c r="Q426" s="12"/>
      <c r="R426" s="12"/>
    </row>
    <row r="427" spans="1:18" s="3" customFormat="1">
      <c r="A427" s="62"/>
      <c r="B427" s="62"/>
      <c r="C427" s="62"/>
      <c r="D427" s="62"/>
      <c r="E427" s="62"/>
      <c r="F427" s="62"/>
      <c r="G427" s="62"/>
      <c r="H427" s="62"/>
      <c r="I427" s="62"/>
      <c r="J427" s="62"/>
      <c r="K427" s="76"/>
      <c r="L427" s="75"/>
      <c r="M427" s="62"/>
      <c r="N427" s="62"/>
      <c r="O427" s="62"/>
      <c r="P427" s="62"/>
      <c r="Q427" s="12"/>
      <c r="R427" s="12"/>
    </row>
    <row r="428" spans="1:18">
      <c r="A428" s="62" t="s">
        <v>5430</v>
      </c>
      <c r="B428" s="66" t="s">
        <v>5434</v>
      </c>
      <c r="C428" s="62" t="s">
        <v>494</v>
      </c>
      <c r="E428" s="62" t="s">
        <v>476</v>
      </c>
      <c r="F428">
        <v>23</v>
      </c>
      <c r="G428">
        <v>2323</v>
      </c>
      <c r="H428" s="62" t="s">
        <v>5435</v>
      </c>
      <c r="I428" s="62" t="s">
        <v>5436</v>
      </c>
      <c r="J428">
        <v>2302</v>
      </c>
      <c r="K428" s="55">
        <v>1</v>
      </c>
      <c r="L428">
        <v>8</v>
      </c>
      <c r="N428" s="64" t="s">
        <v>3362</v>
      </c>
      <c r="O428" s="64" t="s">
        <v>3381</v>
      </c>
      <c r="P428" s="64" t="s">
        <v>3364</v>
      </c>
      <c r="Q428" s="23"/>
    </row>
    <row r="429" spans="1:18">
      <c r="A429" s="62"/>
      <c r="B429" s="66" t="s">
        <v>5431</v>
      </c>
      <c r="C429" s="62" t="s">
        <v>494</v>
      </c>
      <c r="E429" s="62" t="s">
        <v>476</v>
      </c>
      <c r="H429" s="62"/>
      <c r="I429" s="62"/>
      <c r="K429" s="55">
        <v>2</v>
      </c>
      <c r="L429">
        <v>3</v>
      </c>
      <c r="M429">
        <v>31</v>
      </c>
      <c r="N429" s="64" t="s">
        <v>3362</v>
      </c>
      <c r="O429" s="64" t="s">
        <v>3381</v>
      </c>
      <c r="P429" s="23" t="s">
        <v>3606</v>
      </c>
      <c r="Q429" s="64" t="s">
        <v>3364</v>
      </c>
      <c r="R429">
        <v>1</v>
      </c>
    </row>
    <row r="430" spans="1:18">
      <c r="A430" s="62"/>
      <c r="B430" s="66" t="s">
        <v>5432</v>
      </c>
      <c r="C430" s="62" t="s">
        <v>494</v>
      </c>
      <c r="E430" s="62" t="s">
        <v>476</v>
      </c>
      <c r="K430" s="55">
        <v>3</v>
      </c>
      <c r="L430">
        <v>6</v>
      </c>
      <c r="N430" s="1"/>
      <c r="O430" s="23"/>
      <c r="P430" s="23"/>
      <c r="Q430" s="23"/>
    </row>
    <row r="431" spans="1:18">
      <c r="A431" s="62"/>
      <c r="B431" s="66" t="s">
        <v>5433</v>
      </c>
      <c r="C431" s="62" t="s">
        <v>494</v>
      </c>
      <c r="K431" s="55">
        <v>4</v>
      </c>
      <c r="L431">
        <v>6</v>
      </c>
      <c r="N431" s="1"/>
      <c r="O431" s="23"/>
      <c r="P431" s="23"/>
      <c r="Q431" s="23"/>
    </row>
    <row r="432" spans="1:18">
      <c r="A432" s="62"/>
      <c r="B432" s="66" t="s">
        <v>5495</v>
      </c>
      <c r="C432" s="62" t="s">
        <v>494</v>
      </c>
      <c r="H432" s="78" t="s">
        <v>5488</v>
      </c>
      <c r="K432" s="55">
        <v>5</v>
      </c>
      <c r="L432">
        <v>3</v>
      </c>
      <c r="M432">
        <v>3</v>
      </c>
      <c r="N432" s="1"/>
      <c r="O432" s="23"/>
      <c r="P432" s="23"/>
      <c r="Q432" s="23"/>
    </row>
    <row r="433" spans="1:18">
      <c r="A433" s="62"/>
      <c r="B433" s="66" t="s">
        <v>5456</v>
      </c>
      <c r="C433" s="62" t="s">
        <v>494</v>
      </c>
      <c r="K433" s="55">
        <v>6</v>
      </c>
      <c r="L433">
        <v>30</v>
      </c>
      <c r="M433">
        <v>1</v>
      </c>
      <c r="N433" s="1"/>
      <c r="O433" s="23"/>
      <c r="P433" s="23"/>
      <c r="Q433" s="23"/>
    </row>
    <row r="434" spans="1:18">
      <c r="A434" s="62"/>
      <c r="B434" s="66" t="s">
        <v>5438</v>
      </c>
      <c r="C434" s="62" t="s">
        <v>494</v>
      </c>
      <c r="K434" s="55">
        <v>7</v>
      </c>
      <c r="L434">
        <v>3</v>
      </c>
      <c r="N434" s="1"/>
      <c r="O434" s="23"/>
      <c r="P434" s="23"/>
      <c r="Q434" s="23"/>
    </row>
    <row r="435" spans="1:18">
      <c r="A435" s="62"/>
      <c r="B435" s="66" t="s">
        <v>5437</v>
      </c>
      <c r="C435" s="62" t="s">
        <v>494</v>
      </c>
      <c r="K435" s="55">
        <v>8</v>
      </c>
      <c r="L435">
        <v>3</v>
      </c>
      <c r="N435" s="1"/>
      <c r="O435" s="23"/>
      <c r="P435" s="23"/>
      <c r="Q435" s="23"/>
    </row>
    <row r="436" spans="1:18">
      <c r="A436" s="62"/>
      <c r="B436" s="66" t="s">
        <v>5474</v>
      </c>
      <c r="C436" s="62" t="s">
        <v>494</v>
      </c>
      <c r="K436" s="55">
        <v>9</v>
      </c>
      <c r="L436">
        <v>3</v>
      </c>
      <c r="N436" s="1"/>
      <c r="O436" s="23"/>
      <c r="P436" s="23"/>
      <c r="Q436" s="23"/>
    </row>
    <row r="437" spans="1:18">
      <c r="A437" s="62"/>
      <c r="B437" s="66" t="s">
        <v>5475</v>
      </c>
      <c r="C437" s="62" t="s">
        <v>494</v>
      </c>
      <c r="K437" s="55">
        <v>10</v>
      </c>
      <c r="L437">
        <v>3</v>
      </c>
      <c r="N437" s="1"/>
      <c r="O437" s="23"/>
      <c r="P437" s="23"/>
      <c r="Q437" s="23"/>
    </row>
    <row r="438" spans="1:18">
      <c r="A438" s="62"/>
      <c r="B438" s="66" t="s">
        <v>5476</v>
      </c>
      <c r="C438" s="62" t="s">
        <v>494</v>
      </c>
      <c r="K438" s="55">
        <v>11</v>
      </c>
      <c r="L438">
        <v>3</v>
      </c>
      <c r="N438" s="1"/>
      <c r="O438" s="23"/>
      <c r="P438" s="23"/>
      <c r="Q438" s="23"/>
    </row>
    <row r="439" spans="1:18">
      <c r="A439" s="62"/>
      <c r="B439" s="66" t="s">
        <v>5477</v>
      </c>
      <c r="C439" s="62" t="s">
        <v>494</v>
      </c>
      <c r="K439" s="55">
        <v>12</v>
      </c>
      <c r="L439">
        <v>3</v>
      </c>
      <c r="N439" s="1"/>
      <c r="O439" s="23"/>
      <c r="P439" s="23"/>
      <c r="Q439" s="23"/>
    </row>
    <row r="440" spans="1:18">
      <c r="A440" s="62"/>
      <c r="B440" s="66" t="s">
        <v>5471</v>
      </c>
      <c r="C440" s="62" t="s">
        <v>494</v>
      </c>
      <c r="K440" s="55">
        <v>13</v>
      </c>
      <c r="L440">
        <v>3</v>
      </c>
      <c r="N440" s="62" t="s">
        <v>5439</v>
      </c>
      <c r="O440" s="66" t="s">
        <v>5441</v>
      </c>
      <c r="P440" s="66" t="s">
        <v>5444</v>
      </c>
      <c r="Q440" s="23"/>
      <c r="R440">
        <v>2324</v>
      </c>
    </row>
    <row r="441" spans="1:18">
      <c r="A441" s="62"/>
      <c r="B441" s="63" t="s">
        <v>5470</v>
      </c>
      <c r="C441" s="62" t="s">
        <v>494</v>
      </c>
      <c r="K441" s="55">
        <v>14</v>
      </c>
      <c r="M441">
        <v>1</v>
      </c>
      <c r="N441" s="1"/>
      <c r="O441" s="23"/>
      <c r="P441" s="23"/>
      <c r="Q441" s="23"/>
    </row>
    <row r="442" spans="1:18">
      <c r="A442" s="62"/>
      <c r="B442" s="67" t="s">
        <v>5480</v>
      </c>
      <c r="C442" s="62" t="s">
        <v>494</v>
      </c>
      <c r="K442" s="55">
        <v>15</v>
      </c>
      <c r="L442">
        <v>3</v>
      </c>
      <c r="N442" s="62" t="s">
        <v>5497</v>
      </c>
      <c r="O442" s="66" t="s">
        <v>5499</v>
      </c>
      <c r="P442" s="66" t="s">
        <v>5501</v>
      </c>
      <c r="Q442" s="23"/>
    </row>
    <row r="443" spans="1:18">
      <c r="A443" s="62"/>
      <c r="B443" s="67" t="s">
        <v>5479</v>
      </c>
      <c r="C443" s="62" t="s">
        <v>494</v>
      </c>
      <c r="K443" s="55">
        <v>16</v>
      </c>
      <c r="L443">
        <v>3</v>
      </c>
      <c r="N443" s="62" t="s">
        <v>5502</v>
      </c>
      <c r="O443" s="66" t="s">
        <v>5499</v>
      </c>
      <c r="P443" s="66" t="s">
        <v>5508</v>
      </c>
      <c r="Q443" s="23"/>
    </row>
    <row r="444" spans="1:18">
      <c r="A444" s="62"/>
      <c r="B444" s="66" t="s">
        <v>5478</v>
      </c>
      <c r="C444" s="62" t="s">
        <v>520</v>
      </c>
      <c r="K444" s="55">
        <v>17</v>
      </c>
      <c r="N444" s="1"/>
      <c r="O444" s="23"/>
      <c r="P444" s="23"/>
      <c r="Q444" s="23"/>
    </row>
    <row r="445" spans="1:18">
      <c r="A445" s="62"/>
      <c r="B445" s="66" t="s">
        <v>5482</v>
      </c>
      <c r="C445" s="62" t="s">
        <v>494</v>
      </c>
      <c r="K445" s="55">
        <v>18</v>
      </c>
      <c r="N445" s="1"/>
      <c r="O445" s="23"/>
      <c r="P445" s="23"/>
      <c r="Q445" s="23"/>
    </row>
    <row r="446" spans="1:18">
      <c r="A446" s="62"/>
      <c r="B446" s="66" t="s">
        <v>5483</v>
      </c>
      <c r="C446" s="62" t="s">
        <v>494</v>
      </c>
      <c r="K446" s="55">
        <v>19</v>
      </c>
      <c r="N446" s="1"/>
      <c r="O446" s="23"/>
      <c r="P446" s="23"/>
      <c r="Q446" s="23"/>
    </row>
    <row r="447" spans="1:18">
      <c r="A447" s="62"/>
      <c r="B447" s="66" t="s">
        <v>5484</v>
      </c>
      <c r="C447" s="62" t="s">
        <v>702</v>
      </c>
      <c r="K447" s="55">
        <v>20</v>
      </c>
      <c r="M447">
        <v>1</v>
      </c>
      <c r="N447" s="1"/>
      <c r="O447" s="23"/>
      <c r="P447" s="23"/>
      <c r="Q447" s="23"/>
    </row>
    <row r="448" spans="1:18">
      <c r="A448" s="62"/>
      <c r="B448" s="66" t="s">
        <v>5493</v>
      </c>
      <c r="C448" s="62" t="s">
        <v>494</v>
      </c>
      <c r="K448" s="55">
        <v>21</v>
      </c>
      <c r="N448" s="1"/>
      <c r="O448" s="23"/>
      <c r="P448" s="23"/>
      <c r="Q448" s="23"/>
    </row>
    <row r="449" spans="1:17">
      <c r="A449" s="62"/>
      <c r="B449" s="66" t="s">
        <v>5494</v>
      </c>
      <c r="C449" s="62" t="s">
        <v>702</v>
      </c>
      <c r="K449" s="55">
        <v>22</v>
      </c>
      <c r="M449">
        <v>1</v>
      </c>
      <c r="N449" s="1"/>
      <c r="O449" s="23"/>
      <c r="P449" s="23"/>
      <c r="Q449" s="23"/>
    </row>
    <row r="450" spans="1:17">
      <c r="A450" s="62"/>
      <c r="B450" s="63" t="s">
        <v>5481</v>
      </c>
      <c r="C450" s="62" t="s">
        <v>494</v>
      </c>
      <c r="K450" s="55">
        <v>23</v>
      </c>
      <c r="M450">
        <v>1</v>
      </c>
      <c r="N450" s="1"/>
      <c r="O450" s="23"/>
      <c r="P450" s="23"/>
      <c r="Q450" s="23"/>
    </row>
    <row r="451" spans="1:17">
      <c r="A451" s="62"/>
      <c r="B451" s="66" t="s">
        <v>5485</v>
      </c>
      <c r="C451" s="62" t="s">
        <v>520</v>
      </c>
      <c r="K451" s="55">
        <v>24</v>
      </c>
      <c r="N451" s="1"/>
      <c r="O451" s="23"/>
      <c r="P451" s="23"/>
      <c r="Q451" s="23"/>
    </row>
    <row r="452" spans="1:17">
      <c r="A452" s="62"/>
      <c r="B452" s="66" t="s">
        <v>5486</v>
      </c>
      <c r="C452" s="62" t="s">
        <v>520</v>
      </c>
      <c r="K452" s="55">
        <v>25</v>
      </c>
      <c r="N452" s="1"/>
      <c r="O452" s="23"/>
      <c r="P452" s="23"/>
      <c r="Q452" s="23"/>
    </row>
    <row r="453" spans="1:17">
      <c r="A453" s="62"/>
      <c r="B453" s="66" t="s">
        <v>5448</v>
      </c>
      <c r="C453" s="62" t="s">
        <v>520</v>
      </c>
      <c r="K453" s="55">
        <v>26</v>
      </c>
      <c r="N453" s="1"/>
      <c r="O453" s="23"/>
      <c r="P453" s="23"/>
      <c r="Q453" s="23"/>
    </row>
    <row r="454" spans="1:17">
      <c r="A454" s="62"/>
      <c r="B454" s="66" t="s">
        <v>5449</v>
      </c>
      <c r="C454" s="62" t="s">
        <v>520</v>
      </c>
      <c r="K454" s="55">
        <v>27</v>
      </c>
      <c r="N454" s="1"/>
      <c r="O454" s="23"/>
      <c r="P454" s="23"/>
      <c r="Q454" s="23"/>
    </row>
    <row r="455" spans="1:17">
      <c r="A455" s="62"/>
      <c r="B455" s="66" t="s">
        <v>5450</v>
      </c>
      <c r="C455" s="62" t="s">
        <v>520</v>
      </c>
      <c r="K455" s="55">
        <v>28</v>
      </c>
      <c r="N455" s="1"/>
      <c r="O455" s="23"/>
      <c r="P455" s="23"/>
      <c r="Q455" s="23"/>
    </row>
    <row r="456" spans="1:17">
      <c r="A456" s="62"/>
      <c r="B456" s="66" t="s">
        <v>5451</v>
      </c>
      <c r="C456" s="62" t="s">
        <v>520</v>
      </c>
      <c r="K456" s="55">
        <v>29</v>
      </c>
      <c r="N456" s="1"/>
      <c r="O456" s="23"/>
      <c r="P456" s="23"/>
      <c r="Q456" s="23"/>
    </row>
    <row r="457" spans="1:17">
      <c r="A457" s="62"/>
      <c r="B457" s="66" t="s">
        <v>5453</v>
      </c>
      <c r="C457" s="62" t="s">
        <v>520</v>
      </c>
      <c r="K457" s="55">
        <v>30</v>
      </c>
      <c r="N457" s="1"/>
      <c r="O457" s="23"/>
      <c r="P457" s="23"/>
      <c r="Q457" s="23"/>
    </row>
    <row r="458" spans="1:17">
      <c r="A458" s="62"/>
      <c r="B458" s="66" t="s">
        <v>5452</v>
      </c>
      <c r="C458" s="62" t="s">
        <v>520</v>
      </c>
      <c r="K458" s="55">
        <v>31</v>
      </c>
      <c r="N458" s="1"/>
      <c r="O458" s="23"/>
      <c r="P458" s="23"/>
      <c r="Q458" s="23"/>
    </row>
    <row r="459" spans="1:17">
      <c r="A459" s="62"/>
      <c r="B459" s="66" t="s">
        <v>5454</v>
      </c>
      <c r="C459" s="62" t="s">
        <v>520</v>
      </c>
      <c r="K459" s="55">
        <v>32</v>
      </c>
      <c r="N459" s="1"/>
      <c r="O459" s="23"/>
      <c r="P459" s="23"/>
      <c r="Q459" s="23"/>
    </row>
    <row r="460" spans="1:17">
      <c r="A460" s="62"/>
      <c r="B460" s="63" t="s">
        <v>5455</v>
      </c>
      <c r="C460" s="62" t="s">
        <v>494</v>
      </c>
      <c r="K460" s="55">
        <v>33</v>
      </c>
      <c r="L460">
        <v>3</v>
      </c>
      <c r="N460" s="1"/>
      <c r="O460" s="23"/>
      <c r="P460" s="23"/>
      <c r="Q460" s="23"/>
    </row>
    <row r="461" spans="1:17">
      <c r="A461" s="62"/>
      <c r="B461" s="66" t="s">
        <v>5458</v>
      </c>
      <c r="C461" s="62" t="s">
        <v>494</v>
      </c>
      <c r="K461" s="55">
        <v>34</v>
      </c>
      <c r="L461">
        <v>3</v>
      </c>
      <c r="N461" s="1"/>
      <c r="O461" s="23"/>
      <c r="P461" s="23"/>
      <c r="Q461" s="23"/>
    </row>
    <row r="462" spans="1:17">
      <c r="A462" s="62"/>
      <c r="B462" s="66" t="s">
        <v>5459</v>
      </c>
      <c r="C462" s="62" t="s">
        <v>494</v>
      </c>
      <c r="K462" s="55">
        <v>35</v>
      </c>
      <c r="L462">
        <v>3</v>
      </c>
      <c r="N462" s="1"/>
      <c r="O462" s="23"/>
      <c r="P462" s="23"/>
      <c r="Q462" s="23"/>
    </row>
    <row r="463" spans="1:17">
      <c r="A463" s="62"/>
      <c r="B463" s="66" t="s">
        <v>5460</v>
      </c>
      <c r="C463" s="62" t="s">
        <v>494</v>
      </c>
      <c r="K463" s="55">
        <v>36</v>
      </c>
      <c r="L463">
        <v>3</v>
      </c>
      <c r="N463" s="1"/>
      <c r="O463" s="23"/>
      <c r="P463" s="23"/>
      <c r="Q463" s="23"/>
    </row>
    <row r="464" spans="1:17">
      <c r="A464" s="62"/>
      <c r="B464" s="66" t="s">
        <v>5461</v>
      </c>
      <c r="C464" s="62" t="s">
        <v>494</v>
      </c>
      <c r="K464" s="55">
        <v>37</v>
      </c>
      <c r="L464">
        <v>3</v>
      </c>
      <c r="N464" s="1"/>
      <c r="O464" s="23"/>
      <c r="P464" s="23"/>
      <c r="Q464" s="23"/>
    </row>
    <row r="465" spans="1:17">
      <c r="A465" s="62"/>
      <c r="B465" s="63" t="s">
        <v>5457</v>
      </c>
      <c r="C465" s="62" t="s">
        <v>494</v>
      </c>
      <c r="K465" s="55">
        <v>38</v>
      </c>
      <c r="L465">
        <v>3</v>
      </c>
      <c r="M465">
        <v>1</v>
      </c>
      <c r="N465" s="1"/>
      <c r="O465" s="23"/>
      <c r="P465" s="23"/>
      <c r="Q465" s="23"/>
    </row>
    <row r="466" spans="1:17">
      <c r="A466" s="62"/>
      <c r="B466" s="67" t="s">
        <v>5462</v>
      </c>
      <c r="C466" s="62" t="s">
        <v>494</v>
      </c>
      <c r="K466" s="55">
        <v>39</v>
      </c>
      <c r="L466">
        <v>3</v>
      </c>
      <c r="N466" s="1"/>
      <c r="O466" s="23"/>
      <c r="P466" s="23"/>
      <c r="Q466" s="23"/>
    </row>
    <row r="467" spans="1:17">
      <c r="A467" s="62"/>
      <c r="B467" s="67" t="s">
        <v>5463</v>
      </c>
      <c r="C467" s="62" t="s">
        <v>494</v>
      </c>
      <c r="K467" s="55">
        <v>40</v>
      </c>
      <c r="L467">
        <v>3</v>
      </c>
      <c r="N467" s="1"/>
      <c r="O467" s="23"/>
      <c r="P467" s="23"/>
      <c r="Q467" s="23"/>
    </row>
    <row r="468" spans="1:17">
      <c r="A468" s="62"/>
      <c r="B468" s="67" t="s">
        <v>5464</v>
      </c>
      <c r="C468" s="62" t="s">
        <v>494</v>
      </c>
      <c r="K468" s="55">
        <v>41</v>
      </c>
      <c r="L468">
        <v>3</v>
      </c>
      <c r="N468" s="1"/>
      <c r="O468" s="23"/>
      <c r="P468" s="23"/>
      <c r="Q468" s="23"/>
    </row>
    <row r="469" spans="1:17">
      <c r="A469" s="62"/>
      <c r="B469" s="67" t="s">
        <v>5465</v>
      </c>
      <c r="C469" s="62" t="s">
        <v>494</v>
      </c>
      <c r="K469" s="55">
        <v>42</v>
      </c>
      <c r="L469">
        <v>3</v>
      </c>
      <c r="N469" s="1"/>
      <c r="O469" s="23"/>
      <c r="P469" s="23"/>
      <c r="Q469" s="23"/>
    </row>
    <row r="470" spans="1:17">
      <c r="A470" s="62"/>
      <c r="B470" s="67" t="s">
        <v>5466</v>
      </c>
      <c r="C470" s="62" t="s">
        <v>494</v>
      </c>
      <c r="K470" s="55">
        <v>43</v>
      </c>
      <c r="L470">
        <v>3</v>
      </c>
      <c r="N470" s="1"/>
      <c r="O470" s="23"/>
      <c r="P470" s="23"/>
      <c r="Q470" s="23"/>
    </row>
    <row r="471" spans="1:17">
      <c r="A471" s="62"/>
      <c r="B471" s="66" t="s">
        <v>5467</v>
      </c>
      <c r="C471" s="62" t="s">
        <v>494</v>
      </c>
      <c r="K471" s="55">
        <v>44</v>
      </c>
      <c r="L471">
        <v>3</v>
      </c>
      <c r="N471" s="62"/>
      <c r="O471" s="66"/>
      <c r="P471" s="66"/>
      <c r="Q471" s="23"/>
    </row>
    <row r="472" spans="1:17">
      <c r="A472" s="62"/>
      <c r="B472" s="67" t="s">
        <v>5468</v>
      </c>
      <c r="C472" s="62" t="s">
        <v>494</v>
      </c>
      <c r="K472" s="55">
        <v>45</v>
      </c>
      <c r="L472">
        <v>3</v>
      </c>
      <c r="N472" s="62" t="s">
        <v>5509</v>
      </c>
      <c r="O472" s="66" t="s">
        <v>5511</v>
      </c>
      <c r="P472" s="66" t="s">
        <v>5514</v>
      </c>
      <c r="Q472" s="23"/>
    </row>
    <row r="473" spans="1:17">
      <c r="A473" s="62"/>
      <c r="B473" s="66" t="s">
        <v>5489</v>
      </c>
      <c r="C473" s="62" t="s">
        <v>520</v>
      </c>
      <c r="K473" s="55">
        <v>46</v>
      </c>
      <c r="N473" s="1"/>
      <c r="O473" s="23"/>
      <c r="P473" s="23"/>
      <c r="Q473" s="23"/>
    </row>
    <row r="474" spans="1:17">
      <c r="A474" s="62"/>
      <c r="B474" s="67" t="s">
        <v>5515</v>
      </c>
      <c r="C474" s="62" t="s">
        <v>494</v>
      </c>
      <c r="K474" s="55">
        <v>47</v>
      </c>
      <c r="L474">
        <v>3</v>
      </c>
      <c r="N474" s="1"/>
      <c r="O474" s="23"/>
      <c r="P474" s="23"/>
      <c r="Q474" s="23"/>
    </row>
    <row r="475" spans="1:17">
      <c r="A475" s="62"/>
      <c r="B475" s="67" t="s">
        <v>5516</v>
      </c>
      <c r="C475" s="62" t="s">
        <v>494</v>
      </c>
      <c r="K475" s="55">
        <v>48</v>
      </c>
      <c r="L475">
        <v>3</v>
      </c>
      <c r="N475" s="1"/>
      <c r="O475" s="23"/>
      <c r="P475" s="23"/>
      <c r="Q475" s="23"/>
    </row>
    <row r="476" spans="1:17">
      <c r="A476" s="62"/>
      <c r="B476" s="63" t="s">
        <v>5469</v>
      </c>
      <c r="C476" s="62" t="s">
        <v>494</v>
      </c>
      <c r="K476" s="55">
        <v>49</v>
      </c>
      <c r="L476">
        <v>3</v>
      </c>
      <c r="M476">
        <v>1</v>
      </c>
      <c r="N476" s="1"/>
      <c r="O476" s="23"/>
      <c r="P476" s="23"/>
      <c r="Q476" s="23"/>
    </row>
    <row r="477" spans="1:17">
      <c r="A477" s="62"/>
      <c r="B477" s="66" t="s">
        <v>5490</v>
      </c>
      <c r="C477" s="62" t="s">
        <v>520</v>
      </c>
      <c r="K477" s="55">
        <v>50</v>
      </c>
      <c r="M477">
        <v>1</v>
      </c>
      <c r="N477" s="1"/>
      <c r="O477" s="23"/>
      <c r="P477" s="23"/>
      <c r="Q477" s="23"/>
    </row>
    <row r="478" spans="1:17">
      <c r="A478" s="62"/>
      <c r="B478" s="66" t="s">
        <v>5491</v>
      </c>
      <c r="C478" s="62" t="s">
        <v>494</v>
      </c>
      <c r="K478" s="55">
        <v>51</v>
      </c>
      <c r="L478">
        <v>7</v>
      </c>
      <c r="M478">
        <v>1</v>
      </c>
      <c r="N478" s="1"/>
      <c r="O478" s="23"/>
      <c r="P478" s="23"/>
      <c r="Q478" s="23"/>
    </row>
    <row r="479" spans="1:17">
      <c r="A479" s="62"/>
      <c r="B479" s="66" t="s">
        <v>5492</v>
      </c>
      <c r="C479" s="62" t="s">
        <v>494</v>
      </c>
      <c r="K479" s="55">
        <v>52</v>
      </c>
      <c r="L479">
        <v>8</v>
      </c>
      <c r="M479">
        <v>1</v>
      </c>
      <c r="N479" s="1"/>
      <c r="O479" s="23"/>
      <c r="P479" s="23"/>
      <c r="Q479" s="23"/>
    </row>
    <row r="480" spans="1:17">
      <c r="A480" s="62"/>
      <c r="B480" s="66" t="s">
        <v>5905</v>
      </c>
      <c r="C480" s="62" t="s">
        <v>494</v>
      </c>
      <c r="K480" s="55">
        <v>53</v>
      </c>
      <c r="L480">
        <v>7</v>
      </c>
      <c r="M480">
        <v>1</v>
      </c>
      <c r="N480" s="1"/>
      <c r="O480" s="23"/>
      <c r="P480" s="23"/>
      <c r="Q480" s="23"/>
    </row>
    <row r="481" spans="1:17">
      <c r="A481" s="62"/>
      <c r="B481" s="66" t="s">
        <v>6017</v>
      </c>
      <c r="C481" s="62" t="s">
        <v>494</v>
      </c>
      <c r="K481" s="55">
        <v>54</v>
      </c>
      <c r="L481">
        <v>3</v>
      </c>
      <c r="N481" s="1"/>
      <c r="O481" s="23"/>
      <c r="P481" s="23"/>
      <c r="Q481" s="23"/>
    </row>
    <row r="482" spans="1:17">
      <c r="A482" s="62"/>
      <c r="B482" s="66" t="s">
        <v>6018</v>
      </c>
      <c r="C482" s="62" t="s">
        <v>494</v>
      </c>
      <c r="K482" s="55">
        <v>55</v>
      </c>
      <c r="L482">
        <v>3</v>
      </c>
      <c r="N482" s="1"/>
      <c r="O482" s="23"/>
      <c r="P482" s="23"/>
      <c r="Q482" s="23"/>
    </row>
    <row r="483" spans="1:17">
      <c r="A483" s="62"/>
      <c r="B483" s="66" t="s">
        <v>6019</v>
      </c>
      <c r="C483" s="62" t="s">
        <v>494</v>
      </c>
      <c r="K483" s="55">
        <v>56</v>
      </c>
      <c r="L483">
        <v>3</v>
      </c>
      <c r="N483" s="1"/>
      <c r="O483" s="23"/>
      <c r="P483" s="23"/>
      <c r="Q483" s="23"/>
    </row>
    <row r="484" spans="1:17">
      <c r="A484" s="62"/>
      <c r="B484" s="66" t="s">
        <v>6020</v>
      </c>
      <c r="C484" s="62" t="s">
        <v>494</v>
      </c>
      <c r="K484" s="55">
        <v>57</v>
      </c>
      <c r="L484">
        <v>3</v>
      </c>
      <c r="N484" s="1"/>
      <c r="O484" s="23"/>
      <c r="P484" s="23"/>
      <c r="Q484" s="23"/>
    </row>
    <row r="485" spans="1:17">
      <c r="A485" s="62"/>
      <c r="B485" s="66" t="s">
        <v>6021</v>
      </c>
      <c r="C485" s="62" t="s">
        <v>494</v>
      </c>
      <c r="K485" s="55">
        <v>58</v>
      </c>
      <c r="L485">
        <v>3</v>
      </c>
      <c r="N485" s="1"/>
      <c r="O485" s="23"/>
      <c r="P485" s="23"/>
      <c r="Q485" s="23"/>
    </row>
    <row r="486" spans="1:17">
      <c r="A486" s="62"/>
      <c r="B486" s="66" t="s">
        <v>6022</v>
      </c>
      <c r="C486" s="62" t="s">
        <v>494</v>
      </c>
      <c r="K486" s="55">
        <v>59</v>
      </c>
      <c r="L486">
        <v>3</v>
      </c>
      <c r="N486" s="1"/>
      <c r="O486" s="23"/>
      <c r="P486" s="23"/>
      <c r="Q486" s="23"/>
    </row>
    <row r="487" spans="1:17">
      <c r="A487" s="62"/>
      <c r="B487" s="66" t="s">
        <v>6023</v>
      </c>
      <c r="C487" s="62" t="s">
        <v>494</v>
      </c>
      <c r="K487" s="55">
        <v>60</v>
      </c>
      <c r="L487">
        <v>3</v>
      </c>
      <c r="N487" s="1"/>
      <c r="O487" s="23"/>
      <c r="P487" s="23"/>
      <c r="Q487" s="23"/>
    </row>
    <row r="488" spans="1:17">
      <c r="A488" s="62"/>
      <c r="B488" s="66" t="s">
        <v>6024</v>
      </c>
      <c r="C488" s="62" t="s">
        <v>494</v>
      </c>
      <c r="K488" s="55">
        <v>61</v>
      </c>
      <c r="L488">
        <v>3</v>
      </c>
      <c r="N488" s="1"/>
      <c r="O488" s="23"/>
      <c r="P488" s="23"/>
      <c r="Q488" s="23"/>
    </row>
    <row r="489" spans="1:17">
      <c r="A489" s="62"/>
      <c r="B489" s="66" t="s">
        <v>6089</v>
      </c>
      <c r="C489" s="62" t="s">
        <v>494</v>
      </c>
      <c r="K489" s="55">
        <v>62</v>
      </c>
      <c r="L489">
        <v>3</v>
      </c>
      <c r="N489" s="1"/>
      <c r="O489" s="23"/>
      <c r="P489" s="23"/>
      <c r="Q489" s="23"/>
    </row>
    <row r="490" spans="1:17">
      <c r="A490" s="62"/>
      <c r="B490" s="66" t="s">
        <v>6091</v>
      </c>
      <c r="C490" s="62" t="s">
        <v>494</v>
      </c>
      <c r="K490" s="55">
        <v>63</v>
      </c>
      <c r="L490">
        <v>3</v>
      </c>
      <c r="N490" s="1"/>
      <c r="O490" s="23"/>
      <c r="P490" s="23"/>
      <c r="Q490" s="23"/>
    </row>
    <row r="491" spans="1:17">
      <c r="A491" s="62"/>
      <c r="B491" s="67" t="s">
        <v>6094</v>
      </c>
      <c r="C491" s="62" t="s">
        <v>494</v>
      </c>
      <c r="K491" s="55">
        <v>64</v>
      </c>
      <c r="L491">
        <v>3</v>
      </c>
      <c r="N491" s="1"/>
      <c r="O491" s="23"/>
      <c r="P491" s="23"/>
      <c r="Q491" s="23"/>
    </row>
    <row r="492" spans="1:17">
      <c r="A492" s="62"/>
      <c r="B492" s="66"/>
      <c r="C492" s="62"/>
      <c r="K492" s="55"/>
      <c r="N492" s="1"/>
      <c r="O492" s="23"/>
      <c r="P492" s="23"/>
      <c r="Q492" s="23"/>
    </row>
    <row r="493" spans="1:17">
      <c r="A493" s="62" t="s">
        <v>5439</v>
      </c>
      <c r="B493" s="66" t="s">
        <v>5440</v>
      </c>
      <c r="C493" s="62" t="s">
        <v>494</v>
      </c>
      <c r="E493" s="62" t="s">
        <v>476</v>
      </c>
      <c r="F493">
        <v>23</v>
      </c>
      <c r="G493">
        <v>2324</v>
      </c>
      <c r="H493" s="62" t="s">
        <v>5446</v>
      </c>
      <c r="I493" s="62" t="s">
        <v>5447</v>
      </c>
      <c r="J493">
        <v>2302</v>
      </c>
      <c r="K493" s="55">
        <v>1</v>
      </c>
      <c r="L493">
        <v>6</v>
      </c>
      <c r="N493" s="1"/>
      <c r="O493" s="23"/>
      <c r="P493" s="23"/>
      <c r="Q493" s="23"/>
    </row>
    <row r="494" spans="1:17">
      <c r="A494" s="62"/>
      <c r="B494" s="66" t="s">
        <v>5441</v>
      </c>
      <c r="C494" s="62" t="s">
        <v>494</v>
      </c>
      <c r="K494" s="55">
        <v>2</v>
      </c>
      <c r="L494">
        <v>6</v>
      </c>
      <c r="N494" s="1"/>
      <c r="O494" s="23"/>
      <c r="P494" s="23"/>
      <c r="Q494" s="23"/>
    </row>
    <row r="495" spans="1:17">
      <c r="A495" s="62"/>
      <c r="B495" s="66" t="s">
        <v>5442</v>
      </c>
      <c r="C495" s="62" t="s">
        <v>494</v>
      </c>
      <c r="K495" s="55">
        <v>3</v>
      </c>
      <c r="N495" s="1"/>
      <c r="O495" s="23"/>
      <c r="P495" s="23"/>
      <c r="Q495" s="23"/>
    </row>
    <row r="496" spans="1:17">
      <c r="A496" s="62"/>
      <c r="B496" s="66" t="s">
        <v>5473</v>
      </c>
      <c r="C496" s="62" t="s">
        <v>494</v>
      </c>
      <c r="K496" s="55">
        <v>4</v>
      </c>
      <c r="L496">
        <v>3</v>
      </c>
      <c r="N496" s="1"/>
      <c r="O496" s="23"/>
      <c r="P496" s="23"/>
      <c r="Q496" s="23"/>
    </row>
    <row r="497" spans="1:17">
      <c r="A497" s="62"/>
      <c r="B497" s="66" t="s">
        <v>5443</v>
      </c>
      <c r="C497" s="62" t="s">
        <v>493</v>
      </c>
      <c r="D497">
        <v>1</v>
      </c>
      <c r="K497" s="55">
        <v>5</v>
      </c>
      <c r="L497">
        <v>3</v>
      </c>
      <c r="N497" s="1"/>
      <c r="O497" s="23"/>
      <c r="P497" s="23"/>
      <c r="Q497" s="23"/>
    </row>
    <row r="498" spans="1:17">
      <c r="A498" s="62"/>
      <c r="B498" s="66" t="s">
        <v>5444</v>
      </c>
      <c r="C498" s="62" t="s">
        <v>493</v>
      </c>
      <c r="D498">
        <v>100</v>
      </c>
      <c r="K498" s="55">
        <v>6</v>
      </c>
      <c r="N498" s="1"/>
      <c r="O498" s="23"/>
      <c r="P498" s="23"/>
      <c r="Q498" s="23"/>
    </row>
    <row r="499" spans="1:17">
      <c r="B499" s="66" t="s">
        <v>5445</v>
      </c>
      <c r="C499" s="62" t="s">
        <v>494</v>
      </c>
      <c r="K499" s="55">
        <v>7</v>
      </c>
      <c r="N499" s="1"/>
      <c r="O499" s="23"/>
      <c r="P499" s="23"/>
      <c r="Q499" s="23"/>
    </row>
    <row r="500" spans="1:17">
      <c r="B500" s="66"/>
      <c r="C500" s="62"/>
      <c r="K500" s="55"/>
      <c r="N500" s="1"/>
      <c r="O500" s="23"/>
      <c r="P500" s="23"/>
      <c r="Q500" s="23"/>
    </row>
    <row r="501" spans="1:17">
      <c r="A501" s="62" t="s">
        <v>5497</v>
      </c>
      <c r="B501" s="66" t="s">
        <v>5498</v>
      </c>
      <c r="C501" s="62" t="s">
        <v>494</v>
      </c>
      <c r="E501" s="62" t="s">
        <v>476</v>
      </c>
      <c r="F501">
        <v>23</v>
      </c>
      <c r="G501">
        <v>2325</v>
      </c>
      <c r="H501" s="62" t="s">
        <v>5527</v>
      </c>
      <c r="I501" s="62" t="s">
        <v>5530</v>
      </c>
      <c r="J501">
        <v>3</v>
      </c>
      <c r="K501" s="55">
        <v>1</v>
      </c>
      <c r="L501">
        <v>6</v>
      </c>
      <c r="N501" s="1"/>
      <c r="O501" s="23"/>
      <c r="P501" s="23"/>
      <c r="Q501" s="23"/>
    </row>
    <row r="502" spans="1:17">
      <c r="A502" s="62"/>
      <c r="B502" s="66" t="s">
        <v>5499</v>
      </c>
      <c r="C502" s="62" t="s">
        <v>494</v>
      </c>
      <c r="K502" s="55">
        <v>2</v>
      </c>
      <c r="L502">
        <v>6</v>
      </c>
      <c r="N502" s="1"/>
      <c r="O502" s="23"/>
      <c r="P502" s="23"/>
      <c r="Q502" s="23"/>
    </row>
    <row r="503" spans="1:17">
      <c r="A503" s="62"/>
      <c r="B503" s="66" t="s">
        <v>5503</v>
      </c>
      <c r="C503" s="62" t="s">
        <v>494</v>
      </c>
      <c r="K503" s="55">
        <v>3</v>
      </c>
      <c r="N503" s="1"/>
      <c r="O503" s="23"/>
      <c r="P503" s="23"/>
      <c r="Q503" s="23"/>
    </row>
    <row r="504" spans="1:17">
      <c r="B504" s="66" t="s">
        <v>5500</v>
      </c>
      <c r="C504" s="62" t="s">
        <v>493</v>
      </c>
      <c r="D504">
        <v>1</v>
      </c>
      <c r="K504" s="55">
        <v>4</v>
      </c>
      <c r="L504">
        <v>3</v>
      </c>
      <c r="N504" s="1"/>
      <c r="O504" s="23"/>
      <c r="P504" s="23"/>
      <c r="Q504" s="23"/>
    </row>
    <row r="505" spans="1:17">
      <c r="B505" s="66" t="s">
        <v>5501</v>
      </c>
      <c r="C505" s="62" t="s">
        <v>493</v>
      </c>
      <c r="D505">
        <v>100</v>
      </c>
      <c r="K505" s="55">
        <v>5</v>
      </c>
      <c r="N505" s="1"/>
      <c r="O505" s="23"/>
      <c r="P505" s="23"/>
      <c r="Q505" s="23"/>
    </row>
    <row r="506" spans="1:17">
      <c r="B506" s="66" t="s">
        <v>5533</v>
      </c>
      <c r="C506" s="62" t="s">
        <v>494</v>
      </c>
      <c r="K506" s="55">
        <v>6</v>
      </c>
      <c r="N506" s="1"/>
      <c r="O506" s="23"/>
      <c r="P506" s="23"/>
      <c r="Q506" s="23"/>
    </row>
    <row r="507" spans="1:17">
      <c r="A507" s="62"/>
      <c r="B507" s="66"/>
      <c r="C507" s="62"/>
      <c r="K507" s="55"/>
      <c r="N507" s="1"/>
      <c r="O507" s="23"/>
      <c r="P507" s="23"/>
      <c r="Q507" s="23"/>
    </row>
    <row r="508" spans="1:17">
      <c r="A508" s="62" t="s">
        <v>5502</v>
      </c>
      <c r="B508" s="66" t="s">
        <v>5504</v>
      </c>
      <c r="C508" s="62" t="s">
        <v>494</v>
      </c>
      <c r="E508" s="62" t="s">
        <v>476</v>
      </c>
      <c r="F508">
        <v>23</v>
      </c>
      <c r="G508">
        <v>2326</v>
      </c>
      <c r="H508" s="62" t="s">
        <v>5528</v>
      </c>
      <c r="I508" s="62" t="s">
        <v>5531</v>
      </c>
      <c r="J508">
        <v>3</v>
      </c>
      <c r="K508" s="55">
        <v>1</v>
      </c>
      <c r="L508">
        <v>6</v>
      </c>
      <c r="N508" s="1"/>
      <c r="O508" s="23"/>
      <c r="P508" s="23"/>
      <c r="Q508" s="23"/>
    </row>
    <row r="509" spans="1:17">
      <c r="B509" s="66" t="s">
        <v>5505</v>
      </c>
      <c r="C509" s="62" t="s">
        <v>494</v>
      </c>
      <c r="K509" s="55">
        <v>2</v>
      </c>
      <c r="L509">
        <v>6</v>
      </c>
      <c r="N509" s="1"/>
      <c r="O509" s="23"/>
      <c r="P509" s="23"/>
      <c r="Q509" s="23"/>
    </row>
    <row r="510" spans="1:17">
      <c r="B510" s="66" t="s">
        <v>5506</v>
      </c>
      <c r="C510" s="62" t="s">
        <v>494</v>
      </c>
      <c r="K510" s="55">
        <v>3</v>
      </c>
      <c r="N510" s="1"/>
      <c r="O510" s="23"/>
      <c r="P510" s="23"/>
      <c r="Q510" s="23"/>
    </row>
    <row r="511" spans="1:17">
      <c r="B511" s="66" t="s">
        <v>5507</v>
      </c>
      <c r="C511" s="62" t="s">
        <v>493</v>
      </c>
      <c r="D511">
        <v>1</v>
      </c>
      <c r="K511" s="55">
        <v>4</v>
      </c>
      <c r="L511">
        <v>3</v>
      </c>
      <c r="N511" s="1"/>
      <c r="O511" s="23"/>
      <c r="P511" s="23"/>
      <c r="Q511" s="23"/>
    </row>
    <row r="512" spans="1:17">
      <c r="B512" s="66" t="s">
        <v>5508</v>
      </c>
      <c r="C512" s="62" t="s">
        <v>493</v>
      </c>
      <c r="D512">
        <v>100</v>
      </c>
      <c r="K512" s="55">
        <v>5</v>
      </c>
      <c r="N512" s="1"/>
      <c r="O512" s="23"/>
      <c r="P512" s="23"/>
      <c r="Q512" s="23"/>
    </row>
    <row r="513" spans="1:17">
      <c r="B513" s="66"/>
      <c r="C513" s="62"/>
      <c r="K513" s="55"/>
      <c r="N513" s="1"/>
      <c r="O513" s="23"/>
      <c r="P513" s="23"/>
      <c r="Q513" s="23"/>
    </row>
    <row r="514" spans="1:17">
      <c r="A514" s="62" t="s">
        <v>5509</v>
      </c>
      <c r="B514" s="66" t="s">
        <v>5510</v>
      </c>
      <c r="C514" s="62" t="s">
        <v>494</v>
      </c>
      <c r="E514" s="62" t="s">
        <v>476</v>
      </c>
      <c r="F514">
        <v>23</v>
      </c>
      <c r="G514">
        <v>2327</v>
      </c>
      <c r="H514" s="62" t="s">
        <v>5529</v>
      </c>
      <c r="I514" s="62" t="s">
        <v>5532</v>
      </c>
      <c r="J514">
        <v>3</v>
      </c>
      <c r="K514" s="55">
        <v>1</v>
      </c>
      <c r="L514">
        <v>6</v>
      </c>
      <c r="N514" s="1"/>
      <c r="O514" s="23"/>
      <c r="P514" s="23"/>
      <c r="Q514" s="23"/>
    </row>
    <row r="515" spans="1:17">
      <c r="B515" s="66" t="s">
        <v>5511</v>
      </c>
      <c r="C515" s="62" t="s">
        <v>494</v>
      </c>
      <c r="K515" s="55">
        <v>2</v>
      </c>
      <c r="L515">
        <v>6</v>
      </c>
      <c r="N515" s="1"/>
      <c r="O515" s="23"/>
      <c r="P515" s="23"/>
      <c r="Q515" s="23"/>
    </row>
    <row r="516" spans="1:17">
      <c r="B516" s="66" t="s">
        <v>5512</v>
      </c>
      <c r="C516" s="62" t="s">
        <v>494</v>
      </c>
      <c r="K516" s="55">
        <v>3</v>
      </c>
      <c r="N516" s="1"/>
      <c r="O516" s="23"/>
      <c r="P516" s="23"/>
      <c r="Q516" s="23"/>
    </row>
    <row r="517" spans="1:17">
      <c r="B517" s="66" t="s">
        <v>5513</v>
      </c>
      <c r="C517" s="62" t="s">
        <v>493</v>
      </c>
      <c r="D517">
        <v>1</v>
      </c>
      <c r="K517" s="55">
        <v>4</v>
      </c>
      <c r="L517">
        <v>3</v>
      </c>
      <c r="N517" s="1"/>
      <c r="O517" s="23"/>
      <c r="P517" s="23"/>
      <c r="Q517" s="23"/>
    </row>
    <row r="518" spans="1:17">
      <c r="B518" s="66" t="s">
        <v>5514</v>
      </c>
      <c r="C518" s="62" t="s">
        <v>493</v>
      </c>
      <c r="D518">
        <v>100</v>
      </c>
      <c r="K518" s="55">
        <v>5</v>
      </c>
      <c r="N518" s="1"/>
      <c r="O518" s="23"/>
      <c r="P518" s="23"/>
      <c r="Q518" s="23"/>
    </row>
    <row r="519" spans="1:17">
      <c r="B519" s="66"/>
      <c r="C519" s="62"/>
      <c r="K519" s="55"/>
      <c r="N519" s="1"/>
      <c r="O519" s="23"/>
      <c r="P519" s="23"/>
      <c r="Q519" s="23"/>
    </row>
    <row r="520" spans="1:17">
      <c r="A520" s="62" t="s">
        <v>5534</v>
      </c>
      <c r="B520" s="66" t="s">
        <v>5535</v>
      </c>
      <c r="C520" s="62" t="s">
        <v>494</v>
      </c>
      <c r="E520" s="62" t="s">
        <v>476</v>
      </c>
      <c r="F520">
        <v>23</v>
      </c>
      <c r="G520">
        <v>2328</v>
      </c>
      <c r="H520" s="62" t="s">
        <v>5555</v>
      </c>
      <c r="I520" s="62" t="s">
        <v>5561</v>
      </c>
      <c r="J520">
        <v>2302</v>
      </c>
      <c r="K520" s="55">
        <v>1</v>
      </c>
      <c r="L520">
        <v>6</v>
      </c>
      <c r="N520" s="1"/>
      <c r="O520" s="23"/>
      <c r="P520" s="23"/>
      <c r="Q520" s="23"/>
    </row>
    <row r="521" spans="1:17">
      <c r="B521" s="66" t="s">
        <v>5536</v>
      </c>
      <c r="C521" s="62" t="s">
        <v>494</v>
      </c>
      <c r="K521" s="55">
        <v>2</v>
      </c>
      <c r="L521">
        <v>6</v>
      </c>
      <c r="N521" s="1"/>
      <c r="O521" s="23"/>
      <c r="P521" s="23"/>
      <c r="Q521" s="23"/>
    </row>
    <row r="522" spans="1:17">
      <c r="B522" s="66" t="s">
        <v>5537</v>
      </c>
      <c r="C522" s="62" t="s">
        <v>494</v>
      </c>
      <c r="K522" s="55">
        <v>3</v>
      </c>
      <c r="L522">
        <v>3</v>
      </c>
      <c r="N522" s="62" t="s">
        <v>5549</v>
      </c>
      <c r="O522" s="66" t="s">
        <v>5550</v>
      </c>
      <c r="P522" s="66" t="s">
        <v>5551</v>
      </c>
      <c r="Q522" s="23"/>
    </row>
    <row r="523" spans="1:17">
      <c r="B523" s="66" t="s">
        <v>5548</v>
      </c>
      <c r="C523" s="62" t="s">
        <v>494</v>
      </c>
      <c r="K523" s="55">
        <v>4</v>
      </c>
      <c r="L523">
        <v>30</v>
      </c>
      <c r="N523" s="62" t="s">
        <v>5558</v>
      </c>
      <c r="O523" s="66" t="s">
        <v>5559</v>
      </c>
      <c r="P523" s="66" t="s">
        <v>5560</v>
      </c>
      <c r="Q523" s="23"/>
    </row>
    <row r="524" spans="1:17">
      <c r="B524" s="66" t="s">
        <v>5538</v>
      </c>
      <c r="C524" s="62" t="s">
        <v>494</v>
      </c>
      <c r="K524" s="55">
        <v>5</v>
      </c>
      <c r="L524">
        <v>7</v>
      </c>
      <c r="N524" s="1"/>
      <c r="O524" s="23"/>
      <c r="P524" s="23"/>
      <c r="Q524" s="23"/>
    </row>
    <row r="525" spans="1:17">
      <c r="B525" s="66" t="s">
        <v>5556</v>
      </c>
      <c r="C525" s="62" t="s">
        <v>494</v>
      </c>
      <c r="K525" s="55">
        <v>6</v>
      </c>
      <c r="M525">
        <v>71</v>
      </c>
      <c r="N525" s="1"/>
      <c r="O525" s="23"/>
      <c r="P525" s="23"/>
      <c r="Q525" s="23"/>
    </row>
    <row r="526" spans="1:17">
      <c r="B526" s="66" t="s">
        <v>5563</v>
      </c>
      <c r="C526" s="62" t="s">
        <v>494</v>
      </c>
      <c r="K526" s="55">
        <v>7</v>
      </c>
      <c r="M526">
        <v>72</v>
      </c>
      <c r="N526" s="1"/>
      <c r="O526" s="23"/>
      <c r="P526" s="23"/>
      <c r="Q526" s="23"/>
    </row>
    <row r="527" spans="1:17">
      <c r="B527" s="66" t="s">
        <v>5557</v>
      </c>
      <c r="C527" s="62" t="s">
        <v>494</v>
      </c>
      <c r="K527" s="55">
        <v>8</v>
      </c>
      <c r="M527">
        <v>71</v>
      </c>
      <c r="N527" s="1"/>
      <c r="O527" s="23"/>
      <c r="P527" s="23"/>
      <c r="Q527" s="23"/>
    </row>
    <row r="528" spans="1:17">
      <c r="B528" s="66" t="s">
        <v>5564</v>
      </c>
      <c r="C528" s="62" t="s">
        <v>494</v>
      </c>
      <c r="K528" s="55">
        <v>9</v>
      </c>
      <c r="M528">
        <v>72</v>
      </c>
      <c r="N528" s="1"/>
      <c r="O528" s="23"/>
      <c r="P528" s="23"/>
      <c r="Q528" s="23"/>
    </row>
    <row r="529" spans="1:18">
      <c r="B529" s="66" t="s">
        <v>5542</v>
      </c>
      <c r="C529" s="62" t="s">
        <v>494</v>
      </c>
      <c r="K529" s="55">
        <v>10</v>
      </c>
      <c r="L529">
        <v>8</v>
      </c>
      <c r="N529" s="1"/>
      <c r="O529" s="23"/>
      <c r="P529" s="23"/>
      <c r="Q529" s="23"/>
    </row>
    <row r="530" spans="1:18">
      <c r="B530" s="66" t="s">
        <v>5541</v>
      </c>
      <c r="C530" s="62" t="s">
        <v>494</v>
      </c>
      <c r="K530" s="55">
        <v>11</v>
      </c>
      <c r="L530">
        <v>3</v>
      </c>
      <c r="N530" s="62" t="s">
        <v>693</v>
      </c>
      <c r="O530" s="1" t="s">
        <v>695</v>
      </c>
      <c r="P530" s="62" t="s">
        <v>696</v>
      </c>
    </row>
    <row r="531" spans="1:18">
      <c r="B531" s="66" t="s">
        <v>5540</v>
      </c>
      <c r="C531" s="62" t="s">
        <v>494</v>
      </c>
      <c r="K531" s="55">
        <v>12</v>
      </c>
      <c r="L531">
        <v>3</v>
      </c>
      <c r="M531">
        <v>31</v>
      </c>
      <c r="N531" s="62" t="s">
        <v>379</v>
      </c>
      <c r="O531" s="62" t="s">
        <v>698</v>
      </c>
      <c r="P531" s="62" t="s">
        <v>699</v>
      </c>
      <c r="Q531" s="62" t="s">
        <v>383</v>
      </c>
      <c r="R531">
        <v>11</v>
      </c>
    </row>
    <row r="532" spans="1:18">
      <c r="B532" s="66" t="s">
        <v>5539</v>
      </c>
      <c r="C532" s="62" t="s">
        <v>493</v>
      </c>
      <c r="D532">
        <v>200</v>
      </c>
      <c r="K532" s="55">
        <v>13</v>
      </c>
      <c r="N532" s="1"/>
      <c r="O532" s="23"/>
      <c r="P532" s="23"/>
      <c r="Q532" s="23"/>
    </row>
    <row r="533" spans="1:18">
      <c r="B533" s="66" t="s">
        <v>5543</v>
      </c>
      <c r="C533" s="62" t="s">
        <v>520</v>
      </c>
      <c r="K533" s="55">
        <v>14</v>
      </c>
      <c r="N533" s="1"/>
      <c r="O533" s="23"/>
      <c r="P533" s="23"/>
      <c r="Q533" s="23"/>
    </row>
    <row r="534" spans="1:18">
      <c r="B534" s="67" t="s">
        <v>5626</v>
      </c>
      <c r="C534" s="62" t="s">
        <v>494</v>
      </c>
      <c r="K534" s="55">
        <v>15</v>
      </c>
      <c r="L534">
        <v>3</v>
      </c>
      <c r="N534" s="1"/>
      <c r="O534" s="23"/>
      <c r="P534" s="23"/>
      <c r="Q534" s="23"/>
    </row>
    <row r="535" spans="1:18">
      <c r="B535" s="66"/>
      <c r="C535" s="62"/>
      <c r="K535" s="55"/>
      <c r="N535" s="1"/>
      <c r="O535" s="23"/>
      <c r="P535" s="23"/>
      <c r="Q535" s="23"/>
    </row>
    <row r="536" spans="1:18">
      <c r="A536" s="62" t="s">
        <v>5544</v>
      </c>
      <c r="B536" s="66" t="s">
        <v>5545</v>
      </c>
      <c r="C536" s="62" t="s">
        <v>494</v>
      </c>
      <c r="E536" s="62" t="s">
        <v>476</v>
      </c>
      <c r="F536">
        <v>23</v>
      </c>
      <c r="G536">
        <v>2329</v>
      </c>
      <c r="H536" s="62" t="s">
        <v>5562</v>
      </c>
      <c r="J536">
        <v>2302</v>
      </c>
      <c r="K536" s="55">
        <v>1</v>
      </c>
      <c r="L536">
        <v>52</v>
      </c>
      <c r="N536" s="1">
        <v>2328</v>
      </c>
      <c r="O536" s="66" t="s">
        <v>5536</v>
      </c>
      <c r="P536" s="23"/>
      <c r="Q536" s="23"/>
    </row>
    <row r="537" spans="1:18">
      <c r="A537" s="62"/>
      <c r="B537" s="66" t="s">
        <v>5546</v>
      </c>
      <c r="C537" s="62" t="s">
        <v>494</v>
      </c>
      <c r="E537" s="62" t="s">
        <v>476</v>
      </c>
      <c r="K537" s="55">
        <v>2</v>
      </c>
      <c r="L537">
        <v>8</v>
      </c>
      <c r="N537" s="1"/>
      <c r="O537" s="23"/>
      <c r="P537" s="23"/>
      <c r="Q537" s="23"/>
    </row>
    <row r="538" spans="1:18">
      <c r="A538" s="62"/>
      <c r="B538" s="66" t="s">
        <v>5547</v>
      </c>
      <c r="C538" s="62" t="s">
        <v>494</v>
      </c>
      <c r="K538" s="55">
        <v>3</v>
      </c>
      <c r="L538">
        <v>6</v>
      </c>
      <c r="N538" s="1"/>
      <c r="O538" s="23"/>
      <c r="P538" s="23"/>
      <c r="Q538" s="23"/>
    </row>
    <row r="539" spans="1:18">
      <c r="A539" s="62"/>
      <c r="B539" s="66" t="s">
        <v>5565</v>
      </c>
      <c r="C539" s="62" t="s">
        <v>494</v>
      </c>
      <c r="K539" s="55">
        <v>4</v>
      </c>
      <c r="L539">
        <v>3</v>
      </c>
      <c r="N539" s="62" t="s">
        <v>5552</v>
      </c>
      <c r="O539" s="66" t="s">
        <v>5553</v>
      </c>
      <c r="P539" s="66" t="s">
        <v>5554</v>
      </c>
      <c r="Q539" s="23"/>
    </row>
    <row r="540" spans="1:18">
      <c r="A540" s="62"/>
      <c r="B540" s="66"/>
      <c r="C540" s="62"/>
      <c r="K540" s="55"/>
      <c r="N540" s="1"/>
      <c r="O540" s="23"/>
      <c r="P540" s="23"/>
      <c r="Q540" s="23"/>
    </row>
    <row r="541" spans="1:18">
      <c r="A541" s="62" t="s">
        <v>5549</v>
      </c>
      <c r="B541" s="66" t="s">
        <v>5550</v>
      </c>
      <c r="C541" s="62" t="s">
        <v>494</v>
      </c>
      <c r="E541" s="62" t="s">
        <v>476</v>
      </c>
      <c r="K541" s="55"/>
      <c r="N541" s="1"/>
      <c r="O541" s="23"/>
      <c r="P541" s="23"/>
      <c r="Q541" s="23"/>
    </row>
    <row r="542" spans="1:18">
      <c r="A542" s="62"/>
      <c r="B542" s="66" t="s">
        <v>5551</v>
      </c>
      <c r="C542" s="62" t="s">
        <v>493</v>
      </c>
      <c r="D542">
        <v>100</v>
      </c>
      <c r="K542" s="55"/>
      <c r="N542" s="1"/>
      <c r="O542" s="23"/>
      <c r="P542" s="23"/>
      <c r="Q542" s="23"/>
    </row>
    <row r="543" spans="1:18">
      <c r="A543" s="62"/>
      <c r="B543" s="66"/>
      <c r="C543" s="62"/>
      <c r="K543" s="55"/>
      <c r="N543" s="1"/>
      <c r="O543" s="23"/>
      <c r="P543" s="23"/>
      <c r="Q543" s="23"/>
    </row>
    <row r="544" spans="1:18">
      <c r="A544" s="62" t="s">
        <v>5552</v>
      </c>
      <c r="B544" s="66" t="s">
        <v>5553</v>
      </c>
      <c r="C544" s="62" t="s">
        <v>494</v>
      </c>
      <c r="E544" s="62" t="s">
        <v>476</v>
      </c>
      <c r="K544" s="55"/>
      <c r="N544" s="1"/>
      <c r="O544" s="23"/>
      <c r="P544" s="23"/>
      <c r="Q544" s="23"/>
    </row>
    <row r="545" spans="1:18">
      <c r="A545" s="62"/>
      <c r="B545" s="66" t="s">
        <v>5554</v>
      </c>
      <c r="C545" s="62" t="s">
        <v>493</v>
      </c>
      <c r="D545">
        <v>100</v>
      </c>
      <c r="K545" s="55"/>
      <c r="N545" s="1"/>
      <c r="O545" s="23"/>
      <c r="P545" s="23"/>
      <c r="Q545" s="23"/>
    </row>
    <row r="546" spans="1:18">
      <c r="B546" s="66"/>
      <c r="C546" s="62"/>
      <c r="K546" s="55"/>
      <c r="N546" s="1"/>
      <c r="O546" s="23"/>
      <c r="P546" s="23"/>
      <c r="Q546" s="23"/>
    </row>
    <row r="547" spans="1:18">
      <c r="A547" s="62" t="s">
        <v>5558</v>
      </c>
      <c r="B547" s="66" t="s">
        <v>5559</v>
      </c>
      <c r="C547" s="62" t="s">
        <v>494</v>
      </c>
      <c r="E547" s="62" t="s">
        <v>476</v>
      </c>
      <c r="K547" s="55"/>
      <c r="N547" s="1"/>
      <c r="O547" s="23"/>
      <c r="P547" s="23"/>
      <c r="Q547" s="23"/>
    </row>
    <row r="548" spans="1:18">
      <c r="B548" s="66" t="s">
        <v>5560</v>
      </c>
      <c r="C548" s="62" t="s">
        <v>493</v>
      </c>
      <c r="D548">
        <v>100</v>
      </c>
      <c r="K548" s="55"/>
      <c r="N548" s="1"/>
      <c r="O548" s="23"/>
      <c r="P548" s="23"/>
      <c r="Q548" s="23"/>
    </row>
    <row r="549" spans="1:18">
      <c r="B549" s="66"/>
      <c r="C549" s="62"/>
      <c r="K549" s="55"/>
      <c r="N549" s="1"/>
      <c r="O549" s="23"/>
      <c r="P549" s="23"/>
      <c r="Q549" s="23"/>
    </row>
    <row r="550" spans="1:18">
      <c r="A550" s="62" t="s">
        <v>5958</v>
      </c>
      <c r="B550" s="66" t="s">
        <v>5959</v>
      </c>
      <c r="C550" s="62" t="s">
        <v>494</v>
      </c>
      <c r="F550">
        <v>23</v>
      </c>
      <c r="G550">
        <v>2333</v>
      </c>
      <c r="H550" s="62" t="s">
        <v>5964</v>
      </c>
      <c r="I550" s="62" t="s">
        <v>5965</v>
      </c>
      <c r="J550">
        <v>11</v>
      </c>
      <c r="K550" s="55">
        <v>1</v>
      </c>
      <c r="L550">
        <v>3</v>
      </c>
      <c r="N550" s="10" t="s">
        <v>506</v>
      </c>
      <c r="O550" s="10" t="s">
        <v>514</v>
      </c>
      <c r="P550" s="1" t="s">
        <v>515</v>
      </c>
      <c r="Q550" s="23"/>
    </row>
    <row r="551" spans="1:18">
      <c r="B551" s="66" t="s">
        <v>5960</v>
      </c>
      <c r="C551" s="62" t="s">
        <v>494</v>
      </c>
      <c r="K551" s="55">
        <v>2</v>
      </c>
      <c r="L551">
        <v>3</v>
      </c>
      <c r="N551" s="62" t="s">
        <v>693</v>
      </c>
      <c r="O551" s="1" t="s">
        <v>695</v>
      </c>
      <c r="P551" s="62" t="s">
        <v>696</v>
      </c>
    </row>
    <row r="552" spans="1:18">
      <c r="B552" s="66" t="s">
        <v>5961</v>
      </c>
      <c r="C552" s="62" t="s">
        <v>494</v>
      </c>
      <c r="K552" s="55">
        <v>3</v>
      </c>
      <c r="L552">
        <v>3</v>
      </c>
      <c r="M552" s="14">
        <v>31</v>
      </c>
      <c r="N552" s="62" t="s">
        <v>379</v>
      </c>
      <c r="O552" s="62" t="s">
        <v>698</v>
      </c>
      <c r="P552" s="62" t="s">
        <v>699</v>
      </c>
      <c r="Q552" s="62" t="s">
        <v>383</v>
      </c>
      <c r="R552">
        <v>2</v>
      </c>
    </row>
    <row r="553" spans="1:18">
      <c r="B553" s="66" t="s">
        <v>5963</v>
      </c>
      <c r="C553" s="62" t="s">
        <v>494</v>
      </c>
      <c r="K553" s="55">
        <v>4</v>
      </c>
      <c r="L553">
        <v>3</v>
      </c>
      <c r="N553" s="1"/>
      <c r="O553" s="23"/>
      <c r="P553" s="23"/>
      <c r="Q553" s="23"/>
    </row>
    <row r="554" spans="1:18">
      <c r="B554" s="66" t="s">
        <v>5962</v>
      </c>
      <c r="C554" s="62" t="s">
        <v>494</v>
      </c>
      <c r="K554" s="55">
        <v>5</v>
      </c>
      <c r="L554">
        <v>3</v>
      </c>
      <c r="N554" s="1"/>
      <c r="O554" s="23"/>
      <c r="P554" s="23"/>
      <c r="Q554" s="23"/>
    </row>
    <row r="555" spans="1:18">
      <c r="B555" s="66"/>
      <c r="C555" s="62"/>
      <c r="K555" s="55"/>
      <c r="N555" s="1"/>
      <c r="O555" s="23"/>
      <c r="P555" s="23"/>
      <c r="Q555" s="23"/>
    </row>
    <row r="556" spans="1:18">
      <c r="A556" s="64" t="s">
        <v>3828</v>
      </c>
      <c r="B556" s="62" t="s">
        <v>3829</v>
      </c>
      <c r="C556" s="62" t="s">
        <v>494</v>
      </c>
      <c r="E556" s="62" t="s">
        <v>476</v>
      </c>
      <c r="F556">
        <v>22</v>
      </c>
      <c r="G556">
        <v>2334</v>
      </c>
      <c r="H556" s="62" t="s">
        <v>6065</v>
      </c>
      <c r="I556" s="62" t="s">
        <v>6066</v>
      </c>
      <c r="J556">
        <v>2301</v>
      </c>
      <c r="K556" s="55">
        <v>1</v>
      </c>
      <c r="L556" s="9">
        <v>3</v>
      </c>
      <c r="M556" s="1"/>
      <c r="N556" s="64" t="s">
        <v>506</v>
      </c>
      <c r="O556" s="10" t="s">
        <v>514</v>
      </c>
      <c r="P556" s="62" t="s">
        <v>515</v>
      </c>
    </row>
    <row r="557" spans="1:18">
      <c r="B557" s="62" t="s">
        <v>3830</v>
      </c>
      <c r="C557" s="62" t="s">
        <v>494</v>
      </c>
      <c r="E557" s="62" t="s">
        <v>476</v>
      </c>
      <c r="K557" s="55">
        <v>2</v>
      </c>
      <c r="L557">
        <v>8</v>
      </c>
    </row>
    <row r="558" spans="1:18">
      <c r="B558" s="62" t="s">
        <v>3831</v>
      </c>
      <c r="C558" s="62" t="s">
        <v>494</v>
      </c>
      <c r="E558" s="62" t="s">
        <v>476</v>
      </c>
      <c r="K558" s="55">
        <v>3</v>
      </c>
      <c r="L558">
        <v>3</v>
      </c>
      <c r="N558" s="62" t="s">
        <v>3655</v>
      </c>
      <c r="O558" s="62" t="s">
        <v>3648</v>
      </c>
      <c r="P558" s="62" t="s">
        <v>3657</v>
      </c>
      <c r="Q558" s="14"/>
      <c r="R558" s="14"/>
    </row>
    <row r="559" spans="1:18">
      <c r="B559" s="62" t="s">
        <v>3778</v>
      </c>
      <c r="C559" s="62" t="s">
        <v>494</v>
      </c>
      <c r="E559" s="62"/>
      <c r="K559" s="55">
        <v>4</v>
      </c>
      <c r="L559">
        <v>6</v>
      </c>
    </row>
    <row r="560" spans="1:18">
      <c r="B560" s="62" t="s">
        <v>3832</v>
      </c>
      <c r="C560" s="62" t="s">
        <v>494</v>
      </c>
      <c r="E560" s="62"/>
      <c r="K560" s="55">
        <v>5</v>
      </c>
      <c r="L560">
        <v>3</v>
      </c>
      <c r="M560" s="14">
        <v>1</v>
      </c>
      <c r="N560" s="62" t="s">
        <v>379</v>
      </c>
      <c r="O560" s="62" t="s">
        <v>698</v>
      </c>
      <c r="P560" s="62" t="s">
        <v>699</v>
      </c>
      <c r="Q560" s="62"/>
    </row>
    <row r="561" spans="1:18">
      <c r="B561" s="62" t="s">
        <v>3835</v>
      </c>
      <c r="C561" s="62" t="s">
        <v>494</v>
      </c>
      <c r="E561" s="62"/>
      <c r="K561" s="55">
        <v>6</v>
      </c>
      <c r="L561">
        <v>3</v>
      </c>
      <c r="M561">
        <v>1</v>
      </c>
      <c r="N561" s="62" t="s">
        <v>3664</v>
      </c>
      <c r="O561" s="62" t="s">
        <v>3666</v>
      </c>
      <c r="P561" s="62" t="s">
        <v>3667</v>
      </c>
    </row>
    <row r="562" spans="1:18">
      <c r="B562" s="62" t="s">
        <v>3836</v>
      </c>
      <c r="C562" s="62" t="s">
        <v>494</v>
      </c>
      <c r="E562" s="62"/>
      <c r="K562" s="55">
        <v>7</v>
      </c>
      <c r="L562">
        <v>3</v>
      </c>
      <c r="M562">
        <v>1</v>
      </c>
      <c r="N562" s="62" t="s">
        <v>693</v>
      </c>
      <c r="O562" s="1" t="s">
        <v>695</v>
      </c>
      <c r="P562" s="1" t="s">
        <v>696</v>
      </c>
    </row>
    <row r="563" spans="1:18">
      <c r="B563" s="62" t="s">
        <v>3837</v>
      </c>
      <c r="C563" s="62" t="s">
        <v>494</v>
      </c>
      <c r="E563" s="62"/>
      <c r="K563" s="55">
        <v>8</v>
      </c>
      <c r="L563">
        <v>7</v>
      </c>
      <c r="M563">
        <v>1</v>
      </c>
    </row>
    <row r="564" spans="1:18">
      <c r="B564" s="66" t="s">
        <v>3845</v>
      </c>
      <c r="C564" s="62" t="s">
        <v>494</v>
      </c>
      <c r="K564" s="55">
        <v>9</v>
      </c>
      <c r="L564">
        <v>3</v>
      </c>
      <c r="M564">
        <v>1</v>
      </c>
    </row>
    <row r="565" spans="1:18">
      <c r="B565" s="66" t="s">
        <v>3967</v>
      </c>
      <c r="C565" s="62" t="s">
        <v>494</v>
      </c>
      <c r="H565" s="62" t="s">
        <v>3968</v>
      </c>
      <c r="K565" s="55">
        <v>10</v>
      </c>
      <c r="L565">
        <v>8</v>
      </c>
    </row>
    <row r="566" spans="1:18">
      <c r="B566" s="66" t="s">
        <v>4027</v>
      </c>
      <c r="C566" s="64" t="s">
        <v>494</v>
      </c>
      <c r="D566" s="7"/>
      <c r="E566" s="7"/>
      <c r="F566" s="7"/>
      <c r="G566" s="7"/>
      <c r="H566" s="64"/>
      <c r="I566" s="7"/>
      <c r="J566" s="7"/>
      <c r="K566" s="55">
        <v>11</v>
      </c>
      <c r="L566" s="7">
        <v>3</v>
      </c>
      <c r="M566" s="7">
        <v>1</v>
      </c>
      <c r="N566" s="62" t="s">
        <v>5401</v>
      </c>
      <c r="O566" s="66" t="s">
        <v>5402</v>
      </c>
      <c r="P566" s="66" t="s">
        <v>5403</v>
      </c>
    </row>
    <row r="567" spans="1:18">
      <c r="B567" s="67" t="s">
        <v>6064</v>
      </c>
      <c r="C567" s="70" t="s">
        <v>494</v>
      </c>
      <c r="D567" s="94"/>
      <c r="E567" s="94"/>
      <c r="F567" s="94"/>
      <c r="G567" s="94"/>
      <c r="H567" s="70"/>
      <c r="I567" s="94"/>
      <c r="J567" s="94"/>
      <c r="K567" s="55">
        <v>12</v>
      </c>
      <c r="L567" s="94"/>
      <c r="M567" s="94">
        <v>1</v>
      </c>
      <c r="N567" s="62"/>
      <c r="O567" s="66"/>
      <c r="P567" s="66"/>
    </row>
    <row r="568" spans="1:18">
      <c r="B568" s="62"/>
      <c r="C568" s="62"/>
      <c r="E568" s="62"/>
      <c r="K568" s="55"/>
      <c r="M568" s="14"/>
      <c r="N568" s="62"/>
      <c r="O568" s="62"/>
      <c r="P568" s="62"/>
      <c r="Q568" s="62"/>
    </row>
    <row r="569" spans="1:18" s="3" customFormat="1">
      <c r="A569" s="62" t="s">
        <v>6132</v>
      </c>
      <c r="B569" s="62" t="s">
        <v>6133</v>
      </c>
      <c r="C569" s="62" t="s">
        <v>494</v>
      </c>
      <c r="D569" s="62"/>
      <c r="E569" s="62" t="s">
        <v>476</v>
      </c>
      <c r="F569" s="62">
        <v>23</v>
      </c>
      <c r="G569" s="62">
        <v>2335</v>
      </c>
      <c r="H569" s="62" t="s">
        <v>6139</v>
      </c>
      <c r="I569" s="62" t="s">
        <v>6140</v>
      </c>
      <c r="J569" s="62">
        <v>3</v>
      </c>
      <c r="K569" s="76">
        <v>1</v>
      </c>
      <c r="L569" s="75">
        <v>6</v>
      </c>
      <c r="M569" s="62"/>
      <c r="N569" s="62"/>
      <c r="O569" s="62"/>
      <c r="P569" s="62"/>
      <c r="Q569" s="12"/>
      <c r="R569" s="12"/>
    </row>
    <row r="570" spans="1:18" s="3" customFormat="1">
      <c r="A570" s="62"/>
      <c r="B570" s="62" t="s">
        <v>6134</v>
      </c>
      <c r="C570" s="62" t="s">
        <v>494</v>
      </c>
      <c r="D570" s="62"/>
      <c r="E570" s="62"/>
      <c r="F570" s="62"/>
      <c r="G570" s="62"/>
      <c r="H570" s="62"/>
      <c r="I570" s="62"/>
      <c r="J570" s="62"/>
      <c r="K570" s="76">
        <v>2</v>
      </c>
      <c r="L570" s="75">
        <v>6</v>
      </c>
      <c r="M570" s="62"/>
      <c r="N570" s="62"/>
      <c r="O570" s="62"/>
      <c r="P570" s="62"/>
      <c r="Q570" s="12"/>
      <c r="R570" s="12"/>
    </row>
    <row r="571" spans="1:18" s="3" customFormat="1">
      <c r="A571" s="62"/>
      <c r="B571" s="62" t="s">
        <v>6135</v>
      </c>
      <c r="C571" s="62" t="s">
        <v>493</v>
      </c>
      <c r="D571" s="62">
        <v>1</v>
      </c>
      <c r="E571" s="62"/>
      <c r="F571" s="62"/>
      <c r="G571" s="62"/>
      <c r="H571" s="62"/>
      <c r="I571" s="62"/>
      <c r="J571" s="62"/>
      <c r="K571" s="76">
        <v>3</v>
      </c>
      <c r="L571" s="75">
        <v>3</v>
      </c>
      <c r="M571" s="62"/>
      <c r="N571" s="62"/>
      <c r="O571" s="62"/>
      <c r="P571" s="62"/>
      <c r="Q571" s="12"/>
      <c r="R571" s="12"/>
    </row>
    <row r="572" spans="1:18" s="3" customFormat="1">
      <c r="A572" s="62"/>
      <c r="B572" s="62" t="s">
        <v>6136</v>
      </c>
      <c r="C572" s="62" t="s">
        <v>494</v>
      </c>
      <c r="D572" s="62"/>
      <c r="E572" s="62"/>
      <c r="F572" s="62"/>
      <c r="G572" s="62"/>
      <c r="H572" s="62"/>
      <c r="I572" s="62"/>
      <c r="J572" s="62"/>
      <c r="K572" s="76">
        <v>4</v>
      </c>
      <c r="L572" s="75"/>
      <c r="M572" s="62"/>
      <c r="N572" s="62"/>
      <c r="O572" s="62"/>
      <c r="P572" s="62"/>
      <c r="Q572" s="12"/>
      <c r="R572" s="12"/>
    </row>
    <row r="573" spans="1:18" s="3" customFormat="1">
      <c r="A573" s="62"/>
      <c r="B573" s="62" t="s">
        <v>6137</v>
      </c>
      <c r="C573" s="62" t="s">
        <v>493</v>
      </c>
      <c r="D573" s="62">
        <v>100</v>
      </c>
      <c r="E573" s="62"/>
      <c r="F573" s="62"/>
      <c r="G573" s="62"/>
      <c r="H573" s="62"/>
      <c r="I573" s="62"/>
      <c r="J573" s="62"/>
      <c r="K573" s="76">
        <v>5</v>
      </c>
      <c r="L573" s="75"/>
      <c r="M573" s="62"/>
      <c r="N573" s="62"/>
      <c r="O573" s="62"/>
      <c r="P573" s="62"/>
      <c r="Q573" s="12"/>
      <c r="R573" s="12"/>
    </row>
    <row r="574" spans="1:18" s="3" customFormat="1">
      <c r="A574" s="62"/>
      <c r="B574" s="62" t="s">
        <v>6138</v>
      </c>
      <c r="C574" s="62" t="s">
        <v>494</v>
      </c>
      <c r="D574" s="62"/>
      <c r="E574" s="62"/>
      <c r="F574" s="62"/>
      <c r="G574" s="62"/>
      <c r="H574" s="62"/>
      <c r="I574" s="62"/>
      <c r="J574" s="62"/>
      <c r="K574" s="76">
        <v>6</v>
      </c>
      <c r="L574" s="75">
        <v>3</v>
      </c>
      <c r="M574" s="62"/>
      <c r="N574" s="62" t="s">
        <v>4302</v>
      </c>
      <c r="O574" s="66" t="s">
        <v>4303</v>
      </c>
      <c r="P574" s="66" t="s">
        <v>4304</v>
      </c>
      <c r="Q574" s="12"/>
      <c r="R574" s="12"/>
    </row>
    <row r="575" spans="1:18" s="3" customFormat="1">
      <c r="A575" s="62"/>
      <c r="B575" s="62"/>
      <c r="C575" s="62"/>
      <c r="D575" s="62"/>
      <c r="E575" s="62"/>
      <c r="F575" s="62"/>
      <c r="G575" s="62"/>
      <c r="H575" s="62"/>
      <c r="I575" s="62"/>
      <c r="J575" s="62"/>
      <c r="K575" s="76"/>
      <c r="L575" s="75"/>
      <c r="M575" s="62"/>
      <c r="N575" s="62"/>
      <c r="O575" s="66"/>
      <c r="P575" s="66"/>
      <c r="Q575" s="12"/>
      <c r="R575" s="12"/>
    </row>
    <row r="576" spans="1:18" s="3" customFormat="1">
      <c r="A576" s="62" t="s">
        <v>6868</v>
      </c>
      <c r="B576" s="62" t="s">
        <v>6869</v>
      </c>
      <c r="C576" s="62" t="s">
        <v>494</v>
      </c>
      <c r="D576" s="62"/>
      <c r="E576" s="62" t="s">
        <v>476</v>
      </c>
      <c r="F576" s="62"/>
      <c r="G576" s="62"/>
      <c r="H576" s="62"/>
      <c r="I576" s="62"/>
      <c r="J576" s="62"/>
      <c r="K576" s="76"/>
      <c r="L576" s="75"/>
      <c r="M576" s="62"/>
      <c r="N576" s="62"/>
      <c r="O576" s="66"/>
      <c r="P576" s="66"/>
      <c r="Q576" s="12"/>
      <c r="R576" s="12"/>
    </row>
    <row r="577" spans="1:18" s="3" customFormat="1">
      <c r="A577" s="62"/>
      <c r="B577" s="62" t="s">
        <v>6870</v>
      </c>
      <c r="C577" s="62" t="s">
        <v>493</v>
      </c>
      <c r="D577" s="62">
        <v>50</v>
      </c>
      <c r="E577" s="62"/>
      <c r="F577" s="62"/>
      <c r="G577" s="62"/>
      <c r="H577" s="62"/>
      <c r="I577" s="62"/>
      <c r="J577" s="62"/>
      <c r="K577" s="76"/>
      <c r="L577" s="75"/>
      <c r="M577" s="62"/>
      <c r="N577" s="62"/>
      <c r="O577" s="66"/>
      <c r="P577" s="66"/>
      <c r="Q577" s="12"/>
      <c r="R577" s="12"/>
    </row>
    <row r="578" spans="1:18" s="3" customFormat="1">
      <c r="A578" s="62"/>
      <c r="B578" s="62" t="s">
        <v>6871</v>
      </c>
      <c r="C578" s="62" t="s">
        <v>494</v>
      </c>
      <c r="D578" s="62"/>
      <c r="E578" s="62"/>
      <c r="F578" s="62"/>
      <c r="G578" s="62"/>
      <c r="H578" s="62"/>
      <c r="I578" s="62"/>
      <c r="J578" s="62"/>
      <c r="K578" s="76"/>
      <c r="L578" s="75"/>
      <c r="M578" s="62"/>
      <c r="N578" s="62"/>
      <c r="O578" s="66"/>
      <c r="P578" s="66"/>
      <c r="Q578" s="12"/>
      <c r="R578" s="12"/>
    </row>
    <row r="579" spans="1:18" s="3" customFormat="1">
      <c r="A579" s="62"/>
      <c r="B579" s="62"/>
      <c r="C579" s="62"/>
      <c r="D579" s="62"/>
      <c r="E579" s="62"/>
      <c r="F579" s="62"/>
      <c r="G579" s="62"/>
      <c r="H579" s="62"/>
      <c r="I579" s="62"/>
      <c r="J579" s="62"/>
      <c r="K579" s="76"/>
      <c r="L579" s="75"/>
      <c r="M579" s="62"/>
      <c r="N579" s="62"/>
      <c r="O579" s="66"/>
      <c r="P579" s="66"/>
      <c r="Q579" s="12"/>
      <c r="R579" s="12"/>
    </row>
    <row r="580" spans="1:18" s="3" customFormat="1">
      <c r="A580" s="62" t="s">
        <v>6872</v>
      </c>
      <c r="B580" s="62" t="s">
        <v>6873</v>
      </c>
      <c r="C580" s="62" t="s">
        <v>494</v>
      </c>
      <c r="D580" s="62"/>
      <c r="E580" s="62" t="s">
        <v>476</v>
      </c>
      <c r="F580" s="62">
        <v>23</v>
      </c>
      <c r="G580" s="62">
        <v>2337</v>
      </c>
      <c r="H580" s="62" t="s">
        <v>6879</v>
      </c>
      <c r="I580" s="62" t="s">
        <v>6880</v>
      </c>
      <c r="J580" s="62">
        <v>3</v>
      </c>
      <c r="K580" s="76">
        <v>1</v>
      </c>
      <c r="L580" s="75">
        <v>6</v>
      </c>
      <c r="M580" s="62"/>
      <c r="N580" s="62"/>
      <c r="O580" s="66"/>
      <c r="P580" s="66"/>
      <c r="Q580" s="12"/>
      <c r="R580" s="12"/>
    </row>
    <row r="581" spans="1:18" s="3" customFormat="1">
      <c r="A581" s="62"/>
      <c r="B581" s="62" t="s">
        <v>6874</v>
      </c>
      <c r="C581" s="62" t="s">
        <v>494</v>
      </c>
      <c r="D581" s="62"/>
      <c r="E581" s="62"/>
      <c r="F581" s="62"/>
      <c r="G581" s="62"/>
      <c r="H581" s="62"/>
      <c r="I581" s="62"/>
      <c r="J581" s="62"/>
      <c r="K581" s="76">
        <v>2</v>
      </c>
      <c r="L581" s="75">
        <v>6</v>
      </c>
      <c r="M581" s="62"/>
      <c r="N581" s="62"/>
      <c r="O581" s="66"/>
      <c r="P581" s="66"/>
      <c r="Q581" s="12"/>
      <c r="R581" s="12"/>
    </row>
    <row r="582" spans="1:18" s="3" customFormat="1">
      <c r="A582" s="62"/>
      <c r="B582" s="62" t="s">
        <v>6875</v>
      </c>
      <c r="C582" s="62" t="s">
        <v>494</v>
      </c>
      <c r="D582" s="62"/>
      <c r="E582" s="62"/>
      <c r="F582" s="62"/>
      <c r="G582" s="62"/>
      <c r="H582" s="62"/>
      <c r="I582" s="62"/>
      <c r="J582" s="62"/>
      <c r="K582" s="76">
        <v>3</v>
      </c>
      <c r="L582" s="75">
        <v>3</v>
      </c>
      <c r="M582" s="62"/>
      <c r="N582" s="62" t="s">
        <v>6868</v>
      </c>
      <c r="O582" s="62" t="s">
        <v>6869</v>
      </c>
      <c r="P582" s="62" t="s">
        <v>6870</v>
      </c>
      <c r="Q582" s="12"/>
      <c r="R582" s="12"/>
    </row>
    <row r="583" spans="1:18" s="3" customFormat="1">
      <c r="A583" s="62"/>
      <c r="B583" s="62" t="s">
        <v>6876</v>
      </c>
      <c r="C583" s="62" t="s">
        <v>493</v>
      </c>
      <c r="D583" s="62">
        <v>1</v>
      </c>
      <c r="E583" s="62"/>
      <c r="F583" s="62"/>
      <c r="G583" s="62"/>
      <c r="H583" s="62"/>
      <c r="I583" s="62"/>
      <c r="J583" s="62"/>
      <c r="K583" s="76">
        <v>4</v>
      </c>
      <c r="L583" s="75">
        <v>3</v>
      </c>
      <c r="M583" s="62"/>
      <c r="N583" s="62"/>
      <c r="P583" s="66"/>
      <c r="Q583" s="12"/>
      <c r="R583" s="12"/>
    </row>
    <row r="584" spans="1:18" s="3" customFormat="1">
      <c r="A584" s="62"/>
      <c r="B584" s="62" t="s">
        <v>6877</v>
      </c>
      <c r="C584" s="62" t="s">
        <v>494</v>
      </c>
      <c r="D584" s="62"/>
      <c r="E584" s="62"/>
      <c r="F584" s="62"/>
      <c r="G584" s="62"/>
      <c r="H584" s="62"/>
      <c r="I584" s="62"/>
      <c r="J584" s="62"/>
      <c r="K584" s="76">
        <v>5</v>
      </c>
      <c r="L584" s="75"/>
      <c r="M584" s="62"/>
      <c r="N584" s="62"/>
      <c r="O584" s="66"/>
      <c r="P584" s="66"/>
      <c r="Q584" s="12"/>
      <c r="R584" s="12"/>
    </row>
    <row r="585" spans="1:18" s="3" customFormat="1">
      <c r="A585" s="62"/>
      <c r="B585" s="62" t="s">
        <v>6878</v>
      </c>
      <c r="C585" s="62" t="s">
        <v>493</v>
      </c>
      <c r="D585" s="62">
        <v>100</v>
      </c>
      <c r="E585" s="62"/>
      <c r="F585" s="62"/>
      <c r="G585" s="62"/>
      <c r="H585" s="62"/>
      <c r="I585" s="62"/>
      <c r="J585" s="62"/>
      <c r="K585" s="76">
        <v>6</v>
      </c>
      <c r="L585" s="75"/>
      <c r="M585" s="62"/>
      <c r="N585" s="62"/>
      <c r="O585" s="66"/>
      <c r="P585" s="66"/>
      <c r="Q585" s="12"/>
      <c r="R585" s="12"/>
    </row>
    <row r="586" spans="1:18" s="3" customFormat="1">
      <c r="A586" s="62"/>
      <c r="B586" s="62"/>
      <c r="C586" s="62"/>
      <c r="D586" s="62"/>
      <c r="E586" s="62"/>
      <c r="F586" s="62"/>
      <c r="G586" s="62"/>
      <c r="H586" s="62"/>
      <c r="I586" s="62"/>
      <c r="J586" s="62"/>
      <c r="K586" s="76"/>
      <c r="L586" s="75"/>
      <c r="M586" s="62"/>
      <c r="N586" s="62"/>
      <c r="O586" s="66"/>
      <c r="P586" s="66"/>
      <c r="Q586" s="12"/>
      <c r="R586" s="12"/>
    </row>
    <row r="587" spans="1:18" s="3" customFormat="1">
      <c r="A587" s="62" t="s">
        <v>6883</v>
      </c>
      <c r="B587" s="62" t="s">
        <v>6884</v>
      </c>
      <c r="C587" s="62" t="s">
        <v>494</v>
      </c>
      <c r="D587" s="62"/>
      <c r="E587" s="62" t="s">
        <v>476</v>
      </c>
      <c r="F587" s="62">
        <v>23</v>
      </c>
      <c r="G587" s="62">
        <v>2338</v>
      </c>
      <c r="H587" s="62" t="s">
        <v>6881</v>
      </c>
      <c r="I587" s="62" t="s">
        <v>6882</v>
      </c>
      <c r="J587" s="62">
        <v>3</v>
      </c>
      <c r="K587" s="76">
        <v>1</v>
      </c>
      <c r="L587" s="75">
        <v>6</v>
      </c>
      <c r="M587" s="62"/>
      <c r="N587" s="62"/>
      <c r="O587" s="66"/>
      <c r="P587" s="66"/>
      <c r="Q587" s="12"/>
      <c r="R587" s="12"/>
    </row>
    <row r="588" spans="1:18" s="3" customFormat="1">
      <c r="A588" s="62"/>
      <c r="B588" s="62" t="s">
        <v>6885</v>
      </c>
      <c r="C588" s="62" t="s">
        <v>494</v>
      </c>
      <c r="D588" s="62"/>
      <c r="E588" s="62"/>
      <c r="F588" s="62"/>
      <c r="G588" s="62"/>
      <c r="H588" s="62"/>
      <c r="I588" s="62"/>
      <c r="J588" s="62"/>
      <c r="K588" s="76">
        <v>2</v>
      </c>
      <c r="L588" s="75">
        <v>6</v>
      </c>
      <c r="M588" s="62"/>
      <c r="N588" s="62"/>
      <c r="O588" s="66"/>
      <c r="P588" s="66"/>
      <c r="Q588" s="12"/>
      <c r="R588" s="12"/>
    </row>
    <row r="589" spans="1:18" s="3" customFormat="1">
      <c r="A589" s="62"/>
      <c r="B589" s="62" t="s">
        <v>6886</v>
      </c>
      <c r="C589" s="62" t="s">
        <v>493</v>
      </c>
      <c r="D589" s="62">
        <v>1</v>
      </c>
      <c r="E589" s="62"/>
      <c r="F589" s="62"/>
      <c r="G589" s="62"/>
      <c r="H589" s="62"/>
      <c r="I589" s="62"/>
      <c r="J589" s="62"/>
      <c r="K589" s="76">
        <v>3</v>
      </c>
      <c r="L589" s="75">
        <v>3</v>
      </c>
      <c r="M589" s="62"/>
      <c r="N589" s="62"/>
      <c r="P589" s="66"/>
      <c r="Q589" s="12"/>
      <c r="R589" s="12"/>
    </row>
    <row r="590" spans="1:18" s="3" customFormat="1">
      <c r="A590" s="62"/>
      <c r="B590" s="62" t="s">
        <v>6887</v>
      </c>
      <c r="C590" s="62" t="s">
        <v>494</v>
      </c>
      <c r="D590" s="62"/>
      <c r="E590" s="62"/>
      <c r="F590" s="62"/>
      <c r="G590" s="62"/>
      <c r="H590" s="62"/>
      <c r="I590" s="62"/>
      <c r="J590" s="62"/>
      <c r="K590" s="76">
        <v>4</v>
      </c>
      <c r="L590" s="75"/>
      <c r="M590" s="62"/>
      <c r="N590" s="62"/>
      <c r="O590" s="66"/>
      <c r="P590" s="66"/>
      <c r="Q590" s="12"/>
      <c r="R590" s="12"/>
    </row>
    <row r="591" spans="1:18" s="3" customFormat="1">
      <c r="A591" s="62"/>
      <c r="B591" s="62" t="s">
        <v>6888</v>
      </c>
      <c r="C591" s="62" t="s">
        <v>493</v>
      </c>
      <c r="D591" s="62">
        <v>100</v>
      </c>
      <c r="E591" s="62"/>
      <c r="F591" s="62"/>
      <c r="G591" s="62"/>
      <c r="H591" s="62"/>
      <c r="I591" s="62"/>
      <c r="J591" s="62"/>
      <c r="K591" s="76">
        <v>5</v>
      </c>
      <c r="L591" s="75"/>
      <c r="M591" s="62"/>
      <c r="N591" s="62"/>
      <c r="O591" s="66"/>
      <c r="P591" s="66"/>
      <c r="Q591" s="12"/>
      <c r="R591" s="12"/>
    </row>
    <row r="592" spans="1:18" s="3" customFormat="1">
      <c r="A592" s="62"/>
      <c r="B592" s="62"/>
      <c r="C592" s="62"/>
      <c r="D592" s="62"/>
      <c r="E592" s="62"/>
      <c r="F592" s="62"/>
      <c r="G592" s="62"/>
      <c r="H592" s="62"/>
      <c r="I592" s="62"/>
      <c r="J592" s="62"/>
      <c r="K592" s="76"/>
      <c r="L592" s="75"/>
      <c r="M592" s="62"/>
      <c r="N592" s="62"/>
      <c r="O592" s="66"/>
      <c r="P592" s="66"/>
      <c r="Q592" s="12"/>
      <c r="R592" s="12"/>
    </row>
    <row r="593" spans="1:18" s="1" customFormat="1">
      <c r="A593" s="62" t="s">
        <v>4262</v>
      </c>
      <c r="B593" s="62" t="s">
        <v>4263</v>
      </c>
      <c r="C593" s="62" t="s">
        <v>494</v>
      </c>
      <c r="E593" s="62" t="s">
        <v>476</v>
      </c>
      <c r="F593" s="1">
        <v>23</v>
      </c>
      <c r="G593" s="1">
        <v>2349</v>
      </c>
      <c r="H593" s="62" t="s">
        <v>4267</v>
      </c>
      <c r="I593" s="22" t="s">
        <v>4268</v>
      </c>
      <c r="J593" s="1">
        <v>11</v>
      </c>
      <c r="K593" s="82">
        <v>1</v>
      </c>
      <c r="L593" s="9">
        <v>3</v>
      </c>
      <c r="N593" s="10" t="s">
        <v>506</v>
      </c>
      <c r="O593" s="10" t="s">
        <v>514</v>
      </c>
      <c r="P593" s="1" t="s">
        <v>515</v>
      </c>
    </row>
    <row r="594" spans="1:18" s="1" customFormat="1">
      <c r="B594" s="62" t="s">
        <v>4264</v>
      </c>
      <c r="C594" s="62" t="s">
        <v>494</v>
      </c>
      <c r="I594" s="2"/>
      <c r="K594" s="82">
        <v>2</v>
      </c>
      <c r="L594" s="68">
        <v>3</v>
      </c>
      <c r="M594">
        <v>3</v>
      </c>
      <c r="N594" s="62" t="s">
        <v>693</v>
      </c>
      <c r="O594" s="1" t="s">
        <v>695</v>
      </c>
      <c r="P594" s="1" t="s">
        <v>696</v>
      </c>
      <c r="Q594"/>
      <c r="R594"/>
    </row>
    <row r="595" spans="1:18" s="1" customFormat="1">
      <c r="B595" s="62" t="s">
        <v>4265</v>
      </c>
      <c r="C595" s="62" t="s">
        <v>494</v>
      </c>
      <c r="I595" s="2"/>
      <c r="K595" s="82">
        <v>3</v>
      </c>
      <c r="L595" s="15">
        <v>3</v>
      </c>
      <c r="M595" s="14">
        <v>31</v>
      </c>
      <c r="N595" s="62" t="s">
        <v>379</v>
      </c>
      <c r="O595" s="62" t="s">
        <v>698</v>
      </c>
      <c r="P595" s="62" t="s">
        <v>699</v>
      </c>
      <c r="Q595" s="62" t="s">
        <v>383</v>
      </c>
      <c r="R595" s="14">
        <v>2</v>
      </c>
    </row>
    <row r="596" spans="1:18" s="1" customFormat="1">
      <c r="B596" s="62" t="s">
        <v>4266</v>
      </c>
      <c r="C596" s="62" t="s">
        <v>494</v>
      </c>
      <c r="I596" s="2"/>
      <c r="K596" s="82">
        <v>4</v>
      </c>
      <c r="L596" s="15">
        <v>3</v>
      </c>
      <c r="M596" s="14"/>
      <c r="N596" s="62"/>
      <c r="O596" s="62"/>
      <c r="P596" s="62"/>
      <c r="Q596" s="62"/>
      <c r="R596" s="14"/>
    </row>
    <row r="598" spans="1:18" s="1" customFormat="1">
      <c r="A598" s="62" t="s">
        <v>3584</v>
      </c>
      <c r="B598" s="62" t="s">
        <v>3585</v>
      </c>
      <c r="C598" s="62" t="s">
        <v>494</v>
      </c>
      <c r="E598" s="62" t="s">
        <v>476</v>
      </c>
      <c r="F598" s="1">
        <v>23</v>
      </c>
      <c r="G598" s="1">
        <v>2350</v>
      </c>
      <c r="H598" s="62" t="s">
        <v>1392</v>
      </c>
      <c r="I598" s="22" t="s">
        <v>3415</v>
      </c>
      <c r="J598" s="1">
        <v>11</v>
      </c>
      <c r="K598" s="82">
        <v>1</v>
      </c>
      <c r="L598" s="9">
        <v>3</v>
      </c>
      <c r="N598" s="10" t="s">
        <v>506</v>
      </c>
      <c r="O598" s="10" t="s">
        <v>514</v>
      </c>
      <c r="P598" s="1" t="s">
        <v>515</v>
      </c>
    </row>
    <row r="599" spans="1:18" s="1" customFormat="1">
      <c r="B599" s="62" t="s">
        <v>3586</v>
      </c>
      <c r="C599" s="62" t="s">
        <v>494</v>
      </c>
      <c r="I599" s="2"/>
      <c r="K599" s="82">
        <v>2</v>
      </c>
      <c r="L599" s="68">
        <v>3</v>
      </c>
      <c r="M599">
        <v>3</v>
      </c>
      <c r="N599" s="62" t="s">
        <v>693</v>
      </c>
      <c r="O599" s="1" t="s">
        <v>695</v>
      </c>
      <c r="P599" s="1" t="s">
        <v>696</v>
      </c>
      <c r="Q599"/>
      <c r="R599"/>
    </row>
    <row r="600" spans="1:18" s="1" customFormat="1">
      <c r="B600" s="62" t="s">
        <v>3587</v>
      </c>
      <c r="C600" s="62" t="s">
        <v>494</v>
      </c>
      <c r="I600" s="2"/>
      <c r="K600" s="82">
        <v>3</v>
      </c>
      <c r="L600" s="15">
        <v>3</v>
      </c>
      <c r="M600" s="14">
        <v>31</v>
      </c>
      <c r="N600" s="62" t="s">
        <v>379</v>
      </c>
      <c r="O600" s="62" t="s">
        <v>698</v>
      </c>
      <c r="P600" s="62" t="s">
        <v>699</v>
      </c>
      <c r="Q600" s="62" t="s">
        <v>383</v>
      </c>
      <c r="R600" s="14">
        <v>2</v>
      </c>
    </row>
    <row r="601" spans="1:18" s="1" customFormat="1">
      <c r="B601" s="62" t="s">
        <v>4261</v>
      </c>
      <c r="C601" s="62" t="s">
        <v>494</v>
      </c>
      <c r="I601" s="2"/>
      <c r="K601" s="82">
        <v>3</v>
      </c>
      <c r="L601" s="15"/>
      <c r="M601" s="14"/>
      <c r="N601" s="62"/>
      <c r="O601" s="62"/>
      <c r="P601" s="62"/>
      <c r="Q601" s="62"/>
      <c r="R601" s="14"/>
    </row>
    <row r="603" spans="1:18">
      <c r="A603" s="70" t="s">
        <v>3565</v>
      </c>
      <c r="B603" s="70" t="s">
        <v>3566</v>
      </c>
      <c r="C603" s="62" t="s">
        <v>494</v>
      </c>
      <c r="E603" s="62" t="s">
        <v>476</v>
      </c>
      <c r="F603">
        <v>23</v>
      </c>
      <c r="G603">
        <v>2351</v>
      </c>
      <c r="H603" s="62" t="s">
        <v>3589</v>
      </c>
      <c r="I603" s="62" t="s">
        <v>3588</v>
      </c>
      <c r="J603">
        <v>1</v>
      </c>
      <c r="K603" s="76">
        <v>1</v>
      </c>
    </row>
    <row r="604" spans="1:18">
      <c r="A604" s="94"/>
      <c r="B604" s="70" t="s">
        <v>3567</v>
      </c>
      <c r="C604" s="62" t="s">
        <v>494</v>
      </c>
      <c r="E604" s="62" t="s">
        <v>476</v>
      </c>
      <c r="K604" s="76">
        <v>2</v>
      </c>
      <c r="L604">
        <v>6</v>
      </c>
    </row>
    <row r="605" spans="1:18">
      <c r="A605" s="94"/>
      <c r="B605" s="70" t="s">
        <v>3568</v>
      </c>
      <c r="C605" s="62" t="s">
        <v>494</v>
      </c>
      <c r="K605" s="76">
        <v>3</v>
      </c>
      <c r="L605">
        <v>6</v>
      </c>
    </row>
    <row r="606" spans="1:18">
      <c r="A606" s="94"/>
      <c r="B606" s="70" t="s">
        <v>3574</v>
      </c>
      <c r="C606" s="62" t="s">
        <v>493</v>
      </c>
      <c r="D606">
        <v>1</v>
      </c>
      <c r="K606" s="76">
        <v>4</v>
      </c>
      <c r="L606">
        <v>3</v>
      </c>
    </row>
    <row r="608" spans="1:18">
      <c r="A608" s="70" t="s">
        <v>3565</v>
      </c>
      <c r="B608" s="70" t="s">
        <v>3566</v>
      </c>
      <c r="C608" s="62" t="s">
        <v>494</v>
      </c>
      <c r="E608" s="62" t="s">
        <v>476</v>
      </c>
      <c r="F608">
        <v>23</v>
      </c>
      <c r="G608">
        <v>2352</v>
      </c>
      <c r="H608" s="62" t="s">
        <v>3590</v>
      </c>
      <c r="I608" s="62" t="s">
        <v>3591</v>
      </c>
      <c r="J608">
        <v>1</v>
      </c>
      <c r="K608" s="76">
        <v>1</v>
      </c>
    </row>
    <row r="609" spans="1:12">
      <c r="A609" s="94"/>
      <c r="B609" s="70" t="s">
        <v>3567</v>
      </c>
      <c r="C609" s="62" t="s">
        <v>494</v>
      </c>
      <c r="E609" s="62" t="s">
        <v>476</v>
      </c>
      <c r="K609" s="76">
        <v>2</v>
      </c>
      <c r="L609">
        <v>6</v>
      </c>
    </row>
    <row r="610" spans="1:12">
      <c r="A610" s="94"/>
      <c r="B610" s="70" t="s">
        <v>3568</v>
      </c>
      <c r="C610" s="62" t="s">
        <v>494</v>
      </c>
      <c r="K610" s="76">
        <v>3</v>
      </c>
      <c r="L610">
        <v>6</v>
      </c>
    </row>
    <row r="611" spans="1:12">
      <c r="A611" s="94"/>
      <c r="B611" s="70" t="s">
        <v>3574</v>
      </c>
      <c r="C611" s="62" t="s">
        <v>493</v>
      </c>
      <c r="D611">
        <v>1</v>
      </c>
      <c r="K611" s="76">
        <v>4</v>
      </c>
      <c r="L611">
        <v>3</v>
      </c>
    </row>
    <row r="613" spans="1:12">
      <c r="A613" s="70" t="s">
        <v>3565</v>
      </c>
      <c r="B613" s="70" t="s">
        <v>3566</v>
      </c>
      <c r="C613" s="62" t="s">
        <v>494</v>
      </c>
      <c r="E613" s="62" t="s">
        <v>476</v>
      </c>
      <c r="F613">
        <v>23</v>
      </c>
      <c r="G613">
        <v>2353</v>
      </c>
      <c r="H613" s="62" t="s">
        <v>3592</v>
      </c>
      <c r="I613" s="62" t="s">
        <v>3593</v>
      </c>
      <c r="J613">
        <v>1</v>
      </c>
      <c r="K613" s="76">
        <v>1</v>
      </c>
    </row>
    <row r="614" spans="1:12">
      <c r="A614" s="94"/>
      <c r="B614" s="70" t="s">
        <v>3567</v>
      </c>
      <c r="C614" s="62" t="s">
        <v>494</v>
      </c>
      <c r="E614" s="62" t="s">
        <v>476</v>
      </c>
      <c r="K614" s="76">
        <v>2</v>
      </c>
      <c r="L614">
        <v>6</v>
      </c>
    </row>
    <row r="615" spans="1:12">
      <c r="A615" s="94"/>
      <c r="B615" s="70" t="s">
        <v>3568</v>
      </c>
      <c r="C615" s="62" t="s">
        <v>494</v>
      </c>
      <c r="K615" s="76">
        <v>3</v>
      </c>
      <c r="L615">
        <v>6</v>
      </c>
    </row>
    <row r="616" spans="1:12">
      <c r="A616" s="94"/>
      <c r="B616" s="70" t="s">
        <v>3574</v>
      </c>
      <c r="C616" s="62" t="s">
        <v>493</v>
      </c>
      <c r="D616">
        <v>1</v>
      </c>
      <c r="K616" s="76">
        <v>4</v>
      </c>
      <c r="L616">
        <v>3</v>
      </c>
    </row>
    <row r="618" spans="1:12">
      <c r="A618" s="70" t="s">
        <v>3565</v>
      </c>
      <c r="B618" s="70" t="s">
        <v>3566</v>
      </c>
      <c r="C618" s="62" t="s">
        <v>494</v>
      </c>
      <c r="E618" s="62" t="s">
        <v>476</v>
      </c>
      <c r="F618">
        <v>23</v>
      </c>
      <c r="G618">
        <v>2354</v>
      </c>
      <c r="H618" s="62" t="s">
        <v>3614</v>
      </c>
      <c r="I618" s="62" t="s">
        <v>3617</v>
      </c>
      <c r="J618">
        <v>1</v>
      </c>
      <c r="K618" s="76">
        <v>1</v>
      </c>
    </row>
    <row r="619" spans="1:12">
      <c r="A619" s="94"/>
      <c r="B619" s="70" t="s">
        <v>3567</v>
      </c>
      <c r="C619" s="62" t="s">
        <v>494</v>
      </c>
      <c r="E619" s="62" t="s">
        <v>476</v>
      </c>
      <c r="K619" s="76">
        <v>2</v>
      </c>
      <c r="L619">
        <v>6</v>
      </c>
    </row>
    <row r="620" spans="1:12">
      <c r="A620" s="94"/>
      <c r="B620" s="70" t="s">
        <v>3568</v>
      </c>
      <c r="C620" s="62" t="s">
        <v>494</v>
      </c>
      <c r="K620" s="76">
        <v>3</v>
      </c>
      <c r="L620">
        <v>6</v>
      </c>
    </row>
    <row r="621" spans="1:12">
      <c r="A621" s="94"/>
      <c r="B621" s="70" t="s">
        <v>3574</v>
      </c>
      <c r="C621" s="62" t="s">
        <v>493</v>
      </c>
      <c r="D621">
        <v>1</v>
      </c>
      <c r="K621" s="76">
        <v>4</v>
      </c>
      <c r="L621">
        <v>3</v>
      </c>
    </row>
    <row r="623" spans="1:12">
      <c r="A623" s="70" t="s">
        <v>3565</v>
      </c>
      <c r="B623" s="70" t="s">
        <v>3566</v>
      </c>
      <c r="C623" s="62" t="s">
        <v>494</v>
      </c>
      <c r="E623" s="62" t="s">
        <v>476</v>
      </c>
      <c r="F623">
        <v>23</v>
      </c>
      <c r="G623">
        <v>2355</v>
      </c>
      <c r="H623" s="62" t="s">
        <v>3615</v>
      </c>
      <c r="I623" s="62" t="s">
        <v>3618</v>
      </c>
      <c r="J623">
        <v>1</v>
      </c>
      <c r="K623" s="76">
        <v>1</v>
      </c>
    </row>
    <row r="624" spans="1:12">
      <c r="A624" s="94"/>
      <c r="B624" s="70" t="s">
        <v>3567</v>
      </c>
      <c r="C624" s="62" t="s">
        <v>494</v>
      </c>
      <c r="E624" s="62" t="s">
        <v>476</v>
      </c>
      <c r="K624" s="76">
        <v>2</v>
      </c>
      <c r="L624">
        <v>6</v>
      </c>
    </row>
    <row r="625" spans="1:16">
      <c r="A625" s="94"/>
      <c r="B625" s="70" t="s">
        <v>3568</v>
      </c>
      <c r="C625" s="62" t="s">
        <v>494</v>
      </c>
      <c r="K625" s="76">
        <v>3</v>
      </c>
      <c r="L625">
        <v>6</v>
      </c>
    </row>
    <row r="626" spans="1:16">
      <c r="A626" s="94"/>
      <c r="B626" s="70" t="s">
        <v>3574</v>
      </c>
      <c r="C626" s="62" t="s">
        <v>493</v>
      </c>
      <c r="D626">
        <v>1</v>
      </c>
      <c r="K626" s="76">
        <v>4</v>
      </c>
      <c r="L626">
        <v>3</v>
      </c>
    </row>
    <row r="628" spans="1:16">
      <c r="A628" s="70" t="s">
        <v>3565</v>
      </c>
      <c r="B628" s="70" t="s">
        <v>3566</v>
      </c>
      <c r="C628" s="62" t="s">
        <v>494</v>
      </c>
      <c r="E628" s="62" t="s">
        <v>476</v>
      </c>
      <c r="F628">
        <v>23</v>
      </c>
      <c r="G628">
        <v>2356</v>
      </c>
      <c r="H628" s="62" t="s">
        <v>3616</v>
      </c>
      <c r="I628" s="62" t="s">
        <v>3619</v>
      </c>
      <c r="J628">
        <v>1</v>
      </c>
      <c r="K628" s="76">
        <v>1</v>
      </c>
    </row>
    <row r="629" spans="1:16">
      <c r="A629" s="94"/>
      <c r="B629" s="70" t="s">
        <v>3567</v>
      </c>
      <c r="C629" s="62" t="s">
        <v>494</v>
      </c>
      <c r="E629" s="62" t="s">
        <v>476</v>
      </c>
      <c r="K629" s="76">
        <v>2</v>
      </c>
      <c r="L629">
        <v>6</v>
      </c>
    </row>
    <row r="630" spans="1:16">
      <c r="A630" s="94"/>
      <c r="B630" s="70" t="s">
        <v>3568</v>
      </c>
      <c r="C630" s="62" t="s">
        <v>494</v>
      </c>
      <c r="K630" s="76">
        <v>3</v>
      </c>
      <c r="L630">
        <v>6</v>
      </c>
    </row>
    <row r="631" spans="1:16">
      <c r="A631" s="94"/>
      <c r="B631" s="70" t="s">
        <v>3574</v>
      </c>
      <c r="C631" s="62" t="s">
        <v>493</v>
      </c>
      <c r="D631">
        <v>1</v>
      </c>
      <c r="K631" s="76">
        <v>4</v>
      </c>
      <c r="L631">
        <v>3</v>
      </c>
    </row>
    <row r="633" spans="1:16">
      <c r="A633" s="62" t="s">
        <v>3888</v>
      </c>
      <c r="B633" s="70" t="s">
        <v>3889</v>
      </c>
      <c r="C633" s="62" t="s">
        <v>494</v>
      </c>
      <c r="F633">
        <v>23</v>
      </c>
      <c r="G633">
        <v>2357</v>
      </c>
      <c r="H633" s="62" t="s">
        <v>3890</v>
      </c>
      <c r="I633" s="62" t="s">
        <v>3891</v>
      </c>
      <c r="J633">
        <v>11</v>
      </c>
      <c r="K633" s="76">
        <v>1</v>
      </c>
      <c r="L633">
        <v>3</v>
      </c>
      <c r="N633" s="10" t="s">
        <v>506</v>
      </c>
      <c r="O633" s="10" t="s">
        <v>514</v>
      </c>
      <c r="P633" s="1" t="s">
        <v>515</v>
      </c>
    </row>
    <row r="635" spans="1:16" s="1" customFormat="1">
      <c r="A635" s="70" t="s">
        <v>551</v>
      </c>
      <c r="B635" s="70" t="s">
        <v>552</v>
      </c>
      <c r="C635" s="1" t="s">
        <v>494</v>
      </c>
      <c r="E635" s="1" t="s">
        <v>476</v>
      </c>
      <c r="F635" s="14">
        <v>23</v>
      </c>
      <c r="G635" s="14">
        <v>2391</v>
      </c>
      <c r="H635" s="14" t="s">
        <v>525</v>
      </c>
      <c r="I635" s="11" t="s">
        <v>650</v>
      </c>
      <c r="J635" s="14">
        <v>2</v>
      </c>
      <c r="K635" s="16">
        <v>1</v>
      </c>
      <c r="L635" s="15"/>
      <c r="M635" s="14"/>
      <c r="N635" s="14"/>
      <c r="O635" s="14"/>
      <c r="P635" s="14"/>
    </row>
  </sheetData>
  <pageMargins left="0.7" right="0.7" top="0.75" bottom="0.75" header="0.3" footer="0.3"/>
  <pageSetup orientation="portrait" horizontalDpi="1200" verticalDpi="1200" r:id="rId1"/>
  <legacyDrawing r:id="rId2"/>
</worksheet>
</file>

<file path=xl/worksheets/sheet17.xml><?xml version="1.0" encoding="utf-8"?>
<worksheet xmlns="http://schemas.openxmlformats.org/spreadsheetml/2006/main" xmlns:r="http://schemas.openxmlformats.org/officeDocument/2006/relationships">
  <sheetPr>
    <tabColor rgb="FF00B050"/>
  </sheetPr>
  <dimension ref="A1:R237"/>
  <sheetViews>
    <sheetView workbookViewId="0">
      <pane ySplit="1" topLeftCell="A23" activePane="bottomLeft" state="frozenSplit"/>
      <selection pane="bottomLeft" activeCell="A39" sqref="A39:XFD45"/>
    </sheetView>
  </sheetViews>
  <sheetFormatPr baseColWidth="10" defaultRowHeight="12.75"/>
  <cols>
    <col min="1" max="1" width="20.85546875" bestFit="1" customWidth="1"/>
    <col min="2" max="2" width="20.28515625" bestFit="1" customWidth="1"/>
    <col min="3" max="3" width="8.85546875" customWidth="1"/>
    <col min="4" max="4" width="4.28515625" customWidth="1"/>
    <col min="5" max="6" width="4.7109375" customWidth="1"/>
    <col min="7" max="7" width="7.7109375" bestFit="1" customWidth="1"/>
    <col min="8" max="8" width="23.140625" bestFit="1" customWidth="1"/>
    <col min="9" max="9" width="18.85546875" customWidth="1"/>
    <col min="10" max="10" width="7.140625" customWidth="1"/>
    <col min="11" max="11" width="3.140625" customWidth="1"/>
    <col min="12" max="12" width="4.7109375" customWidth="1"/>
    <col min="13" max="13" width="4.28515625" customWidth="1"/>
    <col min="14" max="14" width="14.140625" bestFit="1" customWidth="1"/>
    <col min="16" max="16" width="14.5703125" bestFit="1" customWidth="1"/>
  </cols>
  <sheetData>
    <row r="1" spans="1:18" s="3" customFormat="1">
      <c r="A1" s="3" t="s">
        <v>3242</v>
      </c>
      <c r="B1" s="3" t="s">
        <v>3243</v>
      </c>
      <c r="C1" s="3" t="s">
        <v>3244</v>
      </c>
      <c r="D1" s="3" t="s">
        <v>3245</v>
      </c>
      <c r="E1" s="3" t="s">
        <v>3246</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4373</v>
      </c>
      <c r="B2" s="62" t="s">
        <v>4375</v>
      </c>
      <c r="C2" s="64" t="s">
        <v>494</v>
      </c>
      <c r="E2" s="62" t="s">
        <v>476</v>
      </c>
      <c r="F2">
        <v>22</v>
      </c>
      <c r="G2">
        <v>2405</v>
      </c>
      <c r="H2" s="62" t="s">
        <v>800</v>
      </c>
      <c r="I2" s="62" t="s">
        <v>4689</v>
      </c>
      <c r="J2">
        <v>2</v>
      </c>
      <c r="K2" s="55">
        <v>1</v>
      </c>
    </row>
    <row r="3" spans="1:18">
      <c r="B3" s="62" t="s">
        <v>4690</v>
      </c>
      <c r="C3" s="64" t="s">
        <v>494</v>
      </c>
      <c r="K3" s="55">
        <v>2</v>
      </c>
      <c r="L3" s="15">
        <v>3</v>
      </c>
      <c r="M3" s="14"/>
      <c r="N3" s="1" t="s">
        <v>551</v>
      </c>
      <c r="O3" s="1" t="s">
        <v>552</v>
      </c>
      <c r="P3" s="1" t="s">
        <v>553</v>
      </c>
    </row>
    <row r="4" spans="1:18">
      <c r="B4" s="62" t="s">
        <v>4691</v>
      </c>
      <c r="C4" s="64" t="s">
        <v>494</v>
      </c>
      <c r="K4" s="55">
        <v>3</v>
      </c>
      <c r="L4" s="15">
        <v>3</v>
      </c>
      <c r="M4" s="14"/>
      <c r="N4" s="1" t="s">
        <v>551</v>
      </c>
      <c r="O4" s="1" t="s">
        <v>552</v>
      </c>
      <c r="P4" s="1" t="s">
        <v>553</v>
      </c>
    </row>
    <row r="5" spans="1:18">
      <c r="B5" s="62" t="s">
        <v>6015</v>
      </c>
      <c r="C5" s="64" t="s">
        <v>494</v>
      </c>
      <c r="K5" s="55">
        <v>4</v>
      </c>
      <c r="L5" s="15">
        <v>3</v>
      </c>
      <c r="M5" s="14"/>
      <c r="N5" s="1"/>
      <c r="O5" s="1"/>
      <c r="P5" s="1"/>
    </row>
    <row r="6" spans="1:18">
      <c r="B6" s="62" t="s">
        <v>6016</v>
      </c>
      <c r="C6" s="64" t="s">
        <v>520</v>
      </c>
      <c r="K6" s="55">
        <v>5</v>
      </c>
      <c r="L6" s="15"/>
      <c r="M6" s="14"/>
      <c r="N6" s="1"/>
      <c r="O6" s="1"/>
      <c r="P6" s="1"/>
    </row>
    <row r="7" spans="1:18">
      <c r="B7" s="62"/>
      <c r="C7" s="64"/>
      <c r="K7" s="55"/>
      <c r="L7" s="15"/>
      <c r="M7" s="14"/>
      <c r="N7" s="1"/>
      <c r="O7" s="1"/>
      <c r="P7" s="1"/>
    </row>
    <row r="8" spans="1:18">
      <c r="A8" s="70" t="s">
        <v>3990</v>
      </c>
      <c r="B8" s="70" t="s">
        <v>3991</v>
      </c>
      <c r="C8" s="70" t="s">
        <v>494</v>
      </c>
      <c r="E8" s="62" t="s">
        <v>476</v>
      </c>
      <c r="F8">
        <v>24</v>
      </c>
      <c r="G8">
        <v>2401</v>
      </c>
      <c r="H8" s="62" t="s">
        <v>4047</v>
      </c>
      <c r="I8" s="62" t="s">
        <v>4048</v>
      </c>
      <c r="J8">
        <v>2202</v>
      </c>
      <c r="K8">
        <v>1</v>
      </c>
      <c r="N8" s="10"/>
      <c r="O8" s="10"/>
      <c r="P8" s="1"/>
    </row>
    <row r="9" spans="1:18">
      <c r="A9" s="94"/>
      <c r="B9" s="70" t="s">
        <v>3984</v>
      </c>
      <c r="C9" s="70" t="s">
        <v>494</v>
      </c>
      <c r="E9" s="62" t="s">
        <v>476</v>
      </c>
      <c r="K9">
        <v>2</v>
      </c>
      <c r="L9">
        <v>3</v>
      </c>
      <c r="N9" s="10" t="s">
        <v>506</v>
      </c>
      <c r="O9" s="10" t="s">
        <v>514</v>
      </c>
      <c r="P9" s="1" t="s">
        <v>515</v>
      </c>
    </row>
    <row r="10" spans="1:18">
      <c r="A10" s="94"/>
      <c r="B10" s="70" t="s">
        <v>3985</v>
      </c>
      <c r="C10" s="70" t="s">
        <v>494</v>
      </c>
      <c r="E10" s="62" t="s">
        <v>476</v>
      </c>
      <c r="K10">
        <v>3</v>
      </c>
      <c r="L10">
        <v>3</v>
      </c>
      <c r="M10">
        <v>31</v>
      </c>
      <c r="N10" s="62" t="s">
        <v>1038</v>
      </c>
      <c r="O10" s="23" t="s">
        <v>1040</v>
      </c>
      <c r="P10" s="23" t="s">
        <v>1041</v>
      </c>
      <c r="Q10" s="62" t="s">
        <v>2003</v>
      </c>
      <c r="R10">
        <v>1</v>
      </c>
    </row>
    <row r="11" spans="1:18">
      <c r="A11" s="94"/>
      <c r="B11" s="70" t="s">
        <v>3986</v>
      </c>
      <c r="C11" s="70" t="s">
        <v>494</v>
      </c>
    </row>
    <row r="12" spans="1:18">
      <c r="A12" s="94"/>
      <c r="B12" s="70" t="s">
        <v>3987</v>
      </c>
      <c r="C12" s="70" t="s">
        <v>494</v>
      </c>
    </row>
    <row r="13" spans="1:18">
      <c r="A13" s="94"/>
      <c r="B13" s="70" t="s">
        <v>3988</v>
      </c>
      <c r="C13" s="70" t="s">
        <v>494</v>
      </c>
    </row>
    <row r="14" spans="1:18">
      <c r="A14" s="94"/>
      <c r="B14" s="70" t="s">
        <v>3989</v>
      </c>
      <c r="C14" s="70" t="s">
        <v>494</v>
      </c>
    </row>
    <row r="16" spans="1:18">
      <c r="A16" s="78" t="s">
        <v>4097</v>
      </c>
      <c r="B16" s="64" t="s">
        <v>4098</v>
      </c>
      <c r="C16" s="64" t="s">
        <v>494</v>
      </c>
      <c r="E16" s="62" t="s">
        <v>476</v>
      </c>
      <c r="F16">
        <v>24</v>
      </c>
      <c r="G16">
        <v>2402</v>
      </c>
      <c r="H16" s="62" t="s">
        <v>4104</v>
      </c>
      <c r="I16" s="62" t="s">
        <v>4117</v>
      </c>
      <c r="J16">
        <v>2202</v>
      </c>
      <c r="K16">
        <v>1</v>
      </c>
      <c r="L16">
        <v>8</v>
      </c>
    </row>
    <row r="17" spans="2:16">
      <c r="B17" s="64" t="s">
        <v>4099</v>
      </c>
      <c r="C17" s="64" t="s">
        <v>494</v>
      </c>
      <c r="E17" s="62" t="s">
        <v>476</v>
      </c>
      <c r="K17">
        <v>2</v>
      </c>
      <c r="L17">
        <v>3</v>
      </c>
      <c r="M17">
        <v>3</v>
      </c>
      <c r="N17" s="10" t="s">
        <v>506</v>
      </c>
      <c r="O17" s="10" t="s">
        <v>514</v>
      </c>
      <c r="P17" s="1" t="s">
        <v>515</v>
      </c>
    </row>
    <row r="18" spans="2:16">
      <c r="B18" s="64" t="s">
        <v>4100</v>
      </c>
      <c r="C18" s="64" t="s">
        <v>494</v>
      </c>
      <c r="E18" s="62" t="s">
        <v>476</v>
      </c>
      <c r="K18">
        <v>3</v>
      </c>
      <c r="L18">
        <v>3</v>
      </c>
      <c r="M18">
        <v>3</v>
      </c>
      <c r="N18" s="62" t="s">
        <v>1038</v>
      </c>
      <c r="O18" s="23" t="s">
        <v>1040</v>
      </c>
      <c r="P18" s="23" t="s">
        <v>1041</v>
      </c>
    </row>
    <row r="19" spans="2:16">
      <c r="B19" s="64" t="s">
        <v>4101</v>
      </c>
      <c r="C19" s="64" t="s">
        <v>494</v>
      </c>
      <c r="E19" s="62" t="s">
        <v>476</v>
      </c>
      <c r="H19" s="10"/>
      <c r="K19">
        <v>4</v>
      </c>
      <c r="L19">
        <v>3</v>
      </c>
      <c r="M19">
        <v>3</v>
      </c>
      <c r="N19" s="62" t="s">
        <v>961</v>
      </c>
      <c r="O19" s="23" t="s">
        <v>942</v>
      </c>
      <c r="P19" s="23" t="s">
        <v>945</v>
      </c>
    </row>
    <row r="20" spans="2:16">
      <c r="B20" s="64" t="s">
        <v>4102</v>
      </c>
      <c r="C20" s="64" t="s">
        <v>494</v>
      </c>
      <c r="H20" s="10"/>
      <c r="K20">
        <v>5</v>
      </c>
      <c r="L20">
        <v>6</v>
      </c>
    </row>
    <row r="21" spans="2:16">
      <c r="B21" s="64" t="s">
        <v>4103</v>
      </c>
      <c r="C21" s="64" t="s">
        <v>494</v>
      </c>
      <c r="H21" s="64"/>
      <c r="K21">
        <v>6</v>
      </c>
      <c r="L21">
        <v>3</v>
      </c>
      <c r="M21">
        <v>3</v>
      </c>
      <c r="N21" s="62" t="s">
        <v>4105</v>
      </c>
      <c r="O21" s="62" t="s">
        <v>4106</v>
      </c>
      <c r="P21" s="62" t="s">
        <v>4107</v>
      </c>
    </row>
    <row r="22" spans="2:16">
      <c r="B22" s="10" t="s">
        <v>4108</v>
      </c>
      <c r="C22" s="64" t="s">
        <v>494</v>
      </c>
      <c r="H22" s="64"/>
      <c r="K22">
        <v>7</v>
      </c>
      <c r="L22">
        <v>7</v>
      </c>
    </row>
    <row r="23" spans="2:16">
      <c r="B23" s="10" t="s">
        <v>4109</v>
      </c>
      <c r="C23" s="64" t="s">
        <v>494</v>
      </c>
      <c r="H23" s="64"/>
      <c r="K23">
        <v>8</v>
      </c>
      <c r="L23">
        <v>7</v>
      </c>
    </row>
    <row r="24" spans="2:16">
      <c r="B24" s="64" t="s">
        <v>4110</v>
      </c>
      <c r="C24" s="64" t="s">
        <v>494</v>
      </c>
      <c r="H24" s="64"/>
      <c r="K24">
        <v>9</v>
      </c>
      <c r="L24">
        <v>7</v>
      </c>
    </row>
    <row r="25" spans="2:16">
      <c r="B25" s="64" t="s">
        <v>4111</v>
      </c>
      <c r="C25" s="64" t="s">
        <v>494</v>
      </c>
      <c r="H25" s="64"/>
      <c r="K25">
        <v>10</v>
      </c>
    </row>
    <row r="26" spans="2:16">
      <c r="B26" s="64" t="s">
        <v>4129</v>
      </c>
      <c r="C26" s="64" t="s">
        <v>494</v>
      </c>
      <c r="H26" s="64"/>
      <c r="K26">
        <v>11</v>
      </c>
    </row>
    <row r="27" spans="2:16">
      <c r="B27" s="64" t="s">
        <v>4130</v>
      </c>
      <c r="C27" s="64" t="s">
        <v>494</v>
      </c>
      <c r="H27" s="64"/>
      <c r="K27">
        <v>12</v>
      </c>
    </row>
    <row r="28" spans="2:16">
      <c r="B28" s="64" t="s">
        <v>4126</v>
      </c>
      <c r="C28" s="64" t="s">
        <v>494</v>
      </c>
      <c r="H28" s="64"/>
      <c r="K28">
        <v>13</v>
      </c>
    </row>
    <row r="29" spans="2:16">
      <c r="B29" s="64" t="s">
        <v>4128</v>
      </c>
      <c r="C29" s="64" t="s">
        <v>494</v>
      </c>
      <c r="H29" s="64"/>
      <c r="K29">
        <v>14</v>
      </c>
    </row>
    <row r="30" spans="2:16">
      <c r="B30" s="64" t="s">
        <v>4127</v>
      </c>
      <c r="C30" s="64" t="s">
        <v>494</v>
      </c>
      <c r="H30" s="64"/>
      <c r="K30">
        <v>15</v>
      </c>
    </row>
    <row r="31" spans="2:16">
      <c r="B31" s="64" t="s">
        <v>4131</v>
      </c>
      <c r="C31" s="64" t="s">
        <v>494</v>
      </c>
      <c r="H31" s="64"/>
      <c r="K31">
        <v>16</v>
      </c>
    </row>
    <row r="32" spans="2:16">
      <c r="B32" t="s">
        <v>5330</v>
      </c>
      <c r="C32" s="64" t="s">
        <v>494</v>
      </c>
      <c r="H32" s="10"/>
      <c r="K32">
        <v>17</v>
      </c>
    </row>
    <row r="33" spans="1:18">
      <c r="H33" s="10"/>
    </row>
    <row r="34" spans="1:18">
      <c r="A34" s="62" t="s">
        <v>4105</v>
      </c>
      <c r="B34" s="62" t="s">
        <v>4106</v>
      </c>
      <c r="C34" s="62" t="s">
        <v>494</v>
      </c>
      <c r="E34" s="62" t="s">
        <v>476</v>
      </c>
      <c r="H34" s="64"/>
    </row>
    <row r="35" spans="1:18">
      <c r="B35" s="62" t="s">
        <v>4107</v>
      </c>
      <c r="C35" s="62" t="s">
        <v>493</v>
      </c>
      <c r="D35">
        <v>50</v>
      </c>
      <c r="H35" s="64"/>
    </row>
    <row r="36" spans="1:18">
      <c r="B36" s="62"/>
      <c r="C36" s="62"/>
      <c r="H36" s="64"/>
    </row>
    <row r="37" spans="1:18">
      <c r="A37" s="62" t="s">
        <v>4681</v>
      </c>
      <c r="B37" s="62" t="s">
        <v>4682</v>
      </c>
      <c r="C37" s="62" t="s">
        <v>494</v>
      </c>
      <c r="F37">
        <v>24</v>
      </c>
      <c r="G37">
        <v>2404</v>
      </c>
      <c r="H37" s="64" t="s">
        <v>4683</v>
      </c>
      <c r="I37" s="62" t="s">
        <v>4684</v>
      </c>
      <c r="J37">
        <v>7</v>
      </c>
      <c r="K37">
        <v>1</v>
      </c>
      <c r="L37">
        <v>3</v>
      </c>
      <c r="N37" s="10" t="s">
        <v>506</v>
      </c>
      <c r="O37" s="10" t="s">
        <v>514</v>
      </c>
      <c r="P37" s="1" t="s">
        <v>515</v>
      </c>
    </row>
    <row r="38" spans="1:18">
      <c r="H38" s="10"/>
    </row>
    <row r="39" spans="1:18">
      <c r="A39" s="70" t="s">
        <v>975</v>
      </c>
      <c r="B39" s="67" t="s">
        <v>976</v>
      </c>
      <c r="C39" s="39" t="s">
        <v>494</v>
      </c>
      <c r="D39" s="1"/>
      <c r="E39" s="1" t="s">
        <v>476</v>
      </c>
      <c r="F39">
        <v>24</v>
      </c>
      <c r="G39">
        <v>2406</v>
      </c>
      <c r="H39" s="62" t="s">
        <v>4697</v>
      </c>
      <c r="I39" s="62" t="s">
        <v>4698</v>
      </c>
      <c r="J39">
        <v>2202</v>
      </c>
      <c r="K39">
        <v>1</v>
      </c>
      <c r="L39" s="9">
        <v>3</v>
      </c>
      <c r="M39" s="1"/>
      <c r="N39" s="10" t="s">
        <v>506</v>
      </c>
      <c r="O39" s="10" t="s">
        <v>514</v>
      </c>
      <c r="P39" s="1" t="s">
        <v>515</v>
      </c>
    </row>
    <row r="40" spans="1:18">
      <c r="A40" s="39"/>
      <c r="B40" s="67" t="s">
        <v>280</v>
      </c>
      <c r="C40" s="39" t="s">
        <v>494</v>
      </c>
      <c r="D40" s="1"/>
      <c r="E40" s="1" t="s">
        <v>476</v>
      </c>
      <c r="K40">
        <v>2</v>
      </c>
      <c r="L40" s="15">
        <v>3</v>
      </c>
      <c r="M40" s="14"/>
      <c r="N40" s="62" t="s">
        <v>995</v>
      </c>
      <c r="O40" s="60" t="s">
        <v>997</v>
      </c>
      <c r="P40" s="60" t="s">
        <v>996</v>
      </c>
    </row>
    <row r="41" spans="1:18">
      <c r="A41" s="39"/>
      <c r="B41" s="67" t="s">
        <v>977</v>
      </c>
      <c r="C41" s="39" t="s">
        <v>494</v>
      </c>
      <c r="D41" s="1"/>
      <c r="E41" s="1" t="s">
        <v>476</v>
      </c>
      <c r="K41">
        <v>3</v>
      </c>
      <c r="L41" s="68">
        <v>3</v>
      </c>
      <c r="M41" s="1">
        <v>31</v>
      </c>
      <c r="N41" s="1" t="s">
        <v>1038</v>
      </c>
      <c r="O41" s="23" t="s">
        <v>1040</v>
      </c>
      <c r="P41" s="23" t="s">
        <v>1041</v>
      </c>
      <c r="Q41" s="23" t="s">
        <v>1040</v>
      </c>
      <c r="R41" s="14">
        <v>2</v>
      </c>
    </row>
    <row r="42" spans="1:18">
      <c r="A42" s="39"/>
      <c r="B42" s="67" t="s">
        <v>979</v>
      </c>
      <c r="C42" s="39" t="s">
        <v>494</v>
      </c>
      <c r="D42" s="1"/>
      <c r="E42" s="1"/>
      <c r="K42">
        <v>5</v>
      </c>
      <c r="L42" s="32">
        <v>6</v>
      </c>
    </row>
    <row r="43" spans="1:18">
      <c r="A43" s="39"/>
      <c r="B43" s="67" t="s">
        <v>980</v>
      </c>
      <c r="C43" s="39" t="s">
        <v>494</v>
      </c>
      <c r="D43" s="1"/>
      <c r="E43" s="1"/>
      <c r="K43">
        <v>6</v>
      </c>
      <c r="L43" s="15">
        <v>3</v>
      </c>
      <c r="M43" s="14">
        <v>1</v>
      </c>
      <c r="N43" s="62" t="s">
        <v>974</v>
      </c>
      <c r="O43" s="60" t="s">
        <v>954</v>
      </c>
      <c r="P43" s="23" t="s">
        <v>984</v>
      </c>
    </row>
    <row r="44" spans="1:18">
      <c r="A44" s="39"/>
      <c r="B44" s="67" t="s">
        <v>2849</v>
      </c>
      <c r="C44" s="70" t="s">
        <v>494</v>
      </c>
      <c r="D44" s="1"/>
      <c r="E44" s="1"/>
      <c r="K44">
        <v>7</v>
      </c>
      <c r="L44" s="15">
        <v>3</v>
      </c>
      <c r="M44" s="14">
        <v>1</v>
      </c>
      <c r="N44" s="64" t="s">
        <v>3655</v>
      </c>
      <c r="O44" s="66" t="s">
        <v>3648</v>
      </c>
      <c r="P44" s="66" t="s">
        <v>3657</v>
      </c>
    </row>
    <row r="46" spans="1:18">
      <c r="A46" s="62" t="s">
        <v>4984</v>
      </c>
      <c r="B46" s="62" t="s">
        <v>4985</v>
      </c>
      <c r="C46" s="62" t="s">
        <v>494</v>
      </c>
      <c r="E46" s="62" t="s">
        <v>476</v>
      </c>
      <c r="F46">
        <v>24</v>
      </c>
      <c r="G46" s="62">
        <v>2408</v>
      </c>
      <c r="H46" s="62" t="s">
        <v>4294</v>
      </c>
      <c r="I46" s="62" t="s">
        <v>5001</v>
      </c>
      <c r="J46">
        <v>11</v>
      </c>
      <c r="K46">
        <v>1</v>
      </c>
      <c r="L46">
        <v>3</v>
      </c>
      <c r="N46" s="10" t="s">
        <v>506</v>
      </c>
      <c r="O46" s="10" t="s">
        <v>514</v>
      </c>
      <c r="P46" s="1" t="s">
        <v>515</v>
      </c>
    </row>
    <row r="47" spans="1:18">
      <c r="B47" s="62" t="s">
        <v>4986</v>
      </c>
      <c r="C47" s="62" t="s">
        <v>494</v>
      </c>
      <c r="E47" s="62" t="s">
        <v>476</v>
      </c>
      <c r="K47">
        <v>2</v>
      </c>
      <c r="L47">
        <v>3</v>
      </c>
      <c r="M47">
        <v>31</v>
      </c>
      <c r="N47" s="1" t="s">
        <v>1038</v>
      </c>
      <c r="O47" s="23" t="s">
        <v>1040</v>
      </c>
      <c r="P47" s="23" t="s">
        <v>1041</v>
      </c>
      <c r="Q47" s="23" t="s">
        <v>1040</v>
      </c>
      <c r="R47">
        <v>1</v>
      </c>
    </row>
    <row r="48" spans="1:18">
      <c r="B48" s="62" t="s">
        <v>5010</v>
      </c>
      <c r="C48" s="62" t="s">
        <v>494</v>
      </c>
      <c r="E48" t="s">
        <v>476</v>
      </c>
      <c r="K48">
        <v>3</v>
      </c>
      <c r="L48">
        <v>3</v>
      </c>
      <c r="N48" s="62" t="s">
        <v>5011</v>
      </c>
      <c r="O48" s="62" t="s">
        <v>5012</v>
      </c>
      <c r="P48" s="62" t="s">
        <v>5013</v>
      </c>
    </row>
    <row r="49" spans="2:18">
      <c r="B49" s="62" t="s">
        <v>4987</v>
      </c>
      <c r="C49" s="62" t="s">
        <v>494</v>
      </c>
      <c r="E49" s="62" t="s">
        <v>476</v>
      </c>
      <c r="K49">
        <v>4</v>
      </c>
      <c r="L49">
        <v>3</v>
      </c>
      <c r="M49">
        <v>31</v>
      </c>
      <c r="N49" s="62" t="s">
        <v>579</v>
      </c>
      <c r="O49" s="64" t="s">
        <v>582</v>
      </c>
      <c r="P49" s="62" t="s">
        <v>5306</v>
      </c>
      <c r="Q49" s="62" t="s">
        <v>582</v>
      </c>
      <c r="R49">
        <v>2</v>
      </c>
    </row>
    <row r="50" spans="2:18">
      <c r="B50" s="62" t="s">
        <v>4999</v>
      </c>
      <c r="C50" s="62" t="s">
        <v>494</v>
      </c>
      <c r="E50" s="62" t="s">
        <v>476</v>
      </c>
      <c r="K50">
        <v>5</v>
      </c>
      <c r="L50">
        <v>3</v>
      </c>
      <c r="M50" s="14"/>
      <c r="N50" s="62" t="s">
        <v>693</v>
      </c>
      <c r="O50" s="1" t="s">
        <v>695</v>
      </c>
      <c r="P50" s="1" t="s">
        <v>696</v>
      </c>
      <c r="Q50" s="62"/>
    </row>
    <row r="51" spans="2:18">
      <c r="B51" s="62" t="s">
        <v>5000</v>
      </c>
      <c r="C51" s="62" t="s">
        <v>494</v>
      </c>
      <c r="E51" s="62" t="s">
        <v>476</v>
      </c>
      <c r="K51">
        <v>6</v>
      </c>
      <c r="L51">
        <v>3</v>
      </c>
      <c r="M51" s="14">
        <v>31</v>
      </c>
      <c r="N51" s="62" t="s">
        <v>379</v>
      </c>
      <c r="O51" s="62" t="s">
        <v>698</v>
      </c>
      <c r="P51" s="62" t="s">
        <v>699</v>
      </c>
      <c r="Q51" s="62" t="s">
        <v>383</v>
      </c>
      <c r="R51">
        <v>4</v>
      </c>
    </row>
    <row r="52" spans="2:18">
      <c r="B52" s="62" t="s">
        <v>5008</v>
      </c>
      <c r="C52" s="62" t="s">
        <v>494</v>
      </c>
      <c r="E52" s="62" t="s">
        <v>476</v>
      </c>
      <c r="K52">
        <v>7</v>
      </c>
      <c r="L52">
        <v>3</v>
      </c>
      <c r="M52" s="14"/>
      <c r="N52" s="62" t="s">
        <v>3664</v>
      </c>
      <c r="O52" s="62" t="s">
        <v>3666</v>
      </c>
      <c r="P52" s="62" t="s">
        <v>3667</v>
      </c>
      <c r="Q52" s="62"/>
    </row>
    <row r="53" spans="2:18">
      <c r="B53" s="62" t="s">
        <v>5009</v>
      </c>
      <c r="C53" s="62" t="s">
        <v>494</v>
      </c>
      <c r="E53" s="62" t="s">
        <v>476</v>
      </c>
      <c r="K53">
        <v>8</v>
      </c>
      <c r="L53">
        <v>3</v>
      </c>
      <c r="M53" s="14">
        <v>31</v>
      </c>
      <c r="N53" s="62" t="s">
        <v>3655</v>
      </c>
      <c r="O53" s="62" t="s">
        <v>3648</v>
      </c>
      <c r="P53" s="62" t="s">
        <v>3657</v>
      </c>
      <c r="Q53" s="47" t="s">
        <v>3658</v>
      </c>
      <c r="R53">
        <v>6</v>
      </c>
    </row>
    <row r="54" spans="2:18">
      <c r="B54" s="62" t="s">
        <v>5304</v>
      </c>
      <c r="C54" s="62" t="s">
        <v>493</v>
      </c>
      <c r="D54">
        <v>1</v>
      </c>
      <c r="E54" s="62" t="s">
        <v>476</v>
      </c>
      <c r="K54">
        <v>9</v>
      </c>
      <c r="M54" s="14"/>
      <c r="N54" s="62"/>
      <c r="O54" s="62"/>
      <c r="P54" s="62"/>
      <c r="Q54" s="47"/>
    </row>
    <row r="55" spans="2:18">
      <c r="B55" s="62" t="s">
        <v>5305</v>
      </c>
      <c r="C55" s="62" t="s">
        <v>494</v>
      </c>
      <c r="E55" s="62" t="s">
        <v>476</v>
      </c>
      <c r="K55">
        <v>10</v>
      </c>
      <c r="M55" s="14"/>
      <c r="N55" s="62"/>
      <c r="O55" s="62"/>
      <c r="P55" s="62"/>
      <c r="Q55" s="47"/>
    </row>
    <row r="56" spans="2:18">
      <c r="B56" s="62" t="s">
        <v>4988</v>
      </c>
      <c r="C56" s="62" t="s">
        <v>494</v>
      </c>
      <c r="K56">
        <v>11</v>
      </c>
      <c r="L56">
        <v>6</v>
      </c>
    </row>
    <row r="57" spans="2:18">
      <c r="B57" s="62" t="s">
        <v>4992</v>
      </c>
      <c r="C57" s="62" t="s">
        <v>494</v>
      </c>
      <c r="K57">
        <v>14</v>
      </c>
    </row>
    <row r="58" spans="2:18">
      <c r="B58" s="62" t="s">
        <v>4993</v>
      </c>
      <c r="C58" s="62" t="s">
        <v>494</v>
      </c>
      <c r="K58">
        <v>15</v>
      </c>
    </row>
    <row r="59" spans="2:18">
      <c r="B59" s="62" t="s">
        <v>4994</v>
      </c>
      <c r="C59" s="62" t="s">
        <v>494</v>
      </c>
      <c r="K59">
        <v>16</v>
      </c>
    </row>
    <row r="60" spans="2:18">
      <c r="B60" s="62" t="s">
        <v>4998</v>
      </c>
      <c r="C60" s="62" t="s">
        <v>494</v>
      </c>
      <c r="K60">
        <v>17</v>
      </c>
    </row>
    <row r="61" spans="2:18">
      <c r="B61" s="62" t="s">
        <v>4996</v>
      </c>
      <c r="C61" s="62" t="s">
        <v>702</v>
      </c>
      <c r="K61">
        <v>18</v>
      </c>
    </row>
    <row r="62" spans="2:18">
      <c r="B62" s="62" t="s">
        <v>4997</v>
      </c>
      <c r="C62" s="62" t="s">
        <v>702</v>
      </c>
      <c r="K62">
        <v>19</v>
      </c>
    </row>
    <row r="63" spans="2:18">
      <c r="B63" s="62" t="s">
        <v>4995</v>
      </c>
      <c r="C63" s="62" t="s">
        <v>702</v>
      </c>
      <c r="K63">
        <v>20</v>
      </c>
    </row>
    <row r="64" spans="2:18">
      <c r="B64" s="62" t="s">
        <v>5014</v>
      </c>
      <c r="C64" s="62" t="s">
        <v>494</v>
      </c>
      <c r="K64">
        <v>21</v>
      </c>
      <c r="M64">
        <v>2</v>
      </c>
    </row>
    <row r="65" spans="1:13">
      <c r="B65" s="62" t="s">
        <v>5015</v>
      </c>
      <c r="C65" s="62" t="s">
        <v>494</v>
      </c>
      <c r="K65">
        <v>22</v>
      </c>
      <c r="M65">
        <v>2</v>
      </c>
    </row>
    <row r="66" spans="1:13">
      <c r="B66" s="62" t="s">
        <v>5315</v>
      </c>
      <c r="C66" s="62" t="s">
        <v>494</v>
      </c>
      <c r="K66">
        <v>23</v>
      </c>
    </row>
    <row r="67" spans="1:13">
      <c r="B67" s="62" t="s">
        <v>5316</v>
      </c>
      <c r="C67" s="62" t="s">
        <v>494</v>
      </c>
      <c r="K67">
        <v>24</v>
      </c>
    </row>
    <row r="68" spans="1:13">
      <c r="B68" s="62"/>
    </row>
    <row r="69" spans="1:13">
      <c r="A69" s="62" t="s">
        <v>5005</v>
      </c>
      <c r="B69" s="62" t="s">
        <v>5006</v>
      </c>
      <c r="C69" s="62" t="s">
        <v>494</v>
      </c>
      <c r="E69" s="62" t="s">
        <v>476</v>
      </c>
    </row>
    <row r="70" spans="1:13">
      <c r="A70" s="62"/>
      <c r="B70" s="62" t="s">
        <v>5007</v>
      </c>
      <c r="C70" s="62" t="s">
        <v>493</v>
      </c>
      <c r="D70">
        <v>100</v>
      </c>
    </row>
    <row r="71" spans="1:13">
      <c r="A71" s="62"/>
      <c r="B71" s="62"/>
      <c r="C71" s="62"/>
    </row>
    <row r="72" spans="1:13">
      <c r="A72" s="62" t="s">
        <v>5011</v>
      </c>
      <c r="B72" s="62" t="s">
        <v>5012</v>
      </c>
      <c r="C72" s="62" t="s">
        <v>494</v>
      </c>
      <c r="E72" s="62" t="s">
        <v>476</v>
      </c>
    </row>
    <row r="73" spans="1:13">
      <c r="A73" s="62"/>
      <c r="B73" s="62" t="s">
        <v>5013</v>
      </c>
      <c r="C73" s="62" t="s">
        <v>493</v>
      </c>
      <c r="D73">
        <v>100</v>
      </c>
    </row>
    <row r="74" spans="1:13">
      <c r="A74" s="62"/>
      <c r="B74" s="62"/>
      <c r="C74" s="62"/>
    </row>
    <row r="75" spans="1:13">
      <c r="A75" s="62" t="s">
        <v>5255</v>
      </c>
      <c r="B75" s="62" t="s">
        <v>5256</v>
      </c>
      <c r="C75" s="62" t="s">
        <v>494</v>
      </c>
      <c r="E75" s="62" t="s">
        <v>476</v>
      </c>
      <c r="F75">
        <v>24</v>
      </c>
      <c r="G75">
        <v>2411</v>
      </c>
      <c r="H75" s="62" t="s">
        <v>5265</v>
      </c>
      <c r="I75" s="62" t="s">
        <v>5266</v>
      </c>
      <c r="J75">
        <v>2</v>
      </c>
      <c r="K75">
        <v>1</v>
      </c>
      <c r="L75">
        <v>6</v>
      </c>
    </row>
    <row r="76" spans="1:13">
      <c r="A76" s="62"/>
      <c r="B76" s="62" t="s">
        <v>5257</v>
      </c>
      <c r="C76" s="62" t="s">
        <v>494</v>
      </c>
      <c r="K76">
        <v>2</v>
      </c>
      <c r="L76">
        <v>6</v>
      </c>
    </row>
    <row r="77" spans="1:13">
      <c r="A77" s="62"/>
      <c r="B77" s="62" t="s">
        <v>5258</v>
      </c>
      <c r="C77" s="62" t="s">
        <v>493</v>
      </c>
      <c r="D77">
        <v>1</v>
      </c>
      <c r="K77">
        <v>3</v>
      </c>
      <c r="L77">
        <v>3</v>
      </c>
    </row>
    <row r="78" spans="1:13">
      <c r="A78" s="62"/>
      <c r="B78" s="62" t="s">
        <v>5259</v>
      </c>
      <c r="C78" s="62" t="s">
        <v>493</v>
      </c>
      <c r="D78">
        <v>200</v>
      </c>
      <c r="K78">
        <v>4</v>
      </c>
    </row>
    <row r="79" spans="1:13">
      <c r="A79" s="62"/>
      <c r="B79" s="62" t="s">
        <v>5260</v>
      </c>
      <c r="C79" s="62" t="s">
        <v>493</v>
      </c>
      <c r="D79">
        <v>1</v>
      </c>
      <c r="K79">
        <v>5</v>
      </c>
      <c r="L79">
        <v>3</v>
      </c>
    </row>
    <row r="80" spans="1:13">
      <c r="A80" s="62"/>
      <c r="B80" s="62" t="s">
        <v>5261</v>
      </c>
      <c r="C80" s="62" t="s">
        <v>493</v>
      </c>
      <c r="D80">
        <v>1</v>
      </c>
      <c r="K80">
        <v>6</v>
      </c>
      <c r="L80">
        <v>3</v>
      </c>
    </row>
    <row r="81" spans="1:16">
      <c r="A81" s="62"/>
      <c r="B81" s="62" t="s">
        <v>5262</v>
      </c>
      <c r="C81" s="62" t="s">
        <v>493</v>
      </c>
      <c r="D81">
        <v>1</v>
      </c>
      <c r="K81">
        <v>7</v>
      </c>
      <c r="L81">
        <v>3</v>
      </c>
    </row>
    <row r="82" spans="1:16">
      <c r="A82" s="62"/>
      <c r="B82" s="62" t="s">
        <v>5263</v>
      </c>
      <c r="C82" s="62" t="s">
        <v>493</v>
      </c>
      <c r="D82">
        <v>1</v>
      </c>
      <c r="K82">
        <v>8</v>
      </c>
      <c r="L82">
        <v>3</v>
      </c>
    </row>
    <row r="83" spans="1:16">
      <c r="A83" s="62"/>
      <c r="B83" s="62" t="s">
        <v>5264</v>
      </c>
      <c r="C83" s="62" t="s">
        <v>493</v>
      </c>
      <c r="D83">
        <v>1</v>
      </c>
      <c r="K83">
        <v>9</v>
      </c>
      <c r="L83">
        <v>3</v>
      </c>
    </row>
    <row r="84" spans="1:16">
      <c r="A84" s="62"/>
      <c r="B84" s="62" t="s">
        <v>5273</v>
      </c>
      <c r="C84" s="62" t="s">
        <v>493</v>
      </c>
      <c r="D84">
        <v>1</v>
      </c>
      <c r="K84">
        <v>10</v>
      </c>
      <c r="L84">
        <v>3</v>
      </c>
    </row>
    <row r="85" spans="1:16">
      <c r="A85" s="62"/>
      <c r="B85" s="62" t="s">
        <v>5274</v>
      </c>
      <c r="C85" s="62" t="s">
        <v>493</v>
      </c>
      <c r="D85">
        <v>1</v>
      </c>
      <c r="K85">
        <v>11</v>
      </c>
      <c r="L85">
        <v>3</v>
      </c>
    </row>
    <row r="86" spans="1:16">
      <c r="A86" s="62"/>
      <c r="B86" s="62"/>
      <c r="C86" s="62"/>
    </row>
    <row r="87" spans="1:16">
      <c r="A87" s="62" t="s">
        <v>5267</v>
      </c>
      <c r="B87" s="62" t="s">
        <v>5268</v>
      </c>
      <c r="C87" s="62" t="s">
        <v>494</v>
      </c>
      <c r="E87" s="62" t="s">
        <v>476</v>
      </c>
      <c r="F87">
        <v>24</v>
      </c>
      <c r="G87">
        <v>2412</v>
      </c>
      <c r="H87" s="62" t="s">
        <v>5272</v>
      </c>
      <c r="J87">
        <v>2</v>
      </c>
      <c r="K87">
        <v>1</v>
      </c>
      <c r="L87">
        <v>52</v>
      </c>
      <c r="N87">
        <v>2411</v>
      </c>
      <c r="O87" s="62" t="s">
        <v>5257</v>
      </c>
    </row>
    <row r="88" spans="1:16">
      <c r="A88" s="62"/>
      <c r="B88" s="62" t="s">
        <v>5269</v>
      </c>
      <c r="C88" s="62" t="s">
        <v>494</v>
      </c>
      <c r="E88" s="62" t="s">
        <v>476</v>
      </c>
      <c r="K88">
        <v>2</v>
      </c>
      <c r="L88">
        <v>3</v>
      </c>
      <c r="N88" s="62" t="s">
        <v>379</v>
      </c>
      <c r="O88" s="62" t="s">
        <v>698</v>
      </c>
      <c r="P88" s="62" t="s">
        <v>699</v>
      </c>
    </row>
    <row r="89" spans="1:16">
      <c r="A89" s="62"/>
      <c r="B89" s="62" t="s">
        <v>5270</v>
      </c>
      <c r="C89" s="62" t="s">
        <v>494</v>
      </c>
      <c r="K89">
        <v>3</v>
      </c>
      <c r="L89">
        <v>6</v>
      </c>
    </row>
    <row r="90" spans="1:16">
      <c r="A90" s="62"/>
      <c r="B90" s="62" t="s">
        <v>5271</v>
      </c>
      <c r="C90" s="62" t="s">
        <v>493</v>
      </c>
      <c r="D90">
        <v>1</v>
      </c>
      <c r="K90">
        <v>4</v>
      </c>
      <c r="L90">
        <v>3</v>
      </c>
    </row>
    <row r="91" spans="1:16">
      <c r="A91" s="62"/>
      <c r="B91" s="62"/>
      <c r="C91" s="62"/>
    </row>
    <row r="92" spans="1:16">
      <c r="A92" s="62" t="s">
        <v>5283</v>
      </c>
      <c r="B92" s="62" t="s">
        <v>4970</v>
      </c>
      <c r="C92" s="62" t="s">
        <v>494</v>
      </c>
      <c r="E92" s="62" t="s">
        <v>476</v>
      </c>
      <c r="F92">
        <v>24</v>
      </c>
      <c r="G92">
        <v>2407</v>
      </c>
      <c r="H92" s="62" t="s">
        <v>5295</v>
      </c>
      <c r="I92" s="62" t="s">
        <v>5003</v>
      </c>
      <c r="J92">
        <v>2202</v>
      </c>
      <c r="K92">
        <v>1</v>
      </c>
      <c r="L92">
        <v>6</v>
      </c>
    </row>
    <row r="93" spans="1:16">
      <c r="A93" s="62"/>
      <c r="B93" s="62" t="s">
        <v>5284</v>
      </c>
      <c r="C93" s="62" t="s">
        <v>494</v>
      </c>
      <c r="E93" s="62" t="s">
        <v>476</v>
      </c>
      <c r="K93">
        <v>2</v>
      </c>
    </row>
    <row r="94" spans="1:16">
      <c r="A94" s="62"/>
      <c r="B94" s="62" t="s">
        <v>4975</v>
      </c>
      <c r="C94" s="62" t="s">
        <v>494</v>
      </c>
      <c r="K94">
        <v>3</v>
      </c>
      <c r="L94">
        <v>6</v>
      </c>
    </row>
    <row r="95" spans="1:16">
      <c r="A95" s="62"/>
      <c r="B95" s="62" t="s">
        <v>4983</v>
      </c>
      <c r="C95" s="62" t="s">
        <v>494</v>
      </c>
      <c r="K95">
        <v>4</v>
      </c>
      <c r="L95">
        <v>3</v>
      </c>
      <c r="M95">
        <v>1</v>
      </c>
      <c r="N95" s="62" t="s">
        <v>5278</v>
      </c>
      <c r="O95" s="62" t="s">
        <v>5279</v>
      </c>
      <c r="P95" s="62" t="s">
        <v>5280</v>
      </c>
    </row>
    <row r="96" spans="1:16">
      <c r="A96" s="62"/>
      <c r="B96" s="62" t="s">
        <v>4972</v>
      </c>
      <c r="C96" s="62" t="s">
        <v>494</v>
      </c>
      <c r="K96">
        <v>5</v>
      </c>
      <c r="L96">
        <v>8</v>
      </c>
      <c r="N96" s="62"/>
    </row>
    <row r="97" spans="1:18">
      <c r="A97" s="62"/>
      <c r="B97" s="62" t="s">
        <v>4971</v>
      </c>
      <c r="C97" s="62" t="s">
        <v>494</v>
      </c>
      <c r="K97">
        <v>6</v>
      </c>
      <c r="L97">
        <v>3</v>
      </c>
      <c r="M97">
        <v>31</v>
      </c>
      <c r="N97" s="10" t="s">
        <v>506</v>
      </c>
      <c r="O97" s="10" t="s">
        <v>514</v>
      </c>
      <c r="P97" s="1" t="s">
        <v>515</v>
      </c>
      <c r="R97">
        <v>5</v>
      </c>
    </row>
    <row r="98" spans="1:18">
      <c r="A98" s="62"/>
      <c r="B98" s="62" t="s">
        <v>4973</v>
      </c>
      <c r="C98" s="62" t="s">
        <v>494</v>
      </c>
      <c r="K98">
        <v>7</v>
      </c>
      <c r="L98">
        <v>3</v>
      </c>
      <c r="M98">
        <v>31</v>
      </c>
      <c r="N98" s="1" t="s">
        <v>1038</v>
      </c>
      <c r="O98" s="23" t="s">
        <v>1040</v>
      </c>
      <c r="P98" s="23" t="s">
        <v>1041</v>
      </c>
      <c r="Q98" s="23" t="s">
        <v>1040</v>
      </c>
      <c r="R98">
        <v>6</v>
      </c>
    </row>
    <row r="99" spans="1:18">
      <c r="A99" s="62"/>
      <c r="B99" s="62" t="s">
        <v>4974</v>
      </c>
      <c r="C99" s="62" t="s">
        <v>494</v>
      </c>
      <c r="K99">
        <v>8</v>
      </c>
      <c r="L99">
        <v>3</v>
      </c>
      <c r="M99">
        <v>31</v>
      </c>
      <c r="N99" s="62" t="s">
        <v>961</v>
      </c>
      <c r="O99" s="23" t="s">
        <v>942</v>
      </c>
      <c r="P99" s="23" t="s">
        <v>945</v>
      </c>
      <c r="Q99" s="62" t="s">
        <v>942</v>
      </c>
      <c r="R99">
        <v>7</v>
      </c>
    </row>
    <row r="100" spans="1:18">
      <c r="A100" s="62"/>
      <c r="B100" s="62" t="s">
        <v>5285</v>
      </c>
      <c r="C100" s="62" t="s">
        <v>494</v>
      </c>
      <c r="K100">
        <v>9</v>
      </c>
      <c r="M100">
        <v>1</v>
      </c>
    </row>
    <row r="101" spans="1:18">
      <c r="A101" s="62"/>
      <c r="B101" s="62" t="s">
        <v>5286</v>
      </c>
      <c r="C101" s="62" t="s">
        <v>494</v>
      </c>
      <c r="K101">
        <v>10</v>
      </c>
      <c r="M101">
        <v>1</v>
      </c>
    </row>
    <row r="102" spans="1:18">
      <c r="A102" s="62"/>
      <c r="B102" s="62" t="s">
        <v>5287</v>
      </c>
      <c r="C102" s="62" t="s">
        <v>494</v>
      </c>
      <c r="K102">
        <v>11</v>
      </c>
      <c r="M102">
        <v>1</v>
      </c>
    </row>
    <row r="103" spans="1:18">
      <c r="A103" s="62"/>
      <c r="B103" s="62" t="s">
        <v>5288</v>
      </c>
      <c r="C103" s="62" t="s">
        <v>494</v>
      </c>
      <c r="K103">
        <v>12</v>
      </c>
      <c r="M103">
        <v>1</v>
      </c>
    </row>
    <row r="104" spans="1:18">
      <c r="A104" s="62"/>
      <c r="B104" s="62" t="s">
        <v>4977</v>
      </c>
      <c r="C104" s="62" t="s">
        <v>494</v>
      </c>
      <c r="K104">
        <v>13</v>
      </c>
      <c r="L104">
        <v>8</v>
      </c>
      <c r="M104">
        <v>1</v>
      </c>
    </row>
    <row r="105" spans="1:18">
      <c r="A105" s="62"/>
      <c r="B105" s="62" t="s">
        <v>5289</v>
      </c>
      <c r="C105" s="62" t="s">
        <v>494</v>
      </c>
      <c r="K105">
        <v>14</v>
      </c>
      <c r="L105">
        <v>3</v>
      </c>
      <c r="M105">
        <v>1</v>
      </c>
      <c r="N105" s="62" t="s">
        <v>5294</v>
      </c>
      <c r="O105" s="62" t="s">
        <v>5275</v>
      </c>
      <c r="P105" s="62" t="s">
        <v>5276</v>
      </c>
    </row>
    <row r="106" spans="1:18">
      <c r="A106" s="62"/>
      <c r="B106" s="62" t="s">
        <v>5290</v>
      </c>
      <c r="C106" s="62" t="s">
        <v>494</v>
      </c>
      <c r="K106">
        <v>15</v>
      </c>
      <c r="L106">
        <v>7</v>
      </c>
      <c r="M106">
        <v>1</v>
      </c>
      <c r="N106" s="62"/>
      <c r="O106" s="62"/>
    </row>
    <row r="107" spans="1:18">
      <c r="A107" s="62"/>
      <c r="B107" s="62" t="s">
        <v>5291</v>
      </c>
      <c r="C107" s="62" t="s">
        <v>494</v>
      </c>
      <c r="K107">
        <v>16</v>
      </c>
      <c r="M107">
        <v>1</v>
      </c>
    </row>
    <row r="108" spans="1:18">
      <c r="A108" s="62"/>
      <c r="B108" s="62" t="s">
        <v>5292</v>
      </c>
      <c r="C108" s="62" t="s">
        <v>494</v>
      </c>
      <c r="K108">
        <v>17</v>
      </c>
      <c r="M108">
        <v>1</v>
      </c>
    </row>
    <row r="109" spans="1:18">
      <c r="A109" s="62"/>
      <c r="B109" s="62" t="s">
        <v>5293</v>
      </c>
      <c r="C109" s="62" t="s">
        <v>493</v>
      </c>
      <c r="D109">
        <v>250</v>
      </c>
      <c r="K109">
        <v>18</v>
      </c>
    </row>
    <row r="110" spans="1:18">
      <c r="A110" s="62"/>
      <c r="B110" s="62" t="s">
        <v>5296</v>
      </c>
      <c r="C110" s="62" t="s">
        <v>494</v>
      </c>
      <c r="K110">
        <v>19</v>
      </c>
      <c r="L110">
        <v>7</v>
      </c>
      <c r="M110">
        <v>3</v>
      </c>
    </row>
    <row r="111" spans="1:18">
      <c r="A111" s="62"/>
      <c r="B111" s="62" t="s">
        <v>5297</v>
      </c>
      <c r="C111" s="62" t="s">
        <v>494</v>
      </c>
      <c r="K111">
        <v>20</v>
      </c>
      <c r="L111">
        <v>3</v>
      </c>
      <c r="M111">
        <v>3</v>
      </c>
      <c r="N111" s="62" t="s">
        <v>5255</v>
      </c>
      <c r="O111" s="62" t="s">
        <v>5257</v>
      </c>
      <c r="P111" s="62" t="s">
        <v>5259</v>
      </c>
      <c r="R111">
        <v>2411</v>
      </c>
    </row>
    <row r="112" spans="1:18">
      <c r="A112" s="62"/>
      <c r="B112" s="62" t="s">
        <v>5298</v>
      </c>
      <c r="C112" s="62" t="s">
        <v>520</v>
      </c>
      <c r="K112">
        <v>21</v>
      </c>
      <c r="N112" s="62"/>
      <c r="O112" s="62"/>
      <c r="P112" s="62"/>
    </row>
    <row r="113" spans="1:18">
      <c r="A113" s="62"/>
      <c r="B113" s="62" t="s">
        <v>5299</v>
      </c>
      <c r="C113" s="62" t="s">
        <v>494</v>
      </c>
      <c r="K113">
        <v>22</v>
      </c>
      <c r="L113">
        <v>91</v>
      </c>
      <c r="N113" s="62"/>
      <c r="O113" s="62"/>
      <c r="P113" s="62"/>
    </row>
    <row r="114" spans="1:18">
      <c r="A114" s="62"/>
      <c r="B114" s="62" t="s">
        <v>5300</v>
      </c>
      <c r="C114" s="62" t="s">
        <v>494</v>
      </c>
      <c r="K114">
        <v>23</v>
      </c>
      <c r="L114">
        <v>92</v>
      </c>
      <c r="N114" s="62"/>
      <c r="O114" s="62"/>
      <c r="P114" s="62"/>
    </row>
    <row r="115" spans="1:18">
      <c r="A115" s="62"/>
      <c r="B115" s="62" t="s">
        <v>5301</v>
      </c>
      <c r="C115" s="62" t="s">
        <v>520</v>
      </c>
      <c r="K115">
        <v>24</v>
      </c>
      <c r="N115" s="62"/>
      <c r="O115" s="62"/>
      <c r="P115" s="62"/>
    </row>
    <row r="116" spans="1:18">
      <c r="A116" s="62"/>
      <c r="B116" s="62"/>
      <c r="C116" s="62"/>
      <c r="O116" s="62"/>
    </row>
    <row r="117" spans="1:18">
      <c r="A117" s="62" t="s">
        <v>5294</v>
      </c>
      <c r="B117" s="62" t="s">
        <v>5275</v>
      </c>
      <c r="C117" s="62" t="s">
        <v>494</v>
      </c>
      <c r="E117" s="62" t="s">
        <v>476</v>
      </c>
      <c r="O117" s="62"/>
    </row>
    <row r="118" spans="1:18">
      <c r="A118" s="62"/>
      <c r="B118" s="62" t="s">
        <v>5276</v>
      </c>
      <c r="C118" s="62" t="s">
        <v>493</v>
      </c>
      <c r="D118">
        <v>50</v>
      </c>
      <c r="H118" s="62" t="s">
        <v>5281</v>
      </c>
    </row>
    <row r="119" spans="1:18">
      <c r="A119" s="62"/>
      <c r="B119" s="62"/>
      <c r="C119" s="62"/>
    </row>
    <row r="120" spans="1:18">
      <c r="A120" s="62" t="s">
        <v>5278</v>
      </c>
      <c r="B120" s="62" t="s">
        <v>5279</v>
      </c>
      <c r="C120" s="62" t="s">
        <v>494</v>
      </c>
      <c r="E120" s="62" t="s">
        <v>476</v>
      </c>
    </row>
    <row r="121" spans="1:18">
      <c r="A121" s="62"/>
      <c r="B121" s="62" t="s">
        <v>5280</v>
      </c>
      <c r="C121" s="62" t="s">
        <v>493</v>
      </c>
      <c r="D121">
        <v>50</v>
      </c>
      <c r="H121" s="62" t="s">
        <v>5277</v>
      </c>
    </row>
    <row r="122" spans="1:18">
      <c r="A122" s="62"/>
      <c r="B122" s="62"/>
      <c r="C122" s="62"/>
    </row>
    <row r="123" spans="1:18">
      <c r="A123" s="62" t="s">
        <v>5317</v>
      </c>
      <c r="B123" s="62" t="s">
        <v>5323</v>
      </c>
      <c r="C123" s="62" t="s">
        <v>494</v>
      </c>
      <c r="F123">
        <v>24</v>
      </c>
      <c r="G123">
        <v>2415</v>
      </c>
      <c r="H123" t="s">
        <v>5321</v>
      </c>
      <c r="I123" t="s">
        <v>5322</v>
      </c>
      <c r="J123">
        <v>11</v>
      </c>
      <c r="K123">
        <v>1</v>
      </c>
      <c r="L123">
        <v>3</v>
      </c>
      <c r="N123" s="62" t="s">
        <v>507</v>
      </c>
      <c r="O123" s="1" t="s">
        <v>508</v>
      </c>
      <c r="P123" s="1" t="s">
        <v>509</v>
      </c>
    </row>
    <row r="124" spans="1:18">
      <c r="A124" s="62"/>
      <c r="B124" s="62" t="s">
        <v>5318</v>
      </c>
      <c r="C124" s="62" t="s">
        <v>494</v>
      </c>
      <c r="K124">
        <v>2</v>
      </c>
      <c r="L124">
        <v>3</v>
      </c>
      <c r="M124">
        <v>31</v>
      </c>
      <c r="N124" s="10" t="s">
        <v>506</v>
      </c>
      <c r="O124" s="10" t="s">
        <v>514</v>
      </c>
      <c r="P124" s="1" t="s">
        <v>515</v>
      </c>
      <c r="Q124" t="s">
        <v>517</v>
      </c>
      <c r="R124">
        <v>1</v>
      </c>
    </row>
    <row r="125" spans="1:18">
      <c r="A125" s="62"/>
      <c r="B125" s="62" t="s">
        <v>5319</v>
      </c>
      <c r="C125" s="62" t="s">
        <v>494</v>
      </c>
      <c r="K125">
        <v>3</v>
      </c>
      <c r="L125">
        <v>3</v>
      </c>
      <c r="N125" s="62" t="s">
        <v>3664</v>
      </c>
      <c r="O125" s="62" t="s">
        <v>3666</v>
      </c>
      <c r="P125" s="62" t="s">
        <v>3667</v>
      </c>
      <c r="Q125" s="62"/>
    </row>
    <row r="126" spans="1:18">
      <c r="A126" s="62"/>
      <c r="B126" s="62" t="s">
        <v>5320</v>
      </c>
      <c r="C126" s="62" t="s">
        <v>494</v>
      </c>
      <c r="K126">
        <v>4</v>
      </c>
      <c r="L126">
        <v>3</v>
      </c>
      <c r="M126">
        <v>31</v>
      </c>
      <c r="N126" s="62" t="s">
        <v>3655</v>
      </c>
      <c r="O126" s="62" t="s">
        <v>3648</v>
      </c>
      <c r="P126" s="62" t="s">
        <v>3657</v>
      </c>
      <c r="Q126" s="47" t="s">
        <v>3658</v>
      </c>
      <c r="R126">
        <v>3</v>
      </c>
    </row>
    <row r="127" spans="1:18">
      <c r="A127" s="62"/>
      <c r="B127" s="62"/>
      <c r="C127" s="62"/>
    </row>
    <row r="128" spans="1:18">
      <c r="A128" s="62" t="s">
        <v>5324</v>
      </c>
      <c r="B128" s="62" t="s">
        <v>5331</v>
      </c>
      <c r="C128" s="62" t="s">
        <v>494</v>
      </c>
      <c r="E128" s="62"/>
      <c r="F128">
        <v>24</v>
      </c>
      <c r="G128">
        <v>2416</v>
      </c>
      <c r="H128" s="62" t="s">
        <v>5328</v>
      </c>
      <c r="I128" s="62" t="s">
        <v>5329</v>
      </c>
      <c r="J128">
        <v>11</v>
      </c>
      <c r="K128">
        <v>1</v>
      </c>
      <c r="L128">
        <v>3</v>
      </c>
      <c r="N128" s="62" t="s">
        <v>507</v>
      </c>
      <c r="O128" s="1" t="s">
        <v>508</v>
      </c>
      <c r="P128" s="1" t="s">
        <v>509</v>
      </c>
    </row>
    <row r="129" spans="1:18">
      <c r="A129" s="62"/>
      <c r="B129" s="62" t="s">
        <v>5326</v>
      </c>
      <c r="C129" s="62" t="s">
        <v>494</v>
      </c>
      <c r="E129" s="62"/>
      <c r="H129" s="62"/>
      <c r="I129" s="62"/>
      <c r="K129">
        <v>2</v>
      </c>
      <c r="L129">
        <v>3</v>
      </c>
      <c r="M129">
        <v>31</v>
      </c>
      <c r="N129" s="10" t="s">
        <v>506</v>
      </c>
      <c r="O129" s="10" t="s">
        <v>514</v>
      </c>
      <c r="P129" s="1" t="s">
        <v>515</v>
      </c>
      <c r="Q129" t="s">
        <v>517</v>
      </c>
      <c r="R129">
        <v>1</v>
      </c>
    </row>
    <row r="130" spans="1:18">
      <c r="A130" s="62"/>
      <c r="B130" s="62" t="s">
        <v>5325</v>
      </c>
      <c r="C130" s="62" t="s">
        <v>494</v>
      </c>
      <c r="K130">
        <v>3</v>
      </c>
      <c r="L130">
        <v>8</v>
      </c>
    </row>
    <row r="131" spans="1:18">
      <c r="A131" s="62"/>
      <c r="B131" s="62" t="s">
        <v>5327</v>
      </c>
      <c r="C131" s="62" t="s">
        <v>494</v>
      </c>
      <c r="K131">
        <v>4</v>
      </c>
    </row>
    <row r="132" spans="1:18">
      <c r="A132" s="62"/>
      <c r="B132" s="62"/>
      <c r="C132" s="62"/>
    </row>
    <row r="133" spans="1:18">
      <c r="A133" s="70" t="s">
        <v>4097</v>
      </c>
      <c r="B133" s="70" t="s">
        <v>5334</v>
      </c>
      <c r="C133" s="70" t="s">
        <v>494</v>
      </c>
      <c r="E133" s="62"/>
      <c r="F133">
        <v>24</v>
      </c>
      <c r="G133">
        <v>2417</v>
      </c>
      <c r="H133" s="62" t="s">
        <v>5332</v>
      </c>
      <c r="I133" s="62" t="s">
        <v>5333</v>
      </c>
      <c r="J133">
        <v>11</v>
      </c>
      <c r="K133">
        <v>1</v>
      </c>
      <c r="L133">
        <v>3</v>
      </c>
      <c r="M133">
        <v>3</v>
      </c>
      <c r="N133" s="10" t="s">
        <v>506</v>
      </c>
      <c r="O133" s="10" t="s">
        <v>514</v>
      </c>
      <c r="P133" s="1" t="s">
        <v>515</v>
      </c>
    </row>
    <row r="134" spans="1:18">
      <c r="A134" s="94"/>
      <c r="B134" s="70" t="s">
        <v>5335</v>
      </c>
      <c r="C134" s="70" t="s">
        <v>494</v>
      </c>
      <c r="E134" s="62"/>
      <c r="K134">
        <v>2</v>
      </c>
      <c r="L134">
        <v>3</v>
      </c>
      <c r="N134" s="62" t="s">
        <v>3664</v>
      </c>
      <c r="O134" s="62" t="s">
        <v>3666</v>
      </c>
      <c r="P134" s="62" t="s">
        <v>3667</v>
      </c>
      <c r="Q134" s="62"/>
    </row>
    <row r="135" spans="1:18">
      <c r="A135" s="94"/>
      <c r="B135" s="70" t="s">
        <v>5336</v>
      </c>
      <c r="C135" s="70" t="s">
        <v>494</v>
      </c>
      <c r="E135" s="62"/>
      <c r="K135">
        <v>3</v>
      </c>
      <c r="L135">
        <v>3</v>
      </c>
      <c r="M135">
        <v>31</v>
      </c>
      <c r="N135" s="62" t="s">
        <v>3655</v>
      </c>
      <c r="O135" s="62" t="s">
        <v>3648</v>
      </c>
      <c r="P135" s="62" t="s">
        <v>3657</v>
      </c>
      <c r="Q135" s="47" t="s">
        <v>3658</v>
      </c>
      <c r="R135">
        <v>2</v>
      </c>
    </row>
    <row r="136" spans="1:18">
      <c r="A136" s="94"/>
      <c r="B136" s="70" t="s">
        <v>5337</v>
      </c>
      <c r="C136" s="70" t="s">
        <v>494</v>
      </c>
      <c r="E136" s="62"/>
      <c r="H136" s="10"/>
      <c r="K136">
        <v>4</v>
      </c>
      <c r="L136">
        <v>3</v>
      </c>
      <c r="M136" s="14"/>
      <c r="N136" s="62" t="s">
        <v>693</v>
      </c>
      <c r="O136" s="1" t="s">
        <v>695</v>
      </c>
      <c r="P136" s="1" t="s">
        <v>696</v>
      </c>
      <c r="Q136" s="62"/>
    </row>
    <row r="137" spans="1:18">
      <c r="A137" s="94"/>
      <c r="B137" s="70" t="s">
        <v>5338</v>
      </c>
      <c r="C137" s="70" t="s">
        <v>494</v>
      </c>
      <c r="H137" s="64"/>
      <c r="K137">
        <v>5</v>
      </c>
      <c r="L137">
        <v>3</v>
      </c>
      <c r="M137" s="14">
        <v>31</v>
      </c>
      <c r="N137" s="62" t="s">
        <v>379</v>
      </c>
      <c r="O137" s="62" t="s">
        <v>698</v>
      </c>
      <c r="P137" s="62" t="s">
        <v>699</v>
      </c>
      <c r="Q137" s="62" t="s">
        <v>383</v>
      </c>
      <c r="R137">
        <v>4</v>
      </c>
    </row>
    <row r="138" spans="1:18">
      <c r="H138" s="10"/>
    </row>
    <row r="139" spans="1:18">
      <c r="A139" s="62"/>
      <c r="B139" s="62"/>
      <c r="C139" s="62"/>
    </row>
    <row r="140" spans="1:18">
      <c r="A140" s="62"/>
      <c r="B140" s="62"/>
      <c r="C140" s="62"/>
    </row>
    <row r="141" spans="1:18">
      <c r="A141" s="62"/>
      <c r="B141" s="62"/>
      <c r="C141" s="62"/>
    </row>
    <row r="142" spans="1:18">
      <c r="A142" s="62"/>
      <c r="B142" s="62"/>
      <c r="C142" s="62"/>
    </row>
    <row r="143" spans="1:18">
      <c r="B143" s="62"/>
      <c r="C143" s="62"/>
      <c r="H143" s="64"/>
    </row>
    <row r="144" spans="1:18">
      <c r="A144" s="91" t="s">
        <v>3262</v>
      </c>
      <c r="B144" s="62" t="s">
        <v>3264</v>
      </c>
      <c r="C144" s="62" t="s">
        <v>494</v>
      </c>
      <c r="E144" s="62" t="s">
        <v>476</v>
      </c>
      <c r="F144">
        <v>24</v>
      </c>
      <c r="G144">
        <v>2450</v>
      </c>
      <c r="H144" s="62" t="s">
        <v>4294</v>
      </c>
      <c r="I144" s="62" t="s">
        <v>4295</v>
      </c>
      <c r="J144">
        <v>11</v>
      </c>
      <c r="K144" s="55">
        <v>1</v>
      </c>
      <c r="L144" s="9">
        <v>3</v>
      </c>
      <c r="M144" s="1"/>
      <c r="N144" s="10" t="s">
        <v>506</v>
      </c>
      <c r="O144" s="10" t="s">
        <v>514</v>
      </c>
      <c r="P144" s="1" t="s">
        <v>515</v>
      </c>
    </row>
    <row r="145" spans="2:18">
      <c r="B145" s="62" t="s">
        <v>3265</v>
      </c>
      <c r="C145" s="62" t="s">
        <v>494</v>
      </c>
      <c r="E145" s="62" t="s">
        <v>476</v>
      </c>
      <c r="K145" s="55">
        <v>2</v>
      </c>
      <c r="L145">
        <v>8</v>
      </c>
    </row>
    <row r="146" spans="2:18">
      <c r="B146" s="62" t="s">
        <v>3266</v>
      </c>
      <c r="C146" s="62" t="s">
        <v>494</v>
      </c>
      <c r="E146" s="62" t="s">
        <v>476</v>
      </c>
      <c r="K146" s="55">
        <v>3</v>
      </c>
      <c r="L146" s="68">
        <v>9</v>
      </c>
      <c r="M146" s="1"/>
      <c r="N146" s="62" t="s">
        <v>1038</v>
      </c>
      <c r="O146" s="23" t="s">
        <v>1040</v>
      </c>
      <c r="P146" s="23" t="s">
        <v>1041</v>
      </c>
      <c r="Q146" s="23" t="s">
        <v>1040</v>
      </c>
      <c r="R146" s="14">
        <v>140</v>
      </c>
    </row>
    <row r="147" spans="2:18">
      <c r="B147" s="62" t="s">
        <v>3268</v>
      </c>
      <c r="C147" s="62" t="s">
        <v>494</v>
      </c>
      <c r="K147" s="55">
        <v>4</v>
      </c>
      <c r="L147" s="32">
        <v>6</v>
      </c>
    </row>
    <row r="148" spans="2:18">
      <c r="B148" s="62" t="s">
        <v>4278</v>
      </c>
      <c r="C148" s="62" t="s">
        <v>702</v>
      </c>
      <c r="G148" s="62"/>
      <c r="K148" s="55">
        <v>37</v>
      </c>
      <c r="M148">
        <v>2</v>
      </c>
    </row>
    <row r="149" spans="2:18">
      <c r="B149" s="62" t="s">
        <v>4279</v>
      </c>
      <c r="C149" s="62" t="s">
        <v>494</v>
      </c>
      <c r="G149" s="62"/>
      <c r="K149" s="55">
        <v>38</v>
      </c>
      <c r="M149">
        <v>2</v>
      </c>
    </row>
    <row r="150" spans="2:18">
      <c r="B150" s="62" t="s">
        <v>4280</v>
      </c>
      <c r="C150" s="62" t="s">
        <v>494</v>
      </c>
      <c r="G150" s="62"/>
      <c r="K150" s="55">
        <v>39</v>
      </c>
      <c r="M150">
        <v>2</v>
      </c>
    </row>
    <row r="151" spans="2:18">
      <c r="B151" s="62" t="s">
        <v>4281</v>
      </c>
      <c r="C151" s="62" t="s">
        <v>494</v>
      </c>
      <c r="G151" s="62"/>
      <c r="K151" s="55">
        <v>40</v>
      </c>
      <c r="M151">
        <v>2</v>
      </c>
    </row>
    <row r="152" spans="2:18">
      <c r="B152" s="62" t="s">
        <v>4283</v>
      </c>
      <c r="C152" s="62" t="s">
        <v>494</v>
      </c>
      <c r="G152" s="62"/>
      <c r="K152" s="55">
        <v>41</v>
      </c>
      <c r="M152">
        <v>2</v>
      </c>
    </row>
    <row r="153" spans="2:18">
      <c r="B153" s="62" t="s">
        <v>4282</v>
      </c>
      <c r="C153" s="62" t="s">
        <v>494</v>
      </c>
      <c r="G153" s="62"/>
      <c r="K153" s="55">
        <v>42</v>
      </c>
      <c r="M153">
        <v>2</v>
      </c>
    </row>
    <row r="154" spans="2:18">
      <c r="B154" s="62" t="s">
        <v>4284</v>
      </c>
      <c r="C154" s="62" t="s">
        <v>494</v>
      </c>
      <c r="G154" s="62"/>
      <c r="K154" s="55">
        <v>43</v>
      </c>
      <c r="M154">
        <v>2</v>
      </c>
    </row>
    <row r="155" spans="2:18">
      <c r="B155" s="62" t="s">
        <v>4285</v>
      </c>
      <c r="C155" s="62" t="s">
        <v>494</v>
      </c>
      <c r="G155" s="62"/>
      <c r="K155" s="55">
        <v>44</v>
      </c>
      <c r="M155">
        <v>2</v>
      </c>
    </row>
    <row r="156" spans="2:18">
      <c r="B156" s="62" t="s">
        <v>4286</v>
      </c>
      <c r="C156" s="62" t="s">
        <v>494</v>
      </c>
      <c r="G156" s="62"/>
      <c r="K156" s="55">
        <v>45</v>
      </c>
      <c r="M156">
        <v>2</v>
      </c>
    </row>
    <row r="157" spans="2:18">
      <c r="B157" s="62" t="s">
        <v>4287</v>
      </c>
      <c r="C157" s="62" t="s">
        <v>494</v>
      </c>
      <c r="G157" s="62"/>
      <c r="K157" s="55">
        <v>46</v>
      </c>
      <c r="M157">
        <v>2</v>
      </c>
    </row>
    <row r="158" spans="2:18">
      <c r="B158" s="62" t="s">
        <v>4288</v>
      </c>
      <c r="C158" s="62" t="s">
        <v>494</v>
      </c>
      <c r="G158" s="62"/>
      <c r="K158" s="55">
        <v>47</v>
      </c>
      <c r="M158">
        <v>2</v>
      </c>
    </row>
    <row r="159" spans="2:18">
      <c r="B159" s="62" t="s">
        <v>4289</v>
      </c>
      <c r="C159" s="62" t="s">
        <v>494</v>
      </c>
      <c r="G159" s="62"/>
      <c r="K159" s="55">
        <v>48</v>
      </c>
      <c r="M159">
        <v>2</v>
      </c>
    </row>
    <row r="160" spans="2:18">
      <c r="B160" s="62" t="s">
        <v>4290</v>
      </c>
      <c r="C160" s="62" t="s">
        <v>494</v>
      </c>
      <c r="G160" s="62"/>
      <c r="K160" s="55">
        <v>49</v>
      </c>
      <c r="M160">
        <v>2</v>
      </c>
    </row>
    <row r="161" spans="1:18">
      <c r="B161" s="62" t="s">
        <v>4291</v>
      </c>
      <c r="C161" s="62" t="s">
        <v>494</v>
      </c>
      <c r="G161" s="62"/>
      <c r="K161" s="55">
        <v>50</v>
      </c>
      <c r="M161">
        <v>2</v>
      </c>
    </row>
    <row r="162" spans="1:18">
      <c r="B162" s="62" t="s">
        <v>4292</v>
      </c>
      <c r="C162" s="62" t="s">
        <v>494</v>
      </c>
      <c r="G162" s="62"/>
      <c r="K162" s="55">
        <v>51</v>
      </c>
      <c r="M162">
        <v>2</v>
      </c>
    </row>
    <row r="163" spans="1:18">
      <c r="B163" s="62" t="s">
        <v>4293</v>
      </c>
      <c r="C163" s="62" t="s">
        <v>494</v>
      </c>
      <c r="G163" s="62"/>
      <c r="K163" s="55">
        <v>52</v>
      </c>
      <c r="M163">
        <v>2</v>
      </c>
    </row>
    <row r="164" spans="1:18">
      <c r="B164" s="62" t="s">
        <v>4296</v>
      </c>
      <c r="C164" s="62" t="s">
        <v>494</v>
      </c>
      <c r="G164" s="62"/>
      <c r="K164" s="55">
        <v>53</v>
      </c>
      <c r="M164">
        <v>2</v>
      </c>
    </row>
    <row r="165" spans="1:18">
      <c r="B165" s="62" t="s">
        <v>4297</v>
      </c>
      <c r="C165" s="62" t="s">
        <v>494</v>
      </c>
      <c r="G165" s="62"/>
      <c r="K165" s="55">
        <v>54</v>
      </c>
      <c r="M165">
        <v>2</v>
      </c>
    </row>
    <row r="167" spans="1:18">
      <c r="A167" s="91" t="s">
        <v>3263</v>
      </c>
      <c r="B167" s="70" t="s">
        <v>3287</v>
      </c>
      <c r="C167" s="62" t="s">
        <v>494</v>
      </c>
      <c r="E167" s="62" t="s">
        <v>476</v>
      </c>
      <c r="F167">
        <v>24</v>
      </c>
      <c r="G167">
        <v>2451</v>
      </c>
      <c r="H167" s="62" t="s">
        <v>4679</v>
      </c>
      <c r="I167" t="s">
        <v>4680</v>
      </c>
      <c r="J167">
        <v>11</v>
      </c>
      <c r="K167" s="55">
        <v>1</v>
      </c>
      <c r="L167">
        <v>52</v>
      </c>
      <c r="N167">
        <v>2204</v>
      </c>
      <c r="O167" s="62" t="s">
        <v>3268</v>
      </c>
    </row>
    <row r="168" spans="1:18" s="1" customFormat="1">
      <c r="B168" s="67" t="s">
        <v>3289</v>
      </c>
      <c r="C168" s="1" t="s">
        <v>494</v>
      </c>
      <c r="E168" s="1" t="s">
        <v>476</v>
      </c>
      <c r="F168" s="14"/>
      <c r="G168" s="14"/>
      <c r="H168" s="14"/>
      <c r="I168" s="11"/>
      <c r="J168" s="14"/>
      <c r="K168" s="16">
        <v>2</v>
      </c>
      <c r="L168" s="15">
        <v>3</v>
      </c>
      <c r="M168" s="14"/>
      <c r="N168" s="1" t="s">
        <v>947</v>
      </c>
      <c r="O168" s="23" t="s">
        <v>938</v>
      </c>
      <c r="P168" s="23" t="s">
        <v>940</v>
      </c>
      <c r="Q168" s="14"/>
      <c r="R168" s="14"/>
    </row>
    <row r="169" spans="1:18" s="1" customFormat="1">
      <c r="B169" s="67" t="s">
        <v>3290</v>
      </c>
      <c r="C169" s="1" t="s">
        <v>494</v>
      </c>
      <c r="E169" s="1" t="s">
        <v>476</v>
      </c>
      <c r="F169" s="14"/>
      <c r="G169" s="14"/>
      <c r="H169" s="14"/>
      <c r="I169" s="11"/>
      <c r="J169" s="14"/>
      <c r="K169" s="16">
        <v>3</v>
      </c>
      <c r="L169" s="15">
        <v>3</v>
      </c>
      <c r="M169" s="14"/>
      <c r="N169" s="1" t="s">
        <v>950</v>
      </c>
      <c r="O169" s="23" t="s">
        <v>941</v>
      </c>
      <c r="P169" s="23" t="s">
        <v>952</v>
      </c>
      <c r="Q169" s="14"/>
      <c r="R169" s="14"/>
    </row>
    <row r="170" spans="1:18" s="1" customFormat="1">
      <c r="B170" s="67" t="s">
        <v>3288</v>
      </c>
      <c r="C170" s="1" t="s">
        <v>494</v>
      </c>
      <c r="E170" s="1" t="s">
        <v>476</v>
      </c>
      <c r="F170" s="14"/>
      <c r="G170" s="14"/>
      <c r="H170" s="14"/>
      <c r="I170" s="11"/>
      <c r="J170" s="14"/>
      <c r="K170" s="55">
        <v>4</v>
      </c>
      <c r="L170" s="15">
        <v>3</v>
      </c>
      <c r="M170" s="14"/>
      <c r="N170" s="62" t="s">
        <v>961</v>
      </c>
      <c r="O170" s="23" t="s">
        <v>942</v>
      </c>
      <c r="P170" s="23" t="s">
        <v>945</v>
      </c>
      <c r="Q170" s="14"/>
      <c r="R170" s="14"/>
    </row>
    <row r="171" spans="1:18">
      <c r="B171" s="67" t="s">
        <v>3291</v>
      </c>
      <c r="C171" s="62" t="s">
        <v>494</v>
      </c>
      <c r="K171" s="55">
        <v>5</v>
      </c>
      <c r="L171" s="55">
        <v>6</v>
      </c>
    </row>
    <row r="172" spans="1:18">
      <c r="B172" s="70" t="s">
        <v>3292</v>
      </c>
      <c r="C172" s="62" t="s">
        <v>494</v>
      </c>
      <c r="K172" s="16">
        <v>6</v>
      </c>
      <c r="L172" s="55">
        <v>3</v>
      </c>
      <c r="M172">
        <v>31</v>
      </c>
      <c r="N172" s="10" t="s">
        <v>506</v>
      </c>
      <c r="O172" s="10" t="s">
        <v>514</v>
      </c>
      <c r="P172" s="1" t="s">
        <v>515</v>
      </c>
      <c r="Q172" s="62" t="s">
        <v>2003</v>
      </c>
      <c r="R172">
        <v>4</v>
      </c>
    </row>
    <row r="173" spans="1:18">
      <c r="B173" s="70" t="s">
        <v>3293</v>
      </c>
      <c r="C173" s="62" t="s">
        <v>494</v>
      </c>
      <c r="K173" s="16">
        <v>7</v>
      </c>
      <c r="L173" s="55">
        <v>8</v>
      </c>
    </row>
    <row r="174" spans="1:18">
      <c r="B174" s="70" t="s">
        <v>3294</v>
      </c>
      <c r="C174" s="62" t="s">
        <v>494</v>
      </c>
      <c r="K174" s="55">
        <v>8</v>
      </c>
      <c r="L174" s="55">
        <v>3</v>
      </c>
      <c r="M174">
        <v>31</v>
      </c>
      <c r="N174" s="62" t="s">
        <v>1038</v>
      </c>
      <c r="O174" s="23" t="s">
        <v>1040</v>
      </c>
      <c r="P174" s="23" t="s">
        <v>1041</v>
      </c>
      <c r="Q174" t="s">
        <v>2003</v>
      </c>
      <c r="R174">
        <v>6</v>
      </c>
    </row>
    <row r="175" spans="1:18">
      <c r="B175" s="70" t="s">
        <v>3296</v>
      </c>
      <c r="C175" s="62" t="s">
        <v>494</v>
      </c>
      <c r="E175" s="62"/>
      <c r="K175" s="55">
        <v>9</v>
      </c>
      <c r="M175">
        <v>1</v>
      </c>
    </row>
    <row r="176" spans="1:18">
      <c r="B176" s="70" t="s">
        <v>3295</v>
      </c>
      <c r="C176" s="62" t="s">
        <v>494</v>
      </c>
      <c r="K176" s="16">
        <v>10</v>
      </c>
      <c r="M176">
        <v>1</v>
      </c>
    </row>
    <row r="177" spans="2:16">
      <c r="B177" s="70" t="s">
        <v>3297</v>
      </c>
      <c r="C177" s="62" t="s">
        <v>494</v>
      </c>
      <c r="K177" s="16">
        <v>11</v>
      </c>
      <c r="L177" s="9">
        <v>3</v>
      </c>
      <c r="M177" s="1">
        <v>1</v>
      </c>
      <c r="N177" s="62" t="s">
        <v>1002</v>
      </c>
      <c r="O177" s="23" t="s">
        <v>1004</v>
      </c>
      <c r="P177" s="23" t="s">
        <v>1023</v>
      </c>
    </row>
    <row r="178" spans="2:16">
      <c r="B178" s="70" t="s">
        <v>3300</v>
      </c>
      <c r="C178" s="62" t="s">
        <v>494</v>
      </c>
      <c r="K178" s="55">
        <v>12</v>
      </c>
      <c r="L178">
        <v>7</v>
      </c>
    </row>
    <row r="179" spans="2:16">
      <c r="B179" s="70" t="s">
        <v>3301</v>
      </c>
      <c r="C179" s="62" t="s">
        <v>494</v>
      </c>
      <c r="K179" s="55">
        <v>13</v>
      </c>
      <c r="L179">
        <v>7</v>
      </c>
    </row>
    <row r="180" spans="2:16">
      <c r="B180" s="70" t="s">
        <v>3302</v>
      </c>
      <c r="C180" s="62" t="s">
        <v>494</v>
      </c>
      <c r="K180" s="16">
        <v>14</v>
      </c>
      <c r="L180">
        <v>7</v>
      </c>
    </row>
    <row r="181" spans="2:16">
      <c r="B181" s="70" t="s">
        <v>3303</v>
      </c>
      <c r="C181" s="62" t="s">
        <v>494</v>
      </c>
      <c r="K181" s="16">
        <v>15</v>
      </c>
      <c r="L181">
        <v>8</v>
      </c>
      <c r="M181">
        <v>1</v>
      </c>
    </row>
    <row r="182" spans="2:16">
      <c r="B182" s="70" t="s">
        <v>3340</v>
      </c>
      <c r="C182" s="62" t="s">
        <v>494</v>
      </c>
      <c r="G182" s="70" t="s">
        <v>3352</v>
      </c>
      <c r="K182" s="55">
        <v>16</v>
      </c>
      <c r="L182">
        <v>3</v>
      </c>
      <c r="M182">
        <v>1</v>
      </c>
    </row>
    <row r="183" spans="2:16">
      <c r="B183" s="70" t="s">
        <v>3304</v>
      </c>
      <c r="C183" s="62" t="s">
        <v>494</v>
      </c>
      <c r="K183" s="55">
        <v>17</v>
      </c>
    </row>
    <row r="184" spans="2:16">
      <c r="B184" s="70" t="s">
        <v>3305</v>
      </c>
      <c r="C184" s="62" t="s">
        <v>494</v>
      </c>
      <c r="K184" s="16">
        <v>18</v>
      </c>
    </row>
    <row r="185" spans="2:16">
      <c r="B185" s="70" t="s">
        <v>3306</v>
      </c>
      <c r="C185" s="62" t="s">
        <v>702</v>
      </c>
      <c r="K185" s="16">
        <v>19</v>
      </c>
    </row>
    <row r="186" spans="2:16">
      <c r="B186" s="62" t="s">
        <v>3307</v>
      </c>
      <c r="C186" s="62" t="s">
        <v>494</v>
      </c>
      <c r="K186" s="55">
        <v>20</v>
      </c>
      <c r="L186">
        <v>7</v>
      </c>
    </row>
    <row r="187" spans="2:16">
      <c r="B187" s="62" t="s">
        <v>3308</v>
      </c>
      <c r="C187" s="62" t="s">
        <v>494</v>
      </c>
      <c r="K187" s="55">
        <v>21</v>
      </c>
    </row>
    <row r="188" spans="2:16">
      <c r="B188" s="62" t="s">
        <v>3309</v>
      </c>
      <c r="C188" s="62" t="s">
        <v>494</v>
      </c>
      <c r="K188" s="16">
        <v>22</v>
      </c>
    </row>
    <row r="189" spans="2:16">
      <c r="B189" s="62" t="s">
        <v>3310</v>
      </c>
      <c r="C189" s="62" t="s">
        <v>520</v>
      </c>
      <c r="K189" s="16">
        <v>23</v>
      </c>
    </row>
    <row r="190" spans="2:16">
      <c r="B190" s="62" t="s">
        <v>4011</v>
      </c>
      <c r="C190" s="62" t="s">
        <v>494</v>
      </c>
      <c r="G190" s="62" t="s">
        <v>4033</v>
      </c>
      <c r="K190" s="16">
        <v>24</v>
      </c>
      <c r="L190">
        <v>3</v>
      </c>
      <c r="M190">
        <v>2</v>
      </c>
      <c r="N190" s="62" t="s">
        <v>4105</v>
      </c>
      <c r="O190" s="62" t="s">
        <v>4106</v>
      </c>
      <c r="P190" s="62" t="s">
        <v>4107</v>
      </c>
    </row>
    <row r="191" spans="2:16">
      <c r="B191" s="62" t="s">
        <v>4246</v>
      </c>
      <c r="C191" s="62" t="s">
        <v>494</v>
      </c>
      <c r="G191" s="62" t="s">
        <v>4247</v>
      </c>
      <c r="K191" s="16">
        <v>25</v>
      </c>
      <c r="M191">
        <v>1</v>
      </c>
      <c r="N191" s="62"/>
      <c r="O191" s="62"/>
      <c r="P191" s="62"/>
    </row>
    <row r="192" spans="2:16">
      <c r="B192" s="62"/>
      <c r="C192" s="62"/>
      <c r="G192" s="62"/>
      <c r="K192" s="16"/>
      <c r="N192" s="62"/>
      <c r="O192" s="62"/>
      <c r="P192" s="62"/>
    </row>
    <row r="193" spans="1:18">
      <c r="A193" t="s">
        <v>5517</v>
      </c>
      <c r="B193" s="62" t="s">
        <v>5522</v>
      </c>
      <c r="C193" s="62" t="s">
        <v>494</v>
      </c>
      <c r="F193">
        <v>24</v>
      </c>
      <c r="G193" s="62">
        <v>2452</v>
      </c>
      <c r="H193" t="s">
        <v>5520</v>
      </c>
      <c r="I193" t="s">
        <v>5521</v>
      </c>
      <c r="J193">
        <v>11</v>
      </c>
      <c r="K193" s="16">
        <v>1</v>
      </c>
      <c r="L193">
        <v>3</v>
      </c>
      <c r="N193" s="62"/>
      <c r="O193" s="62"/>
      <c r="P193" s="62"/>
    </row>
    <row r="194" spans="1:18">
      <c r="B194" s="62" t="s">
        <v>5523</v>
      </c>
      <c r="C194" s="62" t="s">
        <v>494</v>
      </c>
      <c r="G194" s="62"/>
      <c r="K194" s="16">
        <v>2</v>
      </c>
      <c r="L194">
        <v>3</v>
      </c>
      <c r="N194" s="62" t="s">
        <v>3664</v>
      </c>
      <c r="O194" s="62" t="s">
        <v>3666</v>
      </c>
      <c r="P194" s="62" t="s">
        <v>3667</v>
      </c>
      <c r="Q194" s="62"/>
    </row>
    <row r="195" spans="1:18">
      <c r="B195" s="62" t="s">
        <v>5518</v>
      </c>
      <c r="C195" s="62" t="s">
        <v>494</v>
      </c>
      <c r="G195" s="62"/>
      <c r="K195" s="16">
        <v>3</v>
      </c>
      <c r="L195">
        <v>3</v>
      </c>
      <c r="M195">
        <v>31</v>
      </c>
      <c r="N195" s="62" t="s">
        <v>3655</v>
      </c>
      <c r="O195" s="62" t="s">
        <v>3648</v>
      </c>
      <c r="P195" s="62" t="s">
        <v>3657</v>
      </c>
      <c r="Q195" s="47" t="s">
        <v>3658</v>
      </c>
      <c r="R195">
        <v>2</v>
      </c>
    </row>
    <row r="196" spans="1:18">
      <c r="B196" s="62" t="s">
        <v>5524</v>
      </c>
      <c r="C196" s="62" t="s">
        <v>494</v>
      </c>
      <c r="G196" s="62"/>
      <c r="K196" s="16">
        <v>4</v>
      </c>
      <c r="L196">
        <v>3</v>
      </c>
      <c r="N196" s="62" t="s">
        <v>507</v>
      </c>
      <c r="O196" s="1" t="s">
        <v>508</v>
      </c>
      <c r="P196" s="1" t="s">
        <v>509</v>
      </c>
    </row>
    <row r="197" spans="1:18">
      <c r="B197" s="62" t="s">
        <v>5519</v>
      </c>
      <c r="C197" s="62" t="s">
        <v>494</v>
      </c>
      <c r="G197" s="62"/>
      <c r="K197" s="16">
        <v>5</v>
      </c>
      <c r="L197">
        <v>3</v>
      </c>
      <c r="M197">
        <v>31</v>
      </c>
      <c r="N197" s="10" t="s">
        <v>506</v>
      </c>
      <c r="O197" s="10" t="s">
        <v>514</v>
      </c>
      <c r="P197" s="1" t="s">
        <v>515</v>
      </c>
      <c r="Q197" t="s">
        <v>517</v>
      </c>
      <c r="R197">
        <v>4</v>
      </c>
    </row>
    <row r="198" spans="1:18">
      <c r="B198" s="62"/>
      <c r="C198" s="62"/>
      <c r="G198" s="62"/>
      <c r="K198" s="16"/>
      <c r="N198" s="62"/>
      <c r="O198" s="62"/>
      <c r="P198" s="62"/>
    </row>
    <row r="200" spans="1:18" s="1" customFormat="1">
      <c r="A200" s="70" t="s">
        <v>4226</v>
      </c>
      <c r="B200" s="70" t="s">
        <v>4088</v>
      </c>
      <c r="C200" s="62" t="s">
        <v>494</v>
      </c>
      <c r="E200" s="62" t="s">
        <v>476</v>
      </c>
      <c r="F200" s="14">
        <v>24</v>
      </c>
      <c r="G200" s="14">
        <v>2490</v>
      </c>
      <c r="H200" s="47" t="s">
        <v>4230</v>
      </c>
      <c r="I200" s="48" t="s">
        <v>4231</v>
      </c>
      <c r="J200" s="14">
        <v>2</v>
      </c>
      <c r="K200" s="82">
        <v>1</v>
      </c>
      <c r="L200" s="15">
        <v>6</v>
      </c>
      <c r="M200" s="14"/>
      <c r="O200" s="23"/>
      <c r="P200" s="23"/>
      <c r="Q200" s="14"/>
      <c r="R200" s="14"/>
    </row>
    <row r="201" spans="1:18" s="1" customFormat="1">
      <c r="A201" s="70"/>
      <c r="B201" s="70" t="s">
        <v>4089</v>
      </c>
      <c r="C201" s="62" t="s">
        <v>494</v>
      </c>
      <c r="E201" s="62"/>
      <c r="F201" s="14"/>
      <c r="G201" s="14"/>
      <c r="H201" s="14"/>
      <c r="I201" s="11"/>
      <c r="J201" s="14"/>
      <c r="K201" s="82">
        <v>2</v>
      </c>
      <c r="L201" s="15">
        <v>6</v>
      </c>
      <c r="M201" s="14"/>
      <c r="O201" s="23"/>
      <c r="P201" s="23"/>
      <c r="Q201" s="14"/>
      <c r="R201" s="14"/>
    </row>
    <row r="202" spans="1:18" s="1" customFormat="1">
      <c r="A202" s="39"/>
      <c r="B202" s="70" t="s">
        <v>4229</v>
      </c>
      <c r="C202" s="62" t="s">
        <v>493</v>
      </c>
      <c r="D202" s="1">
        <v>1</v>
      </c>
      <c r="F202" s="14"/>
      <c r="G202" s="14"/>
      <c r="H202" s="14"/>
      <c r="I202" s="11"/>
      <c r="J202" s="14"/>
      <c r="K202" s="82">
        <v>3</v>
      </c>
      <c r="L202" s="15">
        <v>3</v>
      </c>
      <c r="M202" s="14"/>
      <c r="O202" s="23"/>
      <c r="P202" s="23"/>
      <c r="Q202" s="14"/>
      <c r="R202" s="14"/>
    </row>
    <row r="203" spans="1:18" s="1" customFormat="1">
      <c r="A203" s="39"/>
      <c r="B203" s="70" t="s">
        <v>4227</v>
      </c>
      <c r="C203" s="62" t="s">
        <v>493</v>
      </c>
      <c r="D203" s="1">
        <v>50</v>
      </c>
      <c r="F203" s="14"/>
      <c r="G203" s="14"/>
      <c r="H203" s="14"/>
      <c r="I203" s="11"/>
      <c r="J203" s="14"/>
      <c r="K203" s="82">
        <v>4</v>
      </c>
      <c r="L203" s="15"/>
      <c r="M203" s="14"/>
      <c r="O203" s="23"/>
      <c r="P203" s="23"/>
      <c r="Q203" s="14"/>
      <c r="R203" s="14"/>
    </row>
    <row r="204" spans="1:18" s="1" customFormat="1">
      <c r="A204" s="39"/>
      <c r="B204" s="70" t="s">
        <v>4228</v>
      </c>
      <c r="C204" s="62" t="s">
        <v>494</v>
      </c>
      <c r="F204" s="14"/>
      <c r="G204" s="14"/>
      <c r="H204" s="14"/>
      <c r="I204" s="11"/>
      <c r="J204" s="14"/>
      <c r="K204" s="82">
        <v>5</v>
      </c>
      <c r="L204" s="15">
        <v>3</v>
      </c>
      <c r="M204" s="14"/>
      <c r="N204" s="62" t="s">
        <v>3664</v>
      </c>
      <c r="O204" s="62" t="s">
        <v>3666</v>
      </c>
      <c r="P204" s="62" t="s">
        <v>3667</v>
      </c>
      <c r="Q204" s="14"/>
      <c r="R204" s="14"/>
    </row>
    <row r="205" spans="1:18" s="1" customFormat="1">
      <c r="B205" s="62"/>
      <c r="C205" s="62"/>
      <c r="F205" s="14"/>
      <c r="G205" s="14"/>
      <c r="H205" s="14"/>
      <c r="I205" s="11"/>
      <c r="J205" s="14"/>
      <c r="K205" s="82"/>
      <c r="L205" s="15"/>
      <c r="M205" s="14"/>
      <c r="O205" s="23"/>
      <c r="P205" s="23"/>
      <c r="Q205" s="14"/>
      <c r="R205" s="14"/>
    </row>
    <row r="207" spans="1:18" s="1" customFormat="1" ht="13.5" customHeight="1">
      <c r="A207" s="70" t="s">
        <v>247</v>
      </c>
      <c r="B207" s="70" t="s">
        <v>248</v>
      </c>
      <c r="C207" s="10" t="s">
        <v>494</v>
      </c>
      <c r="D207" s="10"/>
      <c r="E207" s="10" t="s">
        <v>476</v>
      </c>
      <c r="F207" s="10">
        <v>24</v>
      </c>
      <c r="G207" s="10">
        <v>2491</v>
      </c>
      <c r="H207" s="64" t="s">
        <v>4025</v>
      </c>
      <c r="I207" s="64" t="s">
        <v>4113</v>
      </c>
      <c r="J207" s="10">
        <v>1</v>
      </c>
      <c r="K207" s="16">
        <v>1</v>
      </c>
      <c r="L207" s="80">
        <v>3</v>
      </c>
      <c r="M207" s="10"/>
      <c r="N207" s="64" t="s">
        <v>506</v>
      </c>
      <c r="O207" s="64" t="s">
        <v>514</v>
      </c>
      <c r="P207" s="1" t="s">
        <v>516</v>
      </c>
      <c r="Q207" s="10"/>
      <c r="R207" s="10"/>
    </row>
    <row r="208" spans="1:18" s="1" customFormat="1">
      <c r="A208" s="39"/>
      <c r="B208" s="70" t="s">
        <v>249</v>
      </c>
      <c r="C208" s="10" t="s">
        <v>494</v>
      </c>
      <c r="D208" s="10"/>
      <c r="E208" s="10" t="s">
        <v>476</v>
      </c>
      <c r="F208" s="10"/>
      <c r="G208" s="10"/>
      <c r="H208" s="10"/>
      <c r="I208" s="10"/>
      <c r="J208" s="10"/>
      <c r="K208" s="16">
        <v>2</v>
      </c>
      <c r="L208" s="31">
        <v>3</v>
      </c>
      <c r="M208" s="10"/>
      <c r="N208" s="62" t="s">
        <v>1038</v>
      </c>
      <c r="O208" s="23" t="s">
        <v>1040</v>
      </c>
      <c r="P208" s="23" t="s">
        <v>1041</v>
      </c>
      <c r="Q208" s="10"/>
      <c r="R208" s="10"/>
    </row>
    <row r="209" spans="1:18" s="1" customFormat="1">
      <c r="A209" s="39"/>
      <c r="B209" s="70" t="s">
        <v>257</v>
      </c>
      <c r="C209" s="10" t="s">
        <v>494</v>
      </c>
      <c r="D209" s="10"/>
      <c r="E209" s="10" t="s">
        <v>476</v>
      </c>
      <c r="F209" s="10"/>
      <c r="G209" s="10"/>
      <c r="H209" s="10"/>
      <c r="I209" s="10"/>
      <c r="J209" s="10"/>
      <c r="K209" s="16">
        <v>3</v>
      </c>
      <c r="L209" s="31">
        <v>3</v>
      </c>
      <c r="M209" s="10"/>
      <c r="N209" s="10"/>
      <c r="O209" s="10"/>
      <c r="P209" s="10"/>
      <c r="Q209" s="10"/>
      <c r="R209" s="10"/>
    </row>
    <row r="210" spans="1:18" s="1" customFormat="1">
      <c r="A210" s="10"/>
      <c r="B210" s="64"/>
      <c r="C210" s="10"/>
      <c r="D210" s="10"/>
      <c r="E210" s="10"/>
      <c r="F210" s="10"/>
      <c r="G210" s="10"/>
      <c r="H210" s="10"/>
      <c r="I210" s="10"/>
      <c r="J210" s="10"/>
      <c r="K210" s="16"/>
      <c r="L210" s="31"/>
      <c r="M210" s="10"/>
      <c r="N210" s="10"/>
      <c r="O210" s="10"/>
      <c r="P210" s="10"/>
      <c r="Q210" s="10"/>
      <c r="R210" s="10"/>
    </row>
    <row r="211" spans="1:18" s="1" customFormat="1">
      <c r="A211" s="70" t="s">
        <v>247</v>
      </c>
      <c r="B211" s="70" t="s">
        <v>1098</v>
      </c>
      <c r="C211" s="10" t="s">
        <v>494</v>
      </c>
      <c r="D211" s="10"/>
      <c r="E211" s="10" t="s">
        <v>476</v>
      </c>
      <c r="F211" s="10">
        <v>24</v>
      </c>
      <c r="G211" s="10">
        <v>1718</v>
      </c>
      <c r="H211" s="64" t="s">
        <v>4116</v>
      </c>
      <c r="I211" s="10"/>
      <c r="J211" s="10">
        <v>1</v>
      </c>
      <c r="K211" s="16">
        <v>4</v>
      </c>
      <c r="L211" s="68">
        <v>52</v>
      </c>
      <c r="M211" s="10"/>
      <c r="N211" s="62">
        <v>2491</v>
      </c>
      <c r="O211" s="64" t="s">
        <v>249</v>
      </c>
      <c r="P211" s="10">
        <v>3001</v>
      </c>
      <c r="Q211" s="10"/>
      <c r="R211" s="10"/>
    </row>
    <row r="212" spans="1:18" s="1" customFormat="1">
      <c r="A212" s="39"/>
      <c r="B212" s="70" t="s">
        <v>1097</v>
      </c>
      <c r="C212" s="10" t="s">
        <v>494</v>
      </c>
      <c r="D212" s="10"/>
      <c r="E212" s="10" t="s">
        <v>476</v>
      </c>
      <c r="F212" s="10"/>
      <c r="G212" s="10"/>
      <c r="H212" s="10"/>
      <c r="I212" s="10"/>
      <c r="J212" s="10"/>
      <c r="K212" s="16">
        <v>5</v>
      </c>
      <c r="L212" s="31"/>
      <c r="M212" s="10"/>
      <c r="N212" s="10"/>
      <c r="O212" s="10"/>
      <c r="P212" s="10"/>
      <c r="Q212" s="10"/>
      <c r="R212" s="10"/>
    </row>
    <row r="213" spans="1:18" s="1" customFormat="1">
      <c r="A213" s="39"/>
      <c r="B213" s="70" t="s">
        <v>250</v>
      </c>
      <c r="C213" s="10" t="s">
        <v>494</v>
      </c>
      <c r="D213" s="10"/>
      <c r="E213" s="10" t="s">
        <v>476</v>
      </c>
      <c r="F213" s="10"/>
      <c r="G213" s="10"/>
      <c r="H213" s="10"/>
      <c r="I213" s="10"/>
      <c r="J213" s="10"/>
      <c r="K213" s="16">
        <v>6</v>
      </c>
      <c r="L213" s="31">
        <v>3</v>
      </c>
      <c r="M213" s="10"/>
      <c r="N213" s="1" t="s">
        <v>955</v>
      </c>
      <c r="O213" s="10"/>
      <c r="P213" s="10"/>
      <c r="Q213" s="10"/>
      <c r="R213" s="10"/>
    </row>
    <row r="214" spans="1:18" s="1" customFormat="1">
      <c r="A214" s="39"/>
      <c r="B214" s="70" t="s">
        <v>259</v>
      </c>
      <c r="C214" s="10" t="s">
        <v>494</v>
      </c>
      <c r="D214" s="10"/>
      <c r="E214" s="10"/>
      <c r="F214" s="10"/>
      <c r="G214" s="10"/>
      <c r="H214" s="10"/>
      <c r="I214" s="10"/>
      <c r="J214" s="10"/>
      <c r="K214" s="16">
        <v>7</v>
      </c>
      <c r="L214" s="31"/>
      <c r="M214" s="10"/>
      <c r="N214" s="10"/>
      <c r="O214" s="10"/>
      <c r="P214" s="10"/>
      <c r="Q214" s="10"/>
      <c r="R214" s="10"/>
    </row>
    <row r="215" spans="1:18" s="1" customFormat="1">
      <c r="A215" s="39"/>
      <c r="B215" s="39" t="s">
        <v>252</v>
      </c>
      <c r="C215" s="10" t="s">
        <v>493</v>
      </c>
      <c r="D215" s="10">
        <v>10</v>
      </c>
      <c r="E215" s="10"/>
      <c r="F215" s="10"/>
      <c r="G215" s="10"/>
      <c r="H215" s="10"/>
      <c r="I215" s="10"/>
      <c r="J215" s="10"/>
      <c r="K215" s="16">
        <v>8</v>
      </c>
      <c r="L215" s="31"/>
      <c r="M215" s="10"/>
      <c r="N215" s="10"/>
      <c r="O215" s="10"/>
      <c r="P215" s="10"/>
      <c r="Q215" s="10"/>
      <c r="R215" s="10"/>
    </row>
    <row r="216" spans="1:18" s="1" customFormat="1">
      <c r="A216" s="39"/>
      <c r="B216" s="39" t="s">
        <v>260</v>
      </c>
      <c r="C216" s="10" t="s">
        <v>494</v>
      </c>
      <c r="D216" s="10"/>
      <c r="E216" s="10"/>
      <c r="F216" s="10"/>
      <c r="G216" s="10"/>
      <c r="H216" s="10"/>
      <c r="I216" s="10"/>
      <c r="J216" s="10"/>
      <c r="K216" s="16">
        <v>9</v>
      </c>
      <c r="L216" s="31"/>
      <c r="M216" s="10"/>
      <c r="N216" s="10"/>
      <c r="O216" s="10"/>
      <c r="P216" s="10"/>
      <c r="Q216" s="10"/>
      <c r="R216" s="10"/>
    </row>
    <row r="217" spans="1:18" s="1" customFormat="1">
      <c r="A217" s="39"/>
      <c r="B217" s="39" t="s">
        <v>253</v>
      </c>
      <c r="C217" s="10" t="s">
        <v>493</v>
      </c>
      <c r="D217" s="10">
        <v>10</v>
      </c>
      <c r="E217" s="10"/>
      <c r="F217" s="10"/>
      <c r="G217" s="10"/>
      <c r="H217" s="10"/>
      <c r="I217" s="10"/>
      <c r="J217" s="10"/>
      <c r="K217" s="16">
        <v>10</v>
      </c>
      <c r="L217" s="31"/>
      <c r="M217" s="10"/>
      <c r="N217" s="10"/>
      <c r="O217" s="10"/>
      <c r="P217" s="10"/>
      <c r="Q217" s="10"/>
      <c r="R217" s="10"/>
    </row>
    <row r="218" spans="1:18" s="1" customFormat="1">
      <c r="A218" s="39"/>
      <c r="B218" s="39" t="s">
        <v>261</v>
      </c>
      <c r="C218" s="10" t="s">
        <v>494</v>
      </c>
      <c r="D218" s="10"/>
      <c r="E218" s="10"/>
      <c r="F218" s="10"/>
      <c r="G218" s="10"/>
      <c r="H218" s="10"/>
      <c r="I218" s="10"/>
      <c r="J218" s="10"/>
      <c r="K218" s="16">
        <v>11</v>
      </c>
      <c r="L218" s="31"/>
      <c r="M218" s="10"/>
      <c r="N218" s="10"/>
      <c r="O218" s="10"/>
      <c r="P218" s="10"/>
      <c r="Q218" s="10"/>
      <c r="R218" s="10"/>
    </row>
    <row r="219" spans="1:18" s="1" customFormat="1">
      <c r="A219" s="39"/>
      <c r="B219" s="70" t="s">
        <v>254</v>
      </c>
      <c r="C219" s="10" t="s">
        <v>493</v>
      </c>
      <c r="D219" s="10">
        <v>10</v>
      </c>
      <c r="E219" s="10"/>
      <c r="F219" s="10"/>
      <c r="G219" s="10"/>
      <c r="H219" s="10"/>
      <c r="I219" s="10"/>
      <c r="J219" s="10"/>
      <c r="K219" s="16">
        <v>12</v>
      </c>
      <c r="L219" s="31"/>
      <c r="M219" s="10"/>
      <c r="N219" s="10"/>
      <c r="O219" s="10"/>
      <c r="P219" s="10"/>
      <c r="Q219" s="10"/>
      <c r="R219" s="10"/>
    </row>
    <row r="220" spans="1:18" s="1" customFormat="1">
      <c r="A220" s="39"/>
      <c r="B220" s="39" t="s">
        <v>1117</v>
      </c>
      <c r="C220" s="10" t="s">
        <v>494</v>
      </c>
      <c r="D220" s="10"/>
      <c r="E220" s="10"/>
      <c r="F220" s="10"/>
      <c r="G220" s="10"/>
      <c r="H220" s="10"/>
      <c r="I220" s="10"/>
      <c r="J220" s="10"/>
      <c r="K220" s="16">
        <v>13</v>
      </c>
      <c r="L220" s="31"/>
      <c r="M220" s="10"/>
      <c r="N220" s="10"/>
      <c r="O220" s="10"/>
      <c r="P220" s="10"/>
      <c r="Q220" s="10"/>
      <c r="R220" s="10"/>
    </row>
    <row r="221" spans="1:18" s="1" customFormat="1">
      <c r="A221" s="39"/>
      <c r="B221" s="70" t="s">
        <v>1116</v>
      </c>
      <c r="C221" s="10" t="s">
        <v>494</v>
      </c>
      <c r="D221" s="10"/>
      <c r="E221" s="10"/>
      <c r="F221" s="10"/>
      <c r="G221" s="10"/>
      <c r="H221" s="10"/>
      <c r="I221" s="10"/>
      <c r="J221" s="10"/>
      <c r="K221" s="16">
        <v>14</v>
      </c>
      <c r="L221" s="31"/>
      <c r="M221" s="10"/>
      <c r="N221" s="10"/>
      <c r="O221" s="10"/>
      <c r="P221" s="10"/>
      <c r="Q221" s="10"/>
      <c r="R221" s="10"/>
    </row>
    <row r="222" spans="1:18" s="1" customFormat="1">
      <c r="A222" s="39"/>
      <c r="B222" s="70" t="s">
        <v>1121</v>
      </c>
      <c r="C222" s="10" t="s">
        <v>520</v>
      </c>
      <c r="D222" s="10"/>
      <c r="E222" s="10"/>
      <c r="F222" s="10"/>
      <c r="G222" s="10"/>
      <c r="H222" s="10"/>
      <c r="I222" s="10"/>
      <c r="J222" s="10"/>
      <c r="K222" s="16">
        <v>15</v>
      </c>
      <c r="L222" s="31"/>
      <c r="M222" s="10"/>
      <c r="N222" s="10"/>
      <c r="O222" s="10"/>
      <c r="P222" s="10"/>
      <c r="Q222" s="10"/>
      <c r="R222" s="10"/>
    </row>
    <row r="223" spans="1:18" s="1" customFormat="1">
      <c r="A223" s="39"/>
      <c r="B223" s="67" t="s">
        <v>4114</v>
      </c>
      <c r="C223" s="62" t="s">
        <v>494</v>
      </c>
      <c r="F223" s="14"/>
      <c r="G223" s="14"/>
      <c r="H223" s="14"/>
      <c r="I223" s="11"/>
      <c r="J223" s="14"/>
      <c r="K223" s="16">
        <v>16</v>
      </c>
      <c r="L223" s="15">
        <v>3</v>
      </c>
      <c r="M223" s="14"/>
      <c r="N223" s="62" t="s">
        <v>4082</v>
      </c>
      <c r="O223" s="66" t="s">
        <v>3962</v>
      </c>
      <c r="P223" s="66" t="s">
        <v>4084</v>
      </c>
      <c r="Q223" s="14"/>
      <c r="R223" s="14"/>
    </row>
    <row r="224" spans="1:18" s="1" customFormat="1">
      <c r="A224" s="39"/>
      <c r="B224" s="70" t="s">
        <v>4112</v>
      </c>
      <c r="C224" s="64" t="s">
        <v>493</v>
      </c>
      <c r="D224" s="10">
        <v>200</v>
      </c>
      <c r="E224" s="10"/>
      <c r="F224" s="10"/>
      <c r="G224" s="10"/>
      <c r="H224" s="10"/>
      <c r="I224" s="10"/>
      <c r="J224" s="10"/>
      <c r="K224" s="16">
        <v>17</v>
      </c>
      <c r="L224" s="31"/>
      <c r="M224" s="10"/>
      <c r="N224" s="10"/>
      <c r="O224" s="10"/>
      <c r="P224" s="10"/>
      <c r="Q224" s="10"/>
      <c r="R224" s="10"/>
    </row>
    <row r="225" spans="1:18" s="1" customFormat="1">
      <c r="A225" s="10"/>
      <c r="B225" s="64"/>
      <c r="C225" s="64"/>
      <c r="D225" s="10"/>
      <c r="E225" s="10"/>
      <c r="F225" s="10"/>
      <c r="G225" s="10"/>
      <c r="H225" s="10"/>
      <c r="I225" s="10"/>
      <c r="J225" s="10"/>
      <c r="K225" s="16"/>
      <c r="L225" s="31"/>
      <c r="M225" s="10"/>
      <c r="N225" s="10"/>
      <c r="O225" s="10"/>
      <c r="P225" s="10"/>
      <c r="Q225" s="10"/>
      <c r="R225" s="10"/>
    </row>
    <row r="227" spans="1:18">
      <c r="A227" s="62" t="s">
        <v>4028</v>
      </c>
      <c r="B227" s="62" t="s">
        <v>4029</v>
      </c>
      <c r="C227" s="62" t="s">
        <v>494</v>
      </c>
      <c r="E227" s="62" t="s">
        <v>476</v>
      </c>
      <c r="F227">
        <v>24</v>
      </c>
      <c r="G227">
        <v>2492</v>
      </c>
      <c r="H227" s="62" t="s">
        <v>4040</v>
      </c>
      <c r="I227" s="62" t="s">
        <v>4041</v>
      </c>
      <c r="J227">
        <v>11</v>
      </c>
      <c r="K227">
        <v>1</v>
      </c>
    </row>
    <row r="228" spans="1:18">
      <c r="A228" s="62"/>
      <c r="B228" s="62" t="s">
        <v>4034</v>
      </c>
      <c r="C228" s="62" t="s">
        <v>494</v>
      </c>
      <c r="E228" s="62" t="s">
        <v>476</v>
      </c>
      <c r="I228" s="62"/>
      <c r="K228">
        <v>2</v>
      </c>
    </row>
    <row r="229" spans="1:18">
      <c r="B229" s="62" t="s">
        <v>4031</v>
      </c>
      <c r="C229" s="62" t="s">
        <v>494</v>
      </c>
      <c r="K229">
        <v>3</v>
      </c>
    </row>
    <row r="230" spans="1:18">
      <c r="B230" s="62" t="s">
        <v>4030</v>
      </c>
      <c r="C230" s="62" t="s">
        <v>494</v>
      </c>
      <c r="K230">
        <v>4</v>
      </c>
    </row>
    <row r="231" spans="1:18">
      <c r="B231" s="62" t="s">
        <v>4032</v>
      </c>
      <c r="C231" s="62" t="s">
        <v>494</v>
      </c>
      <c r="K231">
        <v>5</v>
      </c>
    </row>
    <row r="232" spans="1:18">
      <c r="B232" s="62" t="s">
        <v>4042</v>
      </c>
      <c r="C232" s="62" t="s">
        <v>494</v>
      </c>
      <c r="K232">
        <v>6</v>
      </c>
    </row>
    <row r="233" spans="1:18">
      <c r="B233" s="62" t="s">
        <v>4035</v>
      </c>
      <c r="C233" s="62" t="s">
        <v>494</v>
      </c>
      <c r="K233">
        <v>7</v>
      </c>
    </row>
    <row r="234" spans="1:18">
      <c r="B234" s="62" t="s">
        <v>4036</v>
      </c>
      <c r="C234" s="62" t="s">
        <v>494</v>
      </c>
      <c r="K234">
        <v>8</v>
      </c>
    </row>
    <row r="235" spans="1:18">
      <c r="B235" s="62" t="s">
        <v>4037</v>
      </c>
      <c r="C235" s="62" t="s">
        <v>494</v>
      </c>
      <c r="K235">
        <v>9</v>
      </c>
    </row>
    <row r="236" spans="1:18">
      <c r="B236" s="62" t="s">
        <v>4038</v>
      </c>
      <c r="C236" s="62" t="s">
        <v>494</v>
      </c>
      <c r="K236">
        <v>10</v>
      </c>
    </row>
    <row r="237" spans="1:18">
      <c r="B237" s="62" t="s">
        <v>4039</v>
      </c>
      <c r="C237" s="62" t="s">
        <v>494</v>
      </c>
      <c r="K237">
        <v>11</v>
      </c>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sheetPr>
    <tabColor rgb="FFFFC000"/>
  </sheetPr>
  <dimension ref="A1:R179"/>
  <sheetViews>
    <sheetView workbookViewId="0">
      <pane ySplit="1" topLeftCell="A2" activePane="bottomLeft" state="frozenSplit"/>
      <selection pane="bottomLeft" sqref="A1:A1048576"/>
    </sheetView>
  </sheetViews>
  <sheetFormatPr baseColWidth="10" defaultRowHeight="12.75"/>
  <cols>
    <col min="1" max="1" width="20.140625" bestFit="1" customWidth="1"/>
    <col min="2" max="2" width="22.28515625" bestFit="1" customWidth="1"/>
    <col min="3" max="3" width="8.28515625" customWidth="1"/>
    <col min="4" max="4" width="4.42578125" customWidth="1"/>
    <col min="5" max="5" width="2.7109375" customWidth="1"/>
    <col min="6" max="6" width="4.5703125" bestFit="1" customWidth="1"/>
    <col min="7" max="7" width="7.7109375" bestFit="1" customWidth="1"/>
    <col min="8" max="8" width="18.85546875" bestFit="1" customWidth="1"/>
    <col min="9" max="9" width="17.7109375" bestFit="1" customWidth="1"/>
    <col min="10" max="10" width="5.5703125" customWidth="1"/>
    <col min="11" max="11" width="3.28515625" customWidth="1"/>
    <col min="12" max="12" width="3.85546875" customWidth="1"/>
    <col min="13" max="13" width="5.140625" customWidth="1"/>
    <col min="14" max="14" width="16.7109375" customWidth="1"/>
    <col min="15" max="15" width="8.85546875" customWidth="1"/>
    <col min="16" max="16" width="13.140625" customWidth="1"/>
  </cols>
  <sheetData>
    <row r="1" spans="1:18" s="3" customFormat="1">
      <c r="A1" s="3" t="s">
        <v>3242</v>
      </c>
      <c r="B1" s="3" t="s">
        <v>3243</v>
      </c>
      <c r="C1" s="3" t="s">
        <v>3244</v>
      </c>
      <c r="D1" s="3" t="s">
        <v>3245</v>
      </c>
      <c r="E1" s="3" t="s">
        <v>3246</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4699</v>
      </c>
      <c r="B2" s="62" t="s">
        <v>4700</v>
      </c>
      <c r="C2" s="62" t="s">
        <v>494</v>
      </c>
      <c r="E2" s="62" t="s">
        <v>476</v>
      </c>
    </row>
    <row r="3" spans="1:18">
      <c r="B3" s="62" t="s">
        <v>4701</v>
      </c>
      <c r="C3" s="62" t="s">
        <v>493</v>
      </c>
      <c r="D3">
        <v>50</v>
      </c>
      <c r="H3" s="62" t="s">
        <v>4719</v>
      </c>
    </row>
    <row r="5" spans="1:18">
      <c r="A5" s="62" t="s">
        <v>4702</v>
      </c>
      <c r="B5" s="62" t="s">
        <v>4703</v>
      </c>
      <c r="C5" s="62" t="s">
        <v>494</v>
      </c>
      <c r="E5" s="62" t="s">
        <v>476</v>
      </c>
      <c r="F5">
        <v>26</v>
      </c>
      <c r="G5">
        <v>2602</v>
      </c>
      <c r="H5" s="62" t="s">
        <v>4713</v>
      </c>
      <c r="I5" s="62" t="s">
        <v>4714</v>
      </c>
      <c r="J5">
        <v>2</v>
      </c>
      <c r="K5">
        <v>1</v>
      </c>
      <c r="L5">
        <v>6</v>
      </c>
    </row>
    <row r="6" spans="1:18">
      <c r="B6" s="62" t="s">
        <v>4704</v>
      </c>
      <c r="C6" s="62" t="s">
        <v>494</v>
      </c>
      <c r="K6">
        <v>2</v>
      </c>
      <c r="L6">
        <v>6</v>
      </c>
    </row>
    <row r="7" spans="1:18">
      <c r="B7" s="62" t="s">
        <v>4705</v>
      </c>
      <c r="C7" s="62" t="s">
        <v>493</v>
      </c>
      <c r="D7">
        <v>100</v>
      </c>
      <c r="K7">
        <v>3</v>
      </c>
    </row>
    <row r="8" spans="1:18">
      <c r="B8" s="62" t="s">
        <v>4706</v>
      </c>
      <c r="C8" s="62" t="s">
        <v>494</v>
      </c>
      <c r="K8">
        <v>4</v>
      </c>
      <c r="L8">
        <v>3</v>
      </c>
      <c r="N8" s="62" t="s">
        <v>4699</v>
      </c>
      <c r="O8" s="62" t="s">
        <v>4700</v>
      </c>
      <c r="P8" s="62" t="s">
        <v>4701</v>
      </c>
    </row>
    <row r="9" spans="1:18">
      <c r="B9" s="62" t="s">
        <v>4707</v>
      </c>
      <c r="C9" s="62" t="s">
        <v>493</v>
      </c>
      <c r="D9">
        <v>1</v>
      </c>
      <c r="K9">
        <v>5</v>
      </c>
      <c r="L9">
        <v>3</v>
      </c>
    </row>
    <row r="10" spans="1:18">
      <c r="B10" s="62" t="s">
        <v>4796</v>
      </c>
      <c r="C10" s="62" t="s">
        <v>493</v>
      </c>
      <c r="D10">
        <v>1</v>
      </c>
      <c r="K10">
        <v>6</v>
      </c>
      <c r="L10">
        <v>3</v>
      </c>
    </row>
    <row r="11" spans="1:18">
      <c r="B11" s="62" t="s">
        <v>4708</v>
      </c>
      <c r="C11" s="62" t="s">
        <v>494</v>
      </c>
      <c r="K11">
        <v>7</v>
      </c>
    </row>
    <row r="12" spans="1:18">
      <c r="B12" s="62" t="s">
        <v>4709</v>
      </c>
      <c r="C12" s="62" t="s">
        <v>494</v>
      </c>
      <c r="K12">
        <v>8</v>
      </c>
      <c r="L12">
        <v>3</v>
      </c>
      <c r="N12" s="62" t="s">
        <v>4710</v>
      </c>
      <c r="O12" s="62" t="s">
        <v>4711</v>
      </c>
      <c r="P12" s="62" t="s">
        <v>4712</v>
      </c>
    </row>
    <row r="14" spans="1:18">
      <c r="A14" s="62" t="s">
        <v>4710</v>
      </c>
      <c r="B14" s="62" t="s">
        <v>4711</v>
      </c>
      <c r="C14" s="62" t="s">
        <v>494</v>
      </c>
      <c r="E14" s="62" t="s">
        <v>476</v>
      </c>
    </row>
    <row r="15" spans="1:18">
      <c r="B15" s="62" t="s">
        <v>4712</v>
      </c>
      <c r="C15" s="62" t="s">
        <v>493</v>
      </c>
      <c r="D15">
        <v>50</v>
      </c>
      <c r="H15" s="62" t="s">
        <v>4967</v>
      </c>
    </row>
    <row r="17" spans="1:15">
      <c r="A17" s="62" t="s">
        <v>4720</v>
      </c>
      <c r="B17" s="62" t="s">
        <v>4721</v>
      </c>
      <c r="C17" s="62" t="s">
        <v>493</v>
      </c>
      <c r="D17">
        <v>50</v>
      </c>
      <c r="E17" s="62" t="s">
        <v>476</v>
      </c>
      <c r="F17">
        <v>26</v>
      </c>
      <c r="G17">
        <v>2604</v>
      </c>
      <c r="H17" s="62" t="s">
        <v>4939</v>
      </c>
      <c r="I17" s="62" t="s">
        <v>4940</v>
      </c>
      <c r="J17">
        <v>1</v>
      </c>
      <c r="K17">
        <v>1</v>
      </c>
    </row>
    <row r="18" spans="1:15">
      <c r="B18" s="62" t="s">
        <v>4722</v>
      </c>
      <c r="C18" s="62" t="s">
        <v>494</v>
      </c>
      <c r="K18">
        <v>2</v>
      </c>
      <c r="L18">
        <v>6</v>
      </c>
    </row>
    <row r="19" spans="1:15">
      <c r="B19" s="62" t="s">
        <v>4724</v>
      </c>
      <c r="C19" s="62" t="s">
        <v>493</v>
      </c>
      <c r="D19">
        <v>1</v>
      </c>
      <c r="K19">
        <v>3</v>
      </c>
      <c r="L19">
        <v>3</v>
      </c>
    </row>
    <row r="20" spans="1:15">
      <c r="B20" s="62" t="s">
        <v>4941</v>
      </c>
      <c r="C20" s="62" t="s">
        <v>494</v>
      </c>
      <c r="K20">
        <v>4</v>
      </c>
    </row>
    <row r="21" spans="1:15">
      <c r="B21" s="62" t="s">
        <v>4723</v>
      </c>
      <c r="C21" s="62" t="s">
        <v>493</v>
      </c>
      <c r="D21">
        <v>200</v>
      </c>
      <c r="K21">
        <v>5</v>
      </c>
    </row>
    <row r="23" spans="1:15">
      <c r="A23" s="62" t="s">
        <v>4725</v>
      </c>
      <c r="B23" s="62" t="s">
        <v>4726</v>
      </c>
      <c r="C23" s="62" t="s">
        <v>494</v>
      </c>
      <c r="E23" s="62" t="s">
        <v>476</v>
      </c>
      <c r="F23">
        <v>26</v>
      </c>
      <c r="G23">
        <v>2605</v>
      </c>
      <c r="H23" s="62" t="s">
        <v>4942</v>
      </c>
      <c r="J23">
        <v>1</v>
      </c>
      <c r="K23">
        <v>1</v>
      </c>
      <c r="L23">
        <v>52</v>
      </c>
      <c r="N23">
        <v>2604</v>
      </c>
      <c r="O23" s="62" t="s">
        <v>4722</v>
      </c>
    </row>
    <row r="24" spans="1:15">
      <c r="B24" s="62" t="s">
        <v>4727</v>
      </c>
      <c r="C24" s="62" t="s">
        <v>493</v>
      </c>
      <c r="D24">
        <v>50</v>
      </c>
      <c r="E24" s="62" t="s">
        <v>476</v>
      </c>
      <c r="K24">
        <v>2</v>
      </c>
    </row>
    <row r="25" spans="1:15">
      <c r="B25" s="62" t="s">
        <v>4728</v>
      </c>
      <c r="C25" s="62" t="s">
        <v>494</v>
      </c>
      <c r="K25">
        <v>3</v>
      </c>
      <c r="L25">
        <v>6</v>
      </c>
    </row>
    <row r="26" spans="1:15">
      <c r="B26" s="62" t="s">
        <v>4729</v>
      </c>
      <c r="C26" s="62" t="s">
        <v>493</v>
      </c>
      <c r="D26">
        <v>1</v>
      </c>
      <c r="K26">
        <v>4</v>
      </c>
      <c r="L26">
        <v>3</v>
      </c>
    </row>
    <row r="27" spans="1:15">
      <c r="B27" s="62" t="s">
        <v>4943</v>
      </c>
      <c r="C27" s="62" t="s">
        <v>494</v>
      </c>
      <c r="K27">
        <v>5</v>
      </c>
    </row>
    <row r="28" spans="1:15">
      <c r="B28" s="62" t="s">
        <v>4730</v>
      </c>
      <c r="C28" s="62" t="s">
        <v>493</v>
      </c>
      <c r="D28">
        <v>200</v>
      </c>
      <c r="K28">
        <v>6</v>
      </c>
    </row>
    <row r="30" spans="1:15">
      <c r="A30" s="62" t="s">
        <v>4731</v>
      </c>
      <c r="B30" s="62" t="s">
        <v>4733</v>
      </c>
      <c r="C30" s="62" t="s">
        <v>494</v>
      </c>
      <c r="E30" s="62" t="s">
        <v>476</v>
      </c>
      <c r="F30">
        <v>26</v>
      </c>
      <c r="G30">
        <v>2606</v>
      </c>
      <c r="H30" s="62" t="s">
        <v>4944</v>
      </c>
      <c r="I30" s="62" t="s">
        <v>4945</v>
      </c>
      <c r="J30">
        <v>2</v>
      </c>
      <c r="K30">
        <v>1</v>
      </c>
      <c r="L30">
        <v>6</v>
      </c>
    </row>
    <row r="31" spans="1:15">
      <c r="B31" s="62" t="s">
        <v>4732</v>
      </c>
      <c r="C31" s="62" t="s">
        <v>494</v>
      </c>
      <c r="K31">
        <v>2</v>
      </c>
      <c r="L31">
        <v>6</v>
      </c>
    </row>
    <row r="32" spans="1:15">
      <c r="B32" s="62" t="s">
        <v>4734</v>
      </c>
      <c r="C32" s="62" t="s">
        <v>493</v>
      </c>
      <c r="D32">
        <v>1</v>
      </c>
      <c r="K32">
        <v>3</v>
      </c>
      <c r="L32">
        <v>3</v>
      </c>
    </row>
    <row r="33" spans="1:16">
      <c r="B33" s="62" t="s">
        <v>4735</v>
      </c>
      <c r="C33" s="62" t="s">
        <v>493</v>
      </c>
      <c r="D33">
        <v>100</v>
      </c>
      <c r="K33">
        <v>4</v>
      </c>
    </row>
    <row r="35" spans="1:16">
      <c r="A35" s="62" t="s">
        <v>4736</v>
      </c>
      <c r="B35" s="62" t="s">
        <v>4737</v>
      </c>
      <c r="C35" s="62" t="s">
        <v>494</v>
      </c>
      <c r="E35" s="62" t="s">
        <v>476</v>
      </c>
      <c r="F35">
        <v>26</v>
      </c>
      <c r="G35">
        <v>2607</v>
      </c>
      <c r="H35" s="62" t="s">
        <v>4946</v>
      </c>
      <c r="J35">
        <v>2</v>
      </c>
      <c r="K35">
        <v>1</v>
      </c>
      <c r="L35">
        <v>52</v>
      </c>
      <c r="N35">
        <v>2606</v>
      </c>
      <c r="O35" s="62" t="s">
        <v>4732</v>
      </c>
    </row>
    <row r="36" spans="1:16">
      <c r="B36" s="62" t="s">
        <v>4738</v>
      </c>
      <c r="C36" s="62" t="s">
        <v>494</v>
      </c>
      <c r="E36" s="62" t="s">
        <v>476</v>
      </c>
      <c r="K36">
        <v>2</v>
      </c>
      <c r="L36">
        <v>6</v>
      </c>
    </row>
    <row r="37" spans="1:16">
      <c r="B37" s="62" t="s">
        <v>4739</v>
      </c>
      <c r="C37" s="62" t="s">
        <v>494</v>
      </c>
      <c r="K37">
        <v>3</v>
      </c>
      <c r="L37">
        <v>6</v>
      </c>
    </row>
    <row r="38" spans="1:16">
      <c r="B38" s="62" t="s">
        <v>4740</v>
      </c>
      <c r="C38" s="62" t="s">
        <v>493</v>
      </c>
      <c r="D38">
        <v>1</v>
      </c>
      <c r="K38">
        <v>4</v>
      </c>
      <c r="L38">
        <v>3</v>
      </c>
    </row>
    <row r="39" spans="1:16">
      <c r="B39" s="62" t="s">
        <v>4741</v>
      </c>
      <c r="C39" s="62" t="s">
        <v>493</v>
      </c>
      <c r="D39">
        <v>200</v>
      </c>
      <c r="K39">
        <v>5</v>
      </c>
    </row>
    <row r="40" spans="1:16">
      <c r="B40" s="62" t="s">
        <v>4742</v>
      </c>
      <c r="C40" s="62" t="s">
        <v>494</v>
      </c>
      <c r="K40">
        <v>6</v>
      </c>
      <c r="L40">
        <v>8</v>
      </c>
    </row>
    <row r="42" spans="1:16">
      <c r="A42" s="70" t="s">
        <v>4736</v>
      </c>
      <c r="B42" s="70" t="s">
        <v>4737</v>
      </c>
      <c r="C42" s="70" t="s">
        <v>494</v>
      </c>
      <c r="E42" s="62" t="s">
        <v>476</v>
      </c>
      <c r="F42">
        <v>26</v>
      </c>
      <c r="G42">
        <v>2607</v>
      </c>
      <c r="H42" s="62" t="s">
        <v>4946</v>
      </c>
      <c r="I42" s="62" t="s">
        <v>5155</v>
      </c>
      <c r="J42">
        <v>2</v>
      </c>
      <c r="K42">
        <v>1</v>
      </c>
      <c r="L42">
        <v>3</v>
      </c>
      <c r="N42" s="62" t="s">
        <v>4731</v>
      </c>
      <c r="O42" s="62" t="s">
        <v>4732</v>
      </c>
      <c r="P42" s="62" t="s">
        <v>4735</v>
      </c>
    </row>
    <row r="43" spans="1:16">
      <c r="A43" s="94"/>
      <c r="B43" s="70" t="s">
        <v>4738</v>
      </c>
      <c r="C43" s="70" t="s">
        <v>494</v>
      </c>
      <c r="E43" s="62" t="s">
        <v>476</v>
      </c>
      <c r="K43">
        <v>2</v>
      </c>
      <c r="L43">
        <v>6</v>
      </c>
    </row>
    <row r="44" spans="1:16">
      <c r="A44" s="94"/>
      <c r="B44" s="70" t="s">
        <v>4739</v>
      </c>
      <c r="C44" s="70" t="s">
        <v>494</v>
      </c>
      <c r="K44">
        <v>3</v>
      </c>
      <c r="L44">
        <v>6</v>
      </c>
    </row>
    <row r="45" spans="1:16">
      <c r="A45" s="94"/>
      <c r="B45" s="70" t="s">
        <v>4740</v>
      </c>
      <c r="C45" s="70" t="s">
        <v>493</v>
      </c>
      <c r="D45">
        <v>1</v>
      </c>
      <c r="K45">
        <v>4</v>
      </c>
      <c r="L45">
        <v>3</v>
      </c>
    </row>
    <row r="46" spans="1:16">
      <c r="A46" s="94"/>
      <c r="B46" s="70" t="s">
        <v>4741</v>
      </c>
      <c r="C46" s="70" t="s">
        <v>493</v>
      </c>
      <c r="D46">
        <v>200</v>
      </c>
      <c r="K46">
        <v>5</v>
      </c>
    </row>
    <row r="47" spans="1:16">
      <c r="A47" s="94"/>
      <c r="B47" s="70" t="s">
        <v>4742</v>
      </c>
      <c r="C47" s="70" t="s">
        <v>494</v>
      </c>
      <c r="K47">
        <v>6</v>
      </c>
      <c r="L47">
        <v>8</v>
      </c>
    </row>
    <row r="48" spans="1:16">
      <c r="A48" s="94"/>
      <c r="B48" s="94"/>
      <c r="C48" s="94"/>
    </row>
    <row r="49" spans="1:15">
      <c r="A49" s="70" t="s">
        <v>4743</v>
      </c>
      <c r="B49" s="70" t="s">
        <v>4744</v>
      </c>
      <c r="C49" s="70" t="s">
        <v>494</v>
      </c>
      <c r="E49" s="62" t="s">
        <v>476</v>
      </c>
      <c r="F49">
        <v>26</v>
      </c>
      <c r="G49">
        <v>2608</v>
      </c>
      <c r="H49" s="62" t="s">
        <v>4947</v>
      </c>
      <c r="J49">
        <v>2</v>
      </c>
      <c r="K49">
        <v>1</v>
      </c>
      <c r="L49">
        <v>52</v>
      </c>
      <c r="N49">
        <v>2607</v>
      </c>
      <c r="O49" s="62" t="s">
        <v>4739</v>
      </c>
    </row>
    <row r="50" spans="1:15">
      <c r="A50" s="94"/>
      <c r="B50" s="70" t="s">
        <v>4745</v>
      </c>
      <c r="C50" s="70" t="s">
        <v>494</v>
      </c>
      <c r="E50" s="62" t="s">
        <v>476</v>
      </c>
      <c r="K50">
        <v>2</v>
      </c>
      <c r="L50">
        <v>6</v>
      </c>
    </row>
    <row r="51" spans="1:15">
      <c r="A51" s="94"/>
      <c r="B51" s="70" t="s">
        <v>4746</v>
      </c>
      <c r="C51" s="70" t="s">
        <v>494</v>
      </c>
      <c r="K51">
        <v>3</v>
      </c>
      <c r="L51">
        <v>6</v>
      </c>
    </row>
    <row r="52" spans="1:15">
      <c r="A52" s="94"/>
      <c r="B52" s="70" t="s">
        <v>4747</v>
      </c>
      <c r="C52" s="70" t="s">
        <v>493</v>
      </c>
      <c r="D52">
        <v>1</v>
      </c>
      <c r="K52">
        <v>4</v>
      </c>
      <c r="L52">
        <v>3</v>
      </c>
    </row>
    <row r="53" spans="1:15">
      <c r="A53" s="94"/>
      <c r="B53" s="70" t="s">
        <v>4748</v>
      </c>
      <c r="C53" s="70" t="s">
        <v>493</v>
      </c>
      <c r="D53">
        <v>200</v>
      </c>
      <c r="K53">
        <v>5</v>
      </c>
    </row>
    <row r="54" spans="1:15">
      <c r="A54" s="94"/>
      <c r="B54" s="70" t="s">
        <v>4749</v>
      </c>
      <c r="C54" s="70" t="s">
        <v>494</v>
      </c>
      <c r="K54">
        <v>6</v>
      </c>
      <c r="L54">
        <v>8</v>
      </c>
    </row>
    <row r="55" spans="1:15">
      <c r="A55" s="94"/>
      <c r="B55" s="70" t="s">
        <v>4750</v>
      </c>
      <c r="C55" s="70" t="s">
        <v>494</v>
      </c>
      <c r="K55">
        <v>7</v>
      </c>
      <c r="M55">
        <v>2</v>
      </c>
    </row>
    <row r="57" spans="1:15">
      <c r="A57" s="62" t="s">
        <v>4743</v>
      </c>
      <c r="B57" s="62" t="s">
        <v>4744</v>
      </c>
      <c r="C57" s="62" t="s">
        <v>494</v>
      </c>
      <c r="E57" s="62" t="s">
        <v>476</v>
      </c>
      <c r="F57">
        <v>26</v>
      </c>
      <c r="G57">
        <v>2608</v>
      </c>
      <c r="H57" s="62" t="s">
        <v>4947</v>
      </c>
      <c r="I57" s="62" t="s">
        <v>5157</v>
      </c>
      <c r="J57">
        <v>2</v>
      </c>
      <c r="K57">
        <v>1</v>
      </c>
      <c r="L57">
        <v>3</v>
      </c>
      <c r="N57">
        <v>2607</v>
      </c>
      <c r="O57" s="62" t="s">
        <v>4739</v>
      </c>
    </row>
    <row r="58" spans="1:15">
      <c r="B58" s="62" t="s">
        <v>4745</v>
      </c>
      <c r="C58" s="62" t="s">
        <v>494</v>
      </c>
      <c r="E58" s="62" t="s">
        <v>476</v>
      </c>
      <c r="K58">
        <v>2</v>
      </c>
      <c r="L58">
        <v>6</v>
      </c>
    </row>
    <row r="59" spans="1:15">
      <c r="B59" s="62" t="s">
        <v>4746</v>
      </c>
      <c r="C59" s="62" t="s">
        <v>494</v>
      </c>
      <c r="K59">
        <v>3</v>
      </c>
      <c r="L59">
        <v>6</v>
      </c>
    </row>
    <row r="60" spans="1:15">
      <c r="B60" s="62" t="s">
        <v>4747</v>
      </c>
      <c r="C60" s="62" t="s">
        <v>493</v>
      </c>
      <c r="D60">
        <v>1</v>
      </c>
      <c r="K60">
        <v>4</v>
      </c>
      <c r="L60">
        <v>3</v>
      </c>
    </row>
    <row r="61" spans="1:15">
      <c r="B61" s="62" t="s">
        <v>4748</v>
      </c>
      <c r="C61" s="62" t="s">
        <v>493</v>
      </c>
      <c r="D61">
        <v>200</v>
      </c>
      <c r="K61">
        <v>5</v>
      </c>
    </row>
    <row r="62" spans="1:15">
      <c r="B62" s="62" t="s">
        <v>4749</v>
      </c>
      <c r="C62" s="62" t="s">
        <v>494</v>
      </c>
      <c r="K62">
        <v>6</v>
      </c>
      <c r="L62">
        <v>8</v>
      </c>
    </row>
    <row r="63" spans="1:15">
      <c r="B63" s="62" t="s">
        <v>4750</v>
      </c>
      <c r="C63" s="62" t="s">
        <v>494</v>
      </c>
      <c r="K63">
        <v>7</v>
      </c>
      <c r="M63">
        <v>2</v>
      </c>
    </row>
    <row r="65" spans="1:17">
      <c r="A65" s="62" t="s">
        <v>4751</v>
      </c>
      <c r="B65" s="62" t="s">
        <v>4752</v>
      </c>
      <c r="C65" s="62" t="s">
        <v>494</v>
      </c>
      <c r="E65" s="62" t="s">
        <v>476</v>
      </c>
      <c r="F65">
        <v>26</v>
      </c>
      <c r="G65">
        <v>2609</v>
      </c>
      <c r="H65" s="62" t="s">
        <v>4948</v>
      </c>
      <c r="J65">
        <v>2</v>
      </c>
      <c r="K65">
        <v>1</v>
      </c>
      <c r="L65">
        <v>52</v>
      </c>
      <c r="N65">
        <v>2608</v>
      </c>
      <c r="O65" s="62" t="s">
        <v>4746</v>
      </c>
    </row>
    <row r="66" spans="1:17">
      <c r="B66" s="62" t="s">
        <v>4753</v>
      </c>
      <c r="C66" s="62" t="s">
        <v>494</v>
      </c>
      <c r="E66" s="62" t="s">
        <v>476</v>
      </c>
      <c r="K66">
        <v>2</v>
      </c>
      <c r="L66">
        <v>6</v>
      </c>
    </row>
    <row r="67" spans="1:17">
      <c r="B67" s="62" t="s">
        <v>4754</v>
      </c>
      <c r="C67" s="62" t="s">
        <v>494</v>
      </c>
      <c r="K67">
        <v>3</v>
      </c>
      <c r="L67">
        <v>6</v>
      </c>
    </row>
    <row r="68" spans="1:17">
      <c r="B68" s="62" t="s">
        <v>4755</v>
      </c>
      <c r="C68" s="62" t="s">
        <v>493</v>
      </c>
      <c r="D68">
        <v>1</v>
      </c>
      <c r="K68">
        <v>4</v>
      </c>
      <c r="L68">
        <v>3</v>
      </c>
    </row>
    <row r="69" spans="1:17">
      <c r="B69" s="62" t="s">
        <v>4756</v>
      </c>
      <c r="C69" s="62" t="s">
        <v>493</v>
      </c>
      <c r="D69">
        <v>200</v>
      </c>
      <c r="K69">
        <v>5</v>
      </c>
    </row>
    <row r="70" spans="1:17">
      <c r="B70" s="62" t="s">
        <v>4757</v>
      </c>
      <c r="C70" s="62" t="s">
        <v>494</v>
      </c>
      <c r="K70">
        <v>6</v>
      </c>
      <c r="L70">
        <v>8</v>
      </c>
    </row>
    <row r="71" spans="1:17">
      <c r="B71" s="62" t="s">
        <v>4758</v>
      </c>
      <c r="C71" s="62" t="s">
        <v>494</v>
      </c>
      <c r="K71">
        <v>7</v>
      </c>
      <c r="M71">
        <v>2</v>
      </c>
    </row>
    <row r="72" spans="1:17">
      <c r="B72" s="62" t="s">
        <v>4759</v>
      </c>
      <c r="C72" s="62" t="s">
        <v>494</v>
      </c>
      <c r="K72">
        <v>8</v>
      </c>
      <c r="M72">
        <v>2</v>
      </c>
    </row>
    <row r="74" spans="1:17">
      <c r="A74" s="70" t="s">
        <v>4743</v>
      </c>
      <c r="B74" s="70" t="s">
        <v>4750</v>
      </c>
      <c r="C74" s="70" t="s">
        <v>494</v>
      </c>
      <c r="E74" s="62" t="s">
        <v>476</v>
      </c>
      <c r="F74">
        <v>26</v>
      </c>
      <c r="G74">
        <v>2608</v>
      </c>
      <c r="H74" s="62" t="s">
        <v>4947</v>
      </c>
      <c r="I74" s="62" t="s">
        <v>5157</v>
      </c>
      <c r="J74">
        <v>2</v>
      </c>
      <c r="K74">
        <v>1</v>
      </c>
      <c r="L74">
        <v>3</v>
      </c>
      <c r="N74" s="62" t="s">
        <v>4731</v>
      </c>
      <c r="O74" s="62" t="s">
        <v>4732</v>
      </c>
      <c r="P74" s="62" t="s">
        <v>4735</v>
      </c>
    </row>
    <row r="75" spans="1:17">
      <c r="A75" s="70"/>
      <c r="B75" s="70" t="s">
        <v>4744</v>
      </c>
      <c r="C75" s="70" t="s">
        <v>494</v>
      </c>
      <c r="E75" s="62" t="s">
        <v>476</v>
      </c>
      <c r="H75" s="62"/>
      <c r="I75" s="62"/>
      <c r="K75">
        <v>2</v>
      </c>
      <c r="L75">
        <v>3</v>
      </c>
      <c r="M75">
        <v>31</v>
      </c>
      <c r="N75" s="62" t="s">
        <v>4736</v>
      </c>
      <c r="O75" s="62" t="s">
        <v>4739</v>
      </c>
      <c r="P75" s="62" t="s">
        <v>4741</v>
      </c>
      <c r="Q75" s="62" t="s">
        <v>4737</v>
      </c>
    </row>
    <row r="76" spans="1:17">
      <c r="A76" s="94"/>
      <c r="B76" s="70" t="s">
        <v>4745</v>
      </c>
      <c r="C76" s="70" t="s">
        <v>494</v>
      </c>
      <c r="E76" s="62" t="s">
        <v>476</v>
      </c>
      <c r="K76">
        <v>3</v>
      </c>
      <c r="L76">
        <v>6</v>
      </c>
    </row>
    <row r="77" spans="1:17">
      <c r="A77" s="94"/>
      <c r="B77" s="70" t="s">
        <v>4746</v>
      </c>
      <c r="C77" s="70" t="s">
        <v>494</v>
      </c>
      <c r="K77">
        <v>4</v>
      </c>
      <c r="L77">
        <v>6</v>
      </c>
    </row>
    <row r="78" spans="1:17">
      <c r="A78" s="94"/>
      <c r="B78" s="70" t="s">
        <v>4747</v>
      </c>
      <c r="C78" s="70" t="s">
        <v>493</v>
      </c>
      <c r="D78">
        <v>1</v>
      </c>
      <c r="K78">
        <v>5</v>
      </c>
      <c r="L78">
        <v>3</v>
      </c>
    </row>
    <row r="79" spans="1:17">
      <c r="A79" s="94"/>
      <c r="B79" s="70" t="s">
        <v>4748</v>
      </c>
      <c r="C79" s="70" t="s">
        <v>493</v>
      </c>
      <c r="D79">
        <v>200</v>
      </c>
      <c r="K79">
        <v>6</v>
      </c>
    </row>
    <row r="80" spans="1:17">
      <c r="A80" s="94"/>
      <c r="B80" s="70" t="s">
        <v>4749</v>
      </c>
      <c r="C80" s="70" t="s">
        <v>494</v>
      </c>
      <c r="K80">
        <v>7</v>
      </c>
      <c r="L80">
        <v>8</v>
      </c>
    </row>
    <row r="81" spans="1:18">
      <c r="A81" s="94"/>
      <c r="B81" s="94"/>
      <c r="C81" s="94"/>
    </row>
    <row r="82" spans="1:18">
      <c r="A82" s="70" t="s">
        <v>4751</v>
      </c>
      <c r="B82" s="70" t="s">
        <v>4752</v>
      </c>
      <c r="C82" s="70" t="s">
        <v>494</v>
      </c>
      <c r="E82" s="62" t="s">
        <v>476</v>
      </c>
      <c r="F82">
        <v>26</v>
      </c>
      <c r="G82">
        <v>2609</v>
      </c>
      <c r="H82" s="62" t="s">
        <v>4948</v>
      </c>
      <c r="J82">
        <v>2</v>
      </c>
      <c r="K82">
        <v>1</v>
      </c>
      <c r="L82">
        <v>52</v>
      </c>
      <c r="N82">
        <v>2608</v>
      </c>
      <c r="O82" s="62" t="s">
        <v>4746</v>
      </c>
    </row>
    <row r="83" spans="1:18">
      <c r="A83" s="94"/>
      <c r="B83" s="70" t="s">
        <v>4753</v>
      </c>
      <c r="C83" s="70" t="s">
        <v>494</v>
      </c>
      <c r="E83" s="62" t="s">
        <v>476</v>
      </c>
      <c r="K83">
        <v>2</v>
      </c>
      <c r="L83">
        <v>6</v>
      </c>
    </row>
    <row r="84" spans="1:18">
      <c r="A84" s="94"/>
      <c r="B84" s="70" t="s">
        <v>4754</v>
      </c>
      <c r="C84" s="70" t="s">
        <v>494</v>
      </c>
      <c r="K84">
        <v>3</v>
      </c>
      <c r="L84">
        <v>6</v>
      </c>
    </row>
    <row r="85" spans="1:18">
      <c r="A85" s="94"/>
      <c r="B85" s="70" t="s">
        <v>4755</v>
      </c>
      <c r="C85" s="70" t="s">
        <v>493</v>
      </c>
      <c r="D85">
        <v>1</v>
      </c>
      <c r="K85">
        <v>4</v>
      </c>
      <c r="L85">
        <v>3</v>
      </c>
    </row>
    <row r="86" spans="1:18">
      <c r="A86" s="94"/>
      <c r="B86" s="70" t="s">
        <v>4756</v>
      </c>
      <c r="C86" s="70" t="s">
        <v>493</v>
      </c>
      <c r="D86">
        <v>200</v>
      </c>
      <c r="K86">
        <v>5</v>
      </c>
    </row>
    <row r="87" spans="1:18">
      <c r="A87" s="94"/>
      <c r="B87" s="70" t="s">
        <v>4757</v>
      </c>
      <c r="C87" s="70" t="s">
        <v>494</v>
      </c>
      <c r="K87">
        <v>6</v>
      </c>
      <c r="L87">
        <v>8</v>
      </c>
    </row>
    <row r="88" spans="1:18">
      <c r="A88" s="94"/>
      <c r="B88" s="70" t="s">
        <v>4758</v>
      </c>
      <c r="C88" s="70" t="s">
        <v>494</v>
      </c>
      <c r="K88">
        <v>7</v>
      </c>
      <c r="M88">
        <v>2</v>
      </c>
    </row>
    <row r="89" spans="1:18">
      <c r="A89" s="94"/>
      <c r="B89" s="70" t="s">
        <v>4759</v>
      </c>
      <c r="C89" s="70" t="s">
        <v>494</v>
      </c>
      <c r="K89">
        <v>8</v>
      </c>
      <c r="M89">
        <v>2</v>
      </c>
    </row>
    <row r="91" spans="1:18">
      <c r="A91" s="62" t="s">
        <v>4760</v>
      </c>
      <c r="B91" s="62" t="s">
        <v>4761</v>
      </c>
      <c r="C91" s="62" t="s">
        <v>494</v>
      </c>
      <c r="E91" s="62" t="s">
        <v>476</v>
      </c>
      <c r="F91">
        <v>26</v>
      </c>
      <c r="G91">
        <v>2610</v>
      </c>
      <c r="H91" s="62" t="s">
        <v>4949</v>
      </c>
      <c r="I91" s="62" t="s">
        <v>4950</v>
      </c>
      <c r="J91">
        <v>1</v>
      </c>
      <c r="K91">
        <v>1</v>
      </c>
      <c r="L91">
        <v>3</v>
      </c>
    </row>
    <row r="92" spans="1:18">
      <c r="B92" s="62" t="s">
        <v>4763</v>
      </c>
      <c r="C92" s="62" t="s">
        <v>494</v>
      </c>
      <c r="E92" s="62" t="s">
        <v>476</v>
      </c>
      <c r="K92">
        <v>2</v>
      </c>
      <c r="L92">
        <v>3</v>
      </c>
      <c r="N92" s="62" t="s">
        <v>4731</v>
      </c>
      <c r="O92" s="62" t="s">
        <v>4732</v>
      </c>
      <c r="P92" s="62" t="s">
        <v>4735</v>
      </c>
    </row>
    <row r="93" spans="1:18">
      <c r="B93" s="62" t="s">
        <v>4762</v>
      </c>
      <c r="C93" s="62" t="s">
        <v>494</v>
      </c>
      <c r="E93" s="62" t="s">
        <v>476</v>
      </c>
      <c r="K93">
        <v>3</v>
      </c>
      <c r="L93">
        <v>3</v>
      </c>
      <c r="M93">
        <v>31</v>
      </c>
      <c r="N93" s="62" t="s">
        <v>4736</v>
      </c>
      <c r="O93" s="62" t="s">
        <v>4739</v>
      </c>
      <c r="P93" s="62" t="s">
        <v>4741</v>
      </c>
      <c r="Q93" s="62" t="s">
        <v>4737</v>
      </c>
      <c r="R93">
        <v>2</v>
      </c>
    </row>
    <row r="94" spans="1:18">
      <c r="B94" s="62" t="s">
        <v>4764</v>
      </c>
      <c r="C94" s="62" t="s">
        <v>494</v>
      </c>
      <c r="E94" s="62" t="s">
        <v>476</v>
      </c>
      <c r="K94">
        <v>4</v>
      </c>
      <c r="L94">
        <v>3</v>
      </c>
      <c r="M94">
        <v>31</v>
      </c>
      <c r="N94" s="62" t="s">
        <v>4743</v>
      </c>
      <c r="O94" s="62" t="s">
        <v>4746</v>
      </c>
      <c r="P94" s="62" t="s">
        <v>4748</v>
      </c>
      <c r="Q94" s="62" t="s">
        <v>4744</v>
      </c>
      <c r="R94">
        <v>3</v>
      </c>
    </row>
    <row r="95" spans="1:18">
      <c r="B95" s="62" t="s">
        <v>4765</v>
      </c>
      <c r="C95" s="62" t="s">
        <v>494</v>
      </c>
      <c r="E95" s="62" t="s">
        <v>476</v>
      </c>
      <c r="K95">
        <v>5</v>
      </c>
      <c r="L95">
        <v>3</v>
      </c>
      <c r="M95">
        <v>31</v>
      </c>
      <c r="N95" s="62" t="s">
        <v>4751</v>
      </c>
      <c r="O95" s="62" t="s">
        <v>4754</v>
      </c>
      <c r="P95" s="62" t="s">
        <v>4756</v>
      </c>
      <c r="Q95" s="62" t="s">
        <v>4752</v>
      </c>
      <c r="R95">
        <v>4</v>
      </c>
    </row>
    <row r="96" spans="1:18">
      <c r="B96" s="62" t="s">
        <v>4766</v>
      </c>
      <c r="C96" s="62" t="s">
        <v>494</v>
      </c>
      <c r="E96" s="62" t="s">
        <v>476</v>
      </c>
      <c r="K96">
        <v>6</v>
      </c>
      <c r="L96">
        <v>3</v>
      </c>
      <c r="N96" s="62" t="s">
        <v>4702</v>
      </c>
      <c r="O96" s="62" t="s">
        <v>4704</v>
      </c>
      <c r="P96" s="62" t="s">
        <v>4705</v>
      </c>
    </row>
    <row r="97" spans="1:18">
      <c r="B97" s="62" t="s">
        <v>4767</v>
      </c>
      <c r="C97" s="62" t="s">
        <v>494</v>
      </c>
      <c r="K97">
        <v>7</v>
      </c>
      <c r="L97">
        <v>6</v>
      </c>
    </row>
    <row r="98" spans="1:18">
      <c r="B98" s="62" t="s">
        <v>4768</v>
      </c>
      <c r="C98" s="62" t="s">
        <v>493</v>
      </c>
      <c r="D98">
        <v>1</v>
      </c>
      <c r="K98">
        <v>8</v>
      </c>
      <c r="L98">
        <v>3</v>
      </c>
      <c r="N98" s="62"/>
    </row>
    <row r="99" spans="1:18">
      <c r="B99" s="62" t="s">
        <v>4769</v>
      </c>
      <c r="C99" s="62" t="s">
        <v>494</v>
      </c>
      <c r="K99">
        <v>9</v>
      </c>
      <c r="L99">
        <v>3</v>
      </c>
      <c r="N99" s="62" t="s">
        <v>4720</v>
      </c>
      <c r="O99" s="62" t="s">
        <v>4722</v>
      </c>
      <c r="P99" s="62" t="s">
        <v>4723</v>
      </c>
    </row>
    <row r="100" spans="1:18">
      <c r="B100" s="62" t="s">
        <v>4770</v>
      </c>
      <c r="C100" s="62" t="s">
        <v>494</v>
      </c>
      <c r="K100">
        <v>10</v>
      </c>
      <c r="L100">
        <v>3</v>
      </c>
      <c r="M100">
        <v>31</v>
      </c>
      <c r="N100" s="62" t="s">
        <v>4725</v>
      </c>
      <c r="O100" s="62" t="s">
        <v>4728</v>
      </c>
      <c r="P100" s="62" t="s">
        <v>4730</v>
      </c>
      <c r="Q100" s="62" t="s">
        <v>4726</v>
      </c>
      <c r="R100">
        <v>9</v>
      </c>
    </row>
    <row r="101" spans="1:18">
      <c r="B101" s="62" t="s">
        <v>4771</v>
      </c>
      <c r="C101" s="62" t="s">
        <v>494</v>
      </c>
      <c r="K101">
        <v>11</v>
      </c>
    </row>
    <row r="102" spans="1:18">
      <c r="B102" s="62" t="s">
        <v>4772</v>
      </c>
      <c r="C102" s="62" t="s">
        <v>494</v>
      </c>
      <c r="K102">
        <v>12</v>
      </c>
    </row>
    <row r="103" spans="1:18">
      <c r="B103" s="62" t="s">
        <v>4773</v>
      </c>
      <c r="C103" s="62" t="s">
        <v>494</v>
      </c>
      <c r="K103">
        <v>13</v>
      </c>
      <c r="L103">
        <v>3</v>
      </c>
      <c r="N103" s="62" t="s">
        <v>4774</v>
      </c>
      <c r="O103" s="62" t="s">
        <v>4776</v>
      </c>
      <c r="P103" s="62" t="s">
        <v>4778</v>
      </c>
    </row>
    <row r="105" spans="1:18">
      <c r="A105" s="62" t="s">
        <v>4774</v>
      </c>
      <c r="B105" s="62" t="s">
        <v>4775</v>
      </c>
      <c r="C105" s="62" t="s">
        <v>494</v>
      </c>
      <c r="E105" s="62" t="s">
        <v>476</v>
      </c>
      <c r="F105">
        <v>26</v>
      </c>
      <c r="G105">
        <v>2611</v>
      </c>
      <c r="H105" s="62" t="s">
        <v>4951</v>
      </c>
      <c r="I105" s="62" t="s">
        <v>4952</v>
      </c>
      <c r="J105">
        <v>2</v>
      </c>
      <c r="K105">
        <v>1</v>
      </c>
      <c r="L105">
        <v>6</v>
      </c>
    </row>
    <row r="106" spans="1:18">
      <c r="B106" s="62" t="s">
        <v>4776</v>
      </c>
      <c r="C106" s="62" t="s">
        <v>494</v>
      </c>
      <c r="K106">
        <v>2</v>
      </c>
      <c r="L106">
        <v>6</v>
      </c>
    </row>
    <row r="107" spans="1:18">
      <c r="B107" s="62" t="s">
        <v>4777</v>
      </c>
      <c r="C107" s="62" t="s">
        <v>493</v>
      </c>
      <c r="D107">
        <v>1</v>
      </c>
      <c r="K107">
        <v>3</v>
      </c>
      <c r="L107">
        <v>3</v>
      </c>
    </row>
    <row r="108" spans="1:18">
      <c r="B108" s="62" t="s">
        <v>4953</v>
      </c>
      <c r="C108" s="62" t="s">
        <v>494</v>
      </c>
      <c r="K108">
        <v>4</v>
      </c>
    </row>
    <row r="109" spans="1:18">
      <c r="B109" s="62" t="s">
        <v>4778</v>
      </c>
      <c r="C109" s="62" t="s">
        <v>493</v>
      </c>
      <c r="D109">
        <v>100</v>
      </c>
      <c r="K109">
        <v>5</v>
      </c>
    </row>
    <row r="111" spans="1:18">
      <c r="A111" s="62" t="s">
        <v>4779</v>
      </c>
      <c r="B111" s="62" t="s">
        <v>4780</v>
      </c>
      <c r="C111" s="62" t="s">
        <v>494</v>
      </c>
      <c r="E111" s="62" t="s">
        <v>476</v>
      </c>
      <c r="F111">
        <v>26</v>
      </c>
      <c r="G111">
        <v>2612</v>
      </c>
      <c r="H111" s="62" t="s">
        <v>4958</v>
      </c>
      <c r="I111" s="62" t="s">
        <v>4959</v>
      </c>
      <c r="J111">
        <v>2</v>
      </c>
      <c r="K111">
        <v>1</v>
      </c>
      <c r="L111">
        <v>6</v>
      </c>
    </row>
    <row r="112" spans="1:18">
      <c r="B112" s="62" t="s">
        <v>4781</v>
      </c>
      <c r="C112" s="62" t="s">
        <v>494</v>
      </c>
      <c r="K112">
        <v>2</v>
      </c>
      <c r="L112">
        <v>6</v>
      </c>
    </row>
    <row r="113" spans="1:18">
      <c r="B113" s="62" t="s">
        <v>4782</v>
      </c>
      <c r="C113" s="62" t="s">
        <v>493</v>
      </c>
      <c r="D113">
        <v>1</v>
      </c>
      <c r="K113">
        <v>3</v>
      </c>
      <c r="L113">
        <v>3</v>
      </c>
    </row>
    <row r="114" spans="1:18">
      <c r="B114" s="62" t="s">
        <v>4788</v>
      </c>
      <c r="C114" s="62" t="s">
        <v>493</v>
      </c>
      <c r="D114">
        <v>1</v>
      </c>
      <c r="H114" s="62" t="s">
        <v>4954</v>
      </c>
      <c r="K114">
        <v>4</v>
      </c>
      <c r="L114">
        <v>3</v>
      </c>
    </row>
    <row r="115" spans="1:18">
      <c r="B115" s="62" t="s">
        <v>4783</v>
      </c>
      <c r="C115" s="62" t="s">
        <v>493</v>
      </c>
      <c r="D115">
        <v>100</v>
      </c>
      <c r="K115">
        <v>5</v>
      </c>
    </row>
    <row r="116" spans="1:18">
      <c r="B116" s="62" t="s">
        <v>4785</v>
      </c>
      <c r="C116" s="62" t="s">
        <v>494</v>
      </c>
      <c r="K116">
        <v>6</v>
      </c>
      <c r="L116">
        <v>3</v>
      </c>
      <c r="N116" s="62" t="s">
        <v>4720</v>
      </c>
      <c r="O116" s="62" t="s">
        <v>4722</v>
      </c>
      <c r="P116" s="62" t="s">
        <v>4723</v>
      </c>
    </row>
    <row r="117" spans="1:18">
      <c r="B117" s="62" t="s">
        <v>4784</v>
      </c>
      <c r="C117" s="62" t="s">
        <v>494</v>
      </c>
      <c r="K117">
        <v>7</v>
      </c>
      <c r="L117">
        <v>3</v>
      </c>
      <c r="M117">
        <v>31</v>
      </c>
      <c r="N117" s="62" t="s">
        <v>4725</v>
      </c>
      <c r="O117" s="62" t="s">
        <v>4728</v>
      </c>
      <c r="P117" s="62" t="s">
        <v>4730</v>
      </c>
      <c r="Q117" s="62" t="s">
        <v>4726</v>
      </c>
      <c r="R117">
        <v>6</v>
      </c>
    </row>
    <row r="118" spans="1:18">
      <c r="B118" s="62" t="s">
        <v>4812</v>
      </c>
      <c r="C118" s="62" t="s">
        <v>494</v>
      </c>
      <c r="H118" s="62" t="s">
        <v>4813</v>
      </c>
      <c r="K118">
        <v>8</v>
      </c>
      <c r="L118">
        <v>3</v>
      </c>
      <c r="N118" s="62" t="s">
        <v>4955</v>
      </c>
      <c r="O118" s="62" t="s">
        <v>4956</v>
      </c>
      <c r="P118" s="62" t="s">
        <v>4957</v>
      </c>
    </row>
    <row r="119" spans="1:18">
      <c r="B119" s="62"/>
      <c r="O119" s="62"/>
    </row>
    <row r="120" spans="1:18">
      <c r="A120" s="62" t="s">
        <v>4794</v>
      </c>
      <c r="B120" s="62" t="s">
        <v>4795</v>
      </c>
      <c r="C120" s="62" t="s">
        <v>494</v>
      </c>
      <c r="E120" s="62" t="s">
        <v>476</v>
      </c>
      <c r="F120">
        <v>26</v>
      </c>
      <c r="G120">
        <v>2613</v>
      </c>
      <c r="H120" s="62" t="s">
        <v>4960</v>
      </c>
      <c r="J120">
        <v>2</v>
      </c>
      <c r="K120">
        <v>1</v>
      </c>
      <c r="L120">
        <v>52</v>
      </c>
      <c r="N120">
        <v>2612</v>
      </c>
      <c r="O120" s="62" t="s">
        <v>4781</v>
      </c>
    </row>
    <row r="121" spans="1:18">
      <c r="B121" s="62" t="s">
        <v>4786</v>
      </c>
      <c r="C121" s="62" t="s">
        <v>494</v>
      </c>
      <c r="E121" s="62" t="s">
        <v>476</v>
      </c>
      <c r="K121">
        <v>2</v>
      </c>
      <c r="L121">
        <v>6</v>
      </c>
      <c r="N121" s="62"/>
      <c r="O121" s="62"/>
      <c r="P121" s="62"/>
    </row>
    <row r="122" spans="1:18">
      <c r="B122" s="62" t="s">
        <v>4787</v>
      </c>
      <c r="C122" s="62" t="s">
        <v>494</v>
      </c>
      <c r="K122">
        <v>3</v>
      </c>
      <c r="L122">
        <v>6</v>
      </c>
      <c r="O122" s="62"/>
    </row>
    <row r="123" spans="1:18">
      <c r="B123" s="62" t="s">
        <v>4797</v>
      </c>
      <c r="C123" s="62" t="s">
        <v>494</v>
      </c>
      <c r="K123">
        <v>4</v>
      </c>
      <c r="L123">
        <v>3</v>
      </c>
      <c r="N123" s="62" t="s">
        <v>4702</v>
      </c>
      <c r="O123" s="62" t="s">
        <v>4704</v>
      </c>
      <c r="P123" s="62" t="s">
        <v>4705</v>
      </c>
    </row>
    <row r="124" spans="1:18">
      <c r="B124" s="62" t="s">
        <v>4798</v>
      </c>
      <c r="C124" s="62" t="s">
        <v>494</v>
      </c>
      <c r="K124">
        <v>5</v>
      </c>
    </row>
    <row r="125" spans="1:18">
      <c r="B125" s="62" t="s">
        <v>4799</v>
      </c>
      <c r="C125" s="62" t="s">
        <v>494</v>
      </c>
      <c r="H125" s="62" t="s">
        <v>4719</v>
      </c>
      <c r="K125">
        <v>6</v>
      </c>
      <c r="L125">
        <v>3</v>
      </c>
      <c r="N125" s="62" t="s">
        <v>4699</v>
      </c>
      <c r="O125" s="62" t="s">
        <v>4700</v>
      </c>
      <c r="P125" s="62" t="s">
        <v>4701</v>
      </c>
    </row>
    <row r="126" spans="1:18">
      <c r="O126" s="62"/>
    </row>
    <row r="127" spans="1:18">
      <c r="A127" s="62" t="s">
        <v>4789</v>
      </c>
      <c r="B127" s="62" t="s">
        <v>4790</v>
      </c>
      <c r="C127" s="62" t="s">
        <v>494</v>
      </c>
      <c r="E127" s="62" t="s">
        <v>476</v>
      </c>
      <c r="F127">
        <v>26</v>
      </c>
      <c r="G127">
        <v>2614</v>
      </c>
      <c r="H127" s="62" t="s">
        <v>4961</v>
      </c>
      <c r="I127" s="62" t="s">
        <v>4962</v>
      </c>
      <c r="J127">
        <v>2601</v>
      </c>
      <c r="K127">
        <v>1</v>
      </c>
      <c r="L127">
        <v>3</v>
      </c>
    </row>
    <row r="128" spans="1:18">
      <c r="B128" s="62" t="s">
        <v>4791</v>
      </c>
      <c r="C128" s="62" t="s">
        <v>494</v>
      </c>
      <c r="E128" s="62" t="s">
        <v>476</v>
      </c>
      <c r="K128">
        <v>2</v>
      </c>
      <c r="L128">
        <v>6</v>
      </c>
    </row>
    <row r="129" spans="1:18">
      <c r="B129" s="62" t="s">
        <v>4792</v>
      </c>
      <c r="C129" s="62" t="s">
        <v>494</v>
      </c>
      <c r="K129">
        <v>3</v>
      </c>
      <c r="L129">
        <v>6</v>
      </c>
    </row>
    <row r="130" spans="1:18">
      <c r="B130" s="62" t="s">
        <v>4793</v>
      </c>
      <c r="C130" s="62" t="s">
        <v>494</v>
      </c>
      <c r="K130">
        <v>4</v>
      </c>
      <c r="L130">
        <v>8</v>
      </c>
    </row>
    <row r="131" spans="1:18">
      <c r="B131" s="62" t="s">
        <v>4834</v>
      </c>
      <c r="C131" s="62" t="s">
        <v>493</v>
      </c>
      <c r="D131">
        <v>1</v>
      </c>
      <c r="K131">
        <v>5</v>
      </c>
      <c r="L131">
        <v>3</v>
      </c>
    </row>
    <row r="132" spans="1:18">
      <c r="B132" s="62" t="s">
        <v>4803</v>
      </c>
      <c r="C132" s="62" t="s">
        <v>494</v>
      </c>
      <c r="K132">
        <v>6</v>
      </c>
      <c r="L132">
        <v>3</v>
      </c>
      <c r="N132" s="62" t="s">
        <v>4731</v>
      </c>
      <c r="O132" s="62" t="s">
        <v>4732</v>
      </c>
      <c r="P132" s="62" t="s">
        <v>4735</v>
      </c>
    </row>
    <row r="133" spans="1:18">
      <c r="B133" s="62" t="s">
        <v>4804</v>
      </c>
      <c r="C133" s="62" t="s">
        <v>494</v>
      </c>
      <c r="K133">
        <v>7</v>
      </c>
      <c r="L133">
        <v>3</v>
      </c>
      <c r="M133">
        <v>31</v>
      </c>
      <c r="N133" s="62" t="s">
        <v>4736</v>
      </c>
      <c r="O133" s="62" t="s">
        <v>4739</v>
      </c>
      <c r="P133" s="62" t="s">
        <v>4741</v>
      </c>
      <c r="Q133" s="62" t="s">
        <v>4737</v>
      </c>
      <c r="R133">
        <v>6</v>
      </c>
    </row>
    <row r="134" spans="1:18">
      <c r="B134" s="62" t="s">
        <v>4805</v>
      </c>
      <c r="C134" s="62" t="s">
        <v>494</v>
      </c>
      <c r="K134">
        <v>8</v>
      </c>
      <c r="L134">
        <v>3</v>
      </c>
      <c r="M134">
        <v>31</v>
      </c>
      <c r="N134" s="62" t="s">
        <v>4743</v>
      </c>
      <c r="O134" s="62" t="s">
        <v>4746</v>
      </c>
      <c r="P134" s="62" t="s">
        <v>4748</v>
      </c>
      <c r="Q134" s="62" t="s">
        <v>4744</v>
      </c>
      <c r="R134">
        <v>7</v>
      </c>
    </row>
    <row r="135" spans="1:18">
      <c r="B135" s="62" t="s">
        <v>4806</v>
      </c>
      <c r="C135" s="62" t="s">
        <v>494</v>
      </c>
      <c r="K135">
        <v>9</v>
      </c>
      <c r="L135">
        <v>3</v>
      </c>
      <c r="M135">
        <v>31</v>
      </c>
      <c r="N135" s="62" t="s">
        <v>4751</v>
      </c>
      <c r="O135" s="62" t="s">
        <v>4754</v>
      </c>
      <c r="P135" s="62" t="s">
        <v>4756</v>
      </c>
      <c r="Q135" s="62" t="s">
        <v>4752</v>
      </c>
      <c r="R135">
        <v>8</v>
      </c>
    </row>
    <row r="136" spans="1:18">
      <c r="B136" s="62" t="s">
        <v>4807</v>
      </c>
      <c r="C136" s="62" t="s">
        <v>494</v>
      </c>
      <c r="K136">
        <v>10</v>
      </c>
    </row>
    <row r="137" spans="1:18">
      <c r="B137" s="62" t="s">
        <v>4808</v>
      </c>
      <c r="C137" s="62" t="s">
        <v>494</v>
      </c>
      <c r="K137">
        <v>11</v>
      </c>
    </row>
    <row r="138" spans="1:18">
      <c r="B138" s="62" t="s">
        <v>4835</v>
      </c>
      <c r="C138" s="62" t="s">
        <v>494</v>
      </c>
      <c r="K138">
        <v>12</v>
      </c>
      <c r="L138">
        <v>7</v>
      </c>
      <c r="M138">
        <v>1</v>
      </c>
    </row>
    <row r="139" spans="1:18">
      <c r="B139" s="62" t="s">
        <v>4836</v>
      </c>
      <c r="C139" s="62" t="s">
        <v>494</v>
      </c>
      <c r="K139">
        <v>13</v>
      </c>
      <c r="L139">
        <v>7</v>
      </c>
      <c r="M139">
        <v>1</v>
      </c>
    </row>
    <row r="140" spans="1:18">
      <c r="B140" s="62" t="s">
        <v>4837</v>
      </c>
      <c r="C140" s="62" t="s">
        <v>494</v>
      </c>
      <c r="K140">
        <v>14</v>
      </c>
      <c r="M140">
        <v>1</v>
      </c>
    </row>
    <row r="142" spans="1:18">
      <c r="A142" s="62" t="s">
        <v>4800</v>
      </c>
      <c r="B142" s="62" t="s">
        <v>4801</v>
      </c>
      <c r="C142" s="62" t="s">
        <v>494</v>
      </c>
      <c r="E142" s="62" t="s">
        <v>476</v>
      </c>
      <c r="F142">
        <v>26</v>
      </c>
      <c r="G142">
        <v>2615</v>
      </c>
      <c r="H142" s="62" t="s">
        <v>3185</v>
      </c>
      <c r="J142">
        <v>2601</v>
      </c>
      <c r="K142">
        <v>1</v>
      </c>
      <c r="L142">
        <v>52</v>
      </c>
      <c r="N142">
        <v>2614</v>
      </c>
      <c r="O142" s="62" t="s">
        <v>4792</v>
      </c>
    </row>
    <row r="143" spans="1:18">
      <c r="B143" s="62" t="s">
        <v>4802</v>
      </c>
      <c r="C143" s="62" t="s">
        <v>494</v>
      </c>
      <c r="E143" s="62" t="s">
        <v>476</v>
      </c>
      <c r="K143">
        <v>2</v>
      </c>
      <c r="L143">
        <v>6</v>
      </c>
    </row>
    <row r="144" spans="1:18">
      <c r="B144" s="62" t="s">
        <v>4809</v>
      </c>
      <c r="C144" s="62" t="s">
        <v>494</v>
      </c>
      <c r="K144">
        <v>3</v>
      </c>
      <c r="L144">
        <v>6</v>
      </c>
    </row>
    <row r="145" spans="1:18">
      <c r="B145" s="62" t="s">
        <v>4810</v>
      </c>
      <c r="C145" s="62" t="s">
        <v>494</v>
      </c>
      <c r="K145">
        <v>4</v>
      </c>
      <c r="L145">
        <v>3</v>
      </c>
      <c r="N145" s="62" t="s">
        <v>4702</v>
      </c>
      <c r="O145" s="62" t="s">
        <v>4704</v>
      </c>
      <c r="P145" s="62" t="s">
        <v>4705</v>
      </c>
    </row>
    <row r="146" spans="1:18">
      <c r="B146" s="62" t="s">
        <v>4811</v>
      </c>
      <c r="C146" s="62" t="s">
        <v>494</v>
      </c>
      <c r="K146">
        <v>5</v>
      </c>
      <c r="L146">
        <v>10</v>
      </c>
      <c r="M146">
        <v>1</v>
      </c>
    </row>
    <row r="147" spans="1:18">
      <c r="B147" s="62" t="s">
        <v>4830</v>
      </c>
      <c r="C147" s="62" t="s">
        <v>494</v>
      </c>
      <c r="K147">
        <v>6</v>
      </c>
      <c r="L147">
        <v>3</v>
      </c>
      <c r="N147" s="62" t="s">
        <v>4731</v>
      </c>
      <c r="O147" s="62" t="s">
        <v>4732</v>
      </c>
      <c r="P147" s="62" t="s">
        <v>4735</v>
      </c>
    </row>
    <row r="148" spans="1:18">
      <c r="B148" s="62" t="s">
        <v>4831</v>
      </c>
      <c r="C148" s="62" t="s">
        <v>494</v>
      </c>
      <c r="K148">
        <v>7</v>
      </c>
      <c r="L148">
        <v>3</v>
      </c>
      <c r="M148">
        <v>31</v>
      </c>
      <c r="N148" s="62" t="s">
        <v>4736</v>
      </c>
      <c r="O148" s="62" t="s">
        <v>4739</v>
      </c>
      <c r="P148" s="62" t="s">
        <v>4741</v>
      </c>
      <c r="Q148" s="62" t="s">
        <v>4737</v>
      </c>
      <c r="R148">
        <v>6</v>
      </c>
    </row>
    <row r="149" spans="1:18">
      <c r="B149" s="62" t="s">
        <v>4832</v>
      </c>
      <c r="C149" s="62" t="s">
        <v>494</v>
      </c>
      <c r="K149">
        <v>8</v>
      </c>
      <c r="L149">
        <v>3</v>
      </c>
      <c r="M149">
        <v>31</v>
      </c>
      <c r="N149" s="62" t="s">
        <v>4743</v>
      </c>
      <c r="O149" s="62" t="s">
        <v>4746</v>
      </c>
      <c r="P149" s="62" t="s">
        <v>4748</v>
      </c>
      <c r="Q149" s="62" t="s">
        <v>4744</v>
      </c>
      <c r="R149">
        <v>7</v>
      </c>
    </row>
    <row r="150" spans="1:18">
      <c r="B150" s="62" t="s">
        <v>4833</v>
      </c>
      <c r="C150" s="62" t="s">
        <v>494</v>
      </c>
      <c r="K150">
        <v>9</v>
      </c>
      <c r="L150">
        <v>3</v>
      </c>
      <c r="M150">
        <v>31</v>
      </c>
      <c r="N150" s="62" t="s">
        <v>4751</v>
      </c>
      <c r="O150" s="62" t="s">
        <v>4754</v>
      </c>
      <c r="P150" s="62" t="s">
        <v>4756</v>
      </c>
      <c r="Q150" s="62" t="s">
        <v>4752</v>
      </c>
      <c r="R150">
        <v>8</v>
      </c>
    </row>
    <row r="151" spans="1:18">
      <c r="B151" s="62" t="s">
        <v>4841</v>
      </c>
      <c r="C151" s="62" t="s">
        <v>493</v>
      </c>
      <c r="D151">
        <v>1</v>
      </c>
      <c r="K151">
        <v>10</v>
      </c>
      <c r="L151">
        <v>3</v>
      </c>
    </row>
    <row r="152" spans="1:18">
      <c r="B152" s="62" t="s">
        <v>4839</v>
      </c>
      <c r="C152" s="62" t="s">
        <v>494</v>
      </c>
      <c r="K152">
        <v>11</v>
      </c>
    </row>
    <row r="153" spans="1:18">
      <c r="B153" s="62" t="s">
        <v>4840</v>
      </c>
      <c r="C153" s="62" t="s">
        <v>494</v>
      </c>
      <c r="K153">
        <v>12</v>
      </c>
    </row>
    <row r="154" spans="1:18">
      <c r="B154" s="62" t="s">
        <v>4865</v>
      </c>
      <c r="C154" s="62" t="s">
        <v>494</v>
      </c>
      <c r="K154">
        <v>13</v>
      </c>
    </row>
    <row r="156" spans="1:18">
      <c r="A156" s="62" t="s">
        <v>4814</v>
      </c>
      <c r="B156" s="62" t="s">
        <v>4815</v>
      </c>
      <c r="C156" s="62" t="s">
        <v>494</v>
      </c>
      <c r="E156" s="62" t="s">
        <v>476</v>
      </c>
      <c r="F156">
        <v>26</v>
      </c>
      <c r="G156">
        <v>2616</v>
      </c>
      <c r="H156" s="62" t="s">
        <v>4963</v>
      </c>
      <c r="I156" s="62" t="s">
        <v>4964</v>
      </c>
      <c r="J156">
        <v>2601</v>
      </c>
      <c r="K156">
        <v>1</v>
      </c>
      <c r="L156">
        <v>6</v>
      </c>
    </row>
    <row r="157" spans="1:18">
      <c r="B157" s="62" t="s">
        <v>4816</v>
      </c>
      <c r="C157" s="62" t="s">
        <v>494</v>
      </c>
      <c r="K157">
        <v>2</v>
      </c>
      <c r="L157">
        <v>6</v>
      </c>
    </row>
    <row r="158" spans="1:18">
      <c r="B158" s="62" t="s">
        <v>4817</v>
      </c>
      <c r="C158" s="62" t="s">
        <v>494</v>
      </c>
      <c r="K158">
        <v>3</v>
      </c>
      <c r="L158">
        <v>3</v>
      </c>
      <c r="N158" s="62" t="s">
        <v>4702</v>
      </c>
      <c r="O158" s="62" t="s">
        <v>4704</v>
      </c>
      <c r="P158" s="62" t="s">
        <v>4705</v>
      </c>
    </row>
    <row r="159" spans="1:18">
      <c r="B159" s="62" t="s">
        <v>4842</v>
      </c>
      <c r="C159" s="62" t="s">
        <v>494</v>
      </c>
      <c r="K159">
        <v>4</v>
      </c>
      <c r="L159">
        <v>8</v>
      </c>
    </row>
    <row r="160" spans="1:18">
      <c r="B160" s="62" t="s">
        <v>4933</v>
      </c>
      <c r="C160" s="62" t="s">
        <v>494</v>
      </c>
      <c r="K160">
        <v>5</v>
      </c>
      <c r="L160">
        <v>3</v>
      </c>
      <c r="N160" s="62" t="s">
        <v>4731</v>
      </c>
      <c r="O160" s="62" t="s">
        <v>4732</v>
      </c>
      <c r="P160" s="62" t="s">
        <v>4735</v>
      </c>
    </row>
    <row r="161" spans="1:18">
      <c r="B161" s="62" t="s">
        <v>4934</v>
      </c>
      <c r="C161" s="62" t="s">
        <v>494</v>
      </c>
      <c r="K161">
        <v>6</v>
      </c>
      <c r="L161">
        <v>3</v>
      </c>
      <c r="M161">
        <v>31</v>
      </c>
      <c r="N161" s="62" t="s">
        <v>4736</v>
      </c>
      <c r="O161" s="62" t="s">
        <v>4739</v>
      </c>
      <c r="P161" s="62" t="s">
        <v>4741</v>
      </c>
      <c r="Q161" s="62" t="s">
        <v>4737</v>
      </c>
      <c r="R161">
        <v>5</v>
      </c>
    </row>
    <row r="162" spans="1:18">
      <c r="B162" s="62" t="s">
        <v>4935</v>
      </c>
      <c r="C162" s="62" t="s">
        <v>494</v>
      </c>
      <c r="K162">
        <v>7</v>
      </c>
      <c r="L162">
        <v>3</v>
      </c>
      <c r="M162">
        <v>31</v>
      </c>
      <c r="N162" s="62" t="s">
        <v>4743</v>
      </c>
      <c r="O162" s="62" t="s">
        <v>4746</v>
      </c>
      <c r="P162" s="62" t="s">
        <v>4748</v>
      </c>
      <c r="Q162" s="62" t="s">
        <v>4744</v>
      </c>
      <c r="R162">
        <v>6</v>
      </c>
    </row>
    <row r="163" spans="1:18">
      <c r="B163" s="62" t="s">
        <v>4936</v>
      </c>
      <c r="C163" s="62" t="s">
        <v>494</v>
      </c>
      <c r="K163">
        <v>8</v>
      </c>
      <c r="L163">
        <v>3</v>
      </c>
      <c r="M163">
        <v>31</v>
      </c>
      <c r="N163" s="62" t="s">
        <v>4751</v>
      </c>
      <c r="O163" s="62" t="s">
        <v>4754</v>
      </c>
      <c r="P163" s="62" t="s">
        <v>4756</v>
      </c>
      <c r="Q163" s="62" t="s">
        <v>4752</v>
      </c>
      <c r="R163">
        <v>7</v>
      </c>
    </row>
    <row r="164" spans="1:18">
      <c r="B164" s="62" t="s">
        <v>4818</v>
      </c>
      <c r="C164" s="62" t="s">
        <v>494</v>
      </c>
      <c r="K164">
        <v>9</v>
      </c>
      <c r="L164">
        <v>7</v>
      </c>
      <c r="M164">
        <v>1</v>
      </c>
    </row>
    <row r="165" spans="1:18">
      <c r="B165" s="62" t="s">
        <v>4824</v>
      </c>
      <c r="C165" s="62" t="s">
        <v>494</v>
      </c>
      <c r="K165">
        <v>10</v>
      </c>
      <c r="L165">
        <v>3</v>
      </c>
      <c r="M165">
        <v>3</v>
      </c>
      <c r="N165" s="62" t="s">
        <v>4825</v>
      </c>
      <c r="O165" s="62" t="s">
        <v>4827</v>
      </c>
      <c r="P165" s="62" t="s">
        <v>4829</v>
      </c>
    </row>
    <row r="166" spans="1:18">
      <c r="B166" s="62" t="s">
        <v>4819</v>
      </c>
      <c r="C166" s="62" t="s">
        <v>494</v>
      </c>
      <c r="K166">
        <v>11</v>
      </c>
      <c r="L166">
        <v>7</v>
      </c>
    </row>
    <row r="167" spans="1:18">
      <c r="B167" s="62" t="s">
        <v>4820</v>
      </c>
      <c r="C167" s="62" t="s">
        <v>494</v>
      </c>
      <c r="K167">
        <v>12</v>
      </c>
      <c r="L167">
        <v>7</v>
      </c>
    </row>
    <row r="168" spans="1:18">
      <c r="B168" s="62" t="s">
        <v>4838</v>
      </c>
      <c r="C168" s="62" t="s">
        <v>494</v>
      </c>
      <c r="K168">
        <v>13</v>
      </c>
    </row>
    <row r="169" spans="1:18">
      <c r="B169" s="62" t="s">
        <v>4821</v>
      </c>
      <c r="C169" s="62" t="s">
        <v>520</v>
      </c>
      <c r="K169">
        <v>14</v>
      </c>
    </row>
    <row r="170" spans="1:18">
      <c r="B170" s="62" t="s">
        <v>4822</v>
      </c>
      <c r="C170" s="62" t="s">
        <v>494</v>
      </c>
      <c r="K170">
        <v>15</v>
      </c>
      <c r="L170">
        <v>91</v>
      </c>
    </row>
    <row r="171" spans="1:18">
      <c r="B171" s="62" t="s">
        <v>4823</v>
      </c>
      <c r="C171" s="62" t="s">
        <v>494</v>
      </c>
      <c r="K171">
        <v>16</v>
      </c>
      <c r="L171">
        <v>92</v>
      </c>
    </row>
    <row r="173" spans="1:18">
      <c r="A173" s="62" t="s">
        <v>4825</v>
      </c>
      <c r="B173" s="62" t="s">
        <v>4826</v>
      </c>
      <c r="C173" s="62" t="s">
        <v>494</v>
      </c>
      <c r="E173" s="62" t="s">
        <v>476</v>
      </c>
      <c r="F173">
        <v>26</v>
      </c>
      <c r="G173">
        <v>2617</v>
      </c>
      <c r="H173" s="62" t="s">
        <v>4965</v>
      </c>
      <c r="I173" s="62" t="s">
        <v>4966</v>
      </c>
      <c r="J173">
        <v>2</v>
      </c>
      <c r="K173">
        <v>1</v>
      </c>
      <c r="L173">
        <v>6</v>
      </c>
    </row>
    <row r="174" spans="1:18">
      <c r="B174" s="62" t="s">
        <v>4827</v>
      </c>
      <c r="C174" s="62" t="s">
        <v>494</v>
      </c>
      <c r="K174">
        <v>2</v>
      </c>
      <c r="L174">
        <v>6</v>
      </c>
    </row>
    <row r="175" spans="1:18">
      <c r="B175" s="62" t="s">
        <v>4828</v>
      </c>
      <c r="C175" s="62" t="s">
        <v>493</v>
      </c>
      <c r="D175">
        <v>1</v>
      </c>
      <c r="K175">
        <v>3</v>
      </c>
      <c r="L175">
        <v>3</v>
      </c>
    </row>
    <row r="176" spans="1:18">
      <c r="B176" s="62" t="s">
        <v>4829</v>
      </c>
      <c r="C176" s="62" t="s">
        <v>493</v>
      </c>
      <c r="D176">
        <v>100</v>
      </c>
      <c r="K176">
        <v>4</v>
      </c>
    </row>
    <row r="178" spans="1:8">
      <c r="A178" s="62" t="s">
        <v>4955</v>
      </c>
      <c r="B178" s="62" t="s">
        <v>4956</v>
      </c>
      <c r="C178" s="62" t="s">
        <v>494</v>
      </c>
      <c r="E178" s="62" t="s">
        <v>476</v>
      </c>
    </row>
    <row r="179" spans="1:8">
      <c r="B179" s="62" t="s">
        <v>4957</v>
      </c>
      <c r="C179" s="62" t="s">
        <v>493</v>
      </c>
      <c r="D179">
        <v>50</v>
      </c>
      <c r="H179" s="62" t="s">
        <v>4813</v>
      </c>
    </row>
  </sheetData>
  <pageMargins left="0.7" right="0.7" top="0.75" bottom="0.75" header="0.3" footer="0.3"/>
  <pageSetup orientation="portrait" horizontalDpi="4294967295" verticalDpi="4294967295" r:id="rId1"/>
  <legacyDrawing r:id="rId2"/>
</worksheet>
</file>

<file path=xl/worksheets/sheet19.xml><?xml version="1.0" encoding="utf-8"?>
<worksheet xmlns="http://schemas.openxmlformats.org/spreadsheetml/2006/main" xmlns:r="http://schemas.openxmlformats.org/officeDocument/2006/relationships">
  <sheetPr>
    <tabColor rgb="FFFFC000"/>
  </sheetPr>
  <dimension ref="A1:R192"/>
  <sheetViews>
    <sheetView workbookViewId="0">
      <pane ySplit="1" topLeftCell="A69" activePane="bottomLeft" state="frozenSplit"/>
      <selection pane="bottomLeft" activeCell="G116" sqref="G116"/>
    </sheetView>
  </sheetViews>
  <sheetFormatPr baseColWidth="10" defaultRowHeight="12.75"/>
  <cols>
    <col min="1" max="1" width="20.28515625" bestFit="1" customWidth="1"/>
    <col min="2" max="2" width="27.140625" bestFit="1" customWidth="1"/>
    <col min="4" max="4" width="4" bestFit="1" customWidth="1"/>
    <col min="5" max="5" width="2.140625" customWidth="1"/>
    <col min="9" max="9" width="16.28515625" bestFit="1" customWidth="1"/>
    <col min="10" max="10" width="7.7109375" customWidth="1"/>
    <col min="11" max="11" width="3.42578125" customWidth="1"/>
    <col min="12" max="12" width="4.140625" customWidth="1"/>
    <col min="13" max="13" width="4.7109375" customWidth="1"/>
    <col min="14" max="14" width="18.42578125" bestFit="1" customWidth="1"/>
    <col min="15" max="15" width="10" customWidth="1"/>
    <col min="16" max="16" width="14.5703125" bestFit="1" customWidth="1"/>
    <col min="17" max="17" width="16.57031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5022</v>
      </c>
      <c r="B2" s="66" t="s">
        <v>5023</v>
      </c>
      <c r="C2" s="62" t="s">
        <v>494</v>
      </c>
      <c r="E2" s="62" t="s">
        <v>476</v>
      </c>
      <c r="F2">
        <v>27</v>
      </c>
      <c r="G2">
        <v>2701</v>
      </c>
      <c r="H2" s="62" t="s">
        <v>3195</v>
      </c>
      <c r="I2" s="62" t="s">
        <v>5058</v>
      </c>
      <c r="J2">
        <v>1</v>
      </c>
      <c r="K2">
        <v>1</v>
      </c>
      <c r="L2">
        <v>3</v>
      </c>
    </row>
    <row r="3" spans="1:18" s="62" customFormat="1">
      <c r="B3" s="66" t="s">
        <v>5024</v>
      </c>
      <c r="C3" s="62" t="s">
        <v>494</v>
      </c>
      <c r="E3" s="62" t="s">
        <v>476</v>
      </c>
      <c r="I3" s="22"/>
      <c r="K3" s="76">
        <v>2</v>
      </c>
      <c r="L3" s="32">
        <v>3</v>
      </c>
      <c r="N3" s="62" t="s">
        <v>5038</v>
      </c>
      <c r="O3" s="62" t="s">
        <v>5039</v>
      </c>
      <c r="P3" s="62" t="s">
        <v>5040</v>
      </c>
    </row>
    <row r="4" spans="1:18" s="62" customFormat="1">
      <c r="B4" s="66" t="s">
        <v>5025</v>
      </c>
      <c r="C4" s="62" t="s">
        <v>494</v>
      </c>
      <c r="E4" s="62" t="s">
        <v>476</v>
      </c>
      <c r="I4" s="22"/>
      <c r="K4">
        <v>3</v>
      </c>
      <c r="L4" s="32">
        <v>6</v>
      </c>
    </row>
    <row r="5" spans="1:18" s="62" customFormat="1">
      <c r="B5" s="66" t="s">
        <v>5026</v>
      </c>
      <c r="C5" s="62" t="s">
        <v>494</v>
      </c>
      <c r="I5" s="22"/>
      <c r="K5">
        <v>4</v>
      </c>
      <c r="L5" s="68">
        <v>6</v>
      </c>
    </row>
    <row r="6" spans="1:18" s="62" customFormat="1">
      <c r="B6" s="66" t="s">
        <v>5027</v>
      </c>
      <c r="C6" s="62" t="s">
        <v>494</v>
      </c>
      <c r="H6" s="62" t="s">
        <v>5028</v>
      </c>
      <c r="I6" s="22"/>
      <c r="K6" s="76">
        <v>5</v>
      </c>
      <c r="L6" s="32">
        <v>3</v>
      </c>
      <c r="M6" s="62">
        <v>1</v>
      </c>
      <c r="N6" s="62" t="s">
        <v>5059</v>
      </c>
      <c r="O6" s="62" t="s">
        <v>5060</v>
      </c>
      <c r="P6" s="62" t="s">
        <v>5061</v>
      </c>
    </row>
    <row r="7" spans="1:18" s="62" customFormat="1">
      <c r="B7" s="66" t="s">
        <v>5029</v>
      </c>
      <c r="C7" s="62" t="s">
        <v>494</v>
      </c>
      <c r="I7" s="22"/>
      <c r="K7">
        <v>6</v>
      </c>
      <c r="L7" s="32">
        <v>7</v>
      </c>
      <c r="N7"/>
    </row>
    <row r="8" spans="1:18" s="62" customFormat="1">
      <c r="B8" s="66" t="s">
        <v>5030</v>
      </c>
      <c r="C8" s="62" t="s">
        <v>494</v>
      </c>
      <c r="I8" s="22"/>
      <c r="K8">
        <v>7</v>
      </c>
      <c r="L8" s="32">
        <v>7</v>
      </c>
    </row>
    <row r="9" spans="1:18" s="62" customFormat="1">
      <c r="B9" s="66" t="s">
        <v>5031</v>
      </c>
      <c r="C9" s="62" t="s">
        <v>494</v>
      </c>
      <c r="I9" s="22"/>
      <c r="K9" s="76">
        <v>8</v>
      </c>
      <c r="L9" s="32">
        <v>7</v>
      </c>
    </row>
    <row r="10" spans="1:18" s="62" customFormat="1">
      <c r="B10" s="66" t="s">
        <v>5032</v>
      </c>
      <c r="C10" s="62" t="s">
        <v>494</v>
      </c>
      <c r="I10" s="22"/>
      <c r="K10">
        <v>9</v>
      </c>
      <c r="L10" s="32">
        <v>7</v>
      </c>
    </row>
    <row r="11" spans="1:18" s="62" customFormat="1">
      <c r="B11" s="66" t="s">
        <v>5033</v>
      </c>
      <c r="C11" s="62" t="s">
        <v>494</v>
      </c>
      <c r="I11" s="22"/>
      <c r="K11">
        <v>10</v>
      </c>
      <c r="L11" s="32">
        <v>7</v>
      </c>
    </row>
    <row r="12" spans="1:18" s="62" customFormat="1">
      <c r="B12" s="66" t="s">
        <v>5034</v>
      </c>
      <c r="C12" s="62" t="s">
        <v>494</v>
      </c>
      <c r="I12" s="22"/>
      <c r="K12" s="76">
        <v>11</v>
      </c>
      <c r="L12" s="32">
        <v>7</v>
      </c>
    </row>
    <row r="13" spans="1:18" s="62" customFormat="1">
      <c r="B13" s="66" t="s">
        <v>5035</v>
      </c>
      <c r="C13" s="62" t="s">
        <v>520</v>
      </c>
      <c r="I13" s="22"/>
      <c r="K13">
        <v>12</v>
      </c>
      <c r="L13" s="32"/>
    </row>
    <row r="14" spans="1:18" s="62" customFormat="1">
      <c r="B14" s="66" t="s">
        <v>5036</v>
      </c>
      <c r="C14" s="62" t="s">
        <v>494</v>
      </c>
      <c r="I14" s="22"/>
      <c r="K14">
        <v>13</v>
      </c>
      <c r="L14" s="32"/>
      <c r="M14" s="62">
        <v>1</v>
      </c>
    </row>
    <row r="15" spans="1:18" s="62" customFormat="1">
      <c r="B15" s="66" t="s">
        <v>5037</v>
      </c>
      <c r="C15" s="62" t="s">
        <v>494</v>
      </c>
      <c r="I15" s="22"/>
      <c r="K15" s="76">
        <v>14</v>
      </c>
      <c r="L15" s="32"/>
      <c r="M15" s="62">
        <v>1</v>
      </c>
    </row>
    <row r="16" spans="1:18" s="62" customFormat="1">
      <c r="B16" s="66" t="s">
        <v>5065</v>
      </c>
      <c r="C16" s="62" t="s">
        <v>493</v>
      </c>
      <c r="D16" s="62">
        <v>100</v>
      </c>
      <c r="I16" s="22"/>
      <c r="K16">
        <v>15</v>
      </c>
      <c r="L16" s="32"/>
      <c r="M16" s="62">
        <v>2</v>
      </c>
    </row>
    <row r="17" spans="1:18" s="62" customFormat="1">
      <c r="B17" s="110" t="s">
        <v>5069</v>
      </c>
      <c r="C17" s="111" t="s">
        <v>494</v>
      </c>
      <c r="I17" s="22"/>
      <c r="K17">
        <v>16</v>
      </c>
      <c r="L17" s="32">
        <v>7</v>
      </c>
      <c r="N17"/>
    </row>
    <row r="18" spans="1:18" s="62" customFormat="1">
      <c r="B18" s="110" t="s">
        <v>5070</v>
      </c>
      <c r="C18" s="111" t="s">
        <v>494</v>
      </c>
      <c r="I18" s="22"/>
      <c r="K18" s="76">
        <v>17</v>
      </c>
      <c r="L18" s="32">
        <v>7</v>
      </c>
    </row>
    <row r="19" spans="1:18" s="62" customFormat="1">
      <c r="B19" s="110" t="s">
        <v>5071</v>
      </c>
      <c r="C19" s="111" t="s">
        <v>494</v>
      </c>
      <c r="I19" s="22"/>
      <c r="K19">
        <v>18</v>
      </c>
      <c r="L19" s="32">
        <v>7</v>
      </c>
    </row>
    <row r="20" spans="1:18" s="62" customFormat="1">
      <c r="B20" s="110" t="s">
        <v>5072</v>
      </c>
      <c r="C20" s="111" t="s">
        <v>494</v>
      </c>
      <c r="I20" s="22"/>
      <c r="K20">
        <v>19</v>
      </c>
      <c r="L20" s="32">
        <v>7</v>
      </c>
    </row>
    <row r="21" spans="1:18" s="62" customFormat="1">
      <c r="B21" s="110" t="s">
        <v>5073</v>
      </c>
      <c r="C21" s="111" t="s">
        <v>494</v>
      </c>
      <c r="I21" s="22"/>
      <c r="K21" s="76">
        <v>20</v>
      </c>
      <c r="L21" s="32">
        <v>7</v>
      </c>
    </row>
    <row r="22" spans="1:18" s="62" customFormat="1">
      <c r="I22" s="22"/>
      <c r="K22" s="76"/>
      <c r="L22" s="32"/>
    </row>
    <row r="23" spans="1:18" s="62" customFormat="1">
      <c r="A23" s="62" t="s">
        <v>5038</v>
      </c>
      <c r="B23" s="62" t="s">
        <v>5039</v>
      </c>
      <c r="C23" s="62" t="s">
        <v>494</v>
      </c>
      <c r="E23" s="62" t="s">
        <v>476</v>
      </c>
      <c r="I23" s="22"/>
      <c r="K23" s="76"/>
      <c r="L23" s="32"/>
    </row>
    <row r="24" spans="1:18" s="62" customFormat="1">
      <c r="B24" s="62" t="s">
        <v>5040</v>
      </c>
      <c r="C24" s="62" t="s">
        <v>493</v>
      </c>
      <c r="D24" s="62">
        <v>100</v>
      </c>
      <c r="I24" s="22"/>
      <c r="K24" s="76"/>
      <c r="L24" s="32"/>
    </row>
    <row r="25" spans="1:18" s="62" customFormat="1">
      <c r="I25" s="22"/>
      <c r="K25" s="76"/>
      <c r="L25" s="32"/>
    </row>
    <row r="26" spans="1:18">
      <c r="A26" s="70" t="s">
        <v>3210</v>
      </c>
      <c r="B26" s="70" t="s">
        <v>3211</v>
      </c>
      <c r="C26" s="70" t="s">
        <v>494</v>
      </c>
      <c r="E26" s="62" t="s">
        <v>476</v>
      </c>
      <c r="F26">
        <v>27</v>
      </c>
      <c r="G26">
        <v>2702</v>
      </c>
      <c r="H26" s="62" t="s">
        <v>5062</v>
      </c>
      <c r="I26" s="62" t="s">
        <v>5063</v>
      </c>
      <c r="J26">
        <v>2201</v>
      </c>
      <c r="K26" s="55">
        <v>1</v>
      </c>
      <c r="L26">
        <v>8</v>
      </c>
    </row>
    <row r="27" spans="1:18">
      <c r="A27" s="94"/>
      <c r="B27" s="70" t="s">
        <v>3212</v>
      </c>
      <c r="C27" s="70" t="s">
        <v>494</v>
      </c>
      <c r="E27" s="62" t="s">
        <v>476</v>
      </c>
      <c r="K27" s="55">
        <v>2</v>
      </c>
      <c r="L27">
        <v>3</v>
      </c>
      <c r="M27" s="14">
        <v>31</v>
      </c>
      <c r="N27" s="62" t="s">
        <v>3655</v>
      </c>
      <c r="O27" s="62" t="s">
        <v>3648</v>
      </c>
      <c r="P27" s="62" t="s">
        <v>3657</v>
      </c>
      <c r="Q27" s="47" t="s">
        <v>3658</v>
      </c>
      <c r="R27" s="14">
        <v>4</v>
      </c>
    </row>
    <row r="28" spans="1:18">
      <c r="A28" s="94"/>
      <c r="B28" s="70" t="s">
        <v>3213</v>
      </c>
      <c r="C28" s="70" t="s">
        <v>494</v>
      </c>
      <c r="H28" s="62"/>
      <c r="K28" s="55">
        <v>3</v>
      </c>
      <c r="L28">
        <v>6</v>
      </c>
    </row>
    <row r="29" spans="1:18">
      <c r="A29" s="94"/>
      <c r="B29" s="70" t="s">
        <v>3230</v>
      </c>
      <c r="C29" s="70" t="s">
        <v>494</v>
      </c>
      <c r="K29" s="55">
        <v>4</v>
      </c>
      <c r="L29">
        <v>3</v>
      </c>
      <c r="M29">
        <v>3</v>
      </c>
      <c r="N29" s="62" t="s">
        <v>3664</v>
      </c>
      <c r="O29" s="62" t="s">
        <v>3666</v>
      </c>
      <c r="P29" s="62" t="s">
        <v>3667</v>
      </c>
    </row>
    <row r="30" spans="1:18" s="1" customFormat="1">
      <c r="A30" s="39"/>
      <c r="B30" s="67" t="s">
        <v>3231</v>
      </c>
      <c r="C30" s="70" t="s">
        <v>494</v>
      </c>
      <c r="F30" s="14"/>
      <c r="G30" s="14"/>
      <c r="H30" s="14"/>
      <c r="I30" s="11"/>
      <c r="J30" s="14"/>
      <c r="K30" s="55">
        <v>5</v>
      </c>
      <c r="L30" s="15">
        <v>3</v>
      </c>
      <c r="M30" s="14"/>
      <c r="N30" s="62" t="s">
        <v>693</v>
      </c>
      <c r="O30" s="1" t="s">
        <v>695</v>
      </c>
      <c r="P30" s="1" t="s">
        <v>696</v>
      </c>
      <c r="Q30" s="62"/>
      <c r="R30" s="14"/>
    </row>
    <row r="31" spans="1:18" s="1" customFormat="1">
      <c r="A31" s="39"/>
      <c r="B31" s="67" t="s">
        <v>3232</v>
      </c>
      <c r="C31" s="70" t="s">
        <v>494</v>
      </c>
      <c r="F31" s="14"/>
      <c r="G31" s="14"/>
      <c r="H31" s="14"/>
      <c r="I31" s="11"/>
      <c r="J31" s="14"/>
      <c r="K31" s="55">
        <v>6</v>
      </c>
      <c r="L31" s="15">
        <v>3</v>
      </c>
      <c r="M31" s="14">
        <v>31</v>
      </c>
      <c r="N31" s="62" t="s">
        <v>379</v>
      </c>
      <c r="O31" s="62" t="s">
        <v>698</v>
      </c>
      <c r="P31" s="62" t="s">
        <v>699</v>
      </c>
      <c r="Q31" s="62" t="s">
        <v>383</v>
      </c>
      <c r="R31" s="14">
        <v>5</v>
      </c>
    </row>
    <row r="32" spans="1:18">
      <c r="B32" s="62" t="s">
        <v>3215</v>
      </c>
      <c r="C32" s="64" t="s">
        <v>494</v>
      </c>
      <c r="K32" s="55">
        <v>7</v>
      </c>
      <c r="L32" s="32">
        <v>3</v>
      </c>
      <c r="M32">
        <v>31</v>
      </c>
      <c r="N32" s="62" t="s">
        <v>3649</v>
      </c>
      <c r="O32" s="64" t="s">
        <v>3652</v>
      </c>
      <c r="P32" s="66" t="s">
        <v>3651</v>
      </c>
      <c r="Q32" s="66" t="s">
        <v>3650</v>
      </c>
      <c r="R32">
        <v>2</v>
      </c>
    </row>
    <row r="33" spans="1:18">
      <c r="B33" s="70" t="s">
        <v>4327</v>
      </c>
      <c r="C33" s="70" t="s">
        <v>494</v>
      </c>
      <c r="H33" s="62"/>
      <c r="K33" s="55">
        <v>8</v>
      </c>
      <c r="L33">
        <v>3</v>
      </c>
      <c r="M33">
        <v>1</v>
      </c>
      <c r="N33" s="62" t="s">
        <v>4452</v>
      </c>
      <c r="O33" s="62" t="s">
        <v>4453</v>
      </c>
      <c r="P33" s="62" t="s">
        <v>4454</v>
      </c>
    </row>
    <row r="34" spans="1:18">
      <c r="B34" s="70" t="s">
        <v>4322</v>
      </c>
      <c r="C34" s="70" t="s">
        <v>494</v>
      </c>
      <c r="K34" s="55">
        <v>9</v>
      </c>
      <c r="L34">
        <v>3</v>
      </c>
      <c r="N34" t="s">
        <v>4466</v>
      </c>
      <c r="O34" s="62" t="s">
        <v>4467</v>
      </c>
      <c r="P34" t="s">
        <v>4468</v>
      </c>
    </row>
    <row r="35" spans="1:18">
      <c r="B35" s="100" t="s">
        <v>4545</v>
      </c>
      <c r="C35" s="100" t="s">
        <v>494</v>
      </c>
      <c r="K35" s="55">
        <v>10</v>
      </c>
      <c r="L35">
        <v>8</v>
      </c>
    </row>
    <row r="36" spans="1:18">
      <c r="B36" s="100" t="s">
        <v>4544</v>
      </c>
      <c r="C36" s="100" t="s">
        <v>494</v>
      </c>
      <c r="K36" s="55">
        <v>11</v>
      </c>
      <c r="L36">
        <v>7</v>
      </c>
    </row>
    <row r="37" spans="1:18">
      <c r="B37" s="100" t="s">
        <v>5066</v>
      </c>
      <c r="C37" s="100" t="s">
        <v>494</v>
      </c>
      <c r="K37" s="55">
        <v>12</v>
      </c>
      <c r="L37">
        <v>3</v>
      </c>
      <c r="M37">
        <v>2</v>
      </c>
      <c r="N37" s="62" t="s">
        <v>5022</v>
      </c>
      <c r="O37" s="66" t="s">
        <v>5026</v>
      </c>
      <c r="P37" s="66" t="s">
        <v>5065</v>
      </c>
    </row>
    <row r="38" spans="1:18" s="1" customFormat="1">
      <c r="B38" s="66"/>
      <c r="C38" s="64"/>
      <c r="F38" s="14"/>
      <c r="G38" s="14"/>
      <c r="H38" s="14"/>
      <c r="I38" s="11"/>
      <c r="J38" s="14"/>
      <c r="K38" s="55"/>
      <c r="L38" s="15"/>
      <c r="M38" s="14"/>
      <c r="N38" s="62"/>
      <c r="O38" s="62"/>
      <c r="P38" s="62"/>
      <c r="Q38" s="62"/>
      <c r="R38" s="14"/>
    </row>
    <row r="39" spans="1:18" s="62" customFormat="1">
      <c r="A39" s="62" t="s">
        <v>5041</v>
      </c>
      <c r="B39" s="62" t="s">
        <v>5042</v>
      </c>
      <c r="C39" s="62" t="s">
        <v>494</v>
      </c>
      <c r="E39" s="62" t="s">
        <v>476</v>
      </c>
      <c r="F39" s="62">
        <v>27</v>
      </c>
      <c r="G39" s="62">
        <v>2703</v>
      </c>
      <c r="H39" s="62" t="s">
        <v>5064</v>
      </c>
      <c r="I39" s="22"/>
      <c r="J39" s="62">
        <v>2201</v>
      </c>
      <c r="K39" s="76">
        <v>1</v>
      </c>
      <c r="L39" s="55">
        <v>52</v>
      </c>
      <c r="N39" s="62">
        <v>2702</v>
      </c>
      <c r="O39" s="62" t="s">
        <v>3213</v>
      </c>
    </row>
    <row r="40" spans="1:18" s="62" customFormat="1">
      <c r="B40" s="62" t="s">
        <v>5043</v>
      </c>
      <c r="C40" s="62" t="s">
        <v>494</v>
      </c>
      <c r="E40" s="62" t="s">
        <v>476</v>
      </c>
      <c r="I40" s="22"/>
      <c r="K40" s="76">
        <v>2</v>
      </c>
      <c r="L40" s="55">
        <v>3</v>
      </c>
      <c r="N40" s="62" t="s">
        <v>5022</v>
      </c>
      <c r="O40" s="66" t="s">
        <v>5026</v>
      </c>
      <c r="P40" s="66" t="s">
        <v>5065</v>
      </c>
    </row>
    <row r="41" spans="1:18" s="62" customFormat="1">
      <c r="B41" s="62" t="s">
        <v>5044</v>
      </c>
      <c r="C41" s="62" t="s">
        <v>494</v>
      </c>
      <c r="I41" s="22"/>
      <c r="K41" s="76">
        <v>3</v>
      </c>
      <c r="L41" s="55">
        <v>6</v>
      </c>
    </row>
    <row r="42" spans="1:18" s="62" customFormat="1">
      <c r="B42" s="62" t="s">
        <v>5045</v>
      </c>
      <c r="C42" s="62" t="s">
        <v>494</v>
      </c>
      <c r="I42" s="22"/>
      <c r="K42" s="76">
        <v>4</v>
      </c>
      <c r="L42" s="55">
        <v>6</v>
      </c>
    </row>
    <row r="43" spans="1:18" s="62" customFormat="1">
      <c r="B43" s="62" t="s">
        <v>5046</v>
      </c>
      <c r="C43" s="62" t="s">
        <v>494</v>
      </c>
      <c r="I43" s="22"/>
      <c r="K43" s="76">
        <v>5</v>
      </c>
      <c r="L43" s="55">
        <v>7</v>
      </c>
    </row>
    <row r="44" spans="1:18" s="62" customFormat="1">
      <c r="B44" s="62" t="s">
        <v>5047</v>
      </c>
      <c r="C44" s="62" t="s">
        <v>494</v>
      </c>
      <c r="I44" s="22"/>
      <c r="K44" s="76">
        <v>6</v>
      </c>
      <c r="L44" s="55">
        <v>3</v>
      </c>
      <c r="N44" s="62" t="s">
        <v>5050</v>
      </c>
      <c r="O44" s="62" t="s">
        <v>5052</v>
      </c>
      <c r="P44" s="62" t="s">
        <v>5054</v>
      </c>
    </row>
    <row r="45" spans="1:18" s="62" customFormat="1">
      <c r="B45" s="62" t="s">
        <v>5049</v>
      </c>
      <c r="C45" s="62" t="s">
        <v>520</v>
      </c>
      <c r="I45" s="22"/>
      <c r="K45" s="76">
        <v>7</v>
      </c>
      <c r="L45" s="32"/>
    </row>
    <row r="46" spans="1:18" s="62" customFormat="1">
      <c r="B46" s="62" t="s">
        <v>5048</v>
      </c>
      <c r="C46" s="62" t="s">
        <v>494</v>
      </c>
      <c r="I46" s="22"/>
      <c r="K46" s="76">
        <v>8</v>
      </c>
      <c r="L46" s="55">
        <v>8</v>
      </c>
      <c r="M46" s="62">
        <v>1</v>
      </c>
    </row>
    <row r="48" spans="1:18">
      <c r="A48" s="70" t="s">
        <v>4332</v>
      </c>
      <c r="B48" s="70" t="s">
        <v>4334</v>
      </c>
      <c r="C48" s="70" t="s">
        <v>494</v>
      </c>
      <c r="E48" t="s">
        <v>476</v>
      </c>
      <c r="F48" s="94">
        <v>22</v>
      </c>
      <c r="G48" s="94">
        <v>2222</v>
      </c>
      <c r="H48" t="s">
        <v>4443</v>
      </c>
      <c r="J48">
        <v>2201</v>
      </c>
      <c r="K48" s="55">
        <v>1</v>
      </c>
      <c r="L48">
        <v>52</v>
      </c>
      <c r="N48">
        <v>2201</v>
      </c>
      <c r="O48" s="62" t="s">
        <v>3213</v>
      </c>
    </row>
    <row r="49" spans="1:16">
      <c r="A49" s="94"/>
      <c r="B49" s="70" t="s">
        <v>4333</v>
      </c>
      <c r="C49" s="70" t="s">
        <v>494</v>
      </c>
      <c r="E49" t="s">
        <v>476</v>
      </c>
      <c r="K49" s="55">
        <v>2</v>
      </c>
      <c r="L49">
        <v>6</v>
      </c>
    </row>
    <row r="50" spans="1:16">
      <c r="A50" s="94"/>
      <c r="B50" s="70" t="s">
        <v>4335</v>
      </c>
      <c r="C50" s="70" t="s">
        <v>494</v>
      </c>
      <c r="K50" s="55">
        <v>3</v>
      </c>
      <c r="L50">
        <v>6</v>
      </c>
    </row>
    <row r="51" spans="1:16">
      <c r="A51" s="94"/>
      <c r="B51" s="70" t="s">
        <v>4336</v>
      </c>
      <c r="C51" s="70" t="s">
        <v>494</v>
      </c>
      <c r="K51" s="55">
        <v>4</v>
      </c>
      <c r="L51">
        <v>3</v>
      </c>
      <c r="N51" s="62" t="s">
        <v>3218</v>
      </c>
      <c r="O51" s="62" t="s">
        <v>3219</v>
      </c>
      <c r="P51" s="62" t="s">
        <v>3220</v>
      </c>
    </row>
    <row r="52" spans="1:16">
      <c r="A52" s="94"/>
      <c r="B52" s="70" t="s">
        <v>4337</v>
      </c>
      <c r="C52" s="70" t="s">
        <v>494</v>
      </c>
      <c r="K52" s="55">
        <v>5</v>
      </c>
      <c r="L52">
        <v>3</v>
      </c>
      <c r="N52" s="62" t="s">
        <v>3218</v>
      </c>
      <c r="O52" s="62" t="s">
        <v>3219</v>
      </c>
      <c r="P52" s="62" t="s">
        <v>3220</v>
      </c>
    </row>
    <row r="53" spans="1:16">
      <c r="A53" s="94"/>
      <c r="B53" s="70" t="s">
        <v>4338</v>
      </c>
      <c r="C53" s="70" t="s">
        <v>494</v>
      </c>
      <c r="K53" s="55">
        <v>6</v>
      </c>
      <c r="L53">
        <v>7</v>
      </c>
    </row>
    <row r="54" spans="1:16">
      <c r="A54" s="94"/>
      <c r="B54" s="70" t="s">
        <v>4339</v>
      </c>
      <c r="C54" s="70" t="s">
        <v>520</v>
      </c>
      <c r="K54" s="55">
        <v>7</v>
      </c>
    </row>
    <row r="55" spans="1:16">
      <c r="B55" s="62"/>
      <c r="C55" s="64"/>
      <c r="K55" s="55"/>
    </row>
    <row r="56" spans="1:16">
      <c r="A56" s="62" t="s">
        <v>5050</v>
      </c>
      <c r="B56" s="62" t="s">
        <v>5051</v>
      </c>
      <c r="C56" s="62" t="s">
        <v>494</v>
      </c>
      <c r="E56" s="62" t="s">
        <v>476</v>
      </c>
      <c r="F56">
        <v>27</v>
      </c>
      <c r="G56">
        <v>2704</v>
      </c>
      <c r="H56" s="62" t="s">
        <v>5056</v>
      </c>
      <c r="I56" s="62" t="s">
        <v>5057</v>
      </c>
      <c r="J56">
        <v>2</v>
      </c>
      <c r="K56">
        <v>1</v>
      </c>
      <c r="L56">
        <v>6</v>
      </c>
    </row>
    <row r="57" spans="1:16">
      <c r="B57" s="62" t="s">
        <v>5052</v>
      </c>
      <c r="C57" s="62" t="s">
        <v>494</v>
      </c>
      <c r="K57">
        <v>2</v>
      </c>
      <c r="L57">
        <v>6</v>
      </c>
    </row>
    <row r="58" spans="1:16">
      <c r="B58" s="62" t="s">
        <v>5055</v>
      </c>
      <c r="C58" s="62" t="s">
        <v>493</v>
      </c>
      <c r="D58">
        <v>1</v>
      </c>
      <c r="K58">
        <v>3</v>
      </c>
      <c r="L58">
        <v>3</v>
      </c>
    </row>
    <row r="59" spans="1:16">
      <c r="B59" s="62" t="s">
        <v>5053</v>
      </c>
      <c r="C59" s="62" t="s">
        <v>494</v>
      </c>
      <c r="K59">
        <v>4</v>
      </c>
    </row>
    <row r="60" spans="1:16">
      <c r="B60" s="62" t="s">
        <v>5054</v>
      </c>
      <c r="C60" s="62" t="s">
        <v>493</v>
      </c>
      <c r="D60">
        <v>100</v>
      </c>
      <c r="K60">
        <v>5</v>
      </c>
    </row>
    <row r="62" spans="1:16">
      <c r="A62" s="62" t="s">
        <v>5059</v>
      </c>
      <c r="B62" s="62" t="s">
        <v>5060</v>
      </c>
      <c r="C62" s="62" t="s">
        <v>494</v>
      </c>
      <c r="E62" s="62" t="s">
        <v>476</v>
      </c>
    </row>
    <row r="63" spans="1:16">
      <c r="B63" s="62" t="s">
        <v>5061</v>
      </c>
      <c r="C63" s="62" t="s">
        <v>493</v>
      </c>
      <c r="D63">
        <v>100</v>
      </c>
    </row>
    <row r="65" spans="1:18">
      <c r="A65" s="70" t="s">
        <v>3210</v>
      </c>
      <c r="B65" s="70" t="s">
        <v>3211</v>
      </c>
      <c r="C65" s="70" t="s">
        <v>494</v>
      </c>
      <c r="E65" s="62" t="s">
        <v>476</v>
      </c>
      <c r="F65">
        <v>27</v>
      </c>
      <c r="G65">
        <v>2706</v>
      </c>
      <c r="H65" s="62" t="s">
        <v>5067</v>
      </c>
      <c r="I65" s="62" t="s">
        <v>5068</v>
      </c>
      <c r="J65">
        <v>2201</v>
      </c>
      <c r="K65" s="55">
        <v>1</v>
      </c>
      <c r="L65">
        <v>8</v>
      </c>
    </row>
    <row r="66" spans="1:18">
      <c r="A66" s="94"/>
      <c r="B66" s="70" t="s">
        <v>3212</v>
      </c>
      <c r="C66" s="70" t="s">
        <v>494</v>
      </c>
      <c r="E66" s="62" t="s">
        <v>476</v>
      </c>
      <c r="K66" s="55">
        <v>2</v>
      </c>
      <c r="L66">
        <v>3</v>
      </c>
      <c r="M66" s="14">
        <v>31</v>
      </c>
      <c r="N66" s="62" t="s">
        <v>3655</v>
      </c>
      <c r="O66" s="62" t="s">
        <v>3648</v>
      </c>
      <c r="P66" s="62" t="s">
        <v>3657</v>
      </c>
      <c r="Q66" s="47" t="s">
        <v>3658</v>
      </c>
      <c r="R66" s="14">
        <v>4</v>
      </c>
    </row>
    <row r="67" spans="1:18">
      <c r="A67" s="94"/>
      <c r="B67" s="70" t="s">
        <v>3213</v>
      </c>
      <c r="C67" s="70" t="s">
        <v>494</v>
      </c>
      <c r="H67" s="62"/>
      <c r="K67" s="55">
        <v>3</v>
      </c>
      <c r="L67">
        <v>6</v>
      </c>
    </row>
    <row r="68" spans="1:18">
      <c r="A68" s="94"/>
      <c r="B68" s="70" t="s">
        <v>3230</v>
      </c>
      <c r="C68" s="70" t="s">
        <v>494</v>
      </c>
      <c r="K68" s="55">
        <v>4</v>
      </c>
      <c r="L68">
        <v>3</v>
      </c>
      <c r="M68">
        <v>3</v>
      </c>
      <c r="N68" s="62" t="s">
        <v>3664</v>
      </c>
      <c r="O68" s="62" t="s">
        <v>3666</v>
      </c>
      <c r="P68" s="62" t="s">
        <v>3667</v>
      </c>
    </row>
    <row r="69" spans="1:18" s="1" customFormat="1">
      <c r="A69" s="39"/>
      <c r="B69" s="67" t="s">
        <v>3231</v>
      </c>
      <c r="C69" s="70" t="s">
        <v>494</v>
      </c>
      <c r="F69" s="14"/>
      <c r="G69" s="14"/>
      <c r="H69" s="14"/>
      <c r="I69" s="11"/>
      <c r="J69" s="14"/>
      <c r="K69" s="55">
        <v>5</v>
      </c>
      <c r="L69" s="15">
        <v>3</v>
      </c>
      <c r="M69" s="14"/>
      <c r="N69" s="62" t="s">
        <v>693</v>
      </c>
      <c r="O69" s="1" t="s">
        <v>695</v>
      </c>
      <c r="P69" s="1" t="s">
        <v>696</v>
      </c>
      <c r="Q69" s="62"/>
      <c r="R69" s="14"/>
    </row>
    <row r="70" spans="1:18" s="1" customFormat="1">
      <c r="A70" s="39"/>
      <c r="B70" s="67" t="s">
        <v>3232</v>
      </c>
      <c r="C70" s="70" t="s">
        <v>494</v>
      </c>
      <c r="F70" s="14"/>
      <c r="G70" s="14"/>
      <c r="H70" s="14"/>
      <c r="I70" s="11"/>
      <c r="J70" s="14"/>
      <c r="K70" s="55">
        <v>6</v>
      </c>
      <c r="L70" s="15">
        <v>3</v>
      </c>
      <c r="M70" s="14">
        <v>31</v>
      </c>
      <c r="N70" s="62" t="s">
        <v>379</v>
      </c>
      <c r="O70" s="62" t="s">
        <v>698</v>
      </c>
      <c r="P70" s="62" t="s">
        <v>699</v>
      </c>
      <c r="Q70" s="62" t="s">
        <v>383</v>
      </c>
      <c r="R70" s="14">
        <v>5</v>
      </c>
    </row>
    <row r="71" spans="1:18">
      <c r="B71" s="70" t="s">
        <v>4322</v>
      </c>
      <c r="C71" s="70" t="s">
        <v>494</v>
      </c>
      <c r="K71" s="55">
        <v>7</v>
      </c>
      <c r="L71">
        <v>3</v>
      </c>
      <c r="N71" t="s">
        <v>4466</v>
      </c>
      <c r="O71" s="62" t="s">
        <v>4467</v>
      </c>
      <c r="P71" t="s">
        <v>4468</v>
      </c>
    </row>
    <row r="72" spans="1:18">
      <c r="B72" s="100" t="s">
        <v>5066</v>
      </c>
      <c r="C72" s="100" t="s">
        <v>494</v>
      </c>
      <c r="K72" s="55">
        <v>8</v>
      </c>
      <c r="L72">
        <v>3</v>
      </c>
      <c r="M72">
        <v>2</v>
      </c>
      <c r="N72" s="62" t="s">
        <v>5022</v>
      </c>
      <c r="O72" s="66" t="s">
        <v>5026</v>
      </c>
      <c r="P72" s="66" t="s">
        <v>5065</v>
      </c>
    </row>
    <row r="73" spans="1:18">
      <c r="B73" s="100" t="s">
        <v>5140</v>
      </c>
      <c r="C73" s="100" t="s">
        <v>494</v>
      </c>
      <c r="K73" s="55">
        <v>9</v>
      </c>
      <c r="M73">
        <v>1</v>
      </c>
      <c r="N73" s="62"/>
      <c r="O73" s="66"/>
      <c r="P73" s="66"/>
    </row>
    <row r="74" spans="1:18">
      <c r="B74" s="100" t="s">
        <v>5141</v>
      </c>
      <c r="C74" s="100" t="s">
        <v>494</v>
      </c>
      <c r="K74" s="55">
        <v>10</v>
      </c>
      <c r="L74">
        <v>7</v>
      </c>
      <c r="M74">
        <v>1</v>
      </c>
      <c r="N74" s="62"/>
      <c r="O74" s="66"/>
      <c r="P74" s="66"/>
    </row>
    <row r="75" spans="1:18">
      <c r="B75" s="100" t="s">
        <v>5142</v>
      </c>
      <c r="C75" s="100" t="s">
        <v>494</v>
      </c>
      <c r="K75" s="55">
        <v>11</v>
      </c>
      <c r="L75">
        <v>8</v>
      </c>
      <c r="M75">
        <v>1</v>
      </c>
      <c r="N75" s="62"/>
      <c r="O75" s="66"/>
      <c r="P75" s="66"/>
    </row>
    <row r="76" spans="1:18">
      <c r="B76" s="96" t="s">
        <v>5151</v>
      </c>
      <c r="C76" s="96" t="s">
        <v>493</v>
      </c>
      <c r="D76">
        <v>200</v>
      </c>
      <c r="K76" s="55">
        <v>12</v>
      </c>
    </row>
    <row r="77" spans="1:18">
      <c r="B77" s="70" t="s">
        <v>4341</v>
      </c>
      <c r="C77" s="70" t="s">
        <v>494</v>
      </c>
      <c r="K77" s="55">
        <v>13</v>
      </c>
      <c r="L77">
        <v>7</v>
      </c>
    </row>
    <row r="78" spans="1:18">
      <c r="B78" s="70" t="s">
        <v>4342</v>
      </c>
      <c r="C78" s="70" t="s">
        <v>494</v>
      </c>
      <c r="K78" s="55">
        <v>14</v>
      </c>
    </row>
    <row r="79" spans="1:18">
      <c r="B79" s="96" t="s">
        <v>5152</v>
      </c>
      <c r="C79" s="96" t="s">
        <v>494</v>
      </c>
      <c r="K79" s="55">
        <v>15</v>
      </c>
    </row>
    <row r="80" spans="1:18">
      <c r="B80" s="70" t="s">
        <v>4340</v>
      </c>
      <c r="C80" s="70" t="s">
        <v>494</v>
      </c>
      <c r="K80" s="55">
        <v>16</v>
      </c>
    </row>
    <row r="81" spans="1:18">
      <c r="B81" s="96" t="s">
        <v>5153</v>
      </c>
      <c r="C81" s="96" t="s">
        <v>494</v>
      </c>
      <c r="K81" s="55">
        <v>17</v>
      </c>
    </row>
    <row r="82" spans="1:18">
      <c r="B82" s="96" t="s">
        <v>5154</v>
      </c>
      <c r="C82" s="112" t="s">
        <v>494</v>
      </c>
      <c r="K82" s="55">
        <v>18</v>
      </c>
    </row>
    <row r="83" spans="1:18">
      <c r="B83" s="70" t="s">
        <v>4358</v>
      </c>
      <c r="C83" s="70" t="s">
        <v>493</v>
      </c>
      <c r="D83">
        <v>50</v>
      </c>
      <c r="K83" s="55">
        <v>19</v>
      </c>
      <c r="M83">
        <v>1</v>
      </c>
    </row>
    <row r="84" spans="1:18">
      <c r="B84" s="100" t="s">
        <v>5150</v>
      </c>
      <c r="C84" s="100" t="s">
        <v>493</v>
      </c>
      <c r="D84">
        <v>100</v>
      </c>
      <c r="K84" s="55">
        <v>20</v>
      </c>
    </row>
    <row r="85" spans="1:18">
      <c r="B85" s="64"/>
      <c r="C85" s="64"/>
      <c r="K85" s="55"/>
      <c r="N85" s="62"/>
      <c r="O85" s="66"/>
      <c r="P85" s="66"/>
    </row>
    <row r="86" spans="1:18">
      <c r="A86" s="62" t="s">
        <v>5143</v>
      </c>
      <c r="B86" s="64" t="s">
        <v>5144</v>
      </c>
      <c r="C86" s="64" t="s">
        <v>494</v>
      </c>
      <c r="E86" s="62" t="s">
        <v>476</v>
      </c>
      <c r="F86">
        <v>27</v>
      </c>
      <c r="G86">
        <v>2707</v>
      </c>
      <c r="H86" s="62" t="s">
        <v>5145</v>
      </c>
      <c r="I86" s="62" t="s">
        <v>5146</v>
      </c>
      <c r="J86">
        <v>7</v>
      </c>
      <c r="K86" s="55">
        <v>1</v>
      </c>
      <c r="L86">
        <v>8</v>
      </c>
      <c r="N86" s="62"/>
      <c r="O86" s="66"/>
      <c r="P86" s="66"/>
    </row>
    <row r="87" spans="1:18">
      <c r="A87" s="62"/>
      <c r="B87" s="64"/>
      <c r="C87" s="64"/>
      <c r="E87" s="62"/>
      <c r="H87" s="62"/>
      <c r="I87" s="62"/>
      <c r="K87" s="55"/>
      <c r="N87" s="62"/>
      <c r="O87" s="66"/>
      <c r="P87" s="66"/>
    </row>
    <row r="88" spans="1:18">
      <c r="A88" s="62" t="s">
        <v>5247</v>
      </c>
      <c r="B88" s="64" t="s">
        <v>5248</v>
      </c>
      <c r="C88" s="64" t="s">
        <v>494</v>
      </c>
      <c r="E88" s="62" t="s">
        <v>476</v>
      </c>
      <c r="F88">
        <v>27</v>
      </c>
      <c r="G88">
        <v>2708</v>
      </c>
      <c r="H88" s="62" t="s">
        <v>5249</v>
      </c>
      <c r="I88" s="62" t="s">
        <v>5250</v>
      </c>
      <c r="J88">
        <v>7</v>
      </c>
      <c r="K88" s="55">
        <v>2</v>
      </c>
      <c r="L88">
        <v>3</v>
      </c>
      <c r="N88" s="62"/>
      <c r="O88" s="66"/>
      <c r="P88" s="66"/>
    </row>
    <row r="89" spans="1:18">
      <c r="B89" s="64"/>
      <c r="C89" s="64"/>
      <c r="K89" s="55"/>
      <c r="N89" s="62"/>
      <c r="O89" s="66"/>
      <c r="P89" s="66"/>
    </row>
    <row r="90" spans="1:18">
      <c r="A90" s="70" t="s">
        <v>3210</v>
      </c>
      <c r="B90" s="70" t="s">
        <v>3211</v>
      </c>
      <c r="C90" s="70" t="s">
        <v>494</v>
      </c>
      <c r="E90" s="62" t="s">
        <v>476</v>
      </c>
      <c r="F90">
        <v>27</v>
      </c>
      <c r="G90">
        <v>2230</v>
      </c>
      <c r="H90" s="62" t="s">
        <v>4444</v>
      </c>
      <c r="I90" s="62" t="s">
        <v>4445</v>
      </c>
      <c r="J90">
        <v>2203</v>
      </c>
      <c r="K90" s="55">
        <v>1</v>
      </c>
      <c r="L90">
        <v>8</v>
      </c>
    </row>
    <row r="91" spans="1:18">
      <c r="A91" s="94"/>
      <c r="B91" s="70" t="s">
        <v>3212</v>
      </c>
      <c r="C91" s="70" t="s">
        <v>494</v>
      </c>
      <c r="E91" s="62" t="s">
        <v>476</v>
      </c>
      <c r="K91" s="55">
        <v>2</v>
      </c>
      <c r="L91">
        <v>3</v>
      </c>
      <c r="M91" s="14">
        <v>31</v>
      </c>
      <c r="N91" s="62" t="s">
        <v>3655</v>
      </c>
      <c r="O91" s="62" t="s">
        <v>3648</v>
      </c>
      <c r="P91" s="62" t="s">
        <v>3657</v>
      </c>
      <c r="Q91" s="47" t="s">
        <v>3658</v>
      </c>
      <c r="R91" s="14">
        <v>4</v>
      </c>
    </row>
    <row r="92" spans="1:18">
      <c r="A92" s="94"/>
      <c r="B92" s="70" t="s">
        <v>3213</v>
      </c>
      <c r="C92" s="70" t="s">
        <v>494</v>
      </c>
      <c r="K92" s="55">
        <v>3</v>
      </c>
      <c r="L92">
        <v>6</v>
      </c>
    </row>
    <row r="93" spans="1:18">
      <c r="A93" s="94"/>
      <c r="B93" s="70" t="s">
        <v>3230</v>
      </c>
      <c r="C93" s="70" t="s">
        <v>494</v>
      </c>
      <c r="K93" s="55">
        <v>4</v>
      </c>
      <c r="L93">
        <v>3</v>
      </c>
      <c r="M93">
        <v>3</v>
      </c>
      <c r="N93" s="62" t="s">
        <v>3664</v>
      </c>
      <c r="O93" s="62" t="s">
        <v>3666</v>
      </c>
      <c r="P93" s="62" t="s">
        <v>3667</v>
      </c>
    </row>
    <row r="94" spans="1:18" s="1" customFormat="1">
      <c r="A94" s="39"/>
      <c r="B94" s="67" t="s">
        <v>3231</v>
      </c>
      <c r="C94" s="70" t="s">
        <v>494</v>
      </c>
      <c r="F94" s="14"/>
      <c r="G94" s="14"/>
      <c r="H94" s="14"/>
      <c r="I94" s="11"/>
      <c r="J94" s="14"/>
      <c r="K94" s="55">
        <v>5</v>
      </c>
      <c r="L94" s="15">
        <v>3</v>
      </c>
      <c r="M94" s="14"/>
      <c r="N94" s="62" t="s">
        <v>693</v>
      </c>
      <c r="O94" s="1" t="s">
        <v>695</v>
      </c>
      <c r="P94" s="1" t="s">
        <v>696</v>
      </c>
      <c r="Q94" s="62"/>
      <c r="R94" s="14"/>
    </row>
    <row r="95" spans="1:18" s="1" customFormat="1">
      <c r="A95" s="39"/>
      <c r="B95" s="67" t="s">
        <v>3232</v>
      </c>
      <c r="C95" s="70" t="s">
        <v>494</v>
      </c>
      <c r="F95" s="14"/>
      <c r="G95" s="14"/>
      <c r="H95" s="14"/>
      <c r="I95" s="11"/>
      <c r="J95" s="14"/>
      <c r="K95" s="55">
        <v>6</v>
      </c>
      <c r="L95" s="15">
        <v>3</v>
      </c>
      <c r="M95" s="14">
        <v>31</v>
      </c>
      <c r="N95" s="62" t="s">
        <v>379</v>
      </c>
      <c r="O95" s="62" t="s">
        <v>698</v>
      </c>
      <c r="P95" s="62" t="s">
        <v>699</v>
      </c>
      <c r="Q95" s="62" t="s">
        <v>383</v>
      </c>
      <c r="R95" s="14">
        <v>5</v>
      </c>
    </row>
    <row r="96" spans="1:18">
      <c r="B96" s="70" t="s">
        <v>4321</v>
      </c>
      <c r="C96" s="70" t="s">
        <v>702</v>
      </c>
      <c r="K96" s="55">
        <v>22</v>
      </c>
      <c r="M96">
        <v>1</v>
      </c>
    </row>
    <row r="97" spans="1:16">
      <c r="B97" s="70" t="s">
        <v>4393</v>
      </c>
      <c r="C97" s="70" t="s">
        <v>494</v>
      </c>
      <c r="K97" s="55">
        <v>23</v>
      </c>
      <c r="L97">
        <v>8</v>
      </c>
    </row>
    <row r="98" spans="1:16">
      <c r="B98" s="70" t="s">
        <v>4394</v>
      </c>
      <c r="C98" s="70" t="s">
        <v>494</v>
      </c>
      <c r="K98" s="55">
        <v>24</v>
      </c>
      <c r="L98">
        <v>7</v>
      </c>
    </row>
    <row r="99" spans="1:16">
      <c r="B99" s="70" t="s">
        <v>4327</v>
      </c>
      <c r="C99" s="70" t="s">
        <v>494</v>
      </c>
      <c r="H99" s="62" t="s">
        <v>4357</v>
      </c>
      <c r="K99" s="55">
        <v>25</v>
      </c>
      <c r="L99">
        <v>3</v>
      </c>
      <c r="M99">
        <v>1</v>
      </c>
      <c r="N99" t="s">
        <v>4452</v>
      </c>
      <c r="O99" s="62" t="s">
        <v>4453</v>
      </c>
      <c r="P99" s="62" t="s">
        <v>4454</v>
      </c>
    </row>
    <row r="100" spans="1:16">
      <c r="B100" s="70" t="s">
        <v>4322</v>
      </c>
      <c r="C100" s="70" t="s">
        <v>494</v>
      </c>
      <c r="K100" s="55">
        <v>26</v>
      </c>
      <c r="L100">
        <v>3</v>
      </c>
    </row>
    <row r="101" spans="1:16">
      <c r="B101" s="70" t="s">
        <v>4323</v>
      </c>
      <c r="C101" s="70" t="s">
        <v>494</v>
      </c>
      <c r="K101" s="55">
        <v>27</v>
      </c>
      <c r="L101">
        <v>7</v>
      </c>
    </row>
    <row r="102" spans="1:16">
      <c r="B102" s="70" t="s">
        <v>4325</v>
      </c>
      <c r="C102" s="70" t="s">
        <v>494</v>
      </c>
      <c r="K102" s="55">
        <v>28</v>
      </c>
      <c r="L102">
        <v>91</v>
      </c>
    </row>
    <row r="103" spans="1:16">
      <c r="B103" s="70" t="s">
        <v>4324</v>
      </c>
      <c r="C103" s="70" t="s">
        <v>494</v>
      </c>
      <c r="K103" s="55">
        <v>29</v>
      </c>
      <c r="L103">
        <v>92</v>
      </c>
    </row>
    <row r="104" spans="1:16">
      <c r="B104" s="70" t="s">
        <v>4326</v>
      </c>
      <c r="C104" s="70" t="s">
        <v>494</v>
      </c>
      <c r="K104" s="55">
        <v>30</v>
      </c>
      <c r="L104">
        <v>8</v>
      </c>
    </row>
    <row r="105" spans="1:16">
      <c r="B105" s="62"/>
      <c r="C105" s="64"/>
      <c r="K105" s="55"/>
    </row>
    <row r="106" spans="1:16">
      <c r="A106" t="s">
        <v>4694</v>
      </c>
      <c r="B106" s="64" t="s">
        <v>4695</v>
      </c>
      <c r="C106" s="64" t="s">
        <v>494</v>
      </c>
      <c r="E106" t="s">
        <v>476</v>
      </c>
      <c r="K106" s="55"/>
    </row>
    <row r="107" spans="1:16">
      <c r="B107" s="64" t="s">
        <v>4696</v>
      </c>
      <c r="C107" s="64" t="s">
        <v>493</v>
      </c>
      <c r="D107">
        <v>50</v>
      </c>
      <c r="K107" s="55"/>
    </row>
    <row r="108" spans="1:16">
      <c r="B108" s="62"/>
      <c r="C108" s="64"/>
      <c r="K108" s="55"/>
    </row>
    <row r="109" spans="1:16">
      <c r="A109" s="62" t="s">
        <v>4446</v>
      </c>
      <c r="B109" s="64" t="s">
        <v>4447</v>
      </c>
      <c r="C109" s="64" t="s">
        <v>494</v>
      </c>
      <c r="E109" t="s">
        <v>476</v>
      </c>
      <c r="F109">
        <v>27</v>
      </c>
      <c r="G109">
        <v>2231</v>
      </c>
      <c r="H109" t="s">
        <v>4450</v>
      </c>
      <c r="I109" t="s">
        <v>4451</v>
      </c>
      <c r="J109">
        <v>2</v>
      </c>
      <c r="K109" s="55">
        <v>1</v>
      </c>
      <c r="L109">
        <v>6</v>
      </c>
    </row>
    <row r="110" spans="1:16">
      <c r="B110" s="64" t="s">
        <v>4448</v>
      </c>
      <c r="C110" s="64" t="s">
        <v>493</v>
      </c>
      <c r="D110">
        <v>100</v>
      </c>
      <c r="K110" s="55">
        <v>2</v>
      </c>
    </row>
    <row r="111" spans="1:16">
      <c r="B111" s="64" t="s">
        <v>4449</v>
      </c>
      <c r="C111" s="64" t="s">
        <v>494</v>
      </c>
      <c r="K111" s="55">
        <v>3</v>
      </c>
      <c r="L111">
        <v>3</v>
      </c>
      <c r="N111" s="1" t="s">
        <v>551</v>
      </c>
      <c r="O111" s="1" t="s">
        <v>552</v>
      </c>
      <c r="P111" s="1" t="s">
        <v>553</v>
      </c>
    </row>
    <row r="112" spans="1:16">
      <c r="B112" s="62"/>
      <c r="C112" s="64"/>
      <c r="K112" s="55"/>
    </row>
    <row r="113" spans="1:18">
      <c r="A113" t="s">
        <v>4452</v>
      </c>
      <c r="B113" s="62" t="s">
        <v>4453</v>
      </c>
      <c r="C113" s="64" t="s">
        <v>494</v>
      </c>
      <c r="E113" t="s">
        <v>476</v>
      </c>
      <c r="K113" s="55"/>
    </row>
    <row r="114" spans="1:18">
      <c r="B114" s="62" t="s">
        <v>4454</v>
      </c>
      <c r="C114" s="64" t="s">
        <v>493</v>
      </c>
      <c r="D114">
        <v>100</v>
      </c>
      <c r="K114" s="55"/>
    </row>
    <row r="115" spans="1:18">
      <c r="B115" s="62"/>
      <c r="C115" s="64"/>
      <c r="K115" s="55"/>
    </row>
    <row r="116" spans="1:18">
      <c r="A116" s="70" t="s">
        <v>3210</v>
      </c>
      <c r="B116" s="70" t="s">
        <v>3211</v>
      </c>
      <c r="C116" s="70" t="s">
        <v>494</v>
      </c>
      <c r="E116" s="62" t="s">
        <v>476</v>
      </c>
      <c r="F116">
        <v>27</v>
      </c>
      <c r="G116">
        <v>2233</v>
      </c>
      <c r="H116" t="s">
        <v>4456</v>
      </c>
      <c r="I116" t="s">
        <v>4461</v>
      </c>
      <c r="J116">
        <v>2203</v>
      </c>
      <c r="K116" s="55">
        <v>1</v>
      </c>
      <c r="L116">
        <v>8</v>
      </c>
    </row>
    <row r="117" spans="1:18">
      <c r="A117" s="94"/>
      <c r="B117" s="70" t="s">
        <v>3212</v>
      </c>
      <c r="C117" s="70" t="s">
        <v>494</v>
      </c>
      <c r="E117" s="62" t="s">
        <v>476</v>
      </c>
      <c r="K117" s="55">
        <v>2</v>
      </c>
      <c r="L117">
        <v>3</v>
      </c>
      <c r="M117" s="14">
        <v>31</v>
      </c>
      <c r="N117" s="62" t="s">
        <v>3655</v>
      </c>
      <c r="O117" s="62" t="s">
        <v>3648</v>
      </c>
      <c r="P117" s="62" t="s">
        <v>3657</v>
      </c>
      <c r="Q117" s="47" t="s">
        <v>3658</v>
      </c>
      <c r="R117" s="14">
        <v>4</v>
      </c>
    </row>
    <row r="118" spans="1:18">
      <c r="A118" s="94"/>
      <c r="B118" s="70" t="s">
        <v>3213</v>
      </c>
      <c r="C118" s="70" t="s">
        <v>494</v>
      </c>
      <c r="K118" s="55">
        <v>3</v>
      </c>
      <c r="L118">
        <v>6</v>
      </c>
    </row>
    <row r="119" spans="1:18">
      <c r="A119" s="94"/>
      <c r="B119" s="70" t="s">
        <v>3230</v>
      </c>
      <c r="C119" s="70" t="s">
        <v>494</v>
      </c>
      <c r="K119" s="55">
        <v>4</v>
      </c>
      <c r="L119">
        <v>3</v>
      </c>
      <c r="M119">
        <v>3</v>
      </c>
      <c r="N119" s="62" t="s">
        <v>3664</v>
      </c>
      <c r="O119" s="62" t="s">
        <v>3666</v>
      </c>
      <c r="P119" s="62" t="s">
        <v>3667</v>
      </c>
    </row>
    <row r="120" spans="1:18">
      <c r="A120" s="39"/>
      <c r="B120" s="67" t="s">
        <v>3231</v>
      </c>
      <c r="C120" s="70" t="s">
        <v>494</v>
      </c>
      <c r="D120" s="1"/>
      <c r="E120" s="1"/>
      <c r="F120" s="14"/>
      <c r="J120" s="14"/>
      <c r="K120" s="55">
        <v>5</v>
      </c>
      <c r="L120" s="15">
        <v>3</v>
      </c>
      <c r="M120" s="14"/>
      <c r="N120" s="62" t="s">
        <v>693</v>
      </c>
      <c r="O120" s="1" t="s">
        <v>695</v>
      </c>
      <c r="P120" s="1" t="s">
        <v>696</v>
      </c>
      <c r="Q120" s="62"/>
      <c r="R120" s="14"/>
    </row>
    <row r="121" spans="1:18">
      <c r="A121" s="39"/>
      <c r="B121" s="67" t="s">
        <v>3232</v>
      </c>
      <c r="C121" s="70" t="s">
        <v>494</v>
      </c>
      <c r="D121" s="1"/>
      <c r="E121" s="1"/>
      <c r="F121" s="14"/>
      <c r="J121" s="14"/>
      <c r="K121" s="55">
        <v>6</v>
      </c>
      <c r="L121" s="15">
        <v>3</v>
      </c>
      <c r="M121" s="14">
        <v>31</v>
      </c>
      <c r="N121" s="62" t="s">
        <v>379</v>
      </c>
      <c r="O121" s="62" t="s">
        <v>698</v>
      </c>
      <c r="P121" s="62" t="s">
        <v>699</v>
      </c>
      <c r="Q121" s="62" t="s">
        <v>383</v>
      </c>
      <c r="R121" s="14">
        <v>5</v>
      </c>
    </row>
    <row r="122" spans="1:18">
      <c r="B122" s="70" t="s">
        <v>4321</v>
      </c>
      <c r="C122" s="70" t="s">
        <v>702</v>
      </c>
      <c r="K122" s="55">
        <v>22</v>
      </c>
      <c r="M122">
        <v>1</v>
      </c>
    </row>
    <row r="123" spans="1:18">
      <c r="B123" s="70" t="s">
        <v>4393</v>
      </c>
      <c r="C123" s="70" t="s">
        <v>494</v>
      </c>
      <c r="K123" s="55">
        <v>23</v>
      </c>
      <c r="L123">
        <v>8</v>
      </c>
    </row>
    <row r="124" spans="1:18">
      <c r="B124" s="70" t="s">
        <v>4394</v>
      </c>
      <c r="C124" s="70" t="s">
        <v>494</v>
      </c>
      <c r="K124" s="55">
        <v>24</v>
      </c>
      <c r="L124">
        <v>7</v>
      </c>
    </row>
    <row r="125" spans="1:18">
      <c r="B125" s="70" t="s">
        <v>4327</v>
      </c>
      <c r="C125" s="70" t="s">
        <v>494</v>
      </c>
      <c r="H125" s="62" t="s">
        <v>4357</v>
      </c>
      <c r="K125" s="55">
        <v>25</v>
      </c>
      <c r="L125">
        <v>3</v>
      </c>
      <c r="M125">
        <v>1</v>
      </c>
      <c r="N125" t="s">
        <v>4452</v>
      </c>
      <c r="O125" s="62" t="s">
        <v>4453</v>
      </c>
      <c r="P125" s="62" t="s">
        <v>4454</v>
      </c>
    </row>
    <row r="126" spans="1:18">
      <c r="B126" s="70" t="s">
        <v>4322</v>
      </c>
      <c r="C126" s="70" t="s">
        <v>494</v>
      </c>
      <c r="K126" s="55">
        <v>26</v>
      </c>
      <c r="L126">
        <v>3</v>
      </c>
    </row>
    <row r="127" spans="1:18">
      <c r="B127" s="70" t="s">
        <v>4323</v>
      </c>
      <c r="C127" s="70" t="s">
        <v>494</v>
      </c>
      <c r="K127" s="55">
        <v>27</v>
      </c>
      <c r="L127">
        <v>7</v>
      </c>
    </row>
    <row r="128" spans="1:18">
      <c r="B128" s="70" t="s">
        <v>4325</v>
      </c>
      <c r="C128" s="70" t="s">
        <v>494</v>
      </c>
      <c r="K128" s="55">
        <v>28</v>
      </c>
      <c r="L128">
        <v>91</v>
      </c>
    </row>
    <row r="129" spans="2:13">
      <c r="B129" s="70" t="s">
        <v>4324</v>
      </c>
      <c r="C129" s="70" t="s">
        <v>494</v>
      </c>
      <c r="K129" s="55">
        <v>29</v>
      </c>
      <c r="L129">
        <v>92</v>
      </c>
    </row>
    <row r="130" spans="2:13">
      <c r="B130" s="70" t="s">
        <v>4326</v>
      </c>
      <c r="C130" s="70" t="s">
        <v>494</v>
      </c>
      <c r="K130" s="55">
        <v>30</v>
      </c>
      <c r="L130">
        <v>8</v>
      </c>
    </row>
    <row r="131" spans="2:13">
      <c r="B131" s="70" t="s">
        <v>4328</v>
      </c>
      <c r="C131" s="70" t="s">
        <v>494</v>
      </c>
      <c r="K131" s="55">
        <v>31</v>
      </c>
      <c r="L131">
        <v>8</v>
      </c>
    </row>
    <row r="132" spans="2:13">
      <c r="B132" s="70" t="s">
        <v>4329</v>
      </c>
      <c r="C132" s="70" t="s">
        <v>494</v>
      </c>
      <c r="K132" s="55">
        <v>32</v>
      </c>
      <c r="L132">
        <v>8</v>
      </c>
    </row>
    <row r="133" spans="2:13">
      <c r="B133" s="70" t="s">
        <v>4330</v>
      </c>
      <c r="C133" s="70" t="s">
        <v>494</v>
      </c>
      <c r="K133" s="55">
        <v>33</v>
      </c>
      <c r="L133">
        <v>8</v>
      </c>
    </row>
    <row r="134" spans="2:13">
      <c r="B134" s="70" t="s">
        <v>4331</v>
      </c>
      <c r="C134" s="70" t="s">
        <v>494</v>
      </c>
      <c r="K134" s="55">
        <v>34</v>
      </c>
      <c r="L134">
        <v>8</v>
      </c>
    </row>
    <row r="135" spans="2:13">
      <c r="B135" s="70" t="s">
        <v>4343</v>
      </c>
      <c r="C135" s="70" t="s">
        <v>494</v>
      </c>
      <c r="K135" s="55">
        <v>35</v>
      </c>
      <c r="L135">
        <v>91</v>
      </c>
    </row>
    <row r="136" spans="2:13">
      <c r="B136" s="70" t="s">
        <v>4344</v>
      </c>
      <c r="C136" s="70" t="s">
        <v>494</v>
      </c>
      <c r="K136" s="55">
        <v>36</v>
      </c>
      <c r="L136">
        <v>92</v>
      </c>
    </row>
    <row r="137" spans="2:13">
      <c r="B137" s="70" t="s">
        <v>4346</v>
      </c>
      <c r="C137" s="70" t="s">
        <v>702</v>
      </c>
      <c r="K137" s="55">
        <v>37</v>
      </c>
    </row>
    <row r="138" spans="2:13">
      <c r="B138" s="70" t="s">
        <v>4345</v>
      </c>
      <c r="C138" s="70" t="s">
        <v>702</v>
      </c>
      <c r="K138" s="55">
        <v>38</v>
      </c>
    </row>
    <row r="139" spans="2:13">
      <c r="B139" s="70" t="s">
        <v>4348</v>
      </c>
      <c r="C139" s="70" t="s">
        <v>702</v>
      </c>
      <c r="K139" s="55">
        <v>39</v>
      </c>
    </row>
    <row r="140" spans="2:13">
      <c r="B140" s="70" t="s">
        <v>4347</v>
      </c>
      <c r="C140" s="70" t="s">
        <v>702</v>
      </c>
      <c r="K140" s="55">
        <v>40</v>
      </c>
    </row>
    <row r="141" spans="2:13">
      <c r="B141" s="70" t="s">
        <v>4341</v>
      </c>
      <c r="C141" s="70" t="s">
        <v>494</v>
      </c>
      <c r="K141" s="55">
        <v>41</v>
      </c>
      <c r="L141">
        <v>7</v>
      </c>
    </row>
    <row r="142" spans="2:13">
      <c r="B142" s="70" t="s">
        <v>4342</v>
      </c>
      <c r="C142" s="70" t="s">
        <v>494</v>
      </c>
      <c r="K142" s="55">
        <v>42</v>
      </c>
    </row>
    <row r="143" spans="2:13">
      <c r="B143" s="70" t="s">
        <v>4340</v>
      </c>
      <c r="C143" s="70" t="s">
        <v>494</v>
      </c>
      <c r="K143" s="55">
        <v>43</v>
      </c>
    </row>
    <row r="144" spans="2:13">
      <c r="B144" s="70" t="s">
        <v>4358</v>
      </c>
      <c r="C144" s="70" t="s">
        <v>493</v>
      </c>
      <c r="D144">
        <v>50</v>
      </c>
      <c r="K144" s="55">
        <v>44</v>
      </c>
      <c r="M144">
        <v>1</v>
      </c>
    </row>
    <row r="145" spans="1:18">
      <c r="A145" s="1"/>
      <c r="B145" s="66"/>
      <c r="C145" s="64"/>
      <c r="D145" s="1"/>
      <c r="E145" s="1"/>
      <c r="F145" s="14"/>
      <c r="K145" s="55"/>
    </row>
    <row r="146" spans="1:18">
      <c r="A146" s="70" t="s">
        <v>3210</v>
      </c>
      <c r="B146" s="70" t="s">
        <v>3211</v>
      </c>
      <c r="C146" s="70" t="s">
        <v>494</v>
      </c>
      <c r="E146" s="62" t="s">
        <v>476</v>
      </c>
      <c r="F146">
        <v>27</v>
      </c>
      <c r="G146">
        <v>2234</v>
      </c>
      <c r="H146" t="s">
        <v>4457</v>
      </c>
      <c r="I146" t="s">
        <v>4462</v>
      </c>
      <c r="J146">
        <v>2203</v>
      </c>
      <c r="K146" s="55">
        <v>1</v>
      </c>
      <c r="L146">
        <v>8</v>
      </c>
    </row>
    <row r="147" spans="1:18">
      <c r="A147" s="94"/>
      <c r="B147" s="70" t="s">
        <v>3212</v>
      </c>
      <c r="C147" s="70" t="s">
        <v>494</v>
      </c>
      <c r="E147" s="62" t="s">
        <v>476</v>
      </c>
      <c r="K147" s="55">
        <v>2</v>
      </c>
      <c r="L147">
        <v>3</v>
      </c>
      <c r="M147" s="14">
        <v>31</v>
      </c>
      <c r="N147" s="62" t="s">
        <v>3655</v>
      </c>
      <c r="O147" s="62" t="s">
        <v>3648</v>
      </c>
      <c r="P147" s="62" t="s">
        <v>3657</v>
      </c>
      <c r="Q147" s="47" t="s">
        <v>3658</v>
      </c>
      <c r="R147" s="14">
        <v>4</v>
      </c>
    </row>
    <row r="148" spans="1:18">
      <c r="A148" s="94"/>
      <c r="B148" s="70" t="s">
        <v>3213</v>
      </c>
      <c r="C148" s="70" t="s">
        <v>494</v>
      </c>
      <c r="K148" s="55">
        <v>3</v>
      </c>
      <c r="L148">
        <v>6</v>
      </c>
    </row>
    <row r="149" spans="1:18">
      <c r="A149" s="94"/>
      <c r="B149" s="70" t="s">
        <v>3230</v>
      </c>
      <c r="C149" s="70" t="s">
        <v>494</v>
      </c>
      <c r="K149" s="55">
        <v>4</v>
      </c>
      <c r="L149">
        <v>3</v>
      </c>
      <c r="M149">
        <v>3</v>
      </c>
      <c r="N149" s="62" t="s">
        <v>3664</v>
      </c>
      <c r="O149" s="62" t="s">
        <v>3666</v>
      </c>
      <c r="P149" s="62" t="s">
        <v>3667</v>
      </c>
    </row>
    <row r="150" spans="1:18">
      <c r="A150" s="39"/>
      <c r="B150" s="67" t="s">
        <v>3231</v>
      </c>
      <c r="C150" s="70" t="s">
        <v>494</v>
      </c>
      <c r="D150" s="1"/>
      <c r="E150" s="1"/>
      <c r="F150" s="14"/>
      <c r="J150" s="14"/>
      <c r="K150" s="55">
        <v>5</v>
      </c>
      <c r="L150" s="15">
        <v>3</v>
      </c>
      <c r="M150" s="14"/>
      <c r="N150" s="62" t="s">
        <v>693</v>
      </c>
      <c r="O150" s="1" t="s">
        <v>695</v>
      </c>
      <c r="P150" s="1" t="s">
        <v>696</v>
      </c>
      <c r="Q150" s="62"/>
      <c r="R150" s="14"/>
    </row>
    <row r="151" spans="1:18">
      <c r="A151" s="39"/>
      <c r="B151" s="67" t="s">
        <v>3232</v>
      </c>
      <c r="C151" s="70" t="s">
        <v>494</v>
      </c>
      <c r="D151" s="1"/>
      <c r="E151" s="1"/>
      <c r="F151" s="14"/>
      <c r="J151" s="14"/>
      <c r="K151" s="55">
        <v>6</v>
      </c>
      <c r="L151" s="15">
        <v>3</v>
      </c>
      <c r="M151" s="14">
        <v>31</v>
      </c>
      <c r="N151" s="62" t="s">
        <v>379</v>
      </c>
      <c r="O151" s="62" t="s">
        <v>698</v>
      </c>
      <c r="P151" s="62" t="s">
        <v>699</v>
      </c>
      <c r="Q151" s="62" t="s">
        <v>383</v>
      </c>
      <c r="R151" s="14">
        <v>5</v>
      </c>
    </row>
    <row r="152" spans="1:18">
      <c r="A152" s="1"/>
      <c r="B152" s="66"/>
      <c r="C152" s="64"/>
      <c r="D152" s="1"/>
      <c r="E152" s="1"/>
      <c r="F152" s="14"/>
      <c r="K152" s="55"/>
    </row>
    <row r="153" spans="1:18">
      <c r="A153" s="70" t="s">
        <v>3210</v>
      </c>
      <c r="B153" s="70" t="s">
        <v>3211</v>
      </c>
      <c r="C153" s="70" t="s">
        <v>494</v>
      </c>
      <c r="E153" s="62" t="s">
        <v>476</v>
      </c>
      <c r="F153">
        <v>27</v>
      </c>
      <c r="G153">
        <v>2235</v>
      </c>
      <c r="H153" t="s">
        <v>4458</v>
      </c>
      <c r="I153" t="s">
        <v>4463</v>
      </c>
      <c r="J153">
        <v>2203</v>
      </c>
      <c r="K153" s="55">
        <v>1</v>
      </c>
      <c r="L153">
        <v>8</v>
      </c>
    </row>
    <row r="154" spans="1:18">
      <c r="A154" s="94"/>
      <c r="B154" s="70" t="s">
        <v>3212</v>
      </c>
      <c r="C154" s="70" t="s">
        <v>494</v>
      </c>
      <c r="E154" s="62" t="s">
        <v>476</v>
      </c>
      <c r="K154" s="55">
        <v>2</v>
      </c>
      <c r="L154">
        <v>3</v>
      </c>
      <c r="M154" s="14">
        <v>31</v>
      </c>
      <c r="N154" s="62" t="s">
        <v>3655</v>
      </c>
      <c r="O154" s="62" t="s">
        <v>3648</v>
      </c>
      <c r="P154" s="62" t="s">
        <v>3657</v>
      </c>
      <c r="Q154" s="47" t="s">
        <v>3658</v>
      </c>
      <c r="R154" s="14">
        <v>4</v>
      </c>
    </row>
    <row r="155" spans="1:18">
      <c r="A155" s="94"/>
      <c r="B155" s="70" t="s">
        <v>3213</v>
      </c>
      <c r="C155" s="70" t="s">
        <v>494</v>
      </c>
      <c r="K155" s="55">
        <v>3</v>
      </c>
      <c r="L155">
        <v>6</v>
      </c>
    </row>
    <row r="156" spans="1:18">
      <c r="A156" s="94"/>
      <c r="B156" s="70" t="s">
        <v>3230</v>
      </c>
      <c r="C156" s="70" t="s">
        <v>494</v>
      </c>
      <c r="K156" s="55">
        <v>4</v>
      </c>
      <c r="L156">
        <v>3</v>
      </c>
      <c r="M156">
        <v>3</v>
      </c>
      <c r="N156" s="62" t="s">
        <v>3664</v>
      </c>
      <c r="O156" s="62" t="s">
        <v>3666</v>
      </c>
      <c r="P156" s="62" t="s">
        <v>3667</v>
      </c>
    </row>
    <row r="157" spans="1:18">
      <c r="A157" s="39"/>
      <c r="B157" s="67" t="s">
        <v>3231</v>
      </c>
      <c r="C157" s="70" t="s">
        <v>494</v>
      </c>
      <c r="D157" s="1"/>
      <c r="E157" s="1"/>
      <c r="F157" s="14"/>
      <c r="J157" s="14"/>
      <c r="K157" s="55">
        <v>5</v>
      </c>
      <c r="L157" s="15">
        <v>3</v>
      </c>
      <c r="M157" s="14"/>
      <c r="N157" s="62" t="s">
        <v>693</v>
      </c>
      <c r="O157" s="1" t="s">
        <v>695</v>
      </c>
      <c r="P157" s="1" t="s">
        <v>696</v>
      </c>
      <c r="Q157" s="62"/>
      <c r="R157" s="14"/>
    </row>
    <row r="158" spans="1:18">
      <c r="A158" s="39"/>
      <c r="B158" s="67" t="s">
        <v>3232</v>
      </c>
      <c r="C158" s="70" t="s">
        <v>494</v>
      </c>
      <c r="D158" s="1"/>
      <c r="E158" s="1"/>
      <c r="F158" s="14"/>
      <c r="J158" s="14"/>
      <c r="K158" s="55">
        <v>6</v>
      </c>
      <c r="L158" s="15">
        <v>3</v>
      </c>
      <c r="M158" s="14">
        <v>31</v>
      </c>
      <c r="N158" s="62" t="s">
        <v>379</v>
      </c>
      <c r="O158" s="62" t="s">
        <v>698</v>
      </c>
      <c r="P158" s="62" t="s">
        <v>699</v>
      </c>
      <c r="Q158" s="62" t="s">
        <v>383</v>
      </c>
      <c r="R158" s="14">
        <v>5</v>
      </c>
    </row>
    <row r="159" spans="1:18">
      <c r="A159" s="1"/>
      <c r="B159" s="66"/>
      <c r="C159" s="64"/>
      <c r="D159" s="1"/>
      <c r="E159" s="1"/>
      <c r="F159" s="14"/>
      <c r="K159" s="55"/>
    </row>
    <row r="160" spans="1:18">
      <c r="A160" s="70" t="s">
        <v>3210</v>
      </c>
      <c r="B160" s="70" t="s">
        <v>3211</v>
      </c>
      <c r="C160" s="70" t="s">
        <v>494</v>
      </c>
      <c r="E160" s="62" t="s">
        <v>476</v>
      </c>
      <c r="F160">
        <v>27</v>
      </c>
      <c r="G160">
        <v>2236</v>
      </c>
      <c r="H160" t="s">
        <v>4459</v>
      </c>
      <c r="I160" t="s">
        <v>4464</v>
      </c>
      <c r="J160">
        <v>2203</v>
      </c>
      <c r="K160" s="55">
        <v>1</v>
      </c>
      <c r="L160">
        <v>8</v>
      </c>
    </row>
    <row r="161" spans="1:18">
      <c r="A161" s="94"/>
      <c r="B161" s="70" t="s">
        <v>3212</v>
      </c>
      <c r="C161" s="70" t="s">
        <v>494</v>
      </c>
      <c r="E161" s="62" t="s">
        <v>476</v>
      </c>
      <c r="K161" s="55">
        <v>2</v>
      </c>
      <c r="L161">
        <v>3</v>
      </c>
      <c r="M161" s="14">
        <v>31</v>
      </c>
      <c r="N161" s="62" t="s">
        <v>3655</v>
      </c>
      <c r="O161" s="62" t="s">
        <v>3648</v>
      </c>
      <c r="P161" s="62" t="s">
        <v>3657</v>
      </c>
      <c r="Q161" s="47" t="s">
        <v>3658</v>
      </c>
      <c r="R161" s="14">
        <v>4</v>
      </c>
    </row>
    <row r="162" spans="1:18">
      <c r="A162" s="94"/>
      <c r="B162" s="70" t="s">
        <v>3213</v>
      </c>
      <c r="C162" s="70" t="s">
        <v>494</v>
      </c>
      <c r="K162" s="55">
        <v>3</v>
      </c>
      <c r="L162">
        <v>6</v>
      </c>
    </row>
    <row r="163" spans="1:18">
      <c r="A163" s="94"/>
      <c r="B163" s="70" t="s">
        <v>3230</v>
      </c>
      <c r="C163" s="70" t="s">
        <v>494</v>
      </c>
      <c r="K163" s="55">
        <v>4</v>
      </c>
      <c r="L163">
        <v>3</v>
      </c>
      <c r="M163">
        <v>3</v>
      </c>
      <c r="N163" s="62" t="s">
        <v>3664</v>
      </c>
      <c r="O163" s="62" t="s">
        <v>3666</v>
      </c>
      <c r="P163" s="62" t="s">
        <v>3667</v>
      </c>
    </row>
    <row r="164" spans="1:18">
      <c r="A164" s="39"/>
      <c r="B164" s="67" t="s">
        <v>3231</v>
      </c>
      <c r="C164" s="70" t="s">
        <v>494</v>
      </c>
      <c r="D164" s="1"/>
      <c r="E164" s="1"/>
      <c r="F164" s="14"/>
      <c r="J164" s="14"/>
      <c r="K164" s="55">
        <v>5</v>
      </c>
      <c r="L164" s="15">
        <v>3</v>
      </c>
      <c r="M164" s="14"/>
      <c r="N164" s="62" t="s">
        <v>693</v>
      </c>
      <c r="O164" s="1" t="s">
        <v>695</v>
      </c>
      <c r="P164" s="1" t="s">
        <v>696</v>
      </c>
      <c r="Q164" s="62"/>
      <c r="R164" s="14"/>
    </row>
    <row r="165" spans="1:18">
      <c r="A165" s="39"/>
      <c r="B165" s="67" t="s">
        <v>3232</v>
      </c>
      <c r="C165" s="70" t="s">
        <v>494</v>
      </c>
      <c r="D165" s="1"/>
      <c r="E165" s="1"/>
      <c r="F165" s="14"/>
      <c r="J165" s="14"/>
      <c r="K165" s="55">
        <v>6</v>
      </c>
      <c r="L165" s="15">
        <v>3</v>
      </c>
      <c r="M165" s="14">
        <v>31</v>
      </c>
      <c r="N165" s="62" t="s">
        <v>379</v>
      </c>
      <c r="O165" s="62" t="s">
        <v>698</v>
      </c>
      <c r="P165" s="62" t="s">
        <v>699</v>
      </c>
      <c r="Q165" s="62" t="s">
        <v>383</v>
      </c>
      <c r="R165" s="14">
        <v>5</v>
      </c>
    </row>
    <row r="166" spans="1:18">
      <c r="A166" s="1"/>
      <c r="B166" s="66"/>
      <c r="C166" s="64"/>
      <c r="D166" s="1"/>
      <c r="E166" s="1"/>
      <c r="F166" s="14"/>
      <c r="K166" s="55"/>
    </row>
    <row r="167" spans="1:18">
      <c r="A167" s="70" t="s">
        <v>3210</v>
      </c>
      <c r="B167" s="70" t="s">
        <v>3211</v>
      </c>
      <c r="C167" s="70" t="s">
        <v>494</v>
      </c>
      <c r="E167" s="62" t="s">
        <v>476</v>
      </c>
      <c r="F167">
        <v>27</v>
      </c>
      <c r="G167">
        <v>2237</v>
      </c>
      <c r="H167" t="s">
        <v>4460</v>
      </c>
      <c r="I167" t="s">
        <v>4465</v>
      </c>
      <c r="J167">
        <v>2203</v>
      </c>
      <c r="K167" s="55">
        <v>1</v>
      </c>
      <c r="L167">
        <v>8</v>
      </c>
    </row>
    <row r="168" spans="1:18">
      <c r="A168" s="94"/>
      <c r="B168" s="70" t="s">
        <v>3212</v>
      </c>
      <c r="C168" s="70" t="s">
        <v>494</v>
      </c>
      <c r="E168" s="62" t="s">
        <v>476</v>
      </c>
      <c r="K168" s="55">
        <v>2</v>
      </c>
      <c r="L168">
        <v>3</v>
      </c>
      <c r="M168" s="14">
        <v>31</v>
      </c>
      <c r="N168" s="62" t="s">
        <v>3655</v>
      </c>
      <c r="O168" s="62" t="s">
        <v>3648</v>
      </c>
      <c r="P168" s="62" t="s">
        <v>3657</v>
      </c>
      <c r="Q168" s="47" t="s">
        <v>3658</v>
      </c>
      <c r="R168" s="14">
        <v>4</v>
      </c>
    </row>
    <row r="169" spans="1:18">
      <c r="A169" s="94"/>
      <c r="B169" s="70" t="s">
        <v>3213</v>
      </c>
      <c r="C169" s="70" t="s">
        <v>494</v>
      </c>
      <c r="K169" s="55">
        <v>3</v>
      </c>
      <c r="L169">
        <v>6</v>
      </c>
    </row>
    <row r="170" spans="1:18">
      <c r="A170" s="94"/>
      <c r="B170" s="70" t="s">
        <v>3230</v>
      </c>
      <c r="C170" s="70" t="s">
        <v>494</v>
      </c>
      <c r="K170" s="55">
        <v>4</v>
      </c>
      <c r="L170">
        <v>3</v>
      </c>
      <c r="M170">
        <v>3</v>
      </c>
      <c r="N170" s="62" t="s">
        <v>3664</v>
      </c>
      <c r="O170" s="62" t="s">
        <v>3666</v>
      </c>
      <c r="P170" s="62" t="s">
        <v>3667</v>
      </c>
    </row>
    <row r="171" spans="1:18">
      <c r="A171" s="39"/>
      <c r="B171" s="67" t="s">
        <v>3231</v>
      </c>
      <c r="C171" s="70" t="s">
        <v>494</v>
      </c>
      <c r="D171" s="1"/>
      <c r="E171" s="1"/>
      <c r="F171" s="14"/>
      <c r="J171" s="14"/>
      <c r="K171" s="55">
        <v>5</v>
      </c>
      <c r="L171" s="15">
        <v>3</v>
      </c>
      <c r="M171" s="14"/>
      <c r="N171" s="62" t="s">
        <v>693</v>
      </c>
      <c r="O171" s="1" t="s">
        <v>695</v>
      </c>
      <c r="P171" s="1" t="s">
        <v>696</v>
      </c>
      <c r="Q171" s="62"/>
      <c r="R171" s="14"/>
    </row>
    <row r="172" spans="1:18">
      <c r="A172" s="39"/>
      <c r="B172" s="67" t="s">
        <v>3232</v>
      </c>
      <c r="C172" s="70" t="s">
        <v>494</v>
      </c>
      <c r="D172" s="1"/>
      <c r="E172" s="1"/>
      <c r="F172" s="14"/>
      <c r="J172" s="14"/>
      <c r="K172" s="55">
        <v>6</v>
      </c>
      <c r="L172" s="15">
        <v>3</v>
      </c>
      <c r="M172" s="14">
        <v>31</v>
      </c>
      <c r="N172" s="62" t="s">
        <v>379</v>
      </c>
      <c r="O172" s="62" t="s">
        <v>698</v>
      </c>
      <c r="P172" s="62" t="s">
        <v>699</v>
      </c>
      <c r="Q172" s="62" t="s">
        <v>383</v>
      </c>
      <c r="R172" s="14">
        <v>5</v>
      </c>
    </row>
    <row r="173" spans="1:18">
      <c r="A173" s="1"/>
      <c r="B173" s="66"/>
      <c r="C173" s="64"/>
      <c r="D173" s="1"/>
      <c r="E173" s="1"/>
      <c r="F173" s="14"/>
      <c r="K173" s="55"/>
    </row>
    <row r="174" spans="1:18">
      <c r="A174" s="62" t="s">
        <v>4466</v>
      </c>
      <c r="B174" s="66" t="s">
        <v>4467</v>
      </c>
      <c r="C174" s="64" t="s">
        <v>494</v>
      </c>
      <c r="E174" t="s">
        <v>476</v>
      </c>
      <c r="F174">
        <v>27</v>
      </c>
      <c r="G174">
        <v>2238</v>
      </c>
      <c r="H174" t="s">
        <v>4471</v>
      </c>
      <c r="I174" t="s">
        <v>4474</v>
      </c>
      <c r="J174">
        <v>2</v>
      </c>
      <c r="K174" s="55">
        <v>1</v>
      </c>
      <c r="L174">
        <v>6</v>
      </c>
      <c r="N174" s="1"/>
      <c r="O174" s="1"/>
      <c r="P174" s="1"/>
    </row>
    <row r="175" spans="1:18">
      <c r="B175" s="66" t="s">
        <v>4468</v>
      </c>
      <c r="C175" s="64" t="s">
        <v>493</v>
      </c>
      <c r="D175">
        <v>100</v>
      </c>
      <c r="K175" s="55">
        <v>2</v>
      </c>
      <c r="N175" s="1"/>
      <c r="O175" s="1"/>
      <c r="P175" s="1"/>
    </row>
    <row r="176" spans="1:18">
      <c r="B176" s="66" t="s">
        <v>4469</v>
      </c>
      <c r="C176" s="64" t="s">
        <v>702</v>
      </c>
      <c r="H176" t="s">
        <v>4472</v>
      </c>
      <c r="K176" s="55">
        <v>3</v>
      </c>
      <c r="N176" s="1"/>
      <c r="O176" s="1"/>
      <c r="P176" s="1"/>
    </row>
    <row r="177" spans="1:18">
      <c r="B177" s="66" t="s">
        <v>4470</v>
      </c>
      <c r="C177" s="64" t="s">
        <v>493</v>
      </c>
      <c r="D177">
        <v>1</v>
      </c>
      <c r="K177" s="55">
        <v>4</v>
      </c>
      <c r="L177">
        <v>3</v>
      </c>
      <c r="N177" s="1"/>
      <c r="O177" s="1"/>
      <c r="P177" s="1"/>
    </row>
    <row r="178" spans="1:18">
      <c r="B178" s="66" t="s">
        <v>4473</v>
      </c>
      <c r="C178" s="64" t="s">
        <v>494</v>
      </c>
      <c r="K178" s="55">
        <v>5</v>
      </c>
      <c r="L178">
        <v>3</v>
      </c>
      <c r="N178" s="62" t="s">
        <v>4360</v>
      </c>
      <c r="O178" s="62" t="s">
        <v>4335</v>
      </c>
      <c r="P178" s="62" t="s">
        <v>4361</v>
      </c>
    </row>
    <row r="179" spans="1:18">
      <c r="B179" s="66"/>
      <c r="C179" s="64"/>
      <c r="K179" s="55"/>
      <c r="N179" s="62"/>
      <c r="O179" s="62"/>
      <c r="P179" s="62"/>
    </row>
    <row r="180" spans="1:18">
      <c r="A180" s="92" t="s">
        <v>4549</v>
      </c>
      <c r="B180" s="92" t="s">
        <v>4552</v>
      </c>
      <c r="C180" s="92" t="s">
        <v>494</v>
      </c>
      <c r="E180" s="62" t="s">
        <v>476</v>
      </c>
      <c r="F180" s="92">
        <v>27</v>
      </c>
      <c r="G180" s="92">
        <v>2239</v>
      </c>
      <c r="H180" s="92" t="s">
        <v>4550</v>
      </c>
      <c r="I180" s="92" t="s">
        <v>4551</v>
      </c>
      <c r="J180">
        <v>2201</v>
      </c>
      <c r="K180" s="55">
        <v>1</v>
      </c>
      <c r="L180">
        <v>8</v>
      </c>
    </row>
    <row r="181" spans="1:18">
      <c r="A181" s="92"/>
      <c r="B181" s="92" t="s">
        <v>4553</v>
      </c>
      <c r="C181" s="92" t="s">
        <v>494</v>
      </c>
      <c r="E181" s="62" t="s">
        <v>476</v>
      </c>
      <c r="K181" s="55">
        <v>2</v>
      </c>
      <c r="L181">
        <v>3</v>
      </c>
      <c r="M181" s="14">
        <v>31</v>
      </c>
      <c r="N181" s="62" t="s">
        <v>3655</v>
      </c>
      <c r="O181" s="62" t="s">
        <v>3648</v>
      </c>
      <c r="P181" s="62" t="s">
        <v>3657</v>
      </c>
      <c r="Q181" s="47" t="s">
        <v>3658</v>
      </c>
    </row>
    <row r="182" spans="1:18">
      <c r="A182" s="92"/>
      <c r="B182" s="92" t="s">
        <v>4554</v>
      </c>
      <c r="C182" s="92" t="s">
        <v>494</v>
      </c>
      <c r="K182" s="55">
        <v>3</v>
      </c>
      <c r="L182">
        <v>6</v>
      </c>
    </row>
    <row r="183" spans="1:18">
      <c r="A183" s="92"/>
      <c r="B183" s="92" t="s">
        <v>4555</v>
      </c>
      <c r="C183" s="92" t="s">
        <v>494</v>
      </c>
      <c r="H183" s="62" t="s">
        <v>4558</v>
      </c>
      <c r="K183" s="55">
        <v>4</v>
      </c>
      <c r="L183">
        <v>3</v>
      </c>
      <c r="M183">
        <v>3</v>
      </c>
      <c r="N183" s="62" t="s">
        <v>3664</v>
      </c>
      <c r="O183" s="62" t="s">
        <v>3666</v>
      </c>
      <c r="P183" s="62" t="s">
        <v>3667</v>
      </c>
    </row>
    <row r="184" spans="1:18">
      <c r="A184" s="92"/>
      <c r="B184" s="105" t="s">
        <v>4556</v>
      </c>
      <c r="C184" s="93" t="s">
        <v>494</v>
      </c>
      <c r="D184" s="1"/>
      <c r="E184" s="1"/>
      <c r="F184" s="14"/>
      <c r="G184" s="14"/>
      <c r="H184" s="14"/>
      <c r="I184" s="11"/>
      <c r="J184" s="14"/>
      <c r="K184" s="55">
        <v>5</v>
      </c>
      <c r="L184" s="15">
        <v>3</v>
      </c>
      <c r="M184" s="14"/>
      <c r="N184" s="62" t="s">
        <v>693</v>
      </c>
      <c r="O184" s="1" t="s">
        <v>695</v>
      </c>
      <c r="P184" s="1" t="s">
        <v>696</v>
      </c>
      <c r="Q184" s="62"/>
    </row>
    <row r="185" spans="1:18">
      <c r="A185" s="92"/>
      <c r="B185" s="105" t="s">
        <v>4557</v>
      </c>
      <c r="C185" s="93" t="s">
        <v>494</v>
      </c>
      <c r="D185" s="1"/>
      <c r="E185" s="1"/>
      <c r="F185" s="14"/>
      <c r="G185" s="14"/>
      <c r="H185" s="14"/>
      <c r="I185" s="11"/>
      <c r="J185" s="14"/>
      <c r="K185" s="55">
        <v>6</v>
      </c>
      <c r="L185" s="15">
        <v>3</v>
      </c>
      <c r="M185" s="14">
        <v>31</v>
      </c>
      <c r="N185" s="62" t="s">
        <v>379</v>
      </c>
      <c r="O185" s="62" t="s">
        <v>698</v>
      </c>
      <c r="P185" s="62" t="s">
        <v>699</v>
      </c>
      <c r="Q185" s="62" t="s">
        <v>383</v>
      </c>
    </row>
    <row r="186" spans="1:18">
      <c r="B186" s="66"/>
      <c r="C186" s="64"/>
      <c r="K186" s="55"/>
      <c r="N186" s="62"/>
      <c r="O186" s="62"/>
      <c r="P186" s="62"/>
    </row>
    <row r="187" spans="1:18" s="1" customFormat="1">
      <c r="A187" s="70" t="s">
        <v>551</v>
      </c>
      <c r="B187" s="70" t="s">
        <v>552</v>
      </c>
      <c r="C187" s="1" t="s">
        <v>494</v>
      </c>
      <c r="E187" s="1" t="s">
        <v>476</v>
      </c>
      <c r="F187" s="14">
        <v>27</v>
      </c>
      <c r="G187" s="14">
        <v>2791</v>
      </c>
      <c r="H187" s="14" t="s">
        <v>525</v>
      </c>
      <c r="I187" s="11" t="s">
        <v>650</v>
      </c>
      <c r="J187" s="14">
        <v>2</v>
      </c>
      <c r="K187" s="16">
        <v>1</v>
      </c>
      <c r="L187" s="15"/>
      <c r="M187" s="14"/>
      <c r="N187" s="14"/>
      <c r="O187" s="14"/>
      <c r="P187" s="14"/>
    </row>
    <row r="188" spans="1:18" s="62" customFormat="1">
      <c r="I188" s="22"/>
      <c r="K188" s="57"/>
      <c r="L188" s="76"/>
      <c r="O188" s="60"/>
      <c r="P188" s="60"/>
    </row>
    <row r="189" spans="1:18" s="3" customFormat="1">
      <c r="A189" s="62" t="s">
        <v>4245</v>
      </c>
      <c r="B189" s="62" t="s">
        <v>563</v>
      </c>
      <c r="C189" s="62" t="s">
        <v>494</v>
      </c>
      <c r="D189" s="62"/>
      <c r="E189" s="62"/>
      <c r="F189" s="62">
        <v>27</v>
      </c>
      <c r="G189" s="62">
        <v>2792</v>
      </c>
      <c r="H189" s="62" t="s">
        <v>473</v>
      </c>
      <c r="I189" s="62" t="s">
        <v>998</v>
      </c>
      <c r="J189" s="62">
        <v>1</v>
      </c>
      <c r="K189" s="76">
        <v>1</v>
      </c>
      <c r="L189" s="75"/>
      <c r="M189" s="62"/>
      <c r="N189" s="62"/>
      <c r="O189" s="62"/>
      <c r="P189" s="62"/>
      <c r="Q189" s="12"/>
      <c r="R189" s="12"/>
    </row>
    <row r="190" spans="1:18" s="3" customFormat="1">
      <c r="A190" s="62"/>
      <c r="B190" s="62"/>
      <c r="C190" s="62"/>
      <c r="D190" s="62"/>
      <c r="E190" s="62"/>
      <c r="F190" s="62"/>
      <c r="G190" s="62"/>
      <c r="H190" s="62"/>
      <c r="I190" s="62"/>
      <c r="J190" s="62"/>
      <c r="K190" s="76"/>
      <c r="L190" s="75"/>
      <c r="M190" s="62"/>
      <c r="N190" s="62"/>
      <c r="O190" s="62"/>
      <c r="P190" s="62"/>
      <c r="Q190" s="12"/>
      <c r="R190" s="12"/>
    </row>
    <row r="191" spans="1:18">
      <c r="A191" s="62" t="s">
        <v>5251</v>
      </c>
      <c r="B191" s="62" t="s">
        <v>5252</v>
      </c>
      <c r="C191" s="62" t="s">
        <v>494</v>
      </c>
      <c r="E191" s="62" t="s">
        <v>476</v>
      </c>
      <c r="F191">
        <v>27</v>
      </c>
      <c r="G191">
        <v>2793</v>
      </c>
      <c r="H191" s="62" t="s">
        <v>2920</v>
      </c>
      <c r="I191" s="62" t="s">
        <v>5253</v>
      </c>
      <c r="J191">
        <v>2</v>
      </c>
      <c r="K191">
        <v>1</v>
      </c>
      <c r="L191">
        <v>6</v>
      </c>
    </row>
    <row r="192" spans="1:18">
      <c r="B192" s="62" t="s">
        <v>5254</v>
      </c>
      <c r="C192" s="62" t="s">
        <v>494</v>
      </c>
      <c r="K192">
        <v>2</v>
      </c>
      <c r="L192">
        <v>3</v>
      </c>
      <c r="N192" t="s">
        <v>2495</v>
      </c>
      <c r="O192" s="62" t="s">
        <v>2497</v>
      </c>
      <c r="P192" s="62" t="s">
        <v>2500</v>
      </c>
    </row>
  </sheetData>
  <pageMargins left="0.7" right="0.7" top="0.75" bottom="0.75" header="0.3" footer="0.3"/>
  <pageSetup orientation="portrait" horizontalDpi="1200" verticalDpi="1200" r:id="rId1"/>
  <legacyDrawing r:id="rId2"/>
</worksheet>
</file>

<file path=xl/worksheets/sheet20.xml><?xml version="1.0" encoding="utf-8"?>
<worksheet xmlns="http://schemas.openxmlformats.org/spreadsheetml/2006/main" xmlns:r="http://schemas.openxmlformats.org/officeDocument/2006/relationships">
  <sheetPr>
    <tabColor rgb="FFFFC000"/>
  </sheetPr>
  <dimension ref="A1:R39"/>
  <sheetViews>
    <sheetView workbookViewId="0">
      <pane ySplit="1" topLeftCell="A2" activePane="bottomLeft" state="frozenSplit"/>
      <selection pane="bottomLeft" activeCell="A8" sqref="A8:XFD12"/>
    </sheetView>
  </sheetViews>
  <sheetFormatPr baseColWidth="10" defaultRowHeight="12.75"/>
  <cols>
    <col min="1" max="1" width="13" bestFit="1" customWidth="1"/>
    <col min="2" max="2" width="17.140625" bestFit="1" customWidth="1"/>
    <col min="4" max="4" width="4" bestFit="1" customWidth="1"/>
    <col min="5" max="5" width="2.140625" customWidth="1"/>
    <col min="6" max="6" width="4.5703125" bestFit="1" customWidth="1"/>
    <col min="7" max="7" width="7.7109375" bestFit="1" customWidth="1"/>
    <col min="8" max="8" width="32.42578125" bestFit="1" customWidth="1"/>
    <col min="9" max="9" width="20" bestFit="1" customWidth="1"/>
    <col min="10" max="10" width="6.85546875" customWidth="1"/>
    <col min="11" max="11" width="3.42578125" customWidth="1"/>
    <col min="12" max="12" width="4.140625" customWidth="1"/>
    <col min="13" max="13" width="4.7109375" customWidth="1"/>
    <col min="14" max="14" width="18.42578125" bestFit="1" customWidth="1"/>
    <col min="15" max="15" width="10" customWidth="1"/>
    <col min="16" max="16" width="14.5703125" bestFit="1" customWidth="1"/>
    <col min="17" max="17" width="16.5703125" customWidth="1"/>
  </cols>
  <sheetData>
    <row r="1" spans="1:18" s="3" customFormat="1">
      <c r="A1" s="3" t="s">
        <v>6754</v>
      </c>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5242</v>
      </c>
      <c r="B2" s="66" t="s">
        <v>5243</v>
      </c>
      <c r="C2" s="62" t="s">
        <v>494</v>
      </c>
      <c r="E2" s="62" t="s">
        <v>476</v>
      </c>
      <c r="F2">
        <v>28</v>
      </c>
      <c r="G2">
        <v>2801</v>
      </c>
      <c r="H2" s="62" t="s">
        <v>5241</v>
      </c>
      <c r="I2" s="62" t="s">
        <v>3184</v>
      </c>
      <c r="J2">
        <v>2801</v>
      </c>
      <c r="K2">
        <v>1</v>
      </c>
    </row>
    <row r="3" spans="1:18" s="62" customFormat="1">
      <c r="B3" s="66"/>
      <c r="I3" s="22"/>
      <c r="K3" s="76"/>
      <c r="L3" s="32"/>
    </row>
    <row r="4" spans="1:18" s="62" customFormat="1">
      <c r="A4" s="62" t="s">
        <v>5244</v>
      </c>
      <c r="B4" s="66" t="s">
        <v>541</v>
      </c>
      <c r="C4" s="62" t="s">
        <v>494</v>
      </c>
      <c r="E4" s="62" t="s">
        <v>476</v>
      </c>
      <c r="F4" s="62">
        <v>28</v>
      </c>
      <c r="G4" s="62">
        <v>2802</v>
      </c>
      <c r="H4" s="62" t="s">
        <v>5245</v>
      </c>
      <c r="I4" s="22" t="s">
        <v>5246</v>
      </c>
      <c r="J4" s="62">
        <v>2801</v>
      </c>
      <c r="K4" s="62">
        <v>1</v>
      </c>
      <c r="L4" s="32"/>
    </row>
    <row r="5" spans="1:18" s="62" customFormat="1">
      <c r="B5" s="66"/>
      <c r="I5" s="22"/>
      <c r="L5" s="32"/>
    </row>
    <row r="6" spans="1:18" s="62" customFormat="1">
      <c r="B6" s="66"/>
      <c r="F6" s="62">
        <v>28</v>
      </c>
      <c r="G6" s="62">
        <v>2803</v>
      </c>
      <c r="H6" s="75" t="s">
        <v>6855</v>
      </c>
      <c r="I6" s="22" t="s">
        <v>6856</v>
      </c>
      <c r="J6" s="62">
        <v>2802</v>
      </c>
      <c r="K6" s="62">
        <v>1</v>
      </c>
      <c r="L6" s="32"/>
    </row>
    <row r="7" spans="1:18" s="62" customFormat="1">
      <c r="B7" s="66"/>
      <c r="I7" s="22"/>
      <c r="K7"/>
      <c r="L7" s="68"/>
    </row>
    <row r="8" spans="1:18" s="1" customFormat="1">
      <c r="A8" s="70" t="s">
        <v>975</v>
      </c>
      <c r="B8" s="67" t="s">
        <v>976</v>
      </c>
      <c r="C8" s="39" t="s">
        <v>494</v>
      </c>
      <c r="F8" s="14">
        <v>28</v>
      </c>
      <c r="G8" s="14">
        <v>2804</v>
      </c>
      <c r="H8" s="47" t="s">
        <v>6853</v>
      </c>
      <c r="I8" s="48" t="s">
        <v>6854</v>
      </c>
      <c r="J8" s="14">
        <v>2201</v>
      </c>
      <c r="K8" s="16">
        <v>1</v>
      </c>
      <c r="L8" s="15">
        <v>3</v>
      </c>
      <c r="M8" s="14"/>
      <c r="N8" s="64" t="s">
        <v>506</v>
      </c>
      <c r="O8" s="64" t="s">
        <v>514</v>
      </c>
      <c r="P8" s="1" t="s">
        <v>515</v>
      </c>
      <c r="Q8" s="14"/>
      <c r="R8" s="14"/>
    </row>
    <row r="9" spans="1:18" s="1" customFormat="1">
      <c r="A9" s="39"/>
      <c r="B9" s="67" t="s">
        <v>977</v>
      </c>
      <c r="C9" s="39" t="s">
        <v>494</v>
      </c>
      <c r="F9" s="14"/>
      <c r="G9" s="14"/>
      <c r="H9" s="14"/>
      <c r="I9" s="11"/>
      <c r="J9" s="14"/>
      <c r="K9" s="16">
        <v>2</v>
      </c>
      <c r="L9" s="15">
        <v>3</v>
      </c>
      <c r="M9" s="14">
        <v>31</v>
      </c>
      <c r="N9" s="1" t="s">
        <v>1038</v>
      </c>
      <c r="O9" s="23" t="s">
        <v>1040</v>
      </c>
      <c r="P9" s="23" t="s">
        <v>1041</v>
      </c>
      <c r="Q9" s="60" t="s">
        <v>1040</v>
      </c>
      <c r="R9" s="14">
        <v>1</v>
      </c>
    </row>
    <row r="10" spans="1:18" s="1" customFormat="1">
      <c r="A10" s="39"/>
      <c r="B10" s="67" t="s">
        <v>280</v>
      </c>
      <c r="C10" s="39" t="s">
        <v>494</v>
      </c>
      <c r="F10" s="14"/>
      <c r="G10" s="14"/>
      <c r="H10" s="14"/>
      <c r="I10" s="11"/>
      <c r="J10" s="14"/>
      <c r="K10" s="16">
        <v>3</v>
      </c>
      <c r="L10" s="15">
        <v>3</v>
      </c>
      <c r="M10" s="14"/>
      <c r="N10" s="1" t="s">
        <v>3664</v>
      </c>
      <c r="O10" s="23" t="s">
        <v>3666</v>
      </c>
      <c r="P10" s="23" t="s">
        <v>3667</v>
      </c>
      <c r="Q10" s="14"/>
      <c r="R10" s="14"/>
    </row>
    <row r="11" spans="1:18" s="1" customFormat="1">
      <c r="A11" s="39"/>
      <c r="B11" s="67" t="s">
        <v>6857</v>
      </c>
      <c r="C11" s="70" t="s">
        <v>494</v>
      </c>
      <c r="F11" s="14"/>
      <c r="G11" s="14"/>
      <c r="H11" s="14"/>
      <c r="I11" s="11"/>
      <c r="J11" s="14"/>
      <c r="K11" s="16">
        <v>4</v>
      </c>
      <c r="L11" s="15">
        <v>3</v>
      </c>
      <c r="M11" s="14"/>
      <c r="N11" s="62" t="s">
        <v>693</v>
      </c>
      <c r="O11" s="1" t="s">
        <v>695</v>
      </c>
      <c r="P11" s="1" t="s">
        <v>696</v>
      </c>
      <c r="Q11" s="14"/>
      <c r="R11" s="14"/>
    </row>
    <row r="12" spans="1:18" s="1" customFormat="1">
      <c r="A12" s="39"/>
      <c r="B12" s="67" t="s">
        <v>978</v>
      </c>
      <c r="C12" s="39" t="s">
        <v>494</v>
      </c>
      <c r="F12" s="14"/>
      <c r="G12" s="14"/>
      <c r="H12" s="14"/>
      <c r="I12" s="11"/>
      <c r="J12" s="14"/>
      <c r="K12" s="16">
        <v>5</v>
      </c>
      <c r="L12" s="15">
        <v>3</v>
      </c>
      <c r="M12" s="14">
        <v>31</v>
      </c>
      <c r="N12" s="1" t="s">
        <v>379</v>
      </c>
      <c r="O12" s="62" t="s">
        <v>698</v>
      </c>
      <c r="P12" s="62" t="s">
        <v>699</v>
      </c>
      <c r="Q12" s="62" t="s">
        <v>383</v>
      </c>
      <c r="R12" s="14">
        <v>4</v>
      </c>
    </row>
    <row r="13" spans="1:18" s="62" customFormat="1">
      <c r="B13" s="66"/>
      <c r="I13" s="22"/>
      <c r="K13" s="76"/>
      <c r="L13" s="32"/>
    </row>
    <row r="14" spans="1:18" s="62" customFormat="1">
      <c r="B14" s="66"/>
      <c r="I14" s="22"/>
      <c r="K14"/>
      <c r="L14" s="32"/>
      <c r="N14"/>
    </row>
    <row r="15" spans="1:18" s="62" customFormat="1">
      <c r="B15" s="66"/>
      <c r="I15" s="22"/>
      <c r="K15"/>
      <c r="L15" s="32"/>
    </row>
    <row r="16" spans="1:18" s="62" customFormat="1">
      <c r="B16" s="66"/>
      <c r="I16" s="22"/>
      <c r="K16" s="76"/>
      <c r="L16" s="32"/>
    </row>
    <row r="17" spans="1:17" s="62" customFormat="1">
      <c r="B17" s="66"/>
      <c r="I17" s="22"/>
      <c r="K17"/>
      <c r="L17" s="32"/>
    </row>
    <row r="18" spans="1:17" s="62" customFormat="1">
      <c r="B18" s="66"/>
      <c r="I18" s="22"/>
      <c r="K18"/>
      <c r="L18" s="32"/>
    </row>
    <row r="19" spans="1:17" s="62" customFormat="1">
      <c r="B19" s="66"/>
      <c r="I19" s="22"/>
      <c r="K19" s="76"/>
      <c r="L19" s="32"/>
    </row>
    <row r="20" spans="1:17" s="62" customFormat="1">
      <c r="B20" s="66"/>
      <c r="I20" s="22"/>
      <c r="K20"/>
      <c r="L20" s="32"/>
    </row>
    <row r="21" spans="1:17" s="62" customFormat="1">
      <c r="B21" s="66"/>
      <c r="I21" s="22"/>
      <c r="K21"/>
      <c r="L21" s="32"/>
    </row>
    <row r="22" spans="1:17" s="62" customFormat="1">
      <c r="B22" s="66"/>
      <c r="I22" s="22"/>
      <c r="K22" s="76"/>
      <c r="L22" s="32"/>
    </row>
    <row r="23" spans="1:17" s="62" customFormat="1">
      <c r="B23" s="66"/>
      <c r="I23" s="22"/>
      <c r="K23"/>
      <c r="L23" s="32"/>
    </row>
    <row r="24" spans="1:17">
      <c r="B24" s="66"/>
      <c r="C24" s="64"/>
      <c r="K24" s="55"/>
      <c r="N24" s="1"/>
      <c r="O24" s="1"/>
      <c r="P24" s="1"/>
    </row>
    <row r="25" spans="1:17">
      <c r="B25" s="66"/>
      <c r="C25" s="64"/>
      <c r="K25" s="55"/>
      <c r="N25" s="1"/>
      <c r="O25" s="1"/>
      <c r="P25" s="1"/>
    </row>
    <row r="26" spans="1:17">
      <c r="B26" s="66"/>
      <c r="C26" s="64"/>
      <c r="K26" s="55"/>
      <c r="N26" s="1"/>
      <c r="O26" s="1"/>
      <c r="P26" s="1"/>
    </row>
    <row r="27" spans="1:17">
      <c r="B27" s="66"/>
      <c r="C27" s="64"/>
      <c r="K27" s="55"/>
      <c r="N27" s="62"/>
      <c r="O27" s="62"/>
      <c r="P27" s="62"/>
    </row>
    <row r="28" spans="1:17">
      <c r="B28" s="66"/>
      <c r="C28" s="64"/>
      <c r="K28" s="55"/>
      <c r="N28" s="62"/>
      <c r="O28" s="62"/>
      <c r="P28" s="62"/>
    </row>
    <row r="29" spans="1:17">
      <c r="A29" s="62"/>
      <c r="B29" s="62"/>
      <c r="C29" s="62"/>
      <c r="E29" s="62"/>
      <c r="F29" s="92"/>
      <c r="G29" s="92"/>
      <c r="H29" s="92"/>
      <c r="I29" s="92"/>
      <c r="K29" s="55"/>
    </row>
    <row r="30" spans="1:17">
      <c r="B30" s="62"/>
      <c r="C30" s="62"/>
      <c r="E30" s="62"/>
      <c r="K30" s="55"/>
      <c r="M30" s="14"/>
      <c r="N30" s="62"/>
      <c r="O30" s="62"/>
      <c r="P30" s="62"/>
      <c r="Q30" s="47"/>
    </row>
    <row r="31" spans="1:17">
      <c r="B31" s="62"/>
      <c r="C31" s="62"/>
      <c r="K31" s="55"/>
    </row>
    <row r="32" spans="1:17">
      <c r="B32" s="62"/>
      <c r="C32" s="62"/>
      <c r="H32" s="62"/>
      <c r="K32" s="55"/>
      <c r="N32" s="62"/>
      <c r="O32" s="62"/>
      <c r="P32" s="62"/>
    </row>
    <row r="33" spans="1:18">
      <c r="B33" s="66"/>
      <c r="C33" s="64"/>
      <c r="D33" s="1"/>
      <c r="E33" s="1"/>
      <c r="F33" s="14"/>
      <c r="G33" s="14"/>
      <c r="H33" s="14"/>
      <c r="I33" s="11"/>
      <c r="J33" s="14"/>
      <c r="K33" s="55"/>
      <c r="L33" s="15"/>
      <c r="M33" s="14"/>
      <c r="N33" s="62"/>
      <c r="O33" s="1"/>
      <c r="P33" s="1"/>
      <c r="Q33" s="62"/>
    </row>
    <row r="34" spans="1:18">
      <c r="B34" s="66"/>
      <c r="C34" s="64"/>
      <c r="D34" s="1"/>
      <c r="E34" s="1"/>
      <c r="F34" s="14"/>
      <c r="G34" s="14"/>
      <c r="H34" s="14"/>
      <c r="I34" s="11"/>
      <c r="J34" s="14"/>
      <c r="K34" s="55"/>
      <c r="L34" s="15"/>
      <c r="M34" s="14"/>
      <c r="N34" s="62"/>
      <c r="O34" s="62"/>
      <c r="P34" s="62"/>
      <c r="Q34" s="62"/>
    </row>
    <row r="35" spans="1:18">
      <c r="B35" s="66"/>
      <c r="C35" s="64"/>
      <c r="K35" s="55"/>
      <c r="N35" s="62"/>
      <c r="O35" s="62"/>
      <c r="P35" s="62"/>
    </row>
    <row r="36" spans="1:18" s="1" customFormat="1">
      <c r="A36" s="70"/>
      <c r="B36" s="70"/>
      <c r="F36" s="14"/>
      <c r="G36" s="14"/>
      <c r="H36" s="14"/>
      <c r="I36" s="11"/>
      <c r="J36" s="14"/>
      <c r="K36" s="16"/>
      <c r="L36" s="15"/>
      <c r="M36" s="14"/>
      <c r="N36" s="14"/>
      <c r="O36" s="14"/>
      <c r="P36" s="14"/>
    </row>
    <row r="37" spans="1:18" s="62" customFormat="1">
      <c r="I37" s="22"/>
      <c r="K37" s="57"/>
      <c r="L37" s="76"/>
      <c r="O37" s="60"/>
      <c r="P37" s="60"/>
    </row>
    <row r="38" spans="1:18" s="3" customFormat="1">
      <c r="A38" s="62"/>
      <c r="B38" s="62"/>
      <c r="C38" s="62"/>
      <c r="D38" s="62"/>
      <c r="E38" s="62"/>
      <c r="F38" s="62"/>
      <c r="G38" s="62"/>
      <c r="H38" s="62"/>
      <c r="I38" s="62"/>
      <c r="J38" s="62"/>
      <c r="K38" s="76"/>
      <c r="L38" s="75"/>
      <c r="M38" s="62"/>
      <c r="N38" s="62"/>
      <c r="O38" s="62"/>
      <c r="P38" s="62"/>
      <c r="Q38" s="12"/>
      <c r="R38" s="12"/>
    </row>
    <row r="39" spans="1:18" s="3" customFormat="1">
      <c r="A39" s="62"/>
      <c r="B39" s="62"/>
      <c r="C39" s="62"/>
      <c r="D39" s="62"/>
      <c r="E39" s="62"/>
      <c r="F39" s="62"/>
      <c r="G39" s="62"/>
      <c r="H39" s="62"/>
      <c r="I39" s="62"/>
      <c r="J39" s="62"/>
      <c r="K39" s="76"/>
      <c r="L39" s="75"/>
      <c r="M39" s="62"/>
      <c r="N39" s="62"/>
      <c r="O39" s="62"/>
      <c r="P39" s="62"/>
      <c r="Q39" s="12"/>
      <c r="R39" s="12"/>
    </row>
  </sheetData>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sheetPr>
    <tabColor rgb="FFFFC000"/>
  </sheetPr>
  <dimension ref="A1:R151"/>
  <sheetViews>
    <sheetView workbookViewId="0">
      <pane ySplit="1" topLeftCell="A77" activePane="bottomLeft" state="frozenSplit"/>
      <selection activeCell="E1" sqref="E1"/>
      <selection pane="bottomLeft" sqref="A1:XFD1"/>
    </sheetView>
  </sheetViews>
  <sheetFormatPr baseColWidth="10" defaultRowHeight="12.75"/>
  <cols>
    <col min="1" max="2" width="20.140625" bestFit="1" customWidth="1"/>
    <col min="3" max="3" width="7.42578125" bestFit="1" customWidth="1"/>
    <col min="5" max="5" width="3.140625" customWidth="1"/>
    <col min="6" max="6" width="4.5703125" bestFit="1" customWidth="1"/>
    <col min="7" max="7" width="7.7109375" bestFit="1" customWidth="1"/>
    <col min="8" max="8" width="22.5703125" bestFit="1" customWidth="1"/>
    <col min="9" max="9" width="20.7109375" bestFit="1" customWidth="1"/>
    <col min="11" max="11" width="3.140625" customWidth="1"/>
    <col min="12" max="12" width="4" customWidth="1"/>
    <col min="13" max="13" width="4.140625" customWidth="1"/>
    <col min="14" max="14" width="20" customWidth="1"/>
    <col min="15" max="15" width="8.5703125" customWidth="1"/>
    <col min="16" max="16" width="14.5703125" bestFit="1" customWidth="1"/>
    <col min="17" max="17" width="11.140625" customWidth="1"/>
    <col min="18" max="18" width="6.425781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t="s">
        <v>5712</v>
      </c>
      <c r="B2" t="s">
        <v>5713</v>
      </c>
      <c r="C2" t="s">
        <v>494</v>
      </c>
      <c r="E2" t="s">
        <v>476</v>
      </c>
      <c r="F2">
        <v>29</v>
      </c>
      <c r="G2" t="s">
        <v>5714</v>
      </c>
      <c r="H2" t="s">
        <v>5715</v>
      </c>
      <c r="I2" t="s">
        <v>5716</v>
      </c>
      <c r="J2">
        <v>2901</v>
      </c>
      <c r="K2">
        <v>1</v>
      </c>
      <c r="L2">
        <v>3</v>
      </c>
      <c r="N2" t="s">
        <v>5717</v>
      </c>
      <c r="O2" t="s">
        <v>5718</v>
      </c>
      <c r="P2" s="114" t="s">
        <v>5855</v>
      </c>
      <c r="R2">
        <v>2908</v>
      </c>
    </row>
    <row r="3" spans="1:18">
      <c r="B3" t="s">
        <v>5719</v>
      </c>
      <c r="C3" t="s">
        <v>494</v>
      </c>
      <c r="E3" t="s">
        <v>476</v>
      </c>
      <c r="K3">
        <v>2</v>
      </c>
      <c r="L3">
        <v>8</v>
      </c>
    </row>
    <row r="4" spans="1:18">
      <c r="B4" t="s">
        <v>5720</v>
      </c>
      <c r="C4" t="s">
        <v>494</v>
      </c>
      <c r="K4">
        <v>3</v>
      </c>
      <c r="L4">
        <v>6</v>
      </c>
    </row>
    <row r="5" spans="1:18">
      <c r="B5" t="s">
        <v>5721</v>
      </c>
      <c r="C5" t="s">
        <v>494</v>
      </c>
      <c r="K5">
        <v>4</v>
      </c>
      <c r="L5">
        <v>7</v>
      </c>
    </row>
    <row r="6" spans="1:18">
      <c r="B6" t="s">
        <v>5722</v>
      </c>
      <c r="C6" t="s">
        <v>493</v>
      </c>
      <c r="D6">
        <v>30</v>
      </c>
      <c r="K6">
        <v>5</v>
      </c>
    </row>
    <row r="7" spans="1:18">
      <c r="B7" t="s">
        <v>5723</v>
      </c>
      <c r="C7" t="s">
        <v>493</v>
      </c>
      <c r="D7">
        <v>30</v>
      </c>
      <c r="K7">
        <v>6</v>
      </c>
    </row>
    <row r="8" spans="1:18">
      <c r="B8" t="s">
        <v>5724</v>
      </c>
      <c r="C8" t="s">
        <v>493</v>
      </c>
      <c r="D8">
        <v>30</v>
      </c>
      <c r="K8">
        <v>7</v>
      </c>
    </row>
    <row r="9" spans="1:18">
      <c r="B9" t="s">
        <v>5725</v>
      </c>
      <c r="C9" t="s">
        <v>493</v>
      </c>
      <c r="D9">
        <v>50</v>
      </c>
      <c r="K9">
        <v>8</v>
      </c>
    </row>
    <row r="10" spans="1:18">
      <c r="B10" t="s">
        <v>5726</v>
      </c>
      <c r="C10" t="s">
        <v>494</v>
      </c>
      <c r="K10">
        <v>9</v>
      </c>
      <c r="L10">
        <v>3</v>
      </c>
      <c r="N10" t="s">
        <v>5727</v>
      </c>
      <c r="O10" t="s">
        <v>5728</v>
      </c>
      <c r="P10" t="s">
        <v>5753</v>
      </c>
      <c r="R10">
        <v>2902</v>
      </c>
    </row>
    <row r="11" spans="1:18">
      <c r="B11" t="s">
        <v>5729</v>
      </c>
      <c r="C11" t="s">
        <v>494</v>
      </c>
      <c r="K11">
        <v>10</v>
      </c>
      <c r="L11">
        <v>3</v>
      </c>
      <c r="N11" s="7" t="s">
        <v>5856</v>
      </c>
      <c r="O11" t="s">
        <v>5857</v>
      </c>
      <c r="P11" t="s">
        <v>5858</v>
      </c>
      <c r="R11">
        <v>2916</v>
      </c>
    </row>
    <row r="12" spans="1:18">
      <c r="B12" t="s">
        <v>5732</v>
      </c>
      <c r="C12" t="s">
        <v>493</v>
      </c>
      <c r="D12">
        <v>250</v>
      </c>
      <c r="K12">
        <v>11</v>
      </c>
    </row>
    <row r="13" spans="1:18">
      <c r="B13" t="s">
        <v>5733</v>
      </c>
      <c r="C13" t="s">
        <v>494</v>
      </c>
      <c r="K13">
        <v>12</v>
      </c>
      <c r="L13">
        <v>3</v>
      </c>
      <c r="N13" t="s">
        <v>5734</v>
      </c>
      <c r="O13" t="s">
        <v>5735</v>
      </c>
      <c r="P13" t="s">
        <v>5763</v>
      </c>
      <c r="R13">
        <v>2904</v>
      </c>
    </row>
    <row r="14" spans="1:18">
      <c r="B14" t="s">
        <v>5736</v>
      </c>
      <c r="C14" t="s">
        <v>494</v>
      </c>
      <c r="K14">
        <v>13</v>
      </c>
      <c r="L14">
        <v>3</v>
      </c>
      <c r="N14" t="s">
        <v>5737</v>
      </c>
      <c r="O14" t="s">
        <v>5738</v>
      </c>
      <c r="P14" t="s">
        <v>5768</v>
      </c>
      <c r="R14">
        <v>2905</v>
      </c>
    </row>
    <row r="15" spans="1:18">
      <c r="B15" t="s">
        <v>5739</v>
      </c>
      <c r="C15" t="s">
        <v>494</v>
      </c>
      <c r="K15">
        <v>14</v>
      </c>
      <c r="L15">
        <v>3</v>
      </c>
      <c r="N15" t="s">
        <v>5740</v>
      </c>
      <c r="O15" t="s">
        <v>5741</v>
      </c>
      <c r="P15" t="s">
        <v>5773</v>
      </c>
      <c r="R15">
        <v>2506</v>
      </c>
    </row>
    <row r="16" spans="1:18">
      <c r="B16" t="s">
        <v>5742</v>
      </c>
      <c r="C16" t="s">
        <v>494</v>
      </c>
      <c r="K16">
        <v>15</v>
      </c>
      <c r="L16">
        <v>7</v>
      </c>
    </row>
    <row r="17" spans="1:18">
      <c r="B17" t="s">
        <v>5743</v>
      </c>
      <c r="C17" t="s">
        <v>494</v>
      </c>
      <c r="K17">
        <v>16</v>
      </c>
      <c r="L17">
        <v>7</v>
      </c>
    </row>
    <row r="18" spans="1:18">
      <c r="B18" t="s">
        <v>5744</v>
      </c>
      <c r="C18" t="s">
        <v>494</v>
      </c>
      <c r="K18">
        <v>17</v>
      </c>
      <c r="L18">
        <v>3</v>
      </c>
      <c r="N18" t="s">
        <v>5745</v>
      </c>
      <c r="O18" t="s">
        <v>5746</v>
      </c>
      <c r="P18" t="s">
        <v>5778</v>
      </c>
      <c r="R18">
        <v>2907</v>
      </c>
    </row>
    <row r="19" spans="1:18">
      <c r="B19" t="s">
        <v>5747</v>
      </c>
      <c r="C19" t="s">
        <v>494</v>
      </c>
      <c r="K19">
        <v>18</v>
      </c>
      <c r="L19">
        <v>7</v>
      </c>
    </row>
    <row r="20" spans="1:18">
      <c r="B20" t="s">
        <v>5748</v>
      </c>
      <c r="C20" t="s">
        <v>494</v>
      </c>
      <c r="K20">
        <v>19</v>
      </c>
    </row>
    <row r="21" spans="1:18">
      <c r="B21" t="s">
        <v>5859</v>
      </c>
      <c r="C21" t="s">
        <v>494</v>
      </c>
      <c r="K21">
        <v>20</v>
      </c>
      <c r="L21">
        <v>3</v>
      </c>
      <c r="N21" t="s">
        <v>5860</v>
      </c>
      <c r="O21" t="s">
        <v>5861</v>
      </c>
      <c r="P21" t="s">
        <v>5862</v>
      </c>
    </row>
    <row r="23" spans="1:18">
      <c r="A23" s="102" t="s">
        <v>5727</v>
      </c>
      <c r="B23" s="102" t="s">
        <v>5749</v>
      </c>
      <c r="C23" s="102" t="s">
        <v>494</v>
      </c>
      <c r="D23" s="102"/>
      <c r="E23" s="102" t="s">
        <v>476</v>
      </c>
      <c r="F23" s="102">
        <v>29</v>
      </c>
      <c r="G23" s="102" t="s">
        <v>5750</v>
      </c>
      <c r="H23" s="102" t="s">
        <v>5751</v>
      </c>
      <c r="I23" s="102" t="s">
        <v>5752</v>
      </c>
      <c r="J23" s="102">
        <v>2</v>
      </c>
      <c r="K23" s="102">
        <v>1</v>
      </c>
      <c r="L23" s="102">
        <v>6</v>
      </c>
      <c r="M23" s="102"/>
      <c r="N23" s="102"/>
      <c r="O23" s="102"/>
      <c r="P23" s="102"/>
      <c r="Q23" s="102"/>
      <c r="R23" s="102"/>
    </row>
    <row r="24" spans="1:18">
      <c r="A24" s="102"/>
      <c r="B24" s="102" t="s">
        <v>5728</v>
      </c>
      <c r="C24" s="102" t="s">
        <v>494</v>
      </c>
      <c r="D24" s="102"/>
      <c r="E24" s="102"/>
      <c r="F24" s="102"/>
      <c r="G24" s="102"/>
      <c r="H24" s="102"/>
      <c r="I24" s="102"/>
      <c r="J24" s="102"/>
      <c r="K24" s="102">
        <v>2</v>
      </c>
      <c r="L24" s="102">
        <v>6</v>
      </c>
      <c r="M24" s="102"/>
      <c r="N24" s="102"/>
      <c r="O24" s="102"/>
      <c r="P24" s="102"/>
      <c r="Q24" s="102"/>
      <c r="R24" s="102"/>
    </row>
    <row r="25" spans="1:18">
      <c r="A25" s="102"/>
      <c r="B25" s="102" t="s">
        <v>5753</v>
      </c>
      <c r="C25" s="102" t="s">
        <v>493</v>
      </c>
      <c r="D25" s="102">
        <v>250</v>
      </c>
      <c r="E25" s="102"/>
      <c r="F25" s="102"/>
      <c r="G25" s="102"/>
      <c r="H25" s="102"/>
      <c r="I25" s="102"/>
      <c r="J25" s="102"/>
      <c r="K25" s="102">
        <v>3</v>
      </c>
      <c r="L25" s="102"/>
      <c r="M25" s="102"/>
      <c r="N25" s="102"/>
      <c r="O25" s="102"/>
      <c r="P25" s="102"/>
      <c r="Q25" s="102"/>
      <c r="R25" s="102"/>
    </row>
    <row r="26" spans="1:18">
      <c r="A26" s="102"/>
      <c r="B26" s="102" t="s">
        <v>5754</v>
      </c>
      <c r="C26" s="102" t="s">
        <v>494</v>
      </c>
      <c r="D26" s="102"/>
      <c r="E26" s="102"/>
      <c r="F26" s="102"/>
      <c r="G26" s="102"/>
      <c r="H26" s="102"/>
      <c r="I26" s="102"/>
      <c r="J26" s="102"/>
      <c r="K26" s="102">
        <v>4</v>
      </c>
      <c r="L26" s="102">
        <v>3</v>
      </c>
      <c r="M26" s="102"/>
      <c r="N26" s="102" t="s">
        <v>3655</v>
      </c>
      <c r="O26" s="102" t="s">
        <v>3648</v>
      </c>
      <c r="P26" s="102" t="s">
        <v>3657</v>
      </c>
      <c r="Q26" s="102"/>
      <c r="R26" s="102">
        <v>2209</v>
      </c>
    </row>
    <row r="27" spans="1:18">
      <c r="A27" s="102"/>
      <c r="B27" s="102" t="s">
        <v>5863</v>
      </c>
      <c r="C27" s="102" t="s">
        <v>493</v>
      </c>
      <c r="D27" s="102">
        <v>1</v>
      </c>
      <c r="E27" s="102"/>
      <c r="F27" s="102"/>
      <c r="G27" s="102"/>
      <c r="H27" s="102"/>
      <c r="I27" s="102"/>
      <c r="J27" s="102"/>
      <c r="K27" s="102">
        <v>5</v>
      </c>
      <c r="L27" s="102">
        <v>3</v>
      </c>
      <c r="M27" s="102"/>
      <c r="N27" s="102"/>
      <c r="O27" s="102"/>
      <c r="P27" s="102"/>
      <c r="Q27" s="102"/>
      <c r="R27" s="102"/>
    </row>
    <row r="28" spans="1:18">
      <c r="A28" s="102"/>
      <c r="B28" s="102"/>
      <c r="C28" s="102"/>
      <c r="D28" s="102"/>
      <c r="E28" s="102"/>
      <c r="F28" s="102"/>
      <c r="G28" s="102"/>
      <c r="H28" s="102"/>
      <c r="I28" s="102"/>
      <c r="J28" s="102"/>
      <c r="K28" s="102"/>
      <c r="L28" s="102"/>
      <c r="M28" s="102"/>
      <c r="N28" s="102"/>
      <c r="O28" s="102"/>
      <c r="P28" s="102"/>
      <c r="Q28" s="102"/>
      <c r="R28" s="102"/>
    </row>
    <row r="29" spans="1:18">
      <c r="A29" s="102" t="s">
        <v>5734</v>
      </c>
      <c r="B29" s="102" t="s">
        <v>5759</v>
      </c>
      <c r="C29" s="102" t="s">
        <v>494</v>
      </c>
      <c r="D29" s="102"/>
      <c r="E29" s="102" t="s">
        <v>476</v>
      </c>
      <c r="F29" s="102">
        <v>29</v>
      </c>
      <c r="G29" s="102" t="s">
        <v>5760</v>
      </c>
      <c r="H29" s="102" t="s">
        <v>5761</v>
      </c>
      <c r="I29" s="102" t="s">
        <v>5762</v>
      </c>
      <c r="J29" s="102">
        <v>2</v>
      </c>
      <c r="K29" s="102">
        <v>1</v>
      </c>
      <c r="L29" s="102">
        <v>6</v>
      </c>
      <c r="M29" s="102"/>
      <c r="N29" s="102"/>
      <c r="O29" s="102"/>
      <c r="P29" s="102"/>
      <c r="Q29" s="102"/>
      <c r="R29" s="102"/>
    </row>
    <row r="30" spans="1:18">
      <c r="A30" s="102"/>
      <c r="B30" s="102" t="s">
        <v>5735</v>
      </c>
      <c r="C30" s="102" t="s">
        <v>494</v>
      </c>
      <c r="D30" s="102"/>
      <c r="E30" s="102"/>
      <c r="F30" s="102"/>
      <c r="G30" s="102"/>
      <c r="H30" s="102"/>
      <c r="I30" s="102"/>
      <c r="J30" s="102"/>
      <c r="K30" s="102">
        <v>2</v>
      </c>
      <c r="L30" s="102">
        <v>6</v>
      </c>
      <c r="M30" s="102"/>
      <c r="N30" s="102"/>
      <c r="O30" s="102"/>
      <c r="P30" s="102"/>
      <c r="Q30" s="102"/>
      <c r="R30" s="102"/>
    </row>
    <row r="31" spans="1:18">
      <c r="A31" s="102"/>
      <c r="B31" s="102" t="s">
        <v>5763</v>
      </c>
      <c r="C31" s="102" t="s">
        <v>493</v>
      </c>
      <c r="D31" s="102">
        <v>250</v>
      </c>
      <c r="E31" s="102"/>
      <c r="F31" s="102"/>
      <c r="G31" s="102"/>
      <c r="H31" s="102"/>
      <c r="I31" s="102"/>
      <c r="J31" s="102"/>
      <c r="K31" s="102">
        <v>3</v>
      </c>
      <c r="L31" s="102"/>
      <c r="M31" s="102"/>
      <c r="N31" s="102"/>
      <c r="O31" s="102"/>
      <c r="P31" s="102"/>
      <c r="Q31" s="102"/>
      <c r="R31" s="102"/>
    </row>
    <row r="32" spans="1:18">
      <c r="A32" s="102"/>
      <c r="B32" s="102" t="s">
        <v>5864</v>
      </c>
      <c r="C32" s="102" t="s">
        <v>493</v>
      </c>
      <c r="D32" s="102">
        <v>1</v>
      </c>
      <c r="E32" s="102"/>
      <c r="F32" s="102"/>
      <c r="G32" s="102"/>
      <c r="H32" s="102"/>
      <c r="I32" s="102"/>
      <c r="J32" s="102"/>
      <c r="K32" s="102">
        <v>4</v>
      </c>
      <c r="L32" s="102">
        <v>3</v>
      </c>
      <c r="M32" s="102"/>
      <c r="N32" s="102"/>
      <c r="O32" s="102"/>
      <c r="P32" s="102"/>
      <c r="Q32" s="102"/>
      <c r="R32" s="102"/>
    </row>
    <row r="33" spans="1:18">
      <c r="A33" s="102"/>
      <c r="B33" s="102"/>
      <c r="C33" s="102"/>
      <c r="D33" s="102"/>
      <c r="E33" s="102"/>
      <c r="F33" s="102"/>
      <c r="G33" s="102"/>
      <c r="H33" s="102"/>
      <c r="I33" s="102"/>
      <c r="J33" s="102"/>
      <c r="K33" s="102"/>
      <c r="L33" s="102"/>
      <c r="M33" s="102"/>
      <c r="N33" s="102"/>
      <c r="O33" s="102"/>
      <c r="P33" s="102"/>
      <c r="Q33" s="102"/>
      <c r="R33" s="102"/>
    </row>
    <row r="34" spans="1:18">
      <c r="A34" s="102" t="s">
        <v>5737</v>
      </c>
      <c r="B34" s="102" t="s">
        <v>5764</v>
      </c>
      <c r="C34" s="102" t="s">
        <v>494</v>
      </c>
      <c r="D34" s="102"/>
      <c r="E34" s="102" t="s">
        <v>476</v>
      </c>
      <c r="F34" s="102">
        <v>29</v>
      </c>
      <c r="G34" s="102" t="s">
        <v>5765</v>
      </c>
      <c r="H34" s="102" t="s">
        <v>5766</v>
      </c>
      <c r="I34" s="102" t="s">
        <v>5767</v>
      </c>
      <c r="J34" s="102">
        <v>2</v>
      </c>
      <c r="K34" s="102">
        <v>1</v>
      </c>
      <c r="L34" s="102">
        <v>6</v>
      </c>
      <c r="M34" s="102"/>
      <c r="N34" s="102"/>
      <c r="O34" s="102"/>
      <c r="P34" s="102"/>
      <c r="Q34" s="102"/>
      <c r="R34" s="102"/>
    </row>
    <row r="35" spans="1:18">
      <c r="A35" s="102"/>
      <c r="B35" s="102" t="s">
        <v>5738</v>
      </c>
      <c r="C35" s="102" t="s">
        <v>494</v>
      </c>
      <c r="D35" s="102"/>
      <c r="E35" s="102"/>
      <c r="F35" s="102"/>
      <c r="G35" s="102"/>
      <c r="H35" s="102"/>
      <c r="I35" s="102"/>
      <c r="J35" s="102"/>
      <c r="K35" s="102">
        <v>2</v>
      </c>
      <c r="L35" s="102">
        <v>6</v>
      </c>
      <c r="M35" s="102"/>
      <c r="N35" s="102"/>
      <c r="O35" s="102"/>
      <c r="P35" s="102"/>
      <c r="Q35" s="102"/>
      <c r="R35" s="102"/>
    </row>
    <row r="36" spans="1:18">
      <c r="A36" s="102"/>
      <c r="B36" s="102" t="s">
        <v>5768</v>
      </c>
      <c r="C36" s="102" t="s">
        <v>493</v>
      </c>
      <c r="D36" s="102">
        <v>250</v>
      </c>
      <c r="E36" s="102"/>
      <c r="F36" s="102"/>
      <c r="G36" s="102"/>
      <c r="H36" s="102"/>
      <c r="I36" s="102"/>
      <c r="J36" s="102"/>
      <c r="K36" s="102">
        <v>3</v>
      </c>
      <c r="L36" s="102"/>
      <c r="M36" s="102"/>
      <c r="N36" s="102"/>
      <c r="O36" s="102"/>
      <c r="P36" s="102"/>
      <c r="Q36" s="102"/>
      <c r="R36" s="102"/>
    </row>
    <row r="37" spans="1:18">
      <c r="A37" s="102"/>
      <c r="B37" s="102" t="s">
        <v>5865</v>
      </c>
      <c r="C37" s="102" t="s">
        <v>493</v>
      </c>
      <c r="D37" s="102">
        <v>1</v>
      </c>
      <c r="E37" s="102"/>
      <c r="F37" s="102"/>
      <c r="G37" s="102"/>
      <c r="H37" s="102"/>
      <c r="I37" s="102"/>
      <c r="J37" s="102"/>
      <c r="K37" s="102">
        <v>4</v>
      </c>
      <c r="L37" s="102">
        <v>3</v>
      </c>
      <c r="M37" s="102"/>
      <c r="N37" s="102"/>
      <c r="O37" s="102"/>
      <c r="P37" s="102"/>
      <c r="Q37" s="102"/>
      <c r="R37" s="102"/>
    </row>
    <row r="38" spans="1:18">
      <c r="A38" s="102"/>
      <c r="B38" s="102"/>
      <c r="C38" s="102"/>
      <c r="D38" s="102"/>
      <c r="E38" s="102"/>
      <c r="F38" s="102"/>
      <c r="G38" s="102"/>
      <c r="H38" s="102"/>
      <c r="I38" s="102"/>
      <c r="J38" s="102"/>
      <c r="K38" s="102"/>
      <c r="L38" s="102"/>
      <c r="M38" s="102"/>
      <c r="N38" s="102"/>
      <c r="O38" s="102"/>
      <c r="P38" s="102"/>
      <c r="Q38" s="102"/>
      <c r="R38" s="102"/>
    </row>
    <row r="39" spans="1:18">
      <c r="A39" s="102" t="s">
        <v>5740</v>
      </c>
      <c r="B39" s="102" t="s">
        <v>5769</v>
      </c>
      <c r="C39" s="102" t="s">
        <v>494</v>
      </c>
      <c r="D39" s="102"/>
      <c r="E39" s="102" t="s">
        <v>476</v>
      </c>
      <c r="F39" s="102">
        <v>29</v>
      </c>
      <c r="G39" s="102" t="s">
        <v>5770</v>
      </c>
      <c r="H39" s="102" t="s">
        <v>5771</v>
      </c>
      <c r="I39" s="102" t="s">
        <v>5772</v>
      </c>
      <c r="J39" s="102">
        <v>2</v>
      </c>
      <c r="K39" s="102">
        <v>1</v>
      </c>
      <c r="L39" s="102">
        <v>6</v>
      </c>
      <c r="M39" s="102"/>
      <c r="N39" s="102"/>
      <c r="O39" s="102"/>
      <c r="P39" s="102"/>
      <c r="Q39" s="102"/>
      <c r="R39" s="102"/>
    </row>
    <row r="40" spans="1:18">
      <c r="A40" s="102"/>
      <c r="B40" s="102" t="s">
        <v>5741</v>
      </c>
      <c r="C40" s="102" t="s">
        <v>494</v>
      </c>
      <c r="D40" s="102"/>
      <c r="E40" s="102"/>
      <c r="F40" s="102"/>
      <c r="G40" s="102"/>
      <c r="H40" s="102"/>
      <c r="I40" s="102"/>
      <c r="J40" s="102"/>
      <c r="K40" s="102">
        <v>2</v>
      </c>
      <c r="L40" s="102">
        <v>6</v>
      </c>
      <c r="M40" s="102"/>
      <c r="N40" s="102"/>
      <c r="O40" s="102"/>
      <c r="P40" s="102"/>
      <c r="Q40" s="102"/>
      <c r="R40" s="102"/>
    </row>
    <row r="41" spans="1:18">
      <c r="A41" s="102"/>
      <c r="B41" s="102" t="s">
        <v>5773</v>
      </c>
      <c r="C41" s="102" t="s">
        <v>493</v>
      </c>
      <c r="D41" s="102">
        <v>250</v>
      </c>
      <c r="E41" s="102"/>
      <c r="F41" s="102"/>
      <c r="G41" s="102"/>
      <c r="H41" s="102"/>
      <c r="I41" s="102"/>
      <c r="J41" s="102"/>
      <c r="K41" s="102">
        <v>3</v>
      </c>
      <c r="L41" s="102"/>
      <c r="M41" s="102"/>
      <c r="N41" s="102"/>
      <c r="O41" s="102"/>
      <c r="P41" s="102"/>
      <c r="Q41" s="102"/>
      <c r="R41" s="102"/>
    </row>
    <row r="42" spans="1:18">
      <c r="A42" s="102"/>
      <c r="B42" s="102" t="s">
        <v>5866</v>
      </c>
      <c r="C42" s="102" t="s">
        <v>493</v>
      </c>
      <c r="D42" s="102">
        <v>1</v>
      </c>
      <c r="E42" s="102"/>
      <c r="F42" s="102"/>
      <c r="G42" s="102"/>
      <c r="H42" s="102"/>
      <c r="I42" s="102"/>
      <c r="J42" s="102"/>
      <c r="K42" s="102">
        <v>4</v>
      </c>
      <c r="L42" s="102">
        <v>3</v>
      </c>
      <c r="M42" s="102"/>
      <c r="N42" s="102"/>
      <c r="O42" s="102"/>
      <c r="P42" s="102"/>
      <c r="Q42" s="102"/>
      <c r="R42" s="102"/>
    </row>
    <row r="43" spans="1:18">
      <c r="A43" s="102"/>
      <c r="B43" s="102"/>
      <c r="C43" s="102"/>
      <c r="D43" s="102"/>
      <c r="E43" s="102"/>
      <c r="F43" s="102"/>
      <c r="G43" s="102"/>
      <c r="H43" s="102"/>
      <c r="I43" s="102"/>
      <c r="J43" s="102"/>
      <c r="K43" s="102"/>
      <c r="L43" s="102"/>
      <c r="M43" s="102"/>
      <c r="N43" s="102"/>
      <c r="O43" s="102"/>
      <c r="P43" s="102"/>
      <c r="Q43" s="102"/>
      <c r="R43" s="102"/>
    </row>
    <row r="44" spans="1:18">
      <c r="A44" s="102" t="s">
        <v>5745</v>
      </c>
      <c r="B44" s="102" t="s">
        <v>5774</v>
      </c>
      <c r="C44" s="102" t="s">
        <v>494</v>
      </c>
      <c r="D44" s="102"/>
      <c r="E44" s="102" t="s">
        <v>476</v>
      </c>
      <c r="F44" s="102">
        <v>29</v>
      </c>
      <c r="G44" s="102" t="s">
        <v>5775</v>
      </c>
      <c r="H44" s="102" t="s">
        <v>5776</v>
      </c>
      <c r="I44" s="102" t="s">
        <v>5777</v>
      </c>
      <c r="J44" s="102">
        <v>2</v>
      </c>
      <c r="K44" s="102">
        <v>1</v>
      </c>
      <c r="L44" s="102">
        <v>6</v>
      </c>
      <c r="M44" s="102"/>
      <c r="N44" s="102"/>
      <c r="O44" s="102"/>
      <c r="P44" s="102"/>
      <c r="Q44" s="102"/>
      <c r="R44" s="102"/>
    </row>
    <row r="45" spans="1:18">
      <c r="A45" s="102"/>
      <c r="B45" s="102" t="s">
        <v>5746</v>
      </c>
      <c r="C45" s="102" t="s">
        <v>494</v>
      </c>
      <c r="D45" s="102"/>
      <c r="E45" s="102"/>
      <c r="F45" s="102"/>
      <c r="G45" s="102"/>
      <c r="H45" s="102"/>
      <c r="I45" s="102"/>
      <c r="J45" s="102"/>
      <c r="K45" s="102">
        <v>2</v>
      </c>
      <c r="L45" s="102">
        <v>6</v>
      </c>
      <c r="M45" s="102"/>
      <c r="N45" s="102"/>
      <c r="O45" s="102"/>
      <c r="P45" s="102"/>
      <c r="Q45" s="102"/>
      <c r="R45" s="102"/>
    </row>
    <row r="46" spans="1:18">
      <c r="A46" s="102"/>
      <c r="B46" s="102" t="s">
        <v>5778</v>
      </c>
      <c r="C46" s="102" t="s">
        <v>493</v>
      </c>
      <c r="D46" s="102">
        <v>50</v>
      </c>
      <c r="E46" s="102"/>
      <c r="F46" s="102"/>
      <c r="G46" s="102"/>
      <c r="H46" s="102"/>
      <c r="I46" s="102"/>
      <c r="J46" s="102"/>
      <c r="K46" s="102">
        <v>3</v>
      </c>
      <c r="L46" s="102"/>
      <c r="M46" s="102"/>
      <c r="N46" s="102"/>
      <c r="O46" s="102"/>
      <c r="P46" s="102"/>
      <c r="Q46" s="102"/>
      <c r="R46" s="102"/>
    </row>
    <row r="47" spans="1:18">
      <c r="A47" s="102"/>
      <c r="B47" s="102" t="s">
        <v>5867</v>
      </c>
      <c r="C47" s="102" t="s">
        <v>493</v>
      </c>
      <c r="D47" s="102">
        <v>1</v>
      </c>
      <c r="E47" s="102"/>
      <c r="F47" s="102"/>
      <c r="G47" s="102"/>
      <c r="H47" s="102"/>
      <c r="I47" s="102"/>
      <c r="J47" s="102"/>
      <c r="K47" s="102">
        <v>4</v>
      </c>
      <c r="L47" s="102">
        <v>3</v>
      </c>
      <c r="M47" s="102"/>
      <c r="N47" s="102"/>
      <c r="O47" s="102"/>
      <c r="P47" s="102"/>
      <c r="Q47" s="102"/>
      <c r="R47" s="102"/>
    </row>
    <row r="49" spans="1:18">
      <c r="A49" t="s">
        <v>5717</v>
      </c>
      <c r="B49" t="s">
        <v>5855</v>
      </c>
      <c r="C49" t="s">
        <v>494</v>
      </c>
      <c r="E49" t="s">
        <v>476</v>
      </c>
      <c r="F49">
        <v>29</v>
      </c>
      <c r="G49" t="s">
        <v>5780</v>
      </c>
      <c r="H49" t="s">
        <v>5781</v>
      </c>
      <c r="I49" t="s">
        <v>5782</v>
      </c>
      <c r="J49">
        <v>1</v>
      </c>
      <c r="K49">
        <v>1</v>
      </c>
      <c r="L49">
        <v>8</v>
      </c>
    </row>
    <row r="50" spans="1:18">
      <c r="B50" t="s">
        <v>5779</v>
      </c>
      <c r="C50" t="s">
        <v>494</v>
      </c>
      <c r="E50" t="s">
        <v>476</v>
      </c>
      <c r="K50">
        <v>2</v>
      </c>
      <c r="L50">
        <v>6</v>
      </c>
    </row>
    <row r="51" spans="1:18">
      <c r="B51" t="s">
        <v>5718</v>
      </c>
      <c r="C51" t="s">
        <v>494</v>
      </c>
      <c r="K51">
        <v>3</v>
      </c>
      <c r="L51">
        <v>6</v>
      </c>
    </row>
    <row r="52" spans="1:18">
      <c r="B52" t="s">
        <v>5783</v>
      </c>
      <c r="C52" t="s">
        <v>493</v>
      </c>
      <c r="D52">
        <v>1</v>
      </c>
      <c r="K52">
        <v>4</v>
      </c>
      <c r="L52">
        <v>3</v>
      </c>
    </row>
    <row r="53" spans="1:18">
      <c r="B53" t="s">
        <v>5784</v>
      </c>
      <c r="C53" t="s">
        <v>494</v>
      </c>
      <c r="K53">
        <v>5</v>
      </c>
      <c r="L53">
        <v>7</v>
      </c>
    </row>
    <row r="54" spans="1:18">
      <c r="B54" t="s">
        <v>5785</v>
      </c>
      <c r="C54" t="s">
        <v>494</v>
      </c>
      <c r="K54">
        <v>6</v>
      </c>
      <c r="L54">
        <v>7</v>
      </c>
    </row>
    <row r="56" spans="1:18">
      <c r="A56" t="s">
        <v>5786</v>
      </c>
      <c r="B56" t="s">
        <v>5868</v>
      </c>
      <c r="C56" t="s">
        <v>494</v>
      </c>
      <c r="E56" t="s">
        <v>476</v>
      </c>
      <c r="F56">
        <v>29</v>
      </c>
      <c r="G56" t="s">
        <v>5787</v>
      </c>
      <c r="H56" t="s">
        <v>5788</v>
      </c>
      <c r="I56" t="s">
        <v>5789</v>
      </c>
      <c r="J56">
        <v>1</v>
      </c>
      <c r="K56">
        <v>1</v>
      </c>
      <c r="L56">
        <v>8</v>
      </c>
    </row>
    <row r="57" spans="1:18">
      <c r="B57" t="s">
        <v>5869</v>
      </c>
      <c r="C57" t="s">
        <v>494</v>
      </c>
      <c r="E57" t="s">
        <v>476</v>
      </c>
      <c r="K57">
        <v>2</v>
      </c>
      <c r="L57">
        <v>6</v>
      </c>
    </row>
    <row r="58" spans="1:18">
      <c r="B58" t="s">
        <v>5790</v>
      </c>
      <c r="C58" t="s">
        <v>494</v>
      </c>
      <c r="K58">
        <v>3</v>
      </c>
      <c r="L58">
        <v>6</v>
      </c>
    </row>
    <row r="59" spans="1:18">
      <c r="B59" t="s">
        <v>5791</v>
      </c>
      <c r="C59" t="s">
        <v>494</v>
      </c>
      <c r="K59">
        <v>4</v>
      </c>
      <c r="L59">
        <v>3</v>
      </c>
      <c r="N59" t="s">
        <v>5737</v>
      </c>
      <c r="O59" t="s">
        <v>5738</v>
      </c>
      <c r="P59" t="s">
        <v>5768</v>
      </c>
      <c r="R59">
        <v>2905</v>
      </c>
    </row>
    <row r="60" spans="1:18">
      <c r="B60" t="s">
        <v>5792</v>
      </c>
      <c r="C60" t="s">
        <v>494</v>
      </c>
      <c r="K60">
        <v>5</v>
      </c>
      <c r="L60">
        <v>3</v>
      </c>
      <c r="N60" t="s">
        <v>5740</v>
      </c>
      <c r="O60" t="s">
        <v>5741</v>
      </c>
      <c r="P60" t="s">
        <v>5773</v>
      </c>
      <c r="R60">
        <v>2906</v>
      </c>
    </row>
    <row r="61" spans="1:18">
      <c r="B61" t="s">
        <v>5793</v>
      </c>
      <c r="C61" t="s">
        <v>520</v>
      </c>
      <c r="K61">
        <v>6</v>
      </c>
    </row>
    <row r="62" spans="1:18">
      <c r="B62" t="s">
        <v>5794</v>
      </c>
      <c r="C62" t="s">
        <v>520</v>
      </c>
      <c r="K62">
        <v>7</v>
      </c>
    </row>
    <row r="63" spans="1:18">
      <c r="B63" t="s">
        <v>5795</v>
      </c>
      <c r="C63" t="s">
        <v>494</v>
      </c>
      <c r="K63">
        <v>8</v>
      </c>
    </row>
    <row r="64" spans="1:18">
      <c r="B64" s="94" t="s">
        <v>5870</v>
      </c>
      <c r="C64" t="s">
        <v>493</v>
      </c>
      <c r="D64">
        <v>1</v>
      </c>
      <c r="K64">
        <v>9</v>
      </c>
      <c r="L64">
        <v>3</v>
      </c>
    </row>
    <row r="66" spans="1:18">
      <c r="A66" t="s">
        <v>5730</v>
      </c>
      <c r="B66" t="s">
        <v>5871</v>
      </c>
      <c r="C66" t="s">
        <v>494</v>
      </c>
      <c r="E66" t="s">
        <v>476</v>
      </c>
      <c r="F66">
        <v>29</v>
      </c>
      <c r="G66" t="s">
        <v>5756</v>
      </c>
      <c r="H66" t="s">
        <v>5757</v>
      </c>
      <c r="J66">
        <v>2</v>
      </c>
      <c r="K66">
        <v>1</v>
      </c>
      <c r="L66">
        <v>52</v>
      </c>
      <c r="N66" t="s">
        <v>5787</v>
      </c>
      <c r="O66" t="s">
        <v>5790</v>
      </c>
    </row>
    <row r="67" spans="1:18">
      <c r="B67" t="s">
        <v>5755</v>
      </c>
      <c r="C67" t="s">
        <v>494</v>
      </c>
      <c r="E67" t="s">
        <v>476</v>
      </c>
      <c r="K67">
        <v>2</v>
      </c>
      <c r="L67">
        <v>6</v>
      </c>
    </row>
    <row r="68" spans="1:18">
      <c r="B68" t="s">
        <v>5731</v>
      </c>
      <c r="C68" t="s">
        <v>494</v>
      </c>
      <c r="K68">
        <v>3</v>
      </c>
      <c r="L68">
        <v>6</v>
      </c>
    </row>
    <row r="69" spans="1:18">
      <c r="B69" t="s">
        <v>5836</v>
      </c>
      <c r="C69" t="s">
        <v>493</v>
      </c>
      <c r="D69">
        <v>1</v>
      </c>
      <c r="K69">
        <v>4</v>
      </c>
      <c r="L69">
        <v>3</v>
      </c>
    </row>
    <row r="70" spans="1:18">
      <c r="B70" t="s">
        <v>5758</v>
      </c>
      <c r="C70" t="s">
        <v>493</v>
      </c>
      <c r="D70">
        <v>150</v>
      </c>
      <c r="K70">
        <v>5</v>
      </c>
    </row>
    <row r="72" spans="1:18" s="7" customFormat="1">
      <c r="A72" s="7" t="s">
        <v>5796</v>
      </c>
      <c r="B72" s="7" t="s">
        <v>5801</v>
      </c>
      <c r="C72" s="7" t="s">
        <v>494</v>
      </c>
      <c r="E72" s="7" t="s">
        <v>476</v>
      </c>
      <c r="F72" s="7">
        <v>29</v>
      </c>
      <c r="G72" s="7" t="s">
        <v>5798</v>
      </c>
      <c r="H72" s="7" t="s">
        <v>5799</v>
      </c>
      <c r="I72" s="7" t="s">
        <v>5800</v>
      </c>
      <c r="J72" s="7">
        <v>2901</v>
      </c>
      <c r="K72" s="7">
        <v>1</v>
      </c>
      <c r="L72" s="7">
        <v>6</v>
      </c>
    </row>
    <row r="73" spans="1:18" s="7" customFormat="1">
      <c r="B73" s="7" t="s">
        <v>5802</v>
      </c>
      <c r="C73" s="7" t="s">
        <v>494</v>
      </c>
      <c r="K73" s="7">
        <v>2</v>
      </c>
      <c r="L73" s="7">
        <v>6</v>
      </c>
    </row>
    <row r="74" spans="1:18" s="7" customFormat="1">
      <c r="B74" s="7" t="s">
        <v>5797</v>
      </c>
      <c r="C74" s="7" t="s">
        <v>494</v>
      </c>
      <c r="K74" s="7">
        <v>3</v>
      </c>
      <c r="L74" s="7">
        <v>3</v>
      </c>
      <c r="M74" s="7">
        <v>3</v>
      </c>
      <c r="N74" s="7" t="s">
        <v>5717</v>
      </c>
      <c r="O74" s="7" t="s">
        <v>5718</v>
      </c>
      <c r="P74" s="7" t="s">
        <v>5855</v>
      </c>
      <c r="R74" s="7">
        <v>2908</v>
      </c>
    </row>
    <row r="75" spans="1:18" s="7" customFormat="1">
      <c r="B75" s="7" t="s">
        <v>5803</v>
      </c>
      <c r="C75" s="7" t="s">
        <v>493</v>
      </c>
      <c r="D75" s="7">
        <v>100</v>
      </c>
      <c r="K75" s="7">
        <v>4</v>
      </c>
    </row>
    <row r="76" spans="1:18" s="7" customFormat="1">
      <c r="B76" s="7" t="s">
        <v>5804</v>
      </c>
      <c r="C76" s="7" t="s">
        <v>494</v>
      </c>
      <c r="K76" s="7">
        <v>5</v>
      </c>
      <c r="L76" s="7">
        <v>8</v>
      </c>
    </row>
    <row r="77" spans="1:18" s="7" customFormat="1">
      <c r="B77" s="7" t="s">
        <v>5872</v>
      </c>
      <c r="C77" s="7" t="s">
        <v>493</v>
      </c>
      <c r="D77" s="7">
        <v>150</v>
      </c>
      <c r="K77" s="7">
        <v>6</v>
      </c>
    </row>
    <row r="78" spans="1:18" s="7" customFormat="1">
      <c r="B78" s="7" t="s">
        <v>5805</v>
      </c>
      <c r="C78" s="7" t="s">
        <v>520</v>
      </c>
      <c r="K78" s="7">
        <v>7</v>
      </c>
    </row>
    <row r="79" spans="1:18" s="7" customFormat="1">
      <c r="B79" s="7" t="s">
        <v>5806</v>
      </c>
      <c r="C79" s="7" t="s">
        <v>493</v>
      </c>
      <c r="D79" s="7">
        <v>3</v>
      </c>
      <c r="K79" s="7">
        <v>8</v>
      </c>
      <c r="L79" s="7">
        <v>3</v>
      </c>
      <c r="N79" s="7" t="s">
        <v>399</v>
      </c>
      <c r="O79" s="7" t="s">
        <v>401</v>
      </c>
      <c r="P79" s="7" t="s">
        <v>400</v>
      </c>
      <c r="R79" s="7">
        <v>118</v>
      </c>
    </row>
    <row r="80" spans="1:18" s="7" customFormat="1">
      <c r="B80" s="7" t="s">
        <v>5807</v>
      </c>
      <c r="C80" s="7" t="s">
        <v>493</v>
      </c>
      <c r="D80" s="7">
        <v>5</v>
      </c>
      <c r="K80" s="7">
        <v>9</v>
      </c>
      <c r="L80" s="7">
        <v>3</v>
      </c>
      <c r="M80" s="7">
        <v>31</v>
      </c>
      <c r="N80" s="7" t="s">
        <v>404</v>
      </c>
      <c r="O80" s="7" t="s">
        <v>405</v>
      </c>
      <c r="P80" s="7" t="s">
        <v>406</v>
      </c>
      <c r="Q80" s="7" t="s">
        <v>407</v>
      </c>
      <c r="R80" s="7">
        <v>8</v>
      </c>
    </row>
    <row r="81" spans="1:18" s="7" customFormat="1">
      <c r="B81" s="7" t="s">
        <v>5873</v>
      </c>
      <c r="C81" s="7" t="s">
        <v>493</v>
      </c>
      <c r="D81" s="7">
        <v>8</v>
      </c>
      <c r="K81" s="7">
        <v>10</v>
      </c>
      <c r="L81" s="7">
        <v>3</v>
      </c>
      <c r="M81" s="7">
        <v>31</v>
      </c>
      <c r="N81" s="7" t="s">
        <v>410</v>
      </c>
      <c r="O81" s="7" t="s">
        <v>413</v>
      </c>
      <c r="P81" s="7" t="s">
        <v>414</v>
      </c>
      <c r="Q81" s="7" t="s">
        <v>415</v>
      </c>
      <c r="R81" s="7">
        <v>9</v>
      </c>
    </row>
    <row r="82" spans="1:18" s="7" customFormat="1">
      <c r="B82" s="7" t="s">
        <v>5874</v>
      </c>
      <c r="C82" s="7" t="s">
        <v>494</v>
      </c>
      <c r="K82" s="7">
        <v>11</v>
      </c>
      <c r="L82" s="7">
        <v>7</v>
      </c>
    </row>
    <row r="83" spans="1:18" s="7" customFormat="1">
      <c r="B83" s="7" t="s">
        <v>5808</v>
      </c>
      <c r="C83" s="7" t="s">
        <v>494</v>
      </c>
      <c r="K83" s="7">
        <v>12</v>
      </c>
      <c r="L83" s="7">
        <v>3</v>
      </c>
      <c r="N83" s="7" t="s">
        <v>5809</v>
      </c>
      <c r="O83" s="7" t="s">
        <v>5810</v>
      </c>
      <c r="P83" s="7" t="s">
        <v>5811</v>
      </c>
      <c r="R83" s="7">
        <v>2911</v>
      </c>
    </row>
    <row r="84" spans="1:18" s="7" customFormat="1">
      <c r="B84" s="7" t="s">
        <v>5875</v>
      </c>
      <c r="C84" s="7" t="s">
        <v>494</v>
      </c>
      <c r="K84" s="7">
        <v>13</v>
      </c>
      <c r="L84" s="7">
        <v>3</v>
      </c>
      <c r="N84" s="7" t="s">
        <v>5876</v>
      </c>
      <c r="O84" s="7" t="s">
        <v>5812</v>
      </c>
      <c r="P84" s="7" t="s">
        <v>5813</v>
      </c>
      <c r="R84" s="7">
        <v>2912</v>
      </c>
    </row>
    <row r="85" spans="1:18" s="7" customFormat="1">
      <c r="B85" s="7" t="s">
        <v>5814</v>
      </c>
      <c r="C85" s="7" t="s">
        <v>494</v>
      </c>
      <c r="K85" s="7">
        <v>14</v>
      </c>
      <c r="L85" s="7">
        <v>3</v>
      </c>
      <c r="M85" s="7">
        <v>31</v>
      </c>
      <c r="N85" s="7" t="s">
        <v>5730</v>
      </c>
      <c r="O85" s="7" t="s">
        <v>5731</v>
      </c>
      <c r="P85" s="7" t="s">
        <v>5758</v>
      </c>
      <c r="Q85" s="7" t="s">
        <v>5871</v>
      </c>
      <c r="R85" s="7">
        <v>5</v>
      </c>
    </row>
    <row r="86" spans="1:18" s="7" customFormat="1">
      <c r="B86" s="7" t="s">
        <v>5815</v>
      </c>
      <c r="C86" s="7" t="s">
        <v>494</v>
      </c>
      <c r="K86" s="7">
        <v>15</v>
      </c>
      <c r="L86" s="7">
        <v>3</v>
      </c>
      <c r="N86" s="7" t="s">
        <v>5816</v>
      </c>
      <c r="O86" s="7" t="s">
        <v>5817</v>
      </c>
      <c r="P86" s="7" t="s">
        <v>5818</v>
      </c>
      <c r="R86" s="7">
        <v>2913</v>
      </c>
    </row>
    <row r="87" spans="1:18" s="7" customFormat="1">
      <c r="B87" s="7" t="s">
        <v>5877</v>
      </c>
      <c r="C87" s="7" t="s">
        <v>494</v>
      </c>
      <c r="K87" s="7">
        <v>16</v>
      </c>
    </row>
    <row r="88" spans="1:18" s="7" customFormat="1">
      <c r="B88" s="7" t="s">
        <v>5878</v>
      </c>
      <c r="C88" s="7" t="s">
        <v>494</v>
      </c>
      <c r="K88" s="7">
        <v>17</v>
      </c>
    </row>
    <row r="89" spans="1:18" s="7" customFormat="1">
      <c r="B89" s="7" t="s">
        <v>5819</v>
      </c>
      <c r="C89" s="7" t="s">
        <v>494</v>
      </c>
      <c r="K89" s="7">
        <v>18</v>
      </c>
      <c r="L89" s="7">
        <v>3</v>
      </c>
      <c r="N89" s="7" t="s">
        <v>5727</v>
      </c>
      <c r="O89" s="7" t="s">
        <v>5728</v>
      </c>
      <c r="P89" s="7" t="s">
        <v>5753</v>
      </c>
      <c r="R89" s="7">
        <v>2902</v>
      </c>
    </row>
    <row r="90" spans="1:18" s="7" customFormat="1">
      <c r="B90" s="7" t="s">
        <v>5879</v>
      </c>
      <c r="C90" s="7" t="s">
        <v>493</v>
      </c>
      <c r="D90" s="7">
        <v>1</v>
      </c>
      <c r="K90" s="7">
        <v>19</v>
      </c>
      <c r="L90" s="7">
        <v>3</v>
      </c>
    </row>
    <row r="91" spans="1:18" s="7" customFormat="1">
      <c r="B91" s="7" t="s">
        <v>5880</v>
      </c>
      <c r="C91" s="7" t="s">
        <v>494</v>
      </c>
      <c r="K91" s="7">
        <v>20</v>
      </c>
      <c r="L91" s="7">
        <v>7</v>
      </c>
    </row>
    <row r="92" spans="1:18" s="7" customFormat="1">
      <c r="B92" s="7" t="s">
        <v>5881</v>
      </c>
      <c r="C92" s="7" t="s">
        <v>520</v>
      </c>
      <c r="K92" s="7">
        <v>21</v>
      </c>
    </row>
    <row r="94" spans="1:18">
      <c r="A94" s="94" t="s">
        <v>5882</v>
      </c>
      <c r="B94" t="s">
        <v>5883</v>
      </c>
      <c r="C94" t="s">
        <v>494</v>
      </c>
      <c r="E94" t="s">
        <v>476</v>
      </c>
      <c r="F94">
        <v>29</v>
      </c>
      <c r="G94">
        <v>2918</v>
      </c>
      <c r="K94">
        <v>1</v>
      </c>
      <c r="L94">
        <v>52</v>
      </c>
      <c r="N94">
        <v>2910</v>
      </c>
      <c r="O94" t="s">
        <v>5802</v>
      </c>
    </row>
    <row r="95" spans="1:18">
      <c r="B95" t="s">
        <v>5884</v>
      </c>
      <c r="C95" t="s">
        <v>494</v>
      </c>
      <c r="E95" t="s">
        <v>476</v>
      </c>
      <c r="K95">
        <v>2</v>
      </c>
      <c r="L95">
        <v>6</v>
      </c>
    </row>
    <row r="96" spans="1:18">
      <c r="B96" t="s">
        <v>5885</v>
      </c>
      <c r="C96" t="s">
        <v>494</v>
      </c>
      <c r="K96">
        <v>3</v>
      </c>
      <c r="L96">
        <v>6</v>
      </c>
    </row>
    <row r="97" spans="1:18">
      <c r="B97" t="s">
        <v>5886</v>
      </c>
      <c r="C97" t="s">
        <v>493</v>
      </c>
      <c r="D97">
        <v>3</v>
      </c>
      <c r="K97">
        <v>4</v>
      </c>
      <c r="L97">
        <v>3</v>
      </c>
      <c r="N97" t="s">
        <v>399</v>
      </c>
      <c r="O97" t="s">
        <v>401</v>
      </c>
      <c r="P97" t="s">
        <v>400</v>
      </c>
      <c r="R97">
        <v>118</v>
      </c>
    </row>
    <row r="98" spans="1:18">
      <c r="B98" t="s">
        <v>5887</v>
      </c>
      <c r="C98" t="s">
        <v>493</v>
      </c>
      <c r="D98">
        <v>5</v>
      </c>
      <c r="K98">
        <v>5</v>
      </c>
      <c r="L98">
        <v>3</v>
      </c>
      <c r="M98">
        <v>31</v>
      </c>
      <c r="N98" t="s">
        <v>404</v>
      </c>
      <c r="O98" t="s">
        <v>405</v>
      </c>
      <c r="P98" t="s">
        <v>406</v>
      </c>
      <c r="Q98" t="s">
        <v>407</v>
      </c>
      <c r="R98">
        <v>4</v>
      </c>
    </row>
    <row r="99" spans="1:18">
      <c r="B99" t="s">
        <v>5888</v>
      </c>
      <c r="C99" t="s">
        <v>493</v>
      </c>
      <c r="D99">
        <v>8</v>
      </c>
      <c r="K99">
        <v>6</v>
      </c>
      <c r="L99">
        <v>3</v>
      </c>
      <c r="M99">
        <v>31</v>
      </c>
      <c r="N99" t="s">
        <v>410</v>
      </c>
      <c r="O99" t="s">
        <v>413</v>
      </c>
      <c r="P99" t="s">
        <v>414</v>
      </c>
      <c r="Q99" t="s">
        <v>415</v>
      </c>
      <c r="R99">
        <v>5</v>
      </c>
    </row>
    <row r="101" spans="1:18">
      <c r="A101" s="94" t="s">
        <v>5889</v>
      </c>
      <c r="B101" t="s">
        <v>5830</v>
      </c>
      <c r="C101" t="s">
        <v>494</v>
      </c>
      <c r="E101" t="s">
        <v>476</v>
      </c>
      <c r="F101">
        <v>29</v>
      </c>
      <c r="G101" t="s">
        <v>5831</v>
      </c>
      <c r="H101" t="s">
        <v>5832</v>
      </c>
      <c r="J101">
        <v>2901</v>
      </c>
      <c r="K101">
        <v>1</v>
      </c>
      <c r="L101">
        <v>52</v>
      </c>
      <c r="N101">
        <v>2910</v>
      </c>
      <c r="O101" t="s">
        <v>5802</v>
      </c>
    </row>
    <row r="102" spans="1:18">
      <c r="B102" t="s">
        <v>5833</v>
      </c>
      <c r="C102" t="s">
        <v>494</v>
      </c>
      <c r="E102" t="s">
        <v>476</v>
      </c>
      <c r="K102">
        <v>2</v>
      </c>
      <c r="L102">
        <v>3</v>
      </c>
      <c r="N102" t="s">
        <v>5712</v>
      </c>
      <c r="O102" t="s">
        <v>5720</v>
      </c>
      <c r="P102" t="s">
        <v>5719</v>
      </c>
      <c r="R102">
        <v>2901</v>
      </c>
    </row>
    <row r="103" spans="1:18">
      <c r="B103" t="s">
        <v>5834</v>
      </c>
      <c r="C103" t="s">
        <v>494</v>
      </c>
      <c r="K103">
        <v>3</v>
      </c>
      <c r="L103">
        <v>6</v>
      </c>
    </row>
    <row r="104" spans="1:18">
      <c r="B104" t="s">
        <v>5835</v>
      </c>
      <c r="C104" t="s">
        <v>494</v>
      </c>
      <c r="K104">
        <v>4</v>
      </c>
      <c r="L104">
        <v>7</v>
      </c>
    </row>
    <row r="105" spans="1:18">
      <c r="B105" t="s">
        <v>5890</v>
      </c>
      <c r="C105" t="s">
        <v>494</v>
      </c>
      <c r="K105">
        <v>5</v>
      </c>
      <c r="L105">
        <v>3</v>
      </c>
      <c r="N105" s="7" t="s">
        <v>5891</v>
      </c>
      <c r="O105" t="s">
        <v>5892</v>
      </c>
      <c r="P105" t="s">
        <v>5893</v>
      </c>
      <c r="R105">
        <v>2917</v>
      </c>
    </row>
    <row r="106" spans="1:18">
      <c r="B106" t="s">
        <v>5894</v>
      </c>
      <c r="C106" t="s">
        <v>494</v>
      </c>
      <c r="K106">
        <v>6</v>
      </c>
      <c r="L106">
        <v>7</v>
      </c>
      <c r="M106">
        <v>2</v>
      </c>
      <c r="N106" s="7"/>
    </row>
    <row r="107" spans="1:18">
      <c r="B107" t="s">
        <v>5895</v>
      </c>
      <c r="C107" t="s">
        <v>520</v>
      </c>
      <c r="K107">
        <v>7</v>
      </c>
      <c r="M107">
        <v>2</v>
      </c>
      <c r="N107" s="7"/>
    </row>
    <row r="109" spans="1:18">
      <c r="A109" t="s">
        <v>5809</v>
      </c>
      <c r="B109" t="s">
        <v>5820</v>
      </c>
      <c r="C109" t="s">
        <v>494</v>
      </c>
      <c r="E109" t="s">
        <v>476</v>
      </c>
      <c r="F109">
        <v>29</v>
      </c>
      <c r="G109" t="s">
        <v>5821</v>
      </c>
      <c r="H109" t="s">
        <v>5822</v>
      </c>
      <c r="I109" t="s">
        <v>5823</v>
      </c>
      <c r="J109">
        <v>2</v>
      </c>
      <c r="K109">
        <v>1</v>
      </c>
      <c r="L109">
        <v>6</v>
      </c>
    </row>
    <row r="110" spans="1:18">
      <c r="B110" t="s">
        <v>5810</v>
      </c>
      <c r="C110" t="s">
        <v>494</v>
      </c>
      <c r="K110">
        <v>2</v>
      </c>
      <c r="L110">
        <v>6</v>
      </c>
    </row>
    <row r="111" spans="1:18">
      <c r="B111" t="s">
        <v>5811</v>
      </c>
      <c r="C111" t="s">
        <v>493</v>
      </c>
      <c r="D111">
        <v>50</v>
      </c>
      <c r="K111">
        <v>3</v>
      </c>
    </row>
    <row r="112" spans="1:18">
      <c r="B112" s="94" t="s">
        <v>5896</v>
      </c>
      <c r="C112" t="s">
        <v>493</v>
      </c>
      <c r="D112">
        <v>1</v>
      </c>
      <c r="K112">
        <v>4</v>
      </c>
      <c r="L112">
        <v>3</v>
      </c>
    </row>
    <row r="114" spans="1:12">
      <c r="A114" s="115" t="s">
        <v>5876</v>
      </c>
      <c r="B114" t="s">
        <v>5812</v>
      </c>
      <c r="C114" t="s">
        <v>494</v>
      </c>
      <c r="E114" t="s">
        <v>476</v>
      </c>
      <c r="F114">
        <v>29</v>
      </c>
      <c r="G114" t="s">
        <v>5824</v>
      </c>
      <c r="H114" t="s">
        <v>5825</v>
      </c>
      <c r="J114">
        <v>2</v>
      </c>
      <c r="K114">
        <v>1</v>
      </c>
      <c r="L114">
        <v>6</v>
      </c>
    </row>
    <row r="115" spans="1:12">
      <c r="B115" t="s">
        <v>5813</v>
      </c>
      <c r="C115" t="s">
        <v>493</v>
      </c>
      <c r="D115">
        <v>50</v>
      </c>
      <c r="K115">
        <v>2</v>
      </c>
    </row>
    <row r="117" spans="1:12">
      <c r="A117" t="s">
        <v>5816</v>
      </c>
      <c r="B117" t="s">
        <v>5826</v>
      </c>
      <c r="C117" t="s">
        <v>494</v>
      </c>
      <c r="E117" t="s">
        <v>476</v>
      </c>
      <c r="F117">
        <v>29</v>
      </c>
      <c r="G117" t="s">
        <v>5827</v>
      </c>
      <c r="H117" t="s">
        <v>5828</v>
      </c>
      <c r="I117" t="s">
        <v>5829</v>
      </c>
      <c r="J117">
        <v>2</v>
      </c>
      <c r="K117">
        <v>1</v>
      </c>
      <c r="L117">
        <v>6</v>
      </c>
    </row>
    <row r="118" spans="1:12">
      <c r="B118" t="s">
        <v>5817</v>
      </c>
      <c r="C118" t="s">
        <v>494</v>
      </c>
      <c r="K118">
        <v>2</v>
      </c>
      <c r="L118">
        <v>6</v>
      </c>
    </row>
    <row r="119" spans="1:12">
      <c r="B119" t="s">
        <v>5818</v>
      </c>
      <c r="C119" t="s">
        <v>493</v>
      </c>
      <c r="D119">
        <v>50</v>
      </c>
      <c r="K119">
        <v>3</v>
      </c>
    </row>
    <row r="121" spans="1:12">
      <c r="A121" s="115" t="s">
        <v>5860</v>
      </c>
      <c r="B121" t="s">
        <v>5861</v>
      </c>
      <c r="C121" t="s">
        <v>494</v>
      </c>
      <c r="E121" t="s">
        <v>476</v>
      </c>
      <c r="F121">
        <v>29</v>
      </c>
      <c r="G121">
        <v>2915</v>
      </c>
      <c r="H121" t="s">
        <v>5897</v>
      </c>
      <c r="K121">
        <v>1</v>
      </c>
      <c r="L121">
        <v>6</v>
      </c>
    </row>
    <row r="122" spans="1:12">
      <c r="B122" t="s">
        <v>5862</v>
      </c>
      <c r="C122" t="s">
        <v>493</v>
      </c>
      <c r="D122">
        <v>50</v>
      </c>
      <c r="K122">
        <v>2</v>
      </c>
    </row>
    <row r="124" spans="1:12">
      <c r="A124" s="7" t="s">
        <v>5856</v>
      </c>
      <c r="B124" t="s">
        <v>5898</v>
      </c>
      <c r="C124" t="s">
        <v>494</v>
      </c>
      <c r="E124" t="s">
        <v>476</v>
      </c>
      <c r="F124">
        <v>29</v>
      </c>
      <c r="G124">
        <v>2916</v>
      </c>
      <c r="H124" t="s">
        <v>5899</v>
      </c>
      <c r="I124" t="s">
        <v>5900</v>
      </c>
      <c r="J124">
        <v>2</v>
      </c>
      <c r="K124">
        <v>1</v>
      </c>
      <c r="L124">
        <v>6</v>
      </c>
    </row>
    <row r="125" spans="1:12">
      <c r="B125" t="s">
        <v>5857</v>
      </c>
      <c r="C125" t="s">
        <v>494</v>
      </c>
      <c r="K125">
        <v>2</v>
      </c>
      <c r="L125">
        <v>6</v>
      </c>
    </row>
    <row r="126" spans="1:12">
      <c r="B126" t="s">
        <v>5901</v>
      </c>
      <c r="C126" t="s">
        <v>493</v>
      </c>
      <c r="D126">
        <v>1</v>
      </c>
      <c r="K126">
        <v>3</v>
      </c>
      <c r="L126">
        <v>3</v>
      </c>
    </row>
    <row r="127" spans="1:12">
      <c r="B127" t="s">
        <v>5858</v>
      </c>
      <c r="C127" t="s">
        <v>493</v>
      </c>
      <c r="D127" s="116">
        <v>250</v>
      </c>
      <c r="K127">
        <v>4</v>
      </c>
    </row>
    <row r="129" spans="1:16">
      <c r="A129" s="115" t="s">
        <v>5891</v>
      </c>
      <c r="B129" t="s">
        <v>5892</v>
      </c>
      <c r="C129" t="s">
        <v>494</v>
      </c>
      <c r="F129">
        <v>29</v>
      </c>
      <c r="G129">
        <v>2917</v>
      </c>
      <c r="H129" t="s">
        <v>5902</v>
      </c>
      <c r="K129">
        <v>1</v>
      </c>
      <c r="L129">
        <v>6</v>
      </c>
    </row>
    <row r="130" spans="1:16">
      <c r="B130" t="s">
        <v>5893</v>
      </c>
      <c r="C130" t="s">
        <v>493</v>
      </c>
      <c r="D130">
        <v>50</v>
      </c>
      <c r="K130">
        <v>2</v>
      </c>
    </row>
    <row r="133" spans="1:16" s="1" customFormat="1">
      <c r="A133" s="70" t="s">
        <v>579</v>
      </c>
      <c r="B133" s="39" t="s">
        <v>580</v>
      </c>
      <c r="C133" s="39" t="s">
        <v>493</v>
      </c>
      <c r="D133" s="1">
        <v>2</v>
      </c>
      <c r="E133" s="1" t="s">
        <v>476</v>
      </c>
      <c r="F133" s="1">
        <v>1</v>
      </c>
      <c r="G133" s="1">
        <v>2920</v>
      </c>
      <c r="H133" s="62" t="s">
        <v>6026</v>
      </c>
      <c r="I133" s="22" t="s">
        <v>6027</v>
      </c>
      <c r="J133" s="1">
        <v>1</v>
      </c>
      <c r="K133" s="82">
        <v>1</v>
      </c>
      <c r="L133" s="9">
        <v>3</v>
      </c>
      <c r="N133"/>
    </row>
    <row r="134" spans="1:16" s="1" customFormat="1">
      <c r="A134" s="70"/>
      <c r="B134" s="70" t="s">
        <v>581</v>
      </c>
      <c r="C134" s="39" t="s">
        <v>493</v>
      </c>
      <c r="D134" s="1">
        <v>13</v>
      </c>
      <c r="E134" s="1" t="s">
        <v>476</v>
      </c>
      <c r="I134" s="2"/>
      <c r="K134" s="82">
        <v>2</v>
      </c>
      <c r="L134" s="9"/>
    </row>
    <row r="135" spans="1:16" s="1" customFormat="1">
      <c r="A135" s="70"/>
      <c r="B135" s="39" t="s">
        <v>582</v>
      </c>
      <c r="C135" s="39" t="s">
        <v>494</v>
      </c>
      <c r="I135" s="2"/>
      <c r="K135" s="82">
        <v>3</v>
      </c>
      <c r="L135" s="9">
        <v>6</v>
      </c>
    </row>
    <row r="136" spans="1:16" s="1" customFormat="1">
      <c r="A136" s="70"/>
      <c r="B136" s="70" t="s">
        <v>584</v>
      </c>
      <c r="C136" s="39" t="s">
        <v>493</v>
      </c>
      <c r="D136" s="1">
        <v>30</v>
      </c>
      <c r="I136" s="2"/>
      <c r="K136" s="82">
        <v>4</v>
      </c>
      <c r="L136" s="9"/>
      <c r="M136" s="1">
        <v>1</v>
      </c>
    </row>
    <row r="137" spans="1:16" s="1" customFormat="1">
      <c r="A137" s="70"/>
      <c r="B137" s="39" t="s">
        <v>586</v>
      </c>
      <c r="C137" s="39" t="s">
        <v>493</v>
      </c>
      <c r="D137" s="1">
        <v>30</v>
      </c>
      <c r="I137" s="2"/>
      <c r="K137" s="82">
        <v>5</v>
      </c>
      <c r="L137" s="9"/>
    </row>
    <row r="138" spans="1:16" s="1" customFormat="1">
      <c r="A138" s="70"/>
      <c r="B138" s="39" t="s">
        <v>587</v>
      </c>
      <c r="C138" s="39" t="s">
        <v>493</v>
      </c>
      <c r="D138" s="1">
        <v>30</v>
      </c>
      <c r="I138" s="2"/>
      <c r="K138" s="82">
        <v>6</v>
      </c>
      <c r="L138" s="9"/>
    </row>
    <row r="139" spans="1:16" s="1" customFormat="1">
      <c r="A139" s="70"/>
      <c r="B139" s="39" t="s">
        <v>588</v>
      </c>
      <c r="C139" s="39" t="s">
        <v>493</v>
      </c>
      <c r="D139" s="1">
        <v>30</v>
      </c>
      <c r="I139" s="2"/>
      <c r="K139" s="82">
        <v>7</v>
      </c>
      <c r="L139" s="9"/>
    </row>
    <row r="140" spans="1:16" s="1" customFormat="1">
      <c r="A140" s="70"/>
      <c r="B140" s="39" t="s">
        <v>589</v>
      </c>
      <c r="C140" s="39" t="s">
        <v>493</v>
      </c>
      <c r="D140" s="1">
        <v>30</v>
      </c>
      <c r="H140" s="3"/>
      <c r="I140" s="2"/>
      <c r="K140" s="82">
        <v>8</v>
      </c>
      <c r="L140" s="9"/>
    </row>
    <row r="141" spans="1:16" s="1" customFormat="1">
      <c r="A141" s="70"/>
      <c r="B141" s="39" t="s">
        <v>590</v>
      </c>
      <c r="C141" s="39" t="s">
        <v>493</v>
      </c>
      <c r="D141" s="1">
        <v>1</v>
      </c>
      <c r="I141" s="2"/>
      <c r="K141" s="82">
        <v>9</v>
      </c>
      <c r="L141" s="9">
        <v>3</v>
      </c>
      <c r="O141" s="1">
        <v>111</v>
      </c>
      <c r="P141" s="1">
        <v>1</v>
      </c>
    </row>
    <row r="142" spans="1:16" s="1" customFormat="1">
      <c r="A142" s="70"/>
      <c r="B142" s="70" t="s">
        <v>591</v>
      </c>
      <c r="C142" s="39" t="s">
        <v>493</v>
      </c>
      <c r="D142" s="1">
        <v>10</v>
      </c>
      <c r="I142" s="2"/>
      <c r="K142" s="82">
        <v>10</v>
      </c>
      <c r="L142" s="9">
        <v>7</v>
      </c>
    </row>
    <row r="143" spans="1:16" s="1" customFormat="1">
      <c r="A143" s="70"/>
      <c r="B143" s="70" t="s">
        <v>595</v>
      </c>
      <c r="C143" s="39" t="s">
        <v>493</v>
      </c>
      <c r="D143" s="1">
        <v>100</v>
      </c>
      <c r="I143" s="2"/>
      <c r="K143" s="82">
        <v>11</v>
      </c>
      <c r="L143" s="9"/>
    </row>
    <row r="144" spans="1:16" s="1" customFormat="1">
      <c r="A144" s="70"/>
      <c r="B144" s="70" t="s">
        <v>596</v>
      </c>
      <c r="C144" s="39" t="s">
        <v>493</v>
      </c>
      <c r="D144" s="1">
        <v>30</v>
      </c>
      <c r="I144" s="2"/>
      <c r="K144" s="82">
        <v>12</v>
      </c>
      <c r="L144" s="9"/>
    </row>
    <row r="145" spans="1:12" s="1" customFormat="1">
      <c r="A145" s="70"/>
      <c r="B145" s="70" t="s">
        <v>597</v>
      </c>
      <c r="C145" s="39" t="s">
        <v>493</v>
      </c>
      <c r="D145" s="1">
        <v>50</v>
      </c>
      <c r="I145" s="2"/>
      <c r="K145" s="82">
        <v>13</v>
      </c>
      <c r="L145" s="9"/>
    </row>
    <row r="146" spans="1:12" s="62" customFormat="1">
      <c r="A146" s="70"/>
      <c r="B146" s="70" t="s">
        <v>2019</v>
      </c>
      <c r="C146" s="70" t="s">
        <v>493</v>
      </c>
      <c r="D146" s="62">
        <v>1</v>
      </c>
      <c r="I146" s="22"/>
      <c r="K146" s="82">
        <v>14</v>
      </c>
      <c r="L146" s="76">
        <v>3</v>
      </c>
    </row>
    <row r="147" spans="1:12" s="62" customFormat="1">
      <c r="A147" s="70"/>
      <c r="B147" s="70" t="s">
        <v>2020</v>
      </c>
      <c r="C147" s="39" t="s">
        <v>493</v>
      </c>
      <c r="D147" s="1">
        <v>50</v>
      </c>
      <c r="I147" s="22"/>
      <c r="K147" s="82">
        <v>15</v>
      </c>
      <c r="L147" s="76"/>
    </row>
    <row r="148" spans="1:12" s="62" customFormat="1">
      <c r="A148" s="70"/>
      <c r="B148" s="70" t="s">
        <v>2021</v>
      </c>
      <c r="C148" s="70" t="s">
        <v>493</v>
      </c>
      <c r="D148" s="62">
        <v>50</v>
      </c>
      <c r="I148" s="22"/>
      <c r="K148" s="82">
        <v>16</v>
      </c>
      <c r="L148" s="76"/>
    </row>
    <row r="149" spans="1:12" s="62" customFormat="1">
      <c r="A149" s="70"/>
      <c r="B149" s="67" t="s">
        <v>3164</v>
      </c>
      <c r="C149" s="70" t="s">
        <v>520</v>
      </c>
      <c r="I149" s="22"/>
      <c r="K149" s="82">
        <v>17</v>
      </c>
      <c r="L149" s="76"/>
    </row>
    <row r="150" spans="1:12" s="62" customFormat="1">
      <c r="A150" s="70"/>
      <c r="B150" s="67" t="s">
        <v>3188</v>
      </c>
      <c r="C150" s="70" t="s">
        <v>494</v>
      </c>
      <c r="I150" s="22"/>
      <c r="K150" s="82">
        <v>18</v>
      </c>
      <c r="L150" s="76">
        <v>7</v>
      </c>
    </row>
    <row r="151" spans="1:12" s="62" customFormat="1">
      <c r="A151" s="70"/>
      <c r="B151" s="67" t="s">
        <v>3208</v>
      </c>
      <c r="C151" s="70" t="s">
        <v>494</v>
      </c>
      <c r="I151" s="22"/>
      <c r="K151" s="82">
        <v>19</v>
      </c>
      <c r="L151" s="76">
        <v>7</v>
      </c>
    </row>
  </sheetData>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sheetPr>
    <tabColor rgb="FFFFC000"/>
  </sheetPr>
  <dimension ref="A1:R298"/>
  <sheetViews>
    <sheetView workbookViewId="0">
      <pane ySplit="1" topLeftCell="A86" activePane="bottomLeft" state="frozenSplit"/>
      <selection pane="bottomLeft" activeCell="G102" sqref="G102"/>
    </sheetView>
  </sheetViews>
  <sheetFormatPr baseColWidth="10" defaultRowHeight="12.75"/>
  <cols>
    <col min="1" max="1" width="23.28515625" bestFit="1" customWidth="1"/>
    <col min="2" max="2" width="23" bestFit="1" customWidth="1"/>
    <col min="3" max="3" width="7.42578125" bestFit="1" customWidth="1"/>
    <col min="4" max="4" width="4" bestFit="1" customWidth="1"/>
    <col min="5" max="5" width="2.7109375" customWidth="1"/>
    <col min="6" max="6" width="4.5703125" bestFit="1" customWidth="1"/>
    <col min="7" max="7" width="7.7109375" bestFit="1" customWidth="1"/>
    <col min="8" max="8" width="17.140625" bestFit="1" customWidth="1"/>
    <col min="9" max="9" width="16.42578125" bestFit="1" customWidth="1"/>
    <col min="10" max="10" width="5" customWidth="1"/>
    <col min="11" max="11" width="3" customWidth="1"/>
    <col min="12" max="12" width="3.42578125" customWidth="1"/>
    <col min="13" max="13" width="4.28515625" customWidth="1"/>
    <col min="14" max="14" width="19.85546875" bestFit="1" customWidth="1"/>
    <col min="15" max="15" width="13.85546875" bestFit="1" customWidth="1"/>
    <col min="16" max="16" width="14.5703125" bestFit="1" customWidth="1"/>
    <col min="17" max="17" width="14.42578125" bestFit="1" customWidth="1"/>
    <col min="18" max="18" width="5.1406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s="1" customFormat="1">
      <c r="A2" s="64" t="s">
        <v>4481</v>
      </c>
      <c r="B2" s="64" t="s">
        <v>4482</v>
      </c>
      <c r="C2" s="64" t="s">
        <v>494</v>
      </c>
      <c r="D2" s="10"/>
      <c r="E2" s="64" t="s">
        <v>476</v>
      </c>
      <c r="F2" s="10">
        <v>30</v>
      </c>
      <c r="G2" s="10">
        <v>1527</v>
      </c>
      <c r="H2" s="64" t="s">
        <v>4486</v>
      </c>
      <c r="I2" s="64" t="s">
        <v>4487</v>
      </c>
      <c r="J2" s="10">
        <v>1</v>
      </c>
      <c r="K2" s="16">
        <v>1</v>
      </c>
      <c r="L2" s="80">
        <v>6</v>
      </c>
      <c r="M2" s="10"/>
      <c r="N2" s="10"/>
      <c r="O2" s="10"/>
      <c r="P2" s="10"/>
      <c r="Q2" s="10"/>
      <c r="R2" s="10"/>
    </row>
    <row r="3" spans="1:18" s="1" customFormat="1">
      <c r="A3" s="64"/>
      <c r="B3" s="64" t="s">
        <v>4483</v>
      </c>
      <c r="C3" s="64" t="s">
        <v>494</v>
      </c>
      <c r="D3" s="10"/>
      <c r="E3" s="10"/>
      <c r="F3" s="10"/>
      <c r="G3" s="10"/>
      <c r="H3" s="10"/>
      <c r="I3" s="10"/>
      <c r="J3" s="10"/>
      <c r="K3" s="16">
        <v>2</v>
      </c>
      <c r="L3" s="80">
        <v>6</v>
      </c>
      <c r="M3" s="10"/>
      <c r="N3" s="10"/>
      <c r="O3" s="10"/>
      <c r="P3" s="10"/>
      <c r="Q3" s="10"/>
      <c r="R3" s="10"/>
    </row>
    <row r="4" spans="1:18" s="1" customFormat="1">
      <c r="A4" s="64"/>
      <c r="B4" s="64" t="s">
        <v>4485</v>
      </c>
      <c r="C4" s="64" t="s">
        <v>493</v>
      </c>
      <c r="D4" s="10">
        <v>100</v>
      </c>
      <c r="E4" s="10"/>
      <c r="F4" s="10"/>
      <c r="G4" s="10"/>
      <c r="H4" s="10"/>
      <c r="I4" s="10"/>
      <c r="J4" s="10"/>
      <c r="K4" s="16">
        <v>3</v>
      </c>
      <c r="L4" s="31"/>
      <c r="M4" s="10"/>
      <c r="N4" s="10"/>
      <c r="O4" s="10"/>
      <c r="P4" s="10"/>
      <c r="Q4" s="10"/>
      <c r="R4" s="10"/>
    </row>
    <row r="5" spans="1:18" s="1" customFormat="1">
      <c r="A5" s="64"/>
      <c r="B5" s="64" t="s">
        <v>4484</v>
      </c>
      <c r="C5" s="64" t="s">
        <v>494</v>
      </c>
      <c r="D5" s="10"/>
      <c r="E5" s="10"/>
      <c r="F5" s="10"/>
      <c r="G5" s="10"/>
      <c r="H5" s="10"/>
      <c r="I5" s="10"/>
      <c r="J5" s="10"/>
      <c r="K5" s="16">
        <v>4</v>
      </c>
      <c r="L5" s="80">
        <v>8</v>
      </c>
      <c r="M5" s="10"/>
      <c r="N5" s="10"/>
      <c r="O5" s="10"/>
      <c r="P5" s="10"/>
      <c r="Q5" s="10"/>
      <c r="R5" s="10"/>
    </row>
    <row r="6" spans="1:18" s="1" customFormat="1">
      <c r="A6" s="64"/>
      <c r="B6" s="64" t="s">
        <v>4489</v>
      </c>
      <c r="C6" s="64" t="s">
        <v>494</v>
      </c>
      <c r="D6" s="10"/>
      <c r="E6" s="10"/>
      <c r="F6" s="10"/>
      <c r="G6" s="10"/>
      <c r="H6" s="10"/>
      <c r="I6" s="10"/>
      <c r="J6" s="10"/>
      <c r="K6" s="16">
        <v>5</v>
      </c>
      <c r="L6" s="80">
        <v>3</v>
      </c>
      <c r="M6" s="10"/>
      <c r="N6" s="1" t="s">
        <v>551</v>
      </c>
      <c r="O6" s="1" t="s">
        <v>552</v>
      </c>
      <c r="P6" s="1" t="s">
        <v>553</v>
      </c>
      <c r="Q6" s="10"/>
      <c r="R6" s="10"/>
    </row>
    <row r="7" spans="1:18" s="1" customFormat="1">
      <c r="A7" s="64"/>
      <c r="B7" s="70" t="s">
        <v>4513</v>
      </c>
      <c r="C7" s="70" t="s">
        <v>493</v>
      </c>
      <c r="D7" s="10">
        <v>50</v>
      </c>
      <c r="E7" s="10"/>
      <c r="F7" s="10"/>
      <c r="G7" s="10"/>
      <c r="H7" s="10"/>
      <c r="I7" s="10"/>
      <c r="J7" s="10"/>
      <c r="K7" s="16">
        <v>6</v>
      </c>
      <c r="L7" s="80"/>
      <c r="M7" s="10"/>
      <c r="Q7" s="10"/>
      <c r="R7" s="10"/>
    </row>
    <row r="8" spans="1:18" s="1" customFormat="1">
      <c r="A8" s="64"/>
      <c r="B8" s="64" t="s">
        <v>6359</v>
      </c>
      <c r="C8" s="64" t="s">
        <v>494</v>
      </c>
      <c r="D8" s="10"/>
      <c r="E8" s="10"/>
      <c r="F8" s="10"/>
      <c r="G8" s="10"/>
      <c r="H8" s="10"/>
      <c r="I8" s="10"/>
      <c r="J8" s="10"/>
      <c r="K8" s="16">
        <v>7</v>
      </c>
      <c r="L8" s="80">
        <v>3</v>
      </c>
      <c r="M8" s="10"/>
      <c r="N8" s="62" t="s">
        <v>6344</v>
      </c>
      <c r="O8" s="62" t="s">
        <v>6348</v>
      </c>
      <c r="P8" s="62" t="s">
        <v>6350</v>
      </c>
      <c r="Q8" s="10"/>
      <c r="R8" s="10"/>
    </row>
    <row r="9" spans="1:18">
      <c r="B9" s="70" t="s">
        <v>6777</v>
      </c>
      <c r="C9" s="70" t="s">
        <v>494</v>
      </c>
      <c r="K9">
        <v>8</v>
      </c>
      <c r="L9">
        <v>3</v>
      </c>
      <c r="N9" t="s">
        <v>6692</v>
      </c>
      <c r="O9" t="s">
        <v>6693</v>
      </c>
      <c r="P9" t="s">
        <v>6694</v>
      </c>
    </row>
    <row r="10" spans="1:18" s="1" customFormat="1">
      <c r="A10" s="64"/>
      <c r="B10" s="64"/>
      <c r="C10" s="10"/>
      <c r="D10" s="10"/>
      <c r="E10" s="10"/>
      <c r="F10" s="10"/>
      <c r="G10" s="10"/>
      <c r="H10" s="10"/>
      <c r="I10" s="10"/>
      <c r="J10" s="10"/>
      <c r="K10" s="16"/>
      <c r="L10" s="31"/>
      <c r="M10" s="10"/>
      <c r="N10" s="62"/>
      <c r="O10" s="62"/>
      <c r="P10" s="62"/>
      <c r="Q10" s="10"/>
      <c r="R10" s="10"/>
    </row>
    <row r="11" spans="1:18" s="1" customFormat="1">
      <c r="A11" s="64" t="s">
        <v>4488</v>
      </c>
      <c r="B11" s="64" t="s">
        <v>4490</v>
      </c>
      <c r="C11" s="64" t="s">
        <v>494</v>
      </c>
      <c r="D11" s="10"/>
      <c r="E11" s="64" t="s">
        <v>476</v>
      </c>
      <c r="F11" s="10">
        <v>30</v>
      </c>
      <c r="G11" s="10">
        <v>1528</v>
      </c>
      <c r="H11" s="64" t="s">
        <v>4496</v>
      </c>
      <c r="I11" s="10"/>
      <c r="J11" s="10">
        <v>1</v>
      </c>
      <c r="K11" s="16">
        <v>1</v>
      </c>
      <c r="L11" s="80">
        <v>52</v>
      </c>
      <c r="M11" s="10"/>
      <c r="N11" s="64">
        <v>1527</v>
      </c>
      <c r="O11" s="64" t="s">
        <v>4483</v>
      </c>
      <c r="P11" s="10"/>
      <c r="Q11" s="10"/>
      <c r="R11" s="10"/>
    </row>
    <row r="12" spans="1:18" s="1" customFormat="1">
      <c r="A12" s="64"/>
      <c r="B12" s="64" t="s">
        <v>4491</v>
      </c>
      <c r="C12" s="64" t="s">
        <v>494</v>
      </c>
      <c r="D12" s="10"/>
      <c r="E12" s="64" t="s">
        <v>476</v>
      </c>
      <c r="F12" s="10"/>
      <c r="G12" s="10"/>
      <c r="H12" s="10"/>
      <c r="I12" s="10"/>
      <c r="J12" s="10"/>
      <c r="K12" s="16">
        <v>2</v>
      </c>
      <c r="L12" s="80">
        <v>8</v>
      </c>
      <c r="M12" s="10"/>
      <c r="N12" s="10"/>
      <c r="O12" s="10"/>
      <c r="P12" s="10"/>
      <c r="Q12" s="10"/>
      <c r="R12" s="10"/>
    </row>
    <row r="13" spans="1:18" s="1" customFormat="1">
      <c r="A13" s="64"/>
      <c r="B13" s="64" t="s">
        <v>4492</v>
      </c>
      <c r="C13" s="64" t="s">
        <v>494</v>
      </c>
      <c r="D13" s="10"/>
      <c r="E13" s="10"/>
      <c r="F13" s="10"/>
      <c r="G13" s="10"/>
      <c r="H13" s="10"/>
      <c r="I13" s="10"/>
      <c r="J13" s="10"/>
      <c r="K13" s="16">
        <v>3</v>
      </c>
      <c r="L13" s="80">
        <v>6</v>
      </c>
      <c r="M13" s="10"/>
      <c r="N13" s="10"/>
      <c r="O13" s="10"/>
      <c r="P13" s="10"/>
      <c r="Q13" s="10"/>
      <c r="R13" s="10"/>
    </row>
    <row r="14" spans="1:18" s="1" customFormat="1">
      <c r="A14" s="64"/>
      <c r="B14" s="64" t="s">
        <v>4495</v>
      </c>
      <c r="C14" s="64" t="s">
        <v>493</v>
      </c>
      <c r="D14" s="10">
        <v>1</v>
      </c>
      <c r="E14" s="10"/>
      <c r="F14" s="10"/>
      <c r="G14" s="10"/>
      <c r="H14" s="10"/>
      <c r="I14" s="10"/>
      <c r="J14" s="10"/>
      <c r="K14" s="16">
        <v>4</v>
      </c>
      <c r="L14" s="80">
        <v>3</v>
      </c>
      <c r="M14" s="10"/>
      <c r="N14" s="10"/>
      <c r="O14" s="10"/>
      <c r="P14" s="10"/>
      <c r="Q14" s="10"/>
      <c r="R14" s="10"/>
    </row>
    <row r="15" spans="1:18" s="1" customFormat="1">
      <c r="A15" s="64"/>
      <c r="B15" s="64" t="s">
        <v>4493</v>
      </c>
      <c r="C15" s="64" t="s">
        <v>494</v>
      </c>
      <c r="D15" s="10"/>
      <c r="E15" s="10"/>
      <c r="F15" s="10"/>
      <c r="G15" s="10"/>
      <c r="H15" s="10"/>
      <c r="I15" s="10"/>
      <c r="J15" s="10"/>
      <c r="K15" s="16">
        <v>5</v>
      </c>
      <c r="L15" s="80">
        <v>7</v>
      </c>
      <c r="M15" s="10"/>
      <c r="N15" s="10"/>
      <c r="O15" s="10"/>
      <c r="P15" s="10"/>
      <c r="Q15" s="10"/>
      <c r="R15" s="10"/>
    </row>
    <row r="16" spans="1:18" s="1" customFormat="1">
      <c r="A16" s="64"/>
      <c r="B16" s="64" t="s">
        <v>4494</v>
      </c>
      <c r="C16" s="64" t="s">
        <v>494</v>
      </c>
      <c r="D16" s="10"/>
      <c r="E16" s="10"/>
      <c r="F16" s="10"/>
      <c r="G16" s="10"/>
      <c r="H16" s="10"/>
      <c r="I16" s="10"/>
      <c r="J16" s="10"/>
      <c r="K16" s="16">
        <v>6</v>
      </c>
      <c r="L16" s="80">
        <v>7</v>
      </c>
      <c r="M16" s="10"/>
      <c r="N16" s="10"/>
      <c r="O16" s="10"/>
      <c r="P16" s="10"/>
      <c r="Q16" s="10"/>
      <c r="R16" s="10"/>
    </row>
    <row r="17" spans="1:18" s="1" customFormat="1">
      <c r="A17" s="10"/>
      <c r="B17" s="10"/>
      <c r="C17" s="10"/>
      <c r="D17" s="10"/>
      <c r="E17" s="10"/>
      <c r="F17" s="10"/>
      <c r="G17" s="10"/>
      <c r="H17" s="10"/>
      <c r="I17" s="10"/>
      <c r="J17" s="10"/>
      <c r="K17" s="16"/>
      <c r="L17" s="31"/>
      <c r="M17" s="10"/>
      <c r="N17" s="10"/>
      <c r="O17" s="10"/>
      <c r="P17" s="10"/>
      <c r="Q17" s="10"/>
      <c r="R17" s="10"/>
    </row>
    <row r="18" spans="1:18">
      <c r="A18" t="s">
        <v>6490</v>
      </c>
      <c r="B18" t="s">
        <v>6491</v>
      </c>
      <c r="C18" t="s">
        <v>494</v>
      </c>
      <c r="E18" t="s">
        <v>476</v>
      </c>
      <c r="F18">
        <v>30</v>
      </c>
      <c r="G18">
        <v>3001</v>
      </c>
      <c r="H18" t="s">
        <v>6242</v>
      </c>
      <c r="I18" t="s">
        <v>6492</v>
      </c>
      <c r="J18">
        <v>2</v>
      </c>
      <c r="K18">
        <v>1</v>
      </c>
      <c r="L18">
        <v>6</v>
      </c>
    </row>
    <row r="19" spans="1:18">
      <c r="B19" t="s">
        <v>6493</v>
      </c>
      <c r="C19" t="s">
        <v>494</v>
      </c>
      <c r="K19">
        <v>2</v>
      </c>
      <c r="L19">
        <v>6</v>
      </c>
    </row>
    <row r="20" spans="1:18">
      <c r="B20" t="s">
        <v>6494</v>
      </c>
      <c r="C20" t="s">
        <v>493</v>
      </c>
      <c r="D20">
        <v>1</v>
      </c>
      <c r="K20">
        <v>3</v>
      </c>
      <c r="L20">
        <v>3</v>
      </c>
    </row>
    <row r="21" spans="1:18">
      <c r="B21" t="s">
        <v>6495</v>
      </c>
      <c r="C21" t="s">
        <v>494</v>
      </c>
      <c r="K21">
        <v>4</v>
      </c>
    </row>
    <row r="22" spans="1:18">
      <c r="B22" t="s">
        <v>6496</v>
      </c>
      <c r="C22" t="s">
        <v>493</v>
      </c>
      <c r="D22">
        <v>100</v>
      </c>
      <c r="K22">
        <v>5</v>
      </c>
    </row>
    <row r="23" spans="1:18">
      <c r="B23" t="s">
        <v>6497</v>
      </c>
      <c r="C23" t="s">
        <v>520</v>
      </c>
      <c r="K23">
        <v>6</v>
      </c>
    </row>
    <row r="25" spans="1:18">
      <c r="A25" t="s">
        <v>6498</v>
      </c>
      <c r="B25" t="s">
        <v>6499</v>
      </c>
      <c r="C25" t="s">
        <v>494</v>
      </c>
      <c r="E25" t="s">
        <v>476</v>
      </c>
      <c r="F25">
        <v>30</v>
      </c>
      <c r="G25">
        <v>3002</v>
      </c>
      <c r="H25" t="s">
        <v>6241</v>
      </c>
      <c r="I25" t="s">
        <v>6500</v>
      </c>
      <c r="J25">
        <v>1</v>
      </c>
      <c r="K25">
        <v>1</v>
      </c>
      <c r="L25">
        <v>6</v>
      </c>
    </row>
    <row r="26" spans="1:18">
      <c r="B26" t="s">
        <v>6501</v>
      </c>
      <c r="C26" t="s">
        <v>494</v>
      </c>
      <c r="K26">
        <v>2</v>
      </c>
      <c r="L26">
        <v>6</v>
      </c>
    </row>
    <row r="27" spans="1:18">
      <c r="B27" t="s">
        <v>6502</v>
      </c>
      <c r="C27" t="s">
        <v>493</v>
      </c>
      <c r="D27">
        <v>250</v>
      </c>
      <c r="K27">
        <v>3</v>
      </c>
    </row>
    <row r="28" spans="1:18">
      <c r="B28" t="s">
        <v>6503</v>
      </c>
      <c r="C28" t="s">
        <v>494</v>
      </c>
      <c r="K28">
        <v>4</v>
      </c>
      <c r="L28">
        <v>3</v>
      </c>
      <c r="N28" t="s">
        <v>6490</v>
      </c>
      <c r="O28" t="s">
        <v>6493</v>
      </c>
      <c r="P28" t="s">
        <v>6496</v>
      </c>
      <c r="R28">
        <v>3001</v>
      </c>
    </row>
    <row r="29" spans="1:18">
      <c r="B29" t="s">
        <v>6504</v>
      </c>
      <c r="C29" t="s">
        <v>520</v>
      </c>
      <c r="K29">
        <v>5</v>
      </c>
    </row>
    <row r="30" spans="1:18">
      <c r="B30" t="s">
        <v>6505</v>
      </c>
      <c r="C30" t="s">
        <v>494</v>
      </c>
      <c r="K30">
        <v>6</v>
      </c>
      <c r="L30">
        <v>3</v>
      </c>
      <c r="N30" s="62" t="s">
        <v>6344</v>
      </c>
      <c r="O30" s="62" t="s">
        <v>6348</v>
      </c>
      <c r="P30" s="62" t="s">
        <v>6350</v>
      </c>
      <c r="R30">
        <v>226</v>
      </c>
    </row>
    <row r="31" spans="1:18">
      <c r="B31" t="s">
        <v>6506</v>
      </c>
      <c r="C31" t="s">
        <v>494</v>
      </c>
      <c r="K31">
        <v>7</v>
      </c>
      <c r="L31">
        <v>3</v>
      </c>
      <c r="M31">
        <v>31</v>
      </c>
      <c r="N31" s="64" t="s">
        <v>4481</v>
      </c>
      <c r="O31" s="64" t="s">
        <v>4483</v>
      </c>
      <c r="P31" s="64" t="s">
        <v>4485</v>
      </c>
      <c r="Q31" t="s">
        <v>6359</v>
      </c>
      <c r="R31">
        <v>6</v>
      </c>
    </row>
    <row r="32" spans="1:18">
      <c r="B32" t="s">
        <v>6507</v>
      </c>
      <c r="C32" t="s">
        <v>494</v>
      </c>
      <c r="K32">
        <v>8</v>
      </c>
      <c r="L32">
        <v>8</v>
      </c>
    </row>
    <row r="34" spans="1:18">
      <c r="A34" t="s">
        <v>6508</v>
      </c>
      <c r="B34" t="s">
        <v>6509</v>
      </c>
      <c r="C34" t="s">
        <v>494</v>
      </c>
      <c r="E34" t="s">
        <v>476</v>
      </c>
      <c r="F34">
        <v>30</v>
      </c>
      <c r="G34">
        <v>3003</v>
      </c>
      <c r="H34" t="s">
        <v>2480</v>
      </c>
      <c r="I34" t="s">
        <v>6510</v>
      </c>
      <c r="J34">
        <v>1</v>
      </c>
      <c r="K34">
        <v>1</v>
      </c>
      <c r="L34">
        <v>3</v>
      </c>
      <c r="N34" t="s">
        <v>6498</v>
      </c>
      <c r="O34" t="s">
        <v>6501</v>
      </c>
      <c r="P34" t="s">
        <v>6502</v>
      </c>
      <c r="R34">
        <v>3002</v>
      </c>
    </row>
    <row r="35" spans="1:18">
      <c r="B35" t="s">
        <v>6511</v>
      </c>
      <c r="C35" t="s">
        <v>494</v>
      </c>
      <c r="E35" t="s">
        <v>476</v>
      </c>
      <c r="K35">
        <v>2</v>
      </c>
      <c r="L35">
        <v>6</v>
      </c>
    </row>
    <row r="36" spans="1:18">
      <c r="B36" t="s">
        <v>6512</v>
      </c>
      <c r="C36" t="s">
        <v>494</v>
      </c>
      <c r="K36">
        <v>3</v>
      </c>
      <c r="L36">
        <v>6</v>
      </c>
    </row>
    <row r="37" spans="1:18">
      <c r="B37" t="s">
        <v>6513</v>
      </c>
      <c r="C37" t="s">
        <v>493</v>
      </c>
      <c r="D37">
        <v>1</v>
      </c>
      <c r="K37">
        <v>4</v>
      </c>
      <c r="L37">
        <v>3</v>
      </c>
    </row>
    <row r="38" spans="1:18">
      <c r="B38" t="s">
        <v>6514</v>
      </c>
      <c r="C38" t="s">
        <v>493</v>
      </c>
      <c r="D38">
        <v>250</v>
      </c>
      <c r="K38">
        <v>5</v>
      </c>
    </row>
    <row r="39" spans="1:18">
      <c r="B39" t="s">
        <v>6515</v>
      </c>
      <c r="C39" t="s">
        <v>520</v>
      </c>
      <c r="K39">
        <v>6</v>
      </c>
    </row>
    <row r="40" spans="1:18">
      <c r="B40" s="62" t="s">
        <v>6516</v>
      </c>
      <c r="C40" t="s">
        <v>520</v>
      </c>
      <c r="K40">
        <v>7</v>
      </c>
    </row>
    <row r="41" spans="1:18">
      <c r="B41" t="s">
        <v>6517</v>
      </c>
      <c r="C41" t="s">
        <v>493</v>
      </c>
      <c r="D41">
        <v>1</v>
      </c>
      <c r="H41" s="62" t="s">
        <v>6343</v>
      </c>
      <c r="K41">
        <v>8</v>
      </c>
      <c r="L41">
        <v>3</v>
      </c>
    </row>
    <row r="42" spans="1:18">
      <c r="B42" t="s">
        <v>6518</v>
      </c>
      <c r="C42" t="s">
        <v>494</v>
      </c>
      <c r="K42">
        <v>9</v>
      </c>
      <c r="L42">
        <v>3</v>
      </c>
    </row>
    <row r="43" spans="1:18">
      <c r="B43" t="s">
        <v>6519</v>
      </c>
      <c r="C43" t="s">
        <v>493</v>
      </c>
      <c r="D43">
        <v>100</v>
      </c>
      <c r="K43">
        <v>10</v>
      </c>
    </row>
    <row r="44" spans="1:18">
      <c r="B44" s="62" t="s">
        <v>6520</v>
      </c>
      <c r="C44" t="s">
        <v>494</v>
      </c>
      <c r="K44">
        <v>11</v>
      </c>
      <c r="L44">
        <v>3</v>
      </c>
      <c r="N44" s="62" t="s">
        <v>6344</v>
      </c>
      <c r="O44" s="62" t="s">
        <v>6348</v>
      </c>
      <c r="P44" s="62" t="s">
        <v>6350</v>
      </c>
      <c r="R44">
        <v>226</v>
      </c>
    </row>
    <row r="45" spans="1:18">
      <c r="B45" s="62" t="s">
        <v>6521</v>
      </c>
      <c r="C45" t="s">
        <v>494</v>
      </c>
      <c r="K45">
        <v>12</v>
      </c>
      <c r="L45">
        <v>3</v>
      </c>
      <c r="M45">
        <v>31</v>
      </c>
      <c r="N45" s="64" t="s">
        <v>4481</v>
      </c>
      <c r="O45" s="64" t="s">
        <v>4483</v>
      </c>
      <c r="P45" s="64" t="s">
        <v>4485</v>
      </c>
      <c r="Q45" s="64" t="s">
        <v>6359</v>
      </c>
      <c r="R45">
        <v>11</v>
      </c>
    </row>
    <row r="46" spans="1:18">
      <c r="B46" s="62" t="s">
        <v>6522</v>
      </c>
      <c r="C46" t="s">
        <v>494</v>
      </c>
      <c r="K46">
        <v>13</v>
      </c>
      <c r="L46">
        <v>8</v>
      </c>
    </row>
    <row r="47" spans="1:18">
      <c r="B47" s="62" t="s">
        <v>6523</v>
      </c>
      <c r="C47" t="s">
        <v>494</v>
      </c>
      <c r="K47">
        <v>14</v>
      </c>
    </row>
    <row r="48" spans="1:18">
      <c r="B48" s="62" t="s">
        <v>6524</v>
      </c>
      <c r="C48" t="s">
        <v>494</v>
      </c>
      <c r="K48">
        <v>15</v>
      </c>
    </row>
    <row r="49" spans="2:18">
      <c r="B49" t="s">
        <v>6525</v>
      </c>
      <c r="C49" t="s">
        <v>493</v>
      </c>
      <c r="D49">
        <v>100</v>
      </c>
      <c r="K49">
        <v>16</v>
      </c>
    </row>
    <row r="50" spans="2:18">
      <c r="B50" s="62" t="s">
        <v>6526</v>
      </c>
      <c r="C50" t="s">
        <v>494</v>
      </c>
      <c r="K50">
        <v>17</v>
      </c>
      <c r="L50">
        <v>3</v>
      </c>
      <c r="N50" s="62" t="s">
        <v>6344</v>
      </c>
      <c r="O50" s="62" t="s">
        <v>6348</v>
      </c>
      <c r="P50" s="62" t="s">
        <v>6350</v>
      </c>
    </row>
    <row r="51" spans="2:18">
      <c r="B51" s="62" t="s">
        <v>6527</v>
      </c>
      <c r="C51" t="s">
        <v>494</v>
      </c>
      <c r="K51">
        <v>18</v>
      </c>
      <c r="L51">
        <v>3</v>
      </c>
      <c r="M51">
        <v>31</v>
      </c>
      <c r="N51" s="64" t="s">
        <v>4481</v>
      </c>
      <c r="O51" s="64" t="s">
        <v>4483</v>
      </c>
      <c r="P51" s="64" t="s">
        <v>4485</v>
      </c>
      <c r="Q51" s="64" t="s">
        <v>6359</v>
      </c>
      <c r="R51">
        <v>17</v>
      </c>
    </row>
    <row r="52" spans="2:18">
      <c r="B52" s="62" t="s">
        <v>6528</v>
      </c>
      <c r="C52" t="s">
        <v>494</v>
      </c>
      <c r="K52">
        <v>19</v>
      </c>
      <c r="L52">
        <v>8</v>
      </c>
    </row>
    <row r="53" spans="2:18">
      <c r="B53" s="62" t="s">
        <v>6529</v>
      </c>
      <c r="C53" t="s">
        <v>494</v>
      </c>
      <c r="K53">
        <v>20</v>
      </c>
    </row>
    <row r="54" spans="2:18">
      <c r="B54" s="62" t="s">
        <v>6530</v>
      </c>
      <c r="C54" t="s">
        <v>494</v>
      </c>
      <c r="K54">
        <v>21</v>
      </c>
    </row>
    <row r="55" spans="2:18">
      <c r="B55" t="s">
        <v>6531</v>
      </c>
      <c r="C55" t="s">
        <v>493</v>
      </c>
      <c r="D55">
        <v>100</v>
      </c>
      <c r="K55">
        <v>22</v>
      </c>
    </row>
    <row r="56" spans="2:18">
      <c r="B56" s="62" t="s">
        <v>6532</v>
      </c>
      <c r="C56" t="s">
        <v>494</v>
      </c>
      <c r="K56">
        <v>23</v>
      </c>
      <c r="L56">
        <v>3</v>
      </c>
      <c r="N56" s="62" t="s">
        <v>6344</v>
      </c>
      <c r="O56" s="62" t="s">
        <v>6348</v>
      </c>
      <c r="P56" s="62" t="s">
        <v>6350</v>
      </c>
    </row>
    <row r="57" spans="2:18">
      <c r="B57" s="62" t="s">
        <v>6533</v>
      </c>
      <c r="C57" t="s">
        <v>494</v>
      </c>
      <c r="K57">
        <v>24</v>
      </c>
      <c r="L57">
        <v>3</v>
      </c>
      <c r="M57">
        <v>31</v>
      </c>
      <c r="N57" s="64" t="s">
        <v>4481</v>
      </c>
      <c r="O57" s="64" t="s">
        <v>4483</v>
      </c>
      <c r="P57" s="64" t="s">
        <v>4485</v>
      </c>
      <c r="Q57" s="64" t="s">
        <v>6359</v>
      </c>
      <c r="R57">
        <v>23</v>
      </c>
    </row>
    <row r="58" spans="2:18">
      <c r="B58" s="62" t="s">
        <v>6534</v>
      </c>
      <c r="C58" t="s">
        <v>494</v>
      </c>
      <c r="K58">
        <v>25</v>
      </c>
      <c r="L58">
        <v>8</v>
      </c>
    </row>
    <row r="59" spans="2:18">
      <c r="B59" s="62" t="s">
        <v>6535</v>
      </c>
      <c r="C59" t="s">
        <v>494</v>
      </c>
      <c r="K59">
        <v>26</v>
      </c>
    </row>
    <row r="60" spans="2:18">
      <c r="B60" s="62" t="s">
        <v>6536</v>
      </c>
      <c r="C60" t="s">
        <v>494</v>
      </c>
      <c r="K60">
        <v>27</v>
      </c>
    </row>
    <row r="61" spans="2:18">
      <c r="B61" t="s">
        <v>6537</v>
      </c>
      <c r="C61" t="s">
        <v>493</v>
      </c>
      <c r="D61">
        <v>1</v>
      </c>
      <c r="K61">
        <v>28</v>
      </c>
      <c r="L61">
        <v>3</v>
      </c>
    </row>
    <row r="62" spans="2:18">
      <c r="B62" t="s">
        <v>6538</v>
      </c>
      <c r="C62" t="s">
        <v>493</v>
      </c>
      <c r="D62">
        <v>1</v>
      </c>
      <c r="K62">
        <v>29</v>
      </c>
      <c r="L62">
        <v>3</v>
      </c>
    </row>
    <row r="63" spans="2:18">
      <c r="B63" s="62" t="s">
        <v>6539</v>
      </c>
      <c r="C63" s="62" t="s">
        <v>493</v>
      </c>
      <c r="D63">
        <v>1</v>
      </c>
      <c r="K63">
        <v>30</v>
      </c>
      <c r="L63">
        <v>3</v>
      </c>
    </row>
    <row r="64" spans="2:18">
      <c r="B64" s="62" t="s">
        <v>6540</v>
      </c>
      <c r="C64" s="62" t="s">
        <v>493</v>
      </c>
      <c r="D64">
        <v>1</v>
      </c>
      <c r="K64">
        <v>31</v>
      </c>
      <c r="L64">
        <v>3</v>
      </c>
    </row>
    <row r="65" spans="1:16">
      <c r="B65" s="62" t="s">
        <v>6541</v>
      </c>
      <c r="C65" s="62" t="s">
        <v>494</v>
      </c>
      <c r="K65">
        <v>32</v>
      </c>
      <c r="L65">
        <v>3</v>
      </c>
      <c r="M65">
        <v>1</v>
      </c>
    </row>
    <row r="66" spans="1:16">
      <c r="B66" s="70" t="s">
        <v>6688</v>
      </c>
      <c r="C66" s="70" t="s">
        <v>494</v>
      </c>
      <c r="K66">
        <v>33</v>
      </c>
      <c r="L66">
        <v>3</v>
      </c>
      <c r="N66" t="s">
        <v>6692</v>
      </c>
      <c r="O66" t="s">
        <v>6693</v>
      </c>
      <c r="P66" t="s">
        <v>6694</v>
      </c>
    </row>
    <row r="67" spans="1:16">
      <c r="B67" s="70" t="s">
        <v>6689</v>
      </c>
      <c r="C67" s="94" t="s">
        <v>493</v>
      </c>
      <c r="D67">
        <v>1</v>
      </c>
      <c r="K67">
        <v>34</v>
      </c>
      <c r="L67">
        <v>3</v>
      </c>
    </row>
    <row r="68" spans="1:16">
      <c r="B68" s="70" t="s">
        <v>6690</v>
      </c>
      <c r="C68" s="94" t="s">
        <v>493</v>
      </c>
      <c r="D68">
        <v>1</v>
      </c>
      <c r="K68">
        <v>35</v>
      </c>
      <c r="L68">
        <v>3</v>
      </c>
    </row>
    <row r="69" spans="1:16">
      <c r="B69" s="64" t="s">
        <v>6760</v>
      </c>
      <c r="C69" t="s">
        <v>494</v>
      </c>
      <c r="K69">
        <v>36</v>
      </c>
      <c r="L69">
        <v>3</v>
      </c>
    </row>
    <row r="70" spans="1:16">
      <c r="B70" s="64" t="s">
        <v>6761</v>
      </c>
      <c r="C70" t="s">
        <v>494</v>
      </c>
      <c r="K70">
        <v>37</v>
      </c>
      <c r="L70">
        <v>3</v>
      </c>
    </row>
    <row r="71" spans="1:16">
      <c r="B71" s="64" t="s">
        <v>6770</v>
      </c>
      <c r="C71" s="108" t="s">
        <v>494</v>
      </c>
      <c r="K71">
        <v>38</v>
      </c>
      <c r="L71">
        <v>3</v>
      </c>
    </row>
    <row r="72" spans="1:16">
      <c r="B72" s="64" t="s">
        <v>6769</v>
      </c>
      <c r="C72" s="108" t="s">
        <v>494</v>
      </c>
      <c r="K72">
        <v>39</v>
      </c>
      <c r="L72">
        <v>3</v>
      </c>
    </row>
    <row r="73" spans="1:16">
      <c r="B73" s="64" t="s">
        <v>6768</v>
      </c>
      <c r="C73" s="108" t="s">
        <v>520</v>
      </c>
      <c r="K73">
        <v>40</v>
      </c>
    </row>
    <row r="74" spans="1:16">
      <c r="B74" s="64" t="s">
        <v>6776</v>
      </c>
      <c r="C74" s="108" t="s">
        <v>494</v>
      </c>
      <c r="K74">
        <v>41</v>
      </c>
      <c r="L74">
        <v>3</v>
      </c>
    </row>
    <row r="76" spans="1:16">
      <c r="A76" t="s">
        <v>6542</v>
      </c>
      <c r="B76" t="s">
        <v>6543</v>
      </c>
      <c r="C76" t="s">
        <v>494</v>
      </c>
      <c r="E76" t="s">
        <v>476</v>
      </c>
      <c r="F76">
        <v>30</v>
      </c>
      <c r="G76">
        <v>3004</v>
      </c>
      <c r="H76" t="s">
        <v>111</v>
      </c>
      <c r="J76">
        <v>1</v>
      </c>
      <c r="K76">
        <v>1</v>
      </c>
      <c r="L76">
        <v>52</v>
      </c>
      <c r="N76">
        <v>3003</v>
      </c>
      <c r="O76" t="s">
        <v>6512</v>
      </c>
    </row>
    <row r="77" spans="1:16">
      <c r="B77" t="s">
        <v>6544</v>
      </c>
      <c r="C77" t="s">
        <v>494</v>
      </c>
      <c r="E77" t="s">
        <v>476</v>
      </c>
      <c r="K77">
        <v>2</v>
      </c>
      <c r="L77">
        <v>6</v>
      </c>
    </row>
    <row r="78" spans="1:16">
      <c r="B78" t="s">
        <v>6545</v>
      </c>
      <c r="C78" t="s">
        <v>494</v>
      </c>
      <c r="K78">
        <v>3</v>
      </c>
      <c r="L78">
        <v>6</v>
      </c>
    </row>
    <row r="79" spans="1:16">
      <c r="B79" t="s">
        <v>6546</v>
      </c>
      <c r="C79" t="s">
        <v>493</v>
      </c>
      <c r="D79">
        <v>1</v>
      </c>
      <c r="K79">
        <v>4</v>
      </c>
      <c r="L79">
        <v>3</v>
      </c>
    </row>
    <row r="80" spans="1:16">
      <c r="B80" t="s">
        <v>6547</v>
      </c>
      <c r="C80" t="s">
        <v>494</v>
      </c>
      <c r="K80">
        <v>5</v>
      </c>
    </row>
    <row r="81" spans="1:16">
      <c r="B81" t="s">
        <v>6548</v>
      </c>
      <c r="C81" t="s">
        <v>493</v>
      </c>
      <c r="D81">
        <v>1</v>
      </c>
      <c r="K81">
        <v>6</v>
      </c>
      <c r="L81">
        <v>3</v>
      </c>
    </row>
    <row r="82" spans="1:16">
      <c r="B82" t="s">
        <v>6549</v>
      </c>
      <c r="C82" t="s">
        <v>493</v>
      </c>
      <c r="D82">
        <v>100</v>
      </c>
      <c r="K82">
        <v>7</v>
      </c>
    </row>
    <row r="83" spans="1:16">
      <c r="B83" t="s">
        <v>6550</v>
      </c>
      <c r="C83" t="s">
        <v>520</v>
      </c>
      <c r="K83">
        <v>8</v>
      </c>
    </row>
    <row r="84" spans="1:16">
      <c r="B84" s="92" t="s">
        <v>6551</v>
      </c>
      <c r="C84" s="62" t="s">
        <v>494</v>
      </c>
      <c r="K84">
        <v>9</v>
      </c>
      <c r="M84">
        <v>1</v>
      </c>
    </row>
    <row r="85" spans="1:16">
      <c r="B85" t="s">
        <v>6552</v>
      </c>
      <c r="C85" t="s">
        <v>494</v>
      </c>
      <c r="K85">
        <v>10</v>
      </c>
      <c r="L85">
        <v>91</v>
      </c>
    </row>
    <row r="86" spans="1:16">
      <c r="B86" t="s">
        <v>6553</v>
      </c>
      <c r="C86" t="s">
        <v>494</v>
      </c>
      <c r="K86">
        <v>11</v>
      </c>
      <c r="L86">
        <v>92</v>
      </c>
    </row>
    <row r="87" spans="1:16">
      <c r="B87" s="70" t="s">
        <v>6691</v>
      </c>
      <c r="C87" s="70" t="s">
        <v>494</v>
      </c>
      <c r="K87">
        <v>12</v>
      </c>
      <c r="L87">
        <v>3</v>
      </c>
    </row>
    <row r="89" spans="1:16">
      <c r="A89" s="119" t="s">
        <v>6554</v>
      </c>
      <c r="B89" s="62" t="s">
        <v>6555</v>
      </c>
      <c r="C89" s="62" t="s">
        <v>494</v>
      </c>
      <c r="E89" s="62" t="s">
        <v>476</v>
      </c>
      <c r="F89">
        <v>30</v>
      </c>
      <c r="G89">
        <v>3005</v>
      </c>
      <c r="H89" s="62" t="s">
        <v>6244</v>
      </c>
      <c r="I89" s="62" t="s">
        <v>6556</v>
      </c>
      <c r="J89">
        <v>3001</v>
      </c>
      <c r="K89">
        <v>1</v>
      </c>
      <c r="M89">
        <v>1</v>
      </c>
    </row>
    <row r="90" spans="1:16">
      <c r="A90" s="119"/>
      <c r="B90" s="62" t="s">
        <v>6557</v>
      </c>
      <c r="C90" s="62" t="s">
        <v>494</v>
      </c>
      <c r="E90" s="62" t="s">
        <v>476</v>
      </c>
      <c r="K90">
        <v>2</v>
      </c>
      <c r="M90">
        <v>1</v>
      </c>
    </row>
    <row r="91" spans="1:16">
      <c r="A91" s="119"/>
      <c r="B91" s="62" t="s">
        <v>6655</v>
      </c>
      <c r="C91" s="62" t="s">
        <v>494</v>
      </c>
      <c r="E91" s="62" t="s">
        <v>476</v>
      </c>
      <c r="H91" s="62" t="s">
        <v>6659</v>
      </c>
      <c r="K91">
        <v>3</v>
      </c>
      <c r="L91">
        <v>3</v>
      </c>
      <c r="M91">
        <v>1</v>
      </c>
      <c r="N91" s="62" t="s">
        <v>6678</v>
      </c>
      <c r="O91" s="62" t="s">
        <v>6679</v>
      </c>
      <c r="P91" s="62" t="s">
        <v>6680</v>
      </c>
    </row>
    <row r="92" spans="1:16">
      <c r="B92" s="62" t="s">
        <v>6558</v>
      </c>
      <c r="C92" s="62" t="s">
        <v>494</v>
      </c>
      <c r="E92" s="62" t="s">
        <v>476</v>
      </c>
      <c r="K92">
        <v>4</v>
      </c>
      <c r="L92">
        <v>6</v>
      </c>
    </row>
    <row r="93" spans="1:16">
      <c r="B93" s="62" t="s">
        <v>6559</v>
      </c>
      <c r="C93" s="62" t="s">
        <v>494</v>
      </c>
      <c r="H93" s="62" t="s">
        <v>6243</v>
      </c>
      <c r="K93">
        <v>5</v>
      </c>
      <c r="L93">
        <v>6</v>
      </c>
    </row>
    <row r="94" spans="1:16">
      <c r="B94" s="62" t="s">
        <v>6656</v>
      </c>
      <c r="C94" s="62" t="s">
        <v>494</v>
      </c>
      <c r="H94" s="62"/>
      <c r="K94">
        <v>6</v>
      </c>
      <c r="M94">
        <v>2</v>
      </c>
    </row>
    <row r="95" spans="1:16">
      <c r="B95" s="62" t="s">
        <v>6657</v>
      </c>
      <c r="C95" s="62" t="s">
        <v>494</v>
      </c>
      <c r="H95" s="62"/>
      <c r="K95">
        <v>7</v>
      </c>
      <c r="M95">
        <v>2</v>
      </c>
    </row>
    <row r="96" spans="1:16">
      <c r="B96" s="62" t="s">
        <v>6658</v>
      </c>
      <c r="C96" s="62" t="s">
        <v>494</v>
      </c>
      <c r="H96" s="62"/>
      <c r="K96">
        <v>8</v>
      </c>
      <c r="M96">
        <v>1</v>
      </c>
    </row>
    <row r="97" spans="2:16">
      <c r="B97" s="62" t="s">
        <v>6560</v>
      </c>
      <c r="C97" s="62" t="s">
        <v>494</v>
      </c>
      <c r="K97">
        <v>9</v>
      </c>
    </row>
    <row r="98" spans="2:16">
      <c r="B98" s="62" t="s">
        <v>6561</v>
      </c>
      <c r="C98" s="62" t="s">
        <v>494</v>
      </c>
      <c r="H98" s="62"/>
      <c r="K98">
        <v>10</v>
      </c>
      <c r="M98">
        <v>71</v>
      </c>
    </row>
    <row r="99" spans="2:16">
      <c r="B99" s="62" t="s">
        <v>6562</v>
      </c>
      <c r="C99" s="62" t="s">
        <v>494</v>
      </c>
      <c r="K99">
        <v>11</v>
      </c>
      <c r="M99">
        <v>72</v>
      </c>
    </row>
    <row r="100" spans="2:16">
      <c r="B100" s="70" t="s">
        <v>6790</v>
      </c>
      <c r="C100" s="62" t="s">
        <v>494</v>
      </c>
    </row>
    <row r="101" spans="2:16">
      <c r="B101" s="70" t="s">
        <v>6791</v>
      </c>
      <c r="C101" s="62" t="s">
        <v>494</v>
      </c>
    </row>
    <row r="102" spans="2:16">
      <c r="B102" s="70" t="s">
        <v>6792</v>
      </c>
      <c r="C102" s="62" t="s">
        <v>494</v>
      </c>
    </row>
    <row r="103" spans="2:16">
      <c r="B103" s="70" t="s">
        <v>6789</v>
      </c>
      <c r="C103" s="62" t="s">
        <v>494</v>
      </c>
    </row>
    <row r="104" spans="2:16">
      <c r="B104" s="70" t="s">
        <v>6788</v>
      </c>
      <c r="C104" s="62" t="s">
        <v>494</v>
      </c>
    </row>
    <row r="105" spans="2:16">
      <c r="B105" s="62" t="s">
        <v>6563</v>
      </c>
      <c r="C105" s="62" t="s">
        <v>494</v>
      </c>
      <c r="K105">
        <v>12</v>
      </c>
      <c r="L105">
        <v>3</v>
      </c>
      <c r="N105" s="62" t="s">
        <v>6473</v>
      </c>
      <c r="O105" s="62" t="s">
        <v>6474</v>
      </c>
      <c r="P105" s="62" t="s">
        <v>6475</v>
      </c>
    </row>
    <row r="106" spans="2:16">
      <c r="B106" s="62" t="s">
        <v>6564</v>
      </c>
      <c r="C106" s="62" t="s">
        <v>494</v>
      </c>
      <c r="K106">
        <v>13</v>
      </c>
      <c r="L106">
        <v>3</v>
      </c>
      <c r="N106" s="10" t="s">
        <v>435</v>
      </c>
      <c r="O106" s="10" t="s">
        <v>437</v>
      </c>
      <c r="P106" s="10" t="s">
        <v>439</v>
      </c>
    </row>
    <row r="107" spans="2:16">
      <c r="B107" s="62" t="s">
        <v>6565</v>
      </c>
      <c r="C107" s="62" t="s">
        <v>494</v>
      </c>
      <c r="K107">
        <v>14</v>
      </c>
      <c r="L107">
        <v>3</v>
      </c>
      <c r="N107" t="s">
        <v>6508</v>
      </c>
      <c r="O107" t="s">
        <v>6512</v>
      </c>
      <c r="P107" t="s">
        <v>6514</v>
      </c>
    </row>
    <row r="108" spans="2:16">
      <c r="B108" s="62" t="s">
        <v>6566</v>
      </c>
      <c r="C108" s="62" t="s">
        <v>494</v>
      </c>
      <c r="K108">
        <v>15</v>
      </c>
      <c r="L108">
        <v>3</v>
      </c>
      <c r="N108" t="s">
        <v>6508</v>
      </c>
      <c r="O108" t="s">
        <v>6512</v>
      </c>
      <c r="P108" t="s">
        <v>6514</v>
      </c>
    </row>
    <row r="109" spans="2:16">
      <c r="B109" s="125" t="s">
        <v>6567</v>
      </c>
      <c r="C109" s="125" t="s">
        <v>494</v>
      </c>
      <c r="K109">
        <v>16</v>
      </c>
      <c r="L109">
        <v>3</v>
      </c>
      <c r="N109" t="s">
        <v>6498</v>
      </c>
      <c r="O109" t="s">
        <v>6501</v>
      </c>
      <c r="P109" t="s">
        <v>6502</v>
      </c>
    </row>
    <row r="110" spans="2:16">
      <c r="B110" s="125" t="s">
        <v>6568</v>
      </c>
      <c r="C110" s="125" t="s">
        <v>494</v>
      </c>
      <c r="K110">
        <v>17</v>
      </c>
      <c r="L110">
        <v>3</v>
      </c>
      <c r="N110" t="s">
        <v>6498</v>
      </c>
      <c r="O110" t="s">
        <v>6501</v>
      </c>
      <c r="P110" t="s">
        <v>6502</v>
      </c>
    </row>
    <row r="111" spans="2:16">
      <c r="B111" s="62" t="s">
        <v>6569</v>
      </c>
      <c r="C111" s="62" t="s">
        <v>494</v>
      </c>
      <c r="K111">
        <v>18</v>
      </c>
      <c r="L111">
        <v>8</v>
      </c>
    </row>
    <row r="112" spans="2:16">
      <c r="B112" s="62" t="s">
        <v>6570</v>
      </c>
      <c r="C112" s="62" t="s">
        <v>494</v>
      </c>
      <c r="K112">
        <v>19</v>
      </c>
      <c r="L112">
        <v>8</v>
      </c>
    </row>
    <row r="113" spans="1:18">
      <c r="B113" s="62" t="s">
        <v>6571</v>
      </c>
      <c r="C113" s="62" t="s">
        <v>494</v>
      </c>
      <c r="K113">
        <v>20</v>
      </c>
      <c r="L113" s="80">
        <v>3</v>
      </c>
      <c r="M113" s="10"/>
      <c r="N113" s="62" t="s">
        <v>2482</v>
      </c>
      <c r="O113" s="64" t="s">
        <v>2484</v>
      </c>
      <c r="P113" s="64" t="s">
        <v>2486</v>
      </c>
    </row>
    <row r="114" spans="1:18">
      <c r="B114" s="62" t="s">
        <v>6572</v>
      </c>
      <c r="C114" s="62" t="s">
        <v>494</v>
      </c>
      <c r="K114">
        <v>21</v>
      </c>
      <c r="L114" s="80">
        <v>3</v>
      </c>
      <c r="M114" s="10"/>
      <c r="N114" t="s">
        <v>6476</v>
      </c>
      <c r="O114" s="62" t="s">
        <v>6477</v>
      </c>
      <c r="P114" s="62" t="s">
        <v>6478</v>
      </c>
    </row>
    <row r="115" spans="1:18">
      <c r="B115" s="62" t="s">
        <v>6573</v>
      </c>
      <c r="C115" s="62" t="s">
        <v>493</v>
      </c>
      <c r="D115">
        <v>50</v>
      </c>
      <c r="K115">
        <v>22</v>
      </c>
      <c r="L115" s="80"/>
      <c r="M115" s="10"/>
      <c r="O115" s="62"/>
      <c r="P115" s="62"/>
    </row>
    <row r="116" spans="1:18">
      <c r="B116" s="62" t="s">
        <v>6574</v>
      </c>
      <c r="C116" s="62" t="s">
        <v>493</v>
      </c>
      <c r="D116">
        <v>100</v>
      </c>
      <c r="K116">
        <v>23</v>
      </c>
      <c r="L116" s="80"/>
      <c r="M116" s="10"/>
      <c r="O116" s="62"/>
      <c r="P116" s="62"/>
    </row>
    <row r="117" spans="1:18">
      <c r="B117" s="62" t="s">
        <v>6665</v>
      </c>
      <c r="C117" s="62" t="s">
        <v>494</v>
      </c>
      <c r="K117">
        <v>24</v>
      </c>
      <c r="L117" s="80">
        <v>3</v>
      </c>
      <c r="M117" s="10"/>
      <c r="O117" s="62"/>
      <c r="P117" s="62"/>
    </row>
    <row r="118" spans="1:18">
      <c r="B118" s="62" t="s">
        <v>6666</v>
      </c>
      <c r="C118" s="62" t="s">
        <v>702</v>
      </c>
      <c r="K118">
        <v>25</v>
      </c>
      <c r="L118" s="80"/>
      <c r="M118" s="10"/>
      <c r="O118" s="62"/>
      <c r="P118" s="62"/>
    </row>
    <row r="119" spans="1:18">
      <c r="B119" s="62" t="s">
        <v>6667</v>
      </c>
      <c r="C119" s="62" t="s">
        <v>493</v>
      </c>
      <c r="D119">
        <v>50</v>
      </c>
      <c r="K119">
        <v>26</v>
      </c>
      <c r="L119" s="80"/>
      <c r="M119" s="10"/>
      <c r="O119" s="62"/>
      <c r="P119" s="62"/>
    </row>
    <row r="120" spans="1:18" s="1" customFormat="1">
      <c r="A120" s="10"/>
      <c r="B120" s="64" t="s">
        <v>6575</v>
      </c>
      <c r="C120" s="10" t="s">
        <v>494</v>
      </c>
      <c r="D120" s="10"/>
      <c r="E120" s="10"/>
      <c r="F120" s="10"/>
      <c r="G120" s="10"/>
      <c r="H120" s="10"/>
      <c r="I120" s="10"/>
      <c r="J120" s="10"/>
      <c r="K120">
        <v>27</v>
      </c>
      <c r="L120" s="31">
        <v>3</v>
      </c>
      <c r="M120" s="10"/>
      <c r="N120" s="10" t="s">
        <v>443</v>
      </c>
      <c r="O120" s="10" t="s">
        <v>444</v>
      </c>
      <c r="P120" s="10" t="s">
        <v>445</v>
      </c>
      <c r="Q120" s="10"/>
      <c r="R120" s="10"/>
    </row>
    <row r="121" spans="1:18" s="1" customFormat="1">
      <c r="A121" s="10"/>
      <c r="B121" s="64" t="s">
        <v>6576</v>
      </c>
      <c r="C121" s="64" t="s">
        <v>494</v>
      </c>
      <c r="D121" s="10"/>
      <c r="E121" s="10"/>
      <c r="F121" s="10"/>
      <c r="G121" s="10"/>
      <c r="H121" s="10"/>
      <c r="I121" s="10"/>
      <c r="J121" s="10"/>
      <c r="K121">
        <v>28</v>
      </c>
      <c r="L121" s="80">
        <v>3</v>
      </c>
      <c r="M121" s="14"/>
      <c r="N121" s="62" t="s">
        <v>693</v>
      </c>
      <c r="O121" s="1" t="s">
        <v>695</v>
      </c>
      <c r="P121" s="1" t="s">
        <v>696</v>
      </c>
      <c r="Q121" s="62"/>
      <c r="R121" s="14"/>
    </row>
    <row r="122" spans="1:18" s="1" customFormat="1">
      <c r="A122" s="10"/>
      <c r="B122" s="64" t="s">
        <v>6577</v>
      </c>
      <c r="C122" s="10" t="s">
        <v>494</v>
      </c>
      <c r="D122" s="10"/>
      <c r="E122" s="10"/>
      <c r="F122" s="10"/>
      <c r="G122" s="10"/>
      <c r="H122" s="10"/>
      <c r="I122" s="10"/>
      <c r="J122" s="10"/>
      <c r="K122">
        <v>29</v>
      </c>
      <c r="L122" s="31">
        <v>3</v>
      </c>
      <c r="M122" s="14">
        <v>31</v>
      </c>
      <c r="N122" s="1" t="s">
        <v>379</v>
      </c>
      <c r="O122" s="62" t="s">
        <v>698</v>
      </c>
      <c r="P122" s="62" t="s">
        <v>699</v>
      </c>
      <c r="Q122" s="62" t="s">
        <v>383</v>
      </c>
      <c r="R122" s="14">
        <v>21</v>
      </c>
    </row>
    <row r="123" spans="1:18">
      <c r="B123" s="62" t="s">
        <v>6578</v>
      </c>
      <c r="C123" s="62" t="s">
        <v>493</v>
      </c>
      <c r="D123">
        <v>10</v>
      </c>
      <c r="H123" s="62" t="s">
        <v>6246</v>
      </c>
      <c r="K123">
        <v>30</v>
      </c>
    </row>
    <row r="124" spans="1:18">
      <c r="B124" s="62" t="s">
        <v>6579</v>
      </c>
      <c r="C124" s="62" t="s">
        <v>520</v>
      </c>
      <c r="H124" s="62"/>
      <c r="K124">
        <v>31</v>
      </c>
    </row>
    <row r="125" spans="1:18">
      <c r="B125" s="62" t="s">
        <v>6580</v>
      </c>
      <c r="C125" s="62" t="s">
        <v>520</v>
      </c>
      <c r="H125" s="62"/>
      <c r="K125">
        <v>32</v>
      </c>
    </row>
    <row r="126" spans="1:18">
      <c r="B126" s="118" t="s">
        <v>6581</v>
      </c>
      <c r="C126" s="121" t="s">
        <v>494</v>
      </c>
      <c r="K126">
        <v>33</v>
      </c>
      <c r="L126">
        <v>3</v>
      </c>
      <c r="N126" s="62" t="s">
        <v>6344</v>
      </c>
      <c r="O126" s="62" t="s">
        <v>6348</v>
      </c>
      <c r="P126" s="62" t="s">
        <v>6350</v>
      </c>
    </row>
    <row r="127" spans="1:18">
      <c r="B127" s="118" t="s">
        <v>6582</v>
      </c>
      <c r="C127" s="121" t="s">
        <v>494</v>
      </c>
      <c r="K127">
        <v>34</v>
      </c>
      <c r="L127">
        <v>3</v>
      </c>
      <c r="M127">
        <v>31</v>
      </c>
      <c r="N127" s="64" t="s">
        <v>4481</v>
      </c>
      <c r="O127" s="64" t="s">
        <v>4483</v>
      </c>
      <c r="P127" s="64" t="s">
        <v>4485</v>
      </c>
      <c r="Q127" s="64" t="s">
        <v>6359</v>
      </c>
      <c r="R127">
        <v>33</v>
      </c>
    </row>
    <row r="128" spans="1:18">
      <c r="B128" s="118" t="s">
        <v>6583</v>
      </c>
      <c r="C128" s="121" t="s">
        <v>494</v>
      </c>
      <c r="K128">
        <v>35</v>
      </c>
      <c r="L128">
        <v>8</v>
      </c>
    </row>
    <row r="129" spans="2:18">
      <c r="B129" s="118" t="s">
        <v>6584</v>
      </c>
      <c r="C129" s="121" t="s">
        <v>494</v>
      </c>
      <c r="K129">
        <v>36</v>
      </c>
      <c r="L129">
        <v>8</v>
      </c>
    </row>
    <row r="130" spans="2:18">
      <c r="B130" s="118" t="s">
        <v>6585</v>
      </c>
      <c r="C130" s="121" t="s">
        <v>494</v>
      </c>
      <c r="K130">
        <v>37</v>
      </c>
      <c r="L130">
        <v>3</v>
      </c>
      <c r="N130" s="1" t="s">
        <v>3664</v>
      </c>
      <c r="O130" s="23" t="s">
        <v>3666</v>
      </c>
      <c r="P130" s="23" t="s">
        <v>3667</v>
      </c>
      <c r="Q130" s="10"/>
    </row>
    <row r="131" spans="2:18">
      <c r="B131" s="118" t="s">
        <v>6586</v>
      </c>
      <c r="C131" s="121" t="s">
        <v>494</v>
      </c>
      <c r="K131">
        <v>38</v>
      </c>
      <c r="L131">
        <v>3</v>
      </c>
      <c r="M131">
        <v>31</v>
      </c>
      <c r="N131" s="64" t="s">
        <v>3655</v>
      </c>
      <c r="O131" s="66" t="s">
        <v>3648</v>
      </c>
      <c r="P131" s="66" t="s">
        <v>3657</v>
      </c>
      <c r="Q131" s="64" t="s">
        <v>3658</v>
      </c>
      <c r="R131">
        <v>30</v>
      </c>
    </row>
    <row r="132" spans="2:18">
      <c r="B132" s="118" t="s">
        <v>6660</v>
      </c>
      <c r="C132" s="121" t="s">
        <v>494</v>
      </c>
      <c r="K132">
        <v>39</v>
      </c>
      <c r="L132">
        <v>3</v>
      </c>
      <c r="N132" s="10" t="s">
        <v>506</v>
      </c>
      <c r="O132" s="10" t="s">
        <v>514</v>
      </c>
      <c r="P132" s="1" t="s">
        <v>515</v>
      </c>
      <c r="Q132" s="64"/>
    </row>
    <row r="133" spans="2:18">
      <c r="B133" s="118" t="s">
        <v>6661</v>
      </c>
      <c r="C133" s="121" t="s">
        <v>494</v>
      </c>
      <c r="K133">
        <v>40</v>
      </c>
      <c r="L133">
        <v>3</v>
      </c>
      <c r="N133" s="62" t="s">
        <v>1038</v>
      </c>
      <c r="O133" s="23" t="s">
        <v>1040</v>
      </c>
      <c r="P133" s="23" t="s">
        <v>1041</v>
      </c>
      <c r="Q133" s="64"/>
    </row>
    <row r="134" spans="2:18">
      <c r="B134" s="118" t="s">
        <v>6664</v>
      </c>
      <c r="C134" s="121" t="s">
        <v>494</v>
      </c>
      <c r="K134">
        <v>41</v>
      </c>
      <c r="L134">
        <v>3</v>
      </c>
      <c r="N134" s="64" t="s">
        <v>3311</v>
      </c>
      <c r="O134" s="62" t="s">
        <v>3316</v>
      </c>
      <c r="P134" s="66" t="s">
        <v>3315</v>
      </c>
      <c r="Q134" s="64"/>
    </row>
    <row r="135" spans="2:18">
      <c r="B135" s="118" t="s">
        <v>6587</v>
      </c>
      <c r="C135" s="121" t="s">
        <v>494</v>
      </c>
      <c r="K135">
        <v>42</v>
      </c>
    </row>
    <row r="136" spans="2:18">
      <c r="B136" s="118" t="s">
        <v>6588</v>
      </c>
      <c r="C136" s="121" t="s">
        <v>494</v>
      </c>
      <c r="K136">
        <v>43</v>
      </c>
    </row>
    <row r="137" spans="2:18">
      <c r="B137" s="118" t="s">
        <v>6589</v>
      </c>
      <c r="C137" s="121" t="s">
        <v>494</v>
      </c>
      <c r="K137">
        <v>44</v>
      </c>
      <c r="L137">
        <v>7</v>
      </c>
    </row>
    <row r="138" spans="2:18">
      <c r="B138" s="118" t="s">
        <v>6590</v>
      </c>
      <c r="C138" s="121" t="s">
        <v>520</v>
      </c>
      <c r="K138">
        <v>45</v>
      </c>
    </row>
    <row r="139" spans="2:18">
      <c r="B139" s="118" t="s">
        <v>6591</v>
      </c>
      <c r="C139" s="121" t="s">
        <v>494</v>
      </c>
      <c r="K139">
        <v>46</v>
      </c>
      <c r="L139">
        <v>7</v>
      </c>
      <c r="M139">
        <v>1</v>
      </c>
    </row>
    <row r="140" spans="2:18">
      <c r="B140" s="118" t="s">
        <v>6592</v>
      </c>
      <c r="C140" s="121" t="s">
        <v>494</v>
      </c>
      <c r="K140">
        <v>47</v>
      </c>
      <c r="M140">
        <v>73</v>
      </c>
    </row>
    <row r="141" spans="2:18">
      <c r="B141" s="118" t="s">
        <v>6593</v>
      </c>
      <c r="C141" s="121" t="s">
        <v>494</v>
      </c>
      <c r="K141">
        <v>48</v>
      </c>
      <c r="M141">
        <v>74</v>
      </c>
    </row>
    <row r="142" spans="2:18">
      <c r="B142" s="118" t="s">
        <v>6594</v>
      </c>
      <c r="C142" s="121" t="s">
        <v>494</v>
      </c>
      <c r="K142">
        <v>49</v>
      </c>
      <c r="M142">
        <v>1</v>
      </c>
    </row>
    <row r="143" spans="2:18">
      <c r="B143" s="118" t="s">
        <v>6595</v>
      </c>
      <c r="C143" s="121" t="s">
        <v>494</v>
      </c>
      <c r="K143">
        <v>50</v>
      </c>
      <c r="M143">
        <v>1</v>
      </c>
    </row>
    <row r="144" spans="2:18">
      <c r="B144" s="118" t="s">
        <v>6596</v>
      </c>
      <c r="C144" s="121" t="s">
        <v>494</v>
      </c>
      <c r="K144">
        <v>51</v>
      </c>
      <c r="M144">
        <v>1</v>
      </c>
    </row>
    <row r="145" spans="1:13">
      <c r="B145" s="118" t="s">
        <v>6597</v>
      </c>
      <c r="C145" s="121" t="s">
        <v>494</v>
      </c>
      <c r="K145">
        <v>52</v>
      </c>
      <c r="M145">
        <v>1</v>
      </c>
    </row>
    <row r="146" spans="1:13">
      <c r="B146" s="123" t="s">
        <v>6598</v>
      </c>
      <c r="C146" s="124" t="s">
        <v>494</v>
      </c>
      <c r="K146">
        <v>53</v>
      </c>
      <c r="M146">
        <v>1</v>
      </c>
    </row>
    <row r="147" spans="1:13">
      <c r="B147" s="123" t="s">
        <v>6599</v>
      </c>
      <c r="C147" s="124" t="s">
        <v>494</v>
      </c>
      <c r="K147">
        <v>54</v>
      </c>
      <c r="M147">
        <v>1</v>
      </c>
    </row>
    <row r="148" spans="1:13">
      <c r="B148" s="123" t="s">
        <v>6668</v>
      </c>
      <c r="C148" s="123" t="s">
        <v>494</v>
      </c>
      <c r="K148">
        <v>55</v>
      </c>
      <c r="M148">
        <v>1</v>
      </c>
    </row>
    <row r="149" spans="1:13">
      <c r="B149" s="78" t="s">
        <v>6662</v>
      </c>
      <c r="C149" s="78" t="s">
        <v>494</v>
      </c>
      <c r="K149">
        <v>56</v>
      </c>
      <c r="L149">
        <v>3</v>
      </c>
    </row>
    <row r="150" spans="1:13">
      <c r="B150" s="78" t="s">
        <v>6663</v>
      </c>
      <c r="C150" s="78" t="s">
        <v>494</v>
      </c>
      <c r="K150">
        <v>57</v>
      </c>
      <c r="L150">
        <v>7</v>
      </c>
    </row>
    <row r="151" spans="1:13">
      <c r="B151" s="78" t="s">
        <v>6669</v>
      </c>
      <c r="C151" s="78" t="s">
        <v>494</v>
      </c>
      <c r="K151">
        <v>58</v>
      </c>
      <c r="L151">
        <v>3</v>
      </c>
    </row>
    <row r="152" spans="1:13">
      <c r="B152" s="78" t="s">
        <v>6670</v>
      </c>
      <c r="C152" s="78" t="s">
        <v>520</v>
      </c>
      <c r="K152">
        <v>59</v>
      </c>
    </row>
    <row r="153" spans="1:13">
      <c r="B153" s="78" t="s">
        <v>6671</v>
      </c>
      <c r="C153" s="78" t="s">
        <v>494</v>
      </c>
      <c r="K153">
        <v>60</v>
      </c>
      <c r="L153">
        <v>3</v>
      </c>
    </row>
    <row r="154" spans="1:13">
      <c r="B154" s="78" t="s">
        <v>6672</v>
      </c>
      <c r="C154" s="78" t="s">
        <v>520</v>
      </c>
      <c r="K154">
        <v>61</v>
      </c>
    </row>
    <row r="155" spans="1:13">
      <c r="B155" s="78" t="s">
        <v>6673</v>
      </c>
      <c r="C155" s="78" t="s">
        <v>494</v>
      </c>
      <c r="K155">
        <v>62</v>
      </c>
      <c r="L155">
        <v>3</v>
      </c>
    </row>
    <row r="156" spans="1:13">
      <c r="B156" s="78" t="s">
        <v>6674</v>
      </c>
      <c r="C156" s="78" t="s">
        <v>520</v>
      </c>
      <c r="K156">
        <v>63</v>
      </c>
    </row>
    <row r="157" spans="1:13">
      <c r="B157" s="78" t="s">
        <v>6675</v>
      </c>
      <c r="C157" s="78" t="s">
        <v>494</v>
      </c>
      <c r="K157">
        <v>64</v>
      </c>
      <c r="L157">
        <v>3</v>
      </c>
    </row>
    <row r="158" spans="1:13">
      <c r="B158" s="78" t="s">
        <v>6676</v>
      </c>
      <c r="C158" s="78" t="s">
        <v>520</v>
      </c>
      <c r="K158">
        <v>65</v>
      </c>
    </row>
    <row r="159" spans="1:13">
      <c r="B159" s="64"/>
      <c r="C159" s="7"/>
    </row>
    <row r="160" spans="1:13">
      <c r="A160" s="70" t="s">
        <v>6554</v>
      </c>
      <c r="B160" s="70" t="s">
        <v>6555</v>
      </c>
      <c r="C160" s="62" t="s">
        <v>494</v>
      </c>
      <c r="E160" s="62" t="s">
        <v>476</v>
      </c>
      <c r="F160">
        <v>30</v>
      </c>
      <c r="G160">
        <v>3005</v>
      </c>
      <c r="H160" s="62" t="s">
        <v>6244</v>
      </c>
      <c r="I160" s="62" t="s">
        <v>6556</v>
      </c>
      <c r="J160">
        <v>3001</v>
      </c>
      <c r="K160">
        <v>1</v>
      </c>
      <c r="M160">
        <v>1</v>
      </c>
    </row>
    <row r="161" spans="1:18">
      <c r="A161" s="70"/>
      <c r="B161" s="70" t="s">
        <v>6557</v>
      </c>
      <c r="C161" s="62" t="s">
        <v>494</v>
      </c>
      <c r="E161" s="62" t="s">
        <v>476</v>
      </c>
      <c r="K161">
        <v>2</v>
      </c>
      <c r="M161">
        <v>1</v>
      </c>
    </row>
    <row r="162" spans="1:18">
      <c r="A162" s="70"/>
      <c r="B162" s="70" t="s">
        <v>6655</v>
      </c>
      <c r="C162" s="62" t="s">
        <v>494</v>
      </c>
      <c r="E162" s="62" t="s">
        <v>476</v>
      </c>
      <c r="H162" s="62" t="s">
        <v>6659</v>
      </c>
      <c r="K162">
        <v>3</v>
      </c>
      <c r="L162">
        <v>3</v>
      </c>
      <c r="M162">
        <v>1</v>
      </c>
      <c r="N162" s="62" t="s">
        <v>6678</v>
      </c>
      <c r="O162" s="62" t="s">
        <v>6679</v>
      </c>
      <c r="P162" s="62" t="s">
        <v>6680</v>
      </c>
    </row>
    <row r="163" spans="1:18">
      <c r="A163" s="94"/>
      <c r="B163" s="70" t="s">
        <v>6558</v>
      </c>
      <c r="C163" s="62" t="s">
        <v>494</v>
      </c>
      <c r="E163" s="62" t="s">
        <v>476</v>
      </c>
      <c r="K163">
        <v>4</v>
      </c>
      <c r="L163">
        <v>6</v>
      </c>
    </row>
    <row r="164" spans="1:18">
      <c r="A164" s="94"/>
      <c r="B164" s="70" t="s">
        <v>6559</v>
      </c>
      <c r="C164" s="62" t="s">
        <v>494</v>
      </c>
      <c r="H164" s="62" t="s">
        <v>6243</v>
      </c>
      <c r="K164">
        <v>5</v>
      </c>
      <c r="L164">
        <v>6</v>
      </c>
    </row>
    <row r="165" spans="1:18">
      <c r="B165" s="62" t="s">
        <v>6656</v>
      </c>
      <c r="C165" s="62" t="s">
        <v>494</v>
      </c>
      <c r="H165" s="62"/>
      <c r="K165">
        <v>6</v>
      </c>
      <c r="M165">
        <v>2</v>
      </c>
    </row>
    <row r="166" spans="1:18">
      <c r="B166" s="62" t="s">
        <v>6657</v>
      </c>
      <c r="C166" s="62" t="s">
        <v>494</v>
      </c>
      <c r="H166" s="62"/>
      <c r="K166">
        <v>7</v>
      </c>
      <c r="M166">
        <v>2</v>
      </c>
    </row>
    <row r="167" spans="1:18">
      <c r="B167" s="62" t="s">
        <v>6658</v>
      </c>
      <c r="C167" s="62" t="s">
        <v>494</v>
      </c>
      <c r="H167" s="62"/>
      <c r="K167">
        <v>8</v>
      </c>
      <c r="M167">
        <v>1</v>
      </c>
    </row>
    <row r="168" spans="1:18">
      <c r="B168" s="62" t="s">
        <v>6560</v>
      </c>
      <c r="C168" s="62" t="s">
        <v>494</v>
      </c>
      <c r="K168">
        <v>9</v>
      </c>
      <c r="L168">
        <v>7</v>
      </c>
      <c r="M168">
        <v>1</v>
      </c>
    </row>
    <row r="169" spans="1:18">
      <c r="B169" s="62" t="s">
        <v>6561</v>
      </c>
      <c r="C169" s="62" t="s">
        <v>494</v>
      </c>
      <c r="H169" s="62"/>
      <c r="K169">
        <v>10</v>
      </c>
      <c r="M169">
        <v>73</v>
      </c>
    </row>
    <row r="170" spans="1:18">
      <c r="B170" s="62" t="s">
        <v>6562</v>
      </c>
      <c r="C170" s="62" t="s">
        <v>494</v>
      </c>
      <c r="K170">
        <v>11</v>
      </c>
      <c r="M170">
        <v>74</v>
      </c>
    </row>
    <row r="171" spans="1:18">
      <c r="B171" s="62" t="s">
        <v>6563</v>
      </c>
      <c r="C171" s="62" t="s">
        <v>494</v>
      </c>
      <c r="K171">
        <v>12</v>
      </c>
      <c r="L171">
        <v>3</v>
      </c>
      <c r="M171">
        <v>1</v>
      </c>
      <c r="N171" s="62" t="s">
        <v>6473</v>
      </c>
      <c r="O171" s="62" t="s">
        <v>6474</v>
      </c>
      <c r="P171" s="62" t="s">
        <v>6475</v>
      </c>
    </row>
    <row r="172" spans="1:18">
      <c r="B172" s="62" t="s">
        <v>6564</v>
      </c>
      <c r="C172" s="62" t="s">
        <v>494</v>
      </c>
      <c r="K172">
        <v>13</v>
      </c>
      <c r="L172">
        <v>3</v>
      </c>
      <c r="M172">
        <v>1</v>
      </c>
      <c r="N172" s="10" t="s">
        <v>435</v>
      </c>
      <c r="O172" s="10" t="s">
        <v>437</v>
      </c>
      <c r="P172" s="10" t="s">
        <v>439</v>
      </c>
    </row>
    <row r="173" spans="1:18">
      <c r="B173" s="125" t="s">
        <v>6567</v>
      </c>
      <c r="C173" s="125" t="s">
        <v>494</v>
      </c>
      <c r="K173">
        <v>14</v>
      </c>
      <c r="L173">
        <v>3</v>
      </c>
      <c r="N173" t="s">
        <v>6498</v>
      </c>
      <c r="O173" t="s">
        <v>6501</v>
      </c>
      <c r="P173" t="s">
        <v>6502</v>
      </c>
    </row>
    <row r="174" spans="1:18">
      <c r="B174" s="62" t="s">
        <v>6565</v>
      </c>
      <c r="C174" s="62" t="s">
        <v>494</v>
      </c>
      <c r="K174">
        <v>15</v>
      </c>
      <c r="L174">
        <v>3</v>
      </c>
      <c r="M174">
        <v>31</v>
      </c>
      <c r="N174" t="s">
        <v>6508</v>
      </c>
      <c r="O174" t="s">
        <v>6512</v>
      </c>
      <c r="P174" t="s">
        <v>6514</v>
      </c>
      <c r="Q174" t="s">
        <v>6509</v>
      </c>
      <c r="R174">
        <v>14</v>
      </c>
    </row>
    <row r="175" spans="1:18">
      <c r="B175" s="62" t="s">
        <v>6566</v>
      </c>
      <c r="C175" s="62" t="s">
        <v>494</v>
      </c>
      <c r="K175">
        <v>16</v>
      </c>
      <c r="L175">
        <v>3</v>
      </c>
      <c r="M175">
        <v>2</v>
      </c>
      <c r="N175" t="s">
        <v>6508</v>
      </c>
      <c r="O175" t="s">
        <v>6512</v>
      </c>
      <c r="P175" t="s">
        <v>6514</v>
      </c>
    </row>
    <row r="176" spans="1:18">
      <c r="B176" s="125" t="s">
        <v>6568</v>
      </c>
      <c r="C176" s="125" t="s">
        <v>494</v>
      </c>
      <c r="K176">
        <v>17</v>
      </c>
      <c r="L176">
        <v>3</v>
      </c>
      <c r="M176">
        <v>2</v>
      </c>
      <c r="N176" t="s">
        <v>6498</v>
      </c>
      <c r="O176" t="s">
        <v>6501</v>
      </c>
      <c r="P176" t="s">
        <v>6502</v>
      </c>
    </row>
    <row r="177" spans="1:18">
      <c r="B177" s="62" t="s">
        <v>6569</v>
      </c>
      <c r="C177" s="62" t="s">
        <v>494</v>
      </c>
      <c r="K177">
        <v>18</v>
      </c>
      <c r="L177">
        <v>8</v>
      </c>
      <c r="M177">
        <v>1</v>
      </c>
    </row>
    <row r="178" spans="1:18">
      <c r="B178" s="62" t="s">
        <v>6570</v>
      </c>
      <c r="C178" s="62" t="s">
        <v>494</v>
      </c>
      <c r="K178">
        <v>19</v>
      </c>
      <c r="L178">
        <v>8</v>
      </c>
      <c r="M178">
        <v>3</v>
      </c>
    </row>
    <row r="179" spans="1:18">
      <c r="B179" s="62" t="s">
        <v>6571</v>
      </c>
      <c r="C179" s="62" t="s">
        <v>494</v>
      </c>
      <c r="K179">
        <v>20</v>
      </c>
      <c r="L179" s="80">
        <v>3</v>
      </c>
      <c r="M179" s="10"/>
      <c r="N179" s="62" t="s">
        <v>2482</v>
      </c>
      <c r="O179" s="64" t="s">
        <v>2484</v>
      </c>
      <c r="P179" s="64" t="s">
        <v>2486</v>
      </c>
    </row>
    <row r="180" spans="1:18">
      <c r="B180" s="62" t="s">
        <v>6572</v>
      </c>
      <c r="C180" s="62" t="s">
        <v>494</v>
      </c>
      <c r="K180">
        <v>21</v>
      </c>
      <c r="L180" s="80">
        <v>3</v>
      </c>
      <c r="M180" s="10"/>
      <c r="N180" s="62" t="s">
        <v>6476</v>
      </c>
      <c r="O180" s="62" t="s">
        <v>6477</v>
      </c>
      <c r="P180" s="62" t="s">
        <v>6478</v>
      </c>
    </row>
    <row r="181" spans="1:18">
      <c r="B181" s="62" t="s">
        <v>6573</v>
      </c>
      <c r="C181" s="62" t="s">
        <v>493</v>
      </c>
      <c r="D181">
        <v>50</v>
      </c>
      <c r="K181">
        <v>22</v>
      </c>
      <c r="L181" s="80"/>
      <c r="M181" s="10"/>
      <c r="O181" s="62"/>
      <c r="P181" s="62"/>
    </row>
    <row r="182" spans="1:18">
      <c r="B182" s="62" t="s">
        <v>6574</v>
      </c>
      <c r="C182" s="62" t="s">
        <v>493</v>
      </c>
      <c r="D182">
        <v>100</v>
      </c>
      <c r="K182">
        <v>23</v>
      </c>
      <c r="L182" s="80"/>
      <c r="M182" s="10"/>
      <c r="O182" s="62"/>
      <c r="P182" s="62"/>
    </row>
    <row r="183" spans="1:18">
      <c r="B183" s="62" t="s">
        <v>6665</v>
      </c>
      <c r="C183" s="62" t="s">
        <v>494</v>
      </c>
      <c r="K183">
        <v>24</v>
      </c>
      <c r="L183" s="80">
        <v>3</v>
      </c>
      <c r="M183" s="10">
        <v>3</v>
      </c>
      <c r="O183" s="62"/>
      <c r="P183" s="62"/>
    </row>
    <row r="184" spans="1:18">
      <c r="B184" s="62" t="s">
        <v>6666</v>
      </c>
      <c r="C184" s="62" t="s">
        <v>702</v>
      </c>
      <c r="K184">
        <v>25</v>
      </c>
      <c r="L184" s="80"/>
      <c r="M184" s="10">
        <v>3</v>
      </c>
      <c r="O184" s="62"/>
      <c r="P184" s="62"/>
    </row>
    <row r="185" spans="1:18">
      <c r="B185" s="62" t="s">
        <v>6667</v>
      </c>
      <c r="C185" s="62" t="s">
        <v>493</v>
      </c>
      <c r="D185">
        <v>50</v>
      </c>
      <c r="K185">
        <v>26</v>
      </c>
      <c r="L185" s="80"/>
      <c r="M185" s="10">
        <v>2</v>
      </c>
      <c r="O185" s="62"/>
      <c r="P185" s="62"/>
    </row>
    <row r="186" spans="1:18" s="1" customFormat="1">
      <c r="A186" s="10"/>
      <c r="B186" s="64" t="s">
        <v>6575</v>
      </c>
      <c r="C186" s="10" t="s">
        <v>494</v>
      </c>
      <c r="D186" s="10"/>
      <c r="E186" s="10"/>
      <c r="F186" s="10"/>
      <c r="G186" s="10"/>
      <c r="H186" s="10"/>
      <c r="I186" s="10"/>
      <c r="J186" s="10"/>
      <c r="K186">
        <v>27</v>
      </c>
      <c r="L186" s="31">
        <v>3</v>
      </c>
      <c r="M186" s="64">
        <v>2</v>
      </c>
      <c r="N186" s="10" t="s">
        <v>443</v>
      </c>
      <c r="O186" s="10" t="s">
        <v>444</v>
      </c>
      <c r="P186" s="10" t="s">
        <v>445</v>
      </c>
      <c r="Q186" s="10"/>
      <c r="R186" s="10"/>
    </row>
    <row r="187" spans="1:18" s="1" customFormat="1">
      <c r="A187" s="10"/>
      <c r="B187" s="64" t="s">
        <v>6576</v>
      </c>
      <c r="C187" s="64" t="s">
        <v>494</v>
      </c>
      <c r="D187" s="10"/>
      <c r="E187" s="10"/>
      <c r="F187" s="10"/>
      <c r="G187" s="10"/>
      <c r="H187" s="10"/>
      <c r="I187" s="10"/>
      <c r="J187" s="10"/>
      <c r="K187">
        <v>28</v>
      </c>
      <c r="L187" s="80">
        <v>3</v>
      </c>
      <c r="M187" s="14">
        <v>2</v>
      </c>
      <c r="N187" s="62" t="s">
        <v>693</v>
      </c>
      <c r="O187" s="1" t="s">
        <v>695</v>
      </c>
      <c r="P187" s="1" t="s">
        <v>696</v>
      </c>
      <c r="Q187" s="62"/>
      <c r="R187" s="14"/>
    </row>
    <row r="188" spans="1:18" s="1" customFormat="1">
      <c r="A188" s="10"/>
      <c r="B188" s="64" t="s">
        <v>6577</v>
      </c>
      <c r="C188" s="10" t="s">
        <v>494</v>
      </c>
      <c r="D188" s="10"/>
      <c r="E188" s="10"/>
      <c r="F188" s="10"/>
      <c r="G188" s="10"/>
      <c r="H188" s="10"/>
      <c r="I188" s="10"/>
      <c r="J188" s="10"/>
      <c r="K188">
        <v>29</v>
      </c>
      <c r="L188" s="31">
        <v>3</v>
      </c>
      <c r="M188" s="14">
        <v>2</v>
      </c>
      <c r="N188" s="1" t="s">
        <v>379</v>
      </c>
      <c r="O188" s="62" t="s">
        <v>698</v>
      </c>
      <c r="P188" s="62" t="s">
        <v>699</v>
      </c>
      <c r="Q188" s="62" t="s">
        <v>383</v>
      </c>
      <c r="R188" s="14">
        <v>21</v>
      </c>
    </row>
    <row r="189" spans="1:18">
      <c r="B189" s="62" t="s">
        <v>6578</v>
      </c>
      <c r="C189" s="62" t="s">
        <v>493</v>
      </c>
      <c r="D189">
        <v>10</v>
      </c>
      <c r="H189" s="62" t="s">
        <v>6246</v>
      </c>
      <c r="K189">
        <v>30</v>
      </c>
      <c r="M189" s="64">
        <v>1</v>
      </c>
    </row>
    <row r="190" spans="1:18">
      <c r="B190" s="62" t="s">
        <v>6579</v>
      </c>
      <c r="C190" s="62" t="s">
        <v>520</v>
      </c>
      <c r="H190" s="62"/>
      <c r="K190">
        <v>31</v>
      </c>
    </row>
    <row r="191" spans="1:18">
      <c r="B191" s="62" t="s">
        <v>6580</v>
      </c>
      <c r="C191" s="62" t="s">
        <v>520</v>
      </c>
      <c r="H191" s="62"/>
      <c r="K191">
        <v>32</v>
      </c>
      <c r="M191">
        <v>2</v>
      </c>
    </row>
    <row r="192" spans="1:18">
      <c r="B192" s="118" t="s">
        <v>6584</v>
      </c>
      <c r="C192" s="121" t="s">
        <v>494</v>
      </c>
      <c r="K192">
        <v>33</v>
      </c>
      <c r="L192">
        <v>8</v>
      </c>
    </row>
    <row r="193" spans="1:18">
      <c r="B193" s="118" t="s">
        <v>6585</v>
      </c>
      <c r="C193" s="121" t="s">
        <v>494</v>
      </c>
      <c r="K193">
        <v>34</v>
      </c>
      <c r="L193">
        <v>3</v>
      </c>
      <c r="M193">
        <v>2</v>
      </c>
      <c r="N193" s="1" t="s">
        <v>3664</v>
      </c>
      <c r="O193" s="23" t="s">
        <v>3666</v>
      </c>
      <c r="P193" s="23" t="s">
        <v>3667</v>
      </c>
      <c r="Q193" s="10"/>
    </row>
    <row r="194" spans="1:18">
      <c r="B194" s="118" t="s">
        <v>6586</v>
      </c>
      <c r="C194" s="121" t="s">
        <v>494</v>
      </c>
      <c r="K194">
        <v>35</v>
      </c>
      <c r="L194">
        <v>3</v>
      </c>
      <c r="M194">
        <v>2</v>
      </c>
      <c r="N194" s="64" t="s">
        <v>3655</v>
      </c>
      <c r="O194" s="66" t="s">
        <v>3648</v>
      </c>
      <c r="P194" s="66" t="s">
        <v>3657</v>
      </c>
      <c r="Q194" s="64" t="s">
        <v>3658</v>
      </c>
      <c r="R194">
        <v>30</v>
      </c>
    </row>
    <row r="195" spans="1:18">
      <c r="B195" s="118" t="s">
        <v>6660</v>
      </c>
      <c r="C195" s="121" t="s">
        <v>494</v>
      </c>
      <c r="K195">
        <v>36</v>
      </c>
      <c r="L195">
        <v>3</v>
      </c>
      <c r="M195">
        <v>2</v>
      </c>
      <c r="N195" s="10" t="s">
        <v>506</v>
      </c>
      <c r="O195" s="10" t="s">
        <v>514</v>
      </c>
      <c r="P195" s="1" t="s">
        <v>515</v>
      </c>
      <c r="Q195" s="64"/>
    </row>
    <row r="196" spans="1:18">
      <c r="B196" s="118" t="s">
        <v>6661</v>
      </c>
      <c r="C196" s="121" t="s">
        <v>494</v>
      </c>
      <c r="K196">
        <v>37</v>
      </c>
      <c r="L196">
        <v>3</v>
      </c>
      <c r="M196">
        <v>2</v>
      </c>
      <c r="N196" s="62" t="s">
        <v>1038</v>
      </c>
      <c r="O196" s="23" t="s">
        <v>1040</v>
      </c>
      <c r="P196" s="23" t="s">
        <v>1041</v>
      </c>
      <c r="Q196" s="64"/>
    </row>
    <row r="197" spans="1:18">
      <c r="B197" s="118" t="s">
        <v>6664</v>
      </c>
      <c r="C197" s="121" t="s">
        <v>494</v>
      </c>
      <c r="K197">
        <v>38</v>
      </c>
      <c r="L197">
        <v>3</v>
      </c>
      <c r="M197">
        <v>2</v>
      </c>
      <c r="N197" s="64" t="s">
        <v>3311</v>
      </c>
      <c r="O197" s="62" t="s">
        <v>3316</v>
      </c>
      <c r="P197" s="66" t="s">
        <v>3315</v>
      </c>
      <c r="Q197" s="64"/>
    </row>
    <row r="198" spans="1:18">
      <c r="B198" s="118" t="s">
        <v>6587</v>
      </c>
      <c r="C198" s="121" t="s">
        <v>494</v>
      </c>
      <c r="K198">
        <v>39</v>
      </c>
      <c r="M198">
        <v>2</v>
      </c>
    </row>
    <row r="199" spans="1:18">
      <c r="B199" s="118" t="s">
        <v>6588</v>
      </c>
      <c r="C199" s="121" t="s">
        <v>494</v>
      </c>
      <c r="K199">
        <v>40</v>
      </c>
      <c r="M199">
        <v>2</v>
      </c>
    </row>
    <row r="200" spans="1:18">
      <c r="B200" s="118" t="s">
        <v>6589</v>
      </c>
      <c r="C200" s="121" t="s">
        <v>494</v>
      </c>
      <c r="K200">
        <v>41</v>
      </c>
      <c r="L200">
        <v>7</v>
      </c>
      <c r="M200">
        <v>2</v>
      </c>
    </row>
    <row r="201" spans="1:18">
      <c r="B201" s="118" t="s">
        <v>6590</v>
      </c>
      <c r="C201" s="121" t="s">
        <v>520</v>
      </c>
      <c r="K201">
        <v>42</v>
      </c>
      <c r="M201">
        <v>2</v>
      </c>
    </row>
    <row r="202" spans="1:18">
      <c r="B202" s="123" t="s">
        <v>6598</v>
      </c>
      <c r="C202" s="124" t="s">
        <v>494</v>
      </c>
      <c r="K202">
        <v>43</v>
      </c>
      <c r="M202">
        <v>3</v>
      </c>
    </row>
    <row r="203" spans="1:18">
      <c r="B203" s="123" t="s">
        <v>6599</v>
      </c>
      <c r="C203" s="124" t="s">
        <v>494</v>
      </c>
      <c r="K203">
        <v>44</v>
      </c>
      <c r="M203">
        <v>3</v>
      </c>
    </row>
    <row r="204" spans="1:18">
      <c r="B204" s="123" t="s">
        <v>6668</v>
      </c>
      <c r="C204" s="123" t="s">
        <v>494</v>
      </c>
      <c r="K204">
        <v>45</v>
      </c>
      <c r="M204">
        <v>3</v>
      </c>
    </row>
    <row r="205" spans="1:18">
      <c r="B205" s="64"/>
      <c r="C205" s="7"/>
    </row>
    <row r="206" spans="1:18">
      <c r="A206" s="122" t="s">
        <v>6600</v>
      </c>
      <c r="B206" s="64" t="s">
        <v>6601</v>
      </c>
      <c r="C206" s="7" t="s">
        <v>494</v>
      </c>
      <c r="E206" t="s">
        <v>476</v>
      </c>
      <c r="F206">
        <v>30</v>
      </c>
      <c r="G206">
        <v>3006</v>
      </c>
      <c r="H206" t="s">
        <v>521</v>
      </c>
      <c r="J206">
        <v>3001</v>
      </c>
      <c r="K206">
        <v>1</v>
      </c>
      <c r="L206">
        <v>52</v>
      </c>
      <c r="N206">
        <v>3005</v>
      </c>
      <c r="O206" s="62" t="s">
        <v>6559</v>
      </c>
    </row>
    <row r="207" spans="1:18">
      <c r="B207" s="64" t="s">
        <v>6602</v>
      </c>
      <c r="C207" s="7" t="s">
        <v>494</v>
      </c>
      <c r="E207" t="s">
        <v>476</v>
      </c>
      <c r="K207">
        <v>2</v>
      </c>
      <c r="L207">
        <v>6</v>
      </c>
    </row>
    <row r="208" spans="1:18">
      <c r="B208" s="64" t="s">
        <v>6603</v>
      </c>
      <c r="C208" s="7" t="s">
        <v>494</v>
      </c>
      <c r="K208">
        <v>3</v>
      </c>
      <c r="L208">
        <v>6</v>
      </c>
    </row>
    <row r="209" spans="1:16">
      <c r="B209" s="64" t="s">
        <v>6604</v>
      </c>
      <c r="C209" s="7" t="s">
        <v>520</v>
      </c>
      <c r="K209">
        <v>4</v>
      </c>
    </row>
    <row r="210" spans="1:16">
      <c r="B210" s="64" t="s">
        <v>6605</v>
      </c>
      <c r="C210" s="7" t="s">
        <v>493</v>
      </c>
      <c r="D210">
        <v>1</v>
      </c>
      <c r="K210">
        <v>5</v>
      </c>
      <c r="L210">
        <v>3</v>
      </c>
    </row>
    <row r="211" spans="1:16">
      <c r="B211" s="64" t="s">
        <v>6606</v>
      </c>
      <c r="C211" s="7" t="s">
        <v>493</v>
      </c>
      <c r="D211">
        <v>1</v>
      </c>
      <c r="K211">
        <v>6</v>
      </c>
      <c r="L211">
        <v>3</v>
      </c>
    </row>
    <row r="212" spans="1:16">
      <c r="B212" s="64" t="s">
        <v>6607</v>
      </c>
      <c r="C212" s="7" t="s">
        <v>494</v>
      </c>
      <c r="K212">
        <v>7</v>
      </c>
      <c r="L212">
        <v>91</v>
      </c>
    </row>
    <row r="213" spans="1:16">
      <c r="B213" s="64" t="s">
        <v>6608</v>
      </c>
      <c r="C213" s="7" t="s">
        <v>494</v>
      </c>
      <c r="K213">
        <v>8</v>
      </c>
      <c r="L213">
        <v>92</v>
      </c>
    </row>
    <row r="214" spans="1:16">
      <c r="B214" s="64" t="s">
        <v>6609</v>
      </c>
      <c r="C214" s="7" t="s">
        <v>494</v>
      </c>
      <c r="K214">
        <v>9</v>
      </c>
      <c r="L214">
        <v>8</v>
      </c>
    </row>
    <row r="215" spans="1:16">
      <c r="B215" s="64" t="s">
        <v>6610</v>
      </c>
      <c r="C215" s="7" t="s">
        <v>494</v>
      </c>
      <c r="K215">
        <v>10</v>
      </c>
      <c r="L215">
        <v>7</v>
      </c>
    </row>
    <row r="216" spans="1:16">
      <c r="B216" s="64" t="s">
        <v>6611</v>
      </c>
      <c r="C216" s="7" t="s">
        <v>494</v>
      </c>
      <c r="K216">
        <v>11</v>
      </c>
      <c r="M216">
        <v>73</v>
      </c>
    </row>
    <row r="217" spans="1:16">
      <c r="B217" s="64" t="s">
        <v>6612</v>
      </c>
      <c r="C217" s="7" t="s">
        <v>494</v>
      </c>
      <c r="K217">
        <v>12</v>
      </c>
      <c r="M217">
        <v>74</v>
      </c>
    </row>
    <row r="218" spans="1:16">
      <c r="B218" s="64"/>
      <c r="C218" s="7"/>
    </row>
    <row r="219" spans="1:16">
      <c r="A219" s="122" t="s">
        <v>6613</v>
      </c>
      <c r="B219" s="64" t="s">
        <v>6614</v>
      </c>
      <c r="C219" s="7" t="s">
        <v>494</v>
      </c>
      <c r="E219" t="s">
        <v>476</v>
      </c>
      <c r="F219">
        <v>30</v>
      </c>
      <c r="G219">
        <v>3007</v>
      </c>
      <c r="H219" t="s">
        <v>111</v>
      </c>
      <c r="J219">
        <v>3001</v>
      </c>
      <c r="K219">
        <v>1</v>
      </c>
      <c r="L219">
        <v>52</v>
      </c>
      <c r="N219">
        <v>3005</v>
      </c>
      <c r="O219" s="62" t="s">
        <v>6559</v>
      </c>
    </row>
    <row r="220" spans="1:16">
      <c r="B220" s="64" t="s">
        <v>6615</v>
      </c>
      <c r="C220" s="7" t="s">
        <v>494</v>
      </c>
      <c r="E220" t="s">
        <v>476</v>
      </c>
      <c r="K220">
        <v>2</v>
      </c>
      <c r="L220">
        <v>6</v>
      </c>
    </row>
    <row r="221" spans="1:16">
      <c r="B221" s="64" t="s">
        <v>6616</v>
      </c>
      <c r="C221" s="7" t="s">
        <v>494</v>
      </c>
      <c r="K221">
        <v>3</v>
      </c>
      <c r="L221">
        <v>6</v>
      </c>
    </row>
    <row r="222" spans="1:16">
      <c r="B222" s="64" t="s">
        <v>6617</v>
      </c>
      <c r="C222" s="7" t="s">
        <v>494</v>
      </c>
      <c r="K222">
        <v>4</v>
      </c>
      <c r="L222">
        <v>3</v>
      </c>
      <c r="N222" t="s">
        <v>6542</v>
      </c>
      <c r="O222" t="s">
        <v>6545</v>
      </c>
      <c r="P222" t="s">
        <v>6549</v>
      </c>
    </row>
    <row r="223" spans="1:16">
      <c r="B223" s="64" t="s">
        <v>6618</v>
      </c>
      <c r="C223" s="7" t="s">
        <v>493</v>
      </c>
      <c r="D223">
        <v>100</v>
      </c>
      <c r="K223">
        <v>5</v>
      </c>
    </row>
    <row r="224" spans="1:16">
      <c r="B224" s="64" t="s">
        <v>6619</v>
      </c>
      <c r="C224" s="7" t="s">
        <v>494</v>
      </c>
      <c r="K224">
        <v>6</v>
      </c>
      <c r="L224">
        <v>91</v>
      </c>
    </row>
    <row r="225" spans="1:16">
      <c r="B225" s="64" t="s">
        <v>6620</v>
      </c>
      <c r="C225" s="7" t="s">
        <v>494</v>
      </c>
      <c r="K225">
        <v>7</v>
      </c>
      <c r="L225">
        <v>92</v>
      </c>
    </row>
    <row r="226" spans="1:16">
      <c r="B226" s="64" t="s">
        <v>6621</v>
      </c>
      <c r="C226" s="7" t="s">
        <v>494</v>
      </c>
      <c r="K226">
        <v>8</v>
      </c>
      <c r="L226">
        <v>8</v>
      </c>
    </row>
    <row r="227" spans="1:16">
      <c r="B227" s="64" t="s">
        <v>6622</v>
      </c>
      <c r="C227" s="7" t="s">
        <v>494</v>
      </c>
      <c r="K227">
        <v>9</v>
      </c>
      <c r="L227">
        <v>7</v>
      </c>
    </row>
    <row r="228" spans="1:16">
      <c r="B228" s="64" t="s">
        <v>6623</v>
      </c>
      <c r="C228" s="7" t="s">
        <v>494</v>
      </c>
      <c r="K228">
        <v>10</v>
      </c>
      <c r="M228">
        <v>73</v>
      </c>
    </row>
    <row r="229" spans="1:16">
      <c r="B229" s="64" t="s">
        <v>6624</v>
      </c>
      <c r="C229" s="7" t="s">
        <v>494</v>
      </c>
      <c r="K229">
        <v>11</v>
      </c>
      <c r="M229">
        <v>74</v>
      </c>
    </row>
    <row r="230" spans="1:16">
      <c r="B230" s="64" t="s">
        <v>6625</v>
      </c>
      <c r="C230" s="7" t="s">
        <v>494</v>
      </c>
      <c r="K230">
        <v>12</v>
      </c>
      <c r="L230">
        <v>3</v>
      </c>
      <c r="M230">
        <v>1</v>
      </c>
      <c r="N230" t="s">
        <v>6470</v>
      </c>
      <c r="O230" t="s">
        <v>6471</v>
      </c>
      <c r="P230" s="62" t="s">
        <v>6472</v>
      </c>
    </row>
    <row r="231" spans="1:16">
      <c r="B231" s="64" t="s">
        <v>6626</v>
      </c>
      <c r="C231" s="7" t="s">
        <v>494</v>
      </c>
      <c r="K231">
        <v>13</v>
      </c>
      <c r="L231">
        <v>8</v>
      </c>
    </row>
    <row r="232" spans="1:16">
      <c r="B232" s="64" t="s">
        <v>6627</v>
      </c>
      <c r="C232" s="7" t="s">
        <v>494</v>
      </c>
      <c r="K232">
        <v>14</v>
      </c>
      <c r="L232">
        <v>7</v>
      </c>
    </row>
    <row r="233" spans="1:16">
      <c r="B233" s="64" t="s">
        <v>6628</v>
      </c>
      <c r="C233" s="7" t="s">
        <v>494</v>
      </c>
      <c r="K233">
        <v>15</v>
      </c>
      <c r="M233">
        <v>73</v>
      </c>
    </row>
    <row r="234" spans="1:16">
      <c r="B234" s="64" t="s">
        <v>6629</v>
      </c>
      <c r="C234" s="7" t="s">
        <v>494</v>
      </c>
      <c r="K234">
        <v>16</v>
      </c>
      <c r="M234">
        <v>74</v>
      </c>
    </row>
    <row r="235" spans="1:16">
      <c r="B235" s="64"/>
      <c r="C235" s="7"/>
    </row>
    <row r="236" spans="1:16">
      <c r="A236" s="122" t="s">
        <v>6630</v>
      </c>
      <c r="B236" s="64" t="s">
        <v>6631</v>
      </c>
      <c r="C236" s="7" t="s">
        <v>494</v>
      </c>
      <c r="E236" t="s">
        <v>476</v>
      </c>
      <c r="F236">
        <v>30</v>
      </c>
      <c r="G236">
        <v>3008</v>
      </c>
      <c r="H236" t="s">
        <v>6434</v>
      </c>
      <c r="J236">
        <v>3001</v>
      </c>
      <c r="K236">
        <v>1</v>
      </c>
      <c r="L236">
        <v>52</v>
      </c>
      <c r="N236">
        <v>3005</v>
      </c>
      <c r="O236" s="62" t="s">
        <v>6559</v>
      </c>
    </row>
    <row r="237" spans="1:16">
      <c r="B237" s="64" t="s">
        <v>6632</v>
      </c>
      <c r="C237" s="7" t="s">
        <v>494</v>
      </c>
      <c r="E237" t="s">
        <v>476</v>
      </c>
      <c r="K237">
        <v>2</v>
      </c>
      <c r="L237">
        <v>8</v>
      </c>
    </row>
    <row r="238" spans="1:16">
      <c r="B238" s="64" t="s">
        <v>6633</v>
      </c>
      <c r="C238" s="7" t="s">
        <v>494</v>
      </c>
      <c r="K238">
        <v>3</v>
      </c>
      <c r="L238">
        <v>6</v>
      </c>
    </row>
    <row r="239" spans="1:16">
      <c r="B239" s="64" t="s">
        <v>6634</v>
      </c>
      <c r="C239" s="7" t="s">
        <v>493</v>
      </c>
      <c r="D239">
        <v>250</v>
      </c>
      <c r="K239">
        <v>4</v>
      </c>
    </row>
    <row r="240" spans="1:16">
      <c r="B240" s="64"/>
      <c r="C240" s="7"/>
    </row>
    <row r="241" spans="1:16">
      <c r="A241" s="122" t="s">
        <v>6635</v>
      </c>
      <c r="B241" s="64" t="s">
        <v>6636</v>
      </c>
      <c r="C241" s="7" t="s">
        <v>494</v>
      </c>
      <c r="E241" t="s">
        <v>476</v>
      </c>
      <c r="F241">
        <v>30</v>
      </c>
      <c r="G241">
        <v>3009</v>
      </c>
      <c r="H241" t="s">
        <v>4443</v>
      </c>
      <c r="J241">
        <v>3001</v>
      </c>
      <c r="K241">
        <v>1</v>
      </c>
      <c r="L241">
        <v>52</v>
      </c>
      <c r="N241">
        <v>3005</v>
      </c>
      <c r="O241" s="62" t="s">
        <v>6559</v>
      </c>
    </row>
    <row r="242" spans="1:16">
      <c r="B242" s="64" t="s">
        <v>6637</v>
      </c>
      <c r="C242" s="7" t="s">
        <v>494</v>
      </c>
      <c r="E242" t="s">
        <v>476</v>
      </c>
      <c r="K242">
        <v>2</v>
      </c>
      <c r="L242">
        <v>6</v>
      </c>
    </row>
    <row r="243" spans="1:16">
      <c r="B243" s="64" t="s">
        <v>6638</v>
      </c>
      <c r="C243" s="7" t="s">
        <v>494</v>
      </c>
      <c r="K243">
        <v>3</v>
      </c>
      <c r="L243">
        <v>6</v>
      </c>
    </row>
    <row r="244" spans="1:16">
      <c r="B244" s="64" t="s">
        <v>6639</v>
      </c>
      <c r="C244" s="7" t="s">
        <v>494</v>
      </c>
      <c r="K244">
        <v>4</v>
      </c>
      <c r="L244">
        <v>3</v>
      </c>
      <c r="N244" s="62" t="s">
        <v>6473</v>
      </c>
      <c r="O244" s="62" t="s">
        <v>6474</v>
      </c>
      <c r="P244" s="62" t="s">
        <v>6475</v>
      </c>
    </row>
    <row r="245" spans="1:16">
      <c r="B245" s="64" t="s">
        <v>6640</v>
      </c>
      <c r="C245" s="7" t="s">
        <v>494</v>
      </c>
      <c r="K245">
        <v>5</v>
      </c>
      <c r="L245">
        <v>3</v>
      </c>
      <c r="N245" s="62" t="s">
        <v>6473</v>
      </c>
      <c r="O245" s="62" t="s">
        <v>6474</v>
      </c>
      <c r="P245" s="62" t="s">
        <v>6475</v>
      </c>
    </row>
    <row r="246" spans="1:16">
      <c r="B246" s="64" t="s">
        <v>6641</v>
      </c>
      <c r="C246" s="7" t="s">
        <v>494</v>
      </c>
      <c r="K246">
        <v>6</v>
      </c>
      <c r="L246">
        <v>8</v>
      </c>
    </row>
    <row r="247" spans="1:16">
      <c r="B247" s="64" t="s">
        <v>6642</v>
      </c>
      <c r="C247" s="7" t="s">
        <v>494</v>
      </c>
      <c r="K247">
        <v>7</v>
      </c>
      <c r="L247">
        <v>7</v>
      </c>
    </row>
    <row r="248" spans="1:16">
      <c r="B248" s="64" t="s">
        <v>6643</v>
      </c>
      <c r="C248" s="7" t="s">
        <v>494</v>
      </c>
      <c r="K248">
        <v>8</v>
      </c>
      <c r="M248">
        <v>73</v>
      </c>
    </row>
    <row r="249" spans="1:16">
      <c r="B249" s="64" t="s">
        <v>6644</v>
      </c>
      <c r="C249" s="7" t="s">
        <v>494</v>
      </c>
      <c r="K249">
        <v>9</v>
      </c>
      <c r="M249">
        <v>74</v>
      </c>
    </row>
    <row r="250" spans="1:16">
      <c r="B250" s="64"/>
      <c r="C250" s="7"/>
    </row>
    <row r="251" spans="1:16">
      <c r="A251" s="122" t="s">
        <v>6645</v>
      </c>
      <c r="B251" s="64" t="s">
        <v>6646</v>
      </c>
      <c r="C251" s="7" t="s">
        <v>494</v>
      </c>
      <c r="E251" t="s">
        <v>476</v>
      </c>
      <c r="F251">
        <v>30</v>
      </c>
      <c r="G251">
        <v>3010</v>
      </c>
      <c r="H251" t="s">
        <v>4520</v>
      </c>
      <c r="J251">
        <v>3001</v>
      </c>
      <c r="K251">
        <v>1</v>
      </c>
      <c r="L251">
        <v>52</v>
      </c>
      <c r="N251">
        <v>3005</v>
      </c>
      <c r="O251" s="62" t="s">
        <v>6559</v>
      </c>
    </row>
    <row r="252" spans="1:16">
      <c r="B252" s="64" t="s">
        <v>6647</v>
      </c>
      <c r="C252" s="7" t="s">
        <v>494</v>
      </c>
      <c r="E252" t="s">
        <v>476</v>
      </c>
      <c r="K252">
        <v>2</v>
      </c>
      <c r="L252">
        <v>6</v>
      </c>
    </row>
    <row r="253" spans="1:16">
      <c r="B253" s="64" t="s">
        <v>6648</v>
      </c>
      <c r="C253" s="7" t="s">
        <v>494</v>
      </c>
      <c r="K253">
        <v>3</v>
      </c>
      <c r="L253">
        <v>6</v>
      </c>
    </row>
    <row r="254" spans="1:16">
      <c r="B254" s="64" t="s">
        <v>6649</v>
      </c>
      <c r="C254" s="7" t="s">
        <v>494</v>
      </c>
      <c r="K254">
        <v>4</v>
      </c>
      <c r="L254">
        <v>8</v>
      </c>
      <c r="N254" s="62"/>
      <c r="O254" s="62"/>
      <c r="P254" s="62"/>
    </row>
    <row r="255" spans="1:16">
      <c r="B255" s="64" t="s">
        <v>6650</v>
      </c>
      <c r="C255" s="7" t="s">
        <v>494</v>
      </c>
      <c r="K255">
        <v>5</v>
      </c>
      <c r="L255">
        <v>8</v>
      </c>
      <c r="N255" s="62"/>
      <c r="O255" s="62"/>
      <c r="P255" s="62"/>
    </row>
    <row r="256" spans="1:16">
      <c r="B256" s="64" t="s">
        <v>6651</v>
      </c>
      <c r="C256" s="7" t="s">
        <v>494</v>
      </c>
      <c r="K256">
        <v>6</v>
      </c>
      <c r="L256">
        <v>8</v>
      </c>
    </row>
    <row r="257" spans="1:16">
      <c r="B257" s="64" t="s">
        <v>6652</v>
      </c>
      <c r="C257" s="7" t="s">
        <v>494</v>
      </c>
      <c r="K257">
        <v>7</v>
      </c>
      <c r="L257">
        <v>7</v>
      </c>
    </row>
    <row r="258" spans="1:16">
      <c r="B258" s="64" t="s">
        <v>6481</v>
      </c>
      <c r="C258" s="7" t="s">
        <v>494</v>
      </c>
      <c r="K258">
        <v>8</v>
      </c>
      <c r="M258">
        <v>73</v>
      </c>
    </row>
    <row r="259" spans="1:16">
      <c r="B259" s="64" t="s">
        <v>6482</v>
      </c>
      <c r="C259" s="7" t="s">
        <v>494</v>
      </c>
      <c r="K259">
        <v>9</v>
      </c>
      <c r="M259">
        <v>74</v>
      </c>
    </row>
    <row r="260" spans="1:16">
      <c r="B260" s="64"/>
      <c r="C260" s="7"/>
    </row>
    <row r="261" spans="1:16">
      <c r="A261" s="119" t="s">
        <v>6762</v>
      </c>
      <c r="B261" s="70" t="s">
        <v>6763</v>
      </c>
      <c r="C261" s="94" t="s">
        <v>494</v>
      </c>
      <c r="E261" t="s">
        <v>476</v>
      </c>
      <c r="F261">
        <v>30</v>
      </c>
      <c r="G261">
        <v>3018</v>
      </c>
      <c r="H261" s="62" t="s">
        <v>6766</v>
      </c>
      <c r="J261">
        <v>3001</v>
      </c>
      <c r="K261">
        <v>1</v>
      </c>
      <c r="L261">
        <v>52</v>
      </c>
      <c r="N261">
        <v>3005</v>
      </c>
      <c r="O261" s="62" t="s">
        <v>6559</v>
      </c>
    </row>
    <row r="262" spans="1:16">
      <c r="B262" s="70" t="s">
        <v>6765</v>
      </c>
      <c r="C262" s="94" t="s">
        <v>494</v>
      </c>
      <c r="E262" t="s">
        <v>476</v>
      </c>
      <c r="K262">
        <v>2</v>
      </c>
      <c r="L262">
        <v>3</v>
      </c>
      <c r="N262" s="10" t="s">
        <v>506</v>
      </c>
      <c r="O262" s="10" t="s">
        <v>514</v>
      </c>
      <c r="P262" s="1" t="s">
        <v>515</v>
      </c>
    </row>
    <row r="263" spans="1:16">
      <c r="B263" s="70" t="s">
        <v>6764</v>
      </c>
      <c r="C263" s="94" t="s">
        <v>494</v>
      </c>
      <c r="K263">
        <v>3</v>
      </c>
      <c r="L263">
        <v>6</v>
      </c>
    </row>
    <row r="264" spans="1:16">
      <c r="B264" s="70" t="s">
        <v>6767</v>
      </c>
      <c r="C264" s="126" t="s">
        <v>520</v>
      </c>
      <c r="K264">
        <v>4</v>
      </c>
    </row>
    <row r="265" spans="1:16">
      <c r="B265" s="64"/>
      <c r="C265" s="7"/>
    </row>
    <row r="266" spans="1:16">
      <c r="B266" s="64"/>
      <c r="C266" s="7"/>
    </row>
    <row r="267" spans="1:16">
      <c r="A267" s="62" t="s">
        <v>6473</v>
      </c>
      <c r="B267" s="62" t="s">
        <v>6474</v>
      </c>
      <c r="C267" s="62" t="s">
        <v>494</v>
      </c>
      <c r="E267" s="62" t="s">
        <v>476</v>
      </c>
    </row>
    <row r="268" spans="1:16">
      <c r="B268" s="62" t="s">
        <v>6475</v>
      </c>
      <c r="C268" s="62" t="s">
        <v>493</v>
      </c>
      <c r="D268">
        <v>100</v>
      </c>
      <c r="H268" s="62" t="s">
        <v>6245</v>
      </c>
    </row>
    <row r="270" spans="1:16">
      <c r="A270" t="s">
        <v>6476</v>
      </c>
      <c r="B270" s="62" t="s">
        <v>6477</v>
      </c>
      <c r="C270" s="62" t="s">
        <v>494</v>
      </c>
      <c r="E270" s="62" t="s">
        <v>476</v>
      </c>
    </row>
    <row r="271" spans="1:16">
      <c r="B271" s="62" t="s">
        <v>6478</v>
      </c>
      <c r="C271" s="62" t="s">
        <v>493</v>
      </c>
      <c r="D271">
        <v>100</v>
      </c>
      <c r="H271" t="s">
        <v>6431</v>
      </c>
    </row>
    <row r="273" spans="1:16">
      <c r="A273" t="s">
        <v>6479</v>
      </c>
      <c r="B273" t="s">
        <v>6480</v>
      </c>
      <c r="C273" s="62" t="s">
        <v>494</v>
      </c>
      <c r="E273" s="62" t="s">
        <v>476</v>
      </c>
    </row>
    <row r="274" spans="1:16">
      <c r="B274" s="62" t="s">
        <v>6469</v>
      </c>
      <c r="C274" s="62" t="s">
        <v>493</v>
      </c>
      <c r="D274">
        <v>100</v>
      </c>
      <c r="H274" t="s">
        <v>6432</v>
      </c>
    </row>
    <row r="276" spans="1:16">
      <c r="A276" t="s">
        <v>6470</v>
      </c>
      <c r="B276" t="s">
        <v>6471</v>
      </c>
      <c r="C276" s="62" t="s">
        <v>494</v>
      </c>
      <c r="E276" s="62" t="s">
        <v>476</v>
      </c>
    </row>
    <row r="277" spans="1:16">
      <c r="B277" s="62" t="s">
        <v>6472</v>
      </c>
      <c r="C277" s="62" t="s">
        <v>493</v>
      </c>
      <c r="D277">
        <v>100</v>
      </c>
      <c r="H277" t="s">
        <v>6433</v>
      </c>
    </row>
    <row r="279" spans="1:16">
      <c r="A279" s="64" t="s">
        <v>6483</v>
      </c>
      <c r="B279" s="62" t="s">
        <v>6484</v>
      </c>
      <c r="C279" t="s">
        <v>494</v>
      </c>
      <c r="E279" t="s">
        <v>476</v>
      </c>
      <c r="F279">
        <v>30</v>
      </c>
      <c r="G279">
        <v>3015</v>
      </c>
      <c r="H279" t="s">
        <v>6435</v>
      </c>
      <c r="I279" t="s">
        <v>6485</v>
      </c>
      <c r="J279">
        <v>11</v>
      </c>
      <c r="K279">
        <v>1</v>
      </c>
      <c r="L279">
        <v>8</v>
      </c>
    </row>
    <row r="280" spans="1:16">
      <c r="B280" t="s">
        <v>6486</v>
      </c>
      <c r="C280" t="s">
        <v>494</v>
      </c>
      <c r="E280" t="s">
        <v>476</v>
      </c>
      <c r="K280">
        <v>2</v>
      </c>
      <c r="L280">
        <v>3</v>
      </c>
    </row>
    <row r="281" spans="1:16">
      <c r="B281" t="s">
        <v>6487</v>
      </c>
      <c r="C281" t="s">
        <v>494</v>
      </c>
      <c r="E281" t="s">
        <v>476</v>
      </c>
      <c r="K281">
        <v>3</v>
      </c>
      <c r="L281">
        <v>3</v>
      </c>
      <c r="N281" s="1" t="s">
        <v>393</v>
      </c>
      <c r="O281" s="1" t="s">
        <v>394</v>
      </c>
      <c r="P281" s="1" t="s">
        <v>395</v>
      </c>
    </row>
    <row r="282" spans="1:16">
      <c r="B282" s="62" t="s">
        <v>6677</v>
      </c>
      <c r="C282" t="s">
        <v>494</v>
      </c>
      <c r="E282" t="s">
        <v>476</v>
      </c>
      <c r="K282">
        <v>4</v>
      </c>
      <c r="L282">
        <v>3</v>
      </c>
      <c r="N282" s="62" t="s">
        <v>6678</v>
      </c>
      <c r="O282" s="62" t="s">
        <v>6679</v>
      </c>
      <c r="P282" s="62" t="s">
        <v>6680</v>
      </c>
    </row>
    <row r="283" spans="1:16">
      <c r="B283" t="s">
        <v>6488</v>
      </c>
      <c r="C283" t="s">
        <v>494</v>
      </c>
      <c r="K283">
        <v>5</v>
      </c>
      <c r="L283">
        <v>6</v>
      </c>
      <c r="O283" s="62"/>
    </row>
    <row r="284" spans="1:16">
      <c r="B284" s="62" t="s">
        <v>6489</v>
      </c>
      <c r="C284" t="s">
        <v>494</v>
      </c>
      <c r="K284">
        <v>6</v>
      </c>
    </row>
    <row r="285" spans="1:16">
      <c r="B285" t="s">
        <v>6753</v>
      </c>
      <c r="C285" t="s">
        <v>494</v>
      </c>
      <c r="K285">
        <v>7</v>
      </c>
    </row>
    <row r="287" spans="1:16">
      <c r="A287" s="62" t="s">
        <v>6678</v>
      </c>
      <c r="B287" s="62" t="s">
        <v>6679</v>
      </c>
      <c r="C287" s="62" t="s">
        <v>494</v>
      </c>
      <c r="E287" s="62" t="s">
        <v>476</v>
      </c>
    </row>
    <row r="288" spans="1:16">
      <c r="B288" s="62" t="s">
        <v>6680</v>
      </c>
      <c r="C288" s="62" t="s">
        <v>493</v>
      </c>
      <c r="D288">
        <v>100</v>
      </c>
      <c r="H288" s="62" t="s">
        <v>6659</v>
      </c>
    </row>
    <row r="290" spans="1:18">
      <c r="A290" t="s">
        <v>6692</v>
      </c>
      <c r="B290" t="s">
        <v>6693</v>
      </c>
      <c r="C290" t="s">
        <v>494</v>
      </c>
      <c r="E290" t="s">
        <v>476</v>
      </c>
    </row>
    <row r="291" spans="1:18">
      <c r="B291" t="s">
        <v>6694</v>
      </c>
      <c r="C291" t="s">
        <v>493</v>
      </c>
      <c r="D291">
        <v>50</v>
      </c>
    </row>
    <row r="294" spans="1:18" s="1" customFormat="1">
      <c r="A294" s="70" t="s">
        <v>551</v>
      </c>
      <c r="B294" s="70" t="s">
        <v>552</v>
      </c>
      <c r="C294" s="1" t="s">
        <v>494</v>
      </c>
      <c r="E294" s="1" t="s">
        <v>476</v>
      </c>
      <c r="F294" s="14">
        <v>30</v>
      </c>
      <c r="G294" s="62">
        <v>3091</v>
      </c>
      <c r="H294" s="14" t="s">
        <v>525</v>
      </c>
      <c r="I294" s="11" t="s">
        <v>650</v>
      </c>
      <c r="J294" s="14">
        <v>2</v>
      </c>
      <c r="K294" s="16">
        <v>1</v>
      </c>
      <c r="L294" s="15"/>
      <c r="M294" s="14"/>
      <c r="N294" s="14"/>
      <c r="O294" s="14"/>
      <c r="P294" s="14"/>
    </row>
    <row r="295" spans="1:18" s="62" customFormat="1">
      <c r="I295" s="22"/>
      <c r="K295" s="57"/>
      <c r="L295" s="76"/>
      <c r="O295" s="60"/>
      <c r="P295" s="60"/>
    </row>
    <row r="296" spans="1:18" s="3" customFormat="1">
      <c r="A296" s="70" t="s">
        <v>4245</v>
      </c>
      <c r="B296" s="70" t="s">
        <v>563</v>
      </c>
      <c r="C296" s="62" t="s">
        <v>494</v>
      </c>
      <c r="D296" s="62"/>
      <c r="E296" s="62"/>
      <c r="F296" s="62">
        <v>30</v>
      </c>
      <c r="G296" s="62">
        <v>3092</v>
      </c>
      <c r="H296" s="62" t="s">
        <v>473</v>
      </c>
      <c r="I296" s="62" t="s">
        <v>998</v>
      </c>
      <c r="J296" s="62">
        <v>1</v>
      </c>
      <c r="K296" s="76">
        <v>1</v>
      </c>
      <c r="L296" s="75"/>
      <c r="M296" s="62"/>
      <c r="N296" s="62"/>
      <c r="O296" s="62"/>
      <c r="P296" s="62"/>
      <c r="Q296" s="12"/>
      <c r="R296" s="12"/>
    </row>
    <row r="297" spans="1:18" s="3" customFormat="1">
      <c r="A297" s="62"/>
      <c r="B297" s="62"/>
      <c r="C297" s="62"/>
      <c r="D297" s="62"/>
      <c r="E297" s="62"/>
      <c r="F297" s="62"/>
      <c r="G297" s="62"/>
      <c r="H297" s="62"/>
      <c r="I297" s="62"/>
      <c r="J297" s="62"/>
      <c r="K297" s="76"/>
      <c r="L297" s="75"/>
      <c r="M297" s="62"/>
      <c r="N297" s="62"/>
      <c r="O297" s="62"/>
      <c r="P297" s="62"/>
      <c r="Q297" s="12"/>
      <c r="R297" s="12"/>
    </row>
    <row r="298" spans="1:18">
      <c r="A298" s="70" t="s">
        <v>579</v>
      </c>
      <c r="B298" s="70" t="s">
        <v>582</v>
      </c>
      <c r="C298" s="62" t="s">
        <v>494</v>
      </c>
      <c r="F298">
        <v>30</v>
      </c>
      <c r="G298">
        <v>3093</v>
      </c>
      <c r="H298" s="62" t="s">
        <v>392</v>
      </c>
      <c r="I298" s="62" t="s">
        <v>434</v>
      </c>
      <c r="J298">
        <v>1</v>
      </c>
      <c r="K298">
        <v>1</v>
      </c>
    </row>
  </sheetData>
  <pageMargins left="0.7" right="0.7" top="0.75" bottom="0.75" header="0.3" footer="0.3"/>
  <pageSetup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sheetPr>
    <tabColor rgb="FFFFFF00"/>
  </sheetPr>
  <dimension ref="A1:R241"/>
  <sheetViews>
    <sheetView workbookViewId="0">
      <pane ySplit="1" topLeftCell="A2" activePane="bottomLeft" state="frozenSplit"/>
      <selection pane="bottomLeft" activeCell="B3" sqref="B3:B4"/>
    </sheetView>
  </sheetViews>
  <sheetFormatPr baseColWidth="10" defaultRowHeight="12.75"/>
  <cols>
    <col min="1" max="1" width="18.28515625" bestFit="1" customWidth="1"/>
    <col min="2" max="2" width="20.5703125" bestFit="1" customWidth="1"/>
    <col min="4" max="4" width="4" bestFit="1" customWidth="1"/>
    <col min="5" max="5" width="2.42578125" customWidth="1"/>
    <col min="6" max="6" width="6.140625" customWidth="1"/>
    <col min="7" max="7" width="7.7109375" bestFit="1" customWidth="1"/>
    <col min="8" max="8" width="17" customWidth="1"/>
    <col min="9" max="9" width="18.5703125" customWidth="1"/>
    <col min="10" max="10" width="5" customWidth="1"/>
    <col min="11" max="11" width="4.42578125" customWidth="1"/>
    <col min="12" max="12" width="4" customWidth="1"/>
    <col min="13" max="13" width="4.5703125" customWidth="1"/>
    <col min="14" max="14" width="13.5703125" bestFit="1" customWidth="1"/>
    <col min="15" max="15" width="8.7109375" customWidth="1"/>
    <col min="16" max="16" width="14.5703125" bestFit="1"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6771</v>
      </c>
      <c r="B2" s="66" t="s">
        <v>6772</v>
      </c>
      <c r="C2" s="62" t="s">
        <v>494</v>
      </c>
      <c r="E2" s="62" t="s">
        <v>476</v>
      </c>
      <c r="F2">
        <v>31</v>
      </c>
      <c r="G2">
        <v>3100</v>
      </c>
      <c r="H2" s="62" t="s">
        <v>800</v>
      </c>
      <c r="I2" s="62" t="s">
        <v>6775</v>
      </c>
      <c r="J2">
        <v>2</v>
      </c>
      <c r="K2">
        <v>1</v>
      </c>
      <c r="N2" s="62"/>
      <c r="O2" s="62"/>
      <c r="P2" s="62"/>
    </row>
    <row r="3" spans="1:18">
      <c r="B3" s="62" t="s">
        <v>6773</v>
      </c>
      <c r="C3" s="62" t="s">
        <v>494</v>
      </c>
      <c r="K3">
        <v>2</v>
      </c>
      <c r="L3">
        <v>3</v>
      </c>
      <c r="N3" s="1" t="s">
        <v>551</v>
      </c>
      <c r="O3" s="14" t="s">
        <v>552</v>
      </c>
      <c r="P3" s="14" t="s">
        <v>553</v>
      </c>
    </row>
    <row r="4" spans="1:18">
      <c r="B4" s="62" t="s">
        <v>6774</v>
      </c>
      <c r="C4" s="62" t="s">
        <v>494</v>
      </c>
      <c r="K4">
        <v>3</v>
      </c>
      <c r="L4">
        <v>3</v>
      </c>
      <c r="N4" s="1" t="s">
        <v>551</v>
      </c>
      <c r="O4" s="14" t="s">
        <v>552</v>
      </c>
      <c r="P4" s="14" t="s">
        <v>553</v>
      </c>
    </row>
    <row r="6" spans="1:18">
      <c r="A6" s="62" t="s">
        <v>5567</v>
      </c>
      <c r="B6" s="66" t="s">
        <v>5568</v>
      </c>
      <c r="C6" s="62" t="s">
        <v>494</v>
      </c>
      <c r="E6" t="s">
        <v>476</v>
      </c>
      <c r="F6">
        <v>31</v>
      </c>
      <c r="G6">
        <v>2141</v>
      </c>
      <c r="H6" t="s">
        <v>5586</v>
      </c>
      <c r="I6" t="s">
        <v>5587</v>
      </c>
      <c r="J6">
        <v>2</v>
      </c>
      <c r="K6" s="57">
        <v>1</v>
      </c>
      <c r="L6">
        <v>6</v>
      </c>
      <c r="N6" s="62"/>
      <c r="O6" s="23"/>
      <c r="P6" s="23"/>
      <c r="Q6" s="23"/>
    </row>
    <row r="7" spans="1:18">
      <c r="B7" s="66" t="s">
        <v>5569</v>
      </c>
      <c r="C7" s="62" t="s">
        <v>494</v>
      </c>
      <c r="K7" s="57">
        <v>2</v>
      </c>
      <c r="L7">
        <v>6</v>
      </c>
      <c r="N7" s="62"/>
      <c r="O7" s="23"/>
      <c r="P7" s="23"/>
      <c r="Q7" s="23"/>
    </row>
    <row r="8" spans="1:18">
      <c r="B8" s="66" t="s">
        <v>5570</v>
      </c>
      <c r="C8" s="62" t="s">
        <v>493</v>
      </c>
      <c r="D8">
        <v>1</v>
      </c>
      <c r="K8" s="57">
        <v>3</v>
      </c>
      <c r="L8">
        <v>3</v>
      </c>
      <c r="N8" s="62"/>
      <c r="O8" s="23"/>
      <c r="P8" s="23"/>
      <c r="Q8" s="23"/>
    </row>
    <row r="9" spans="1:18">
      <c r="B9" s="66" t="s">
        <v>5571</v>
      </c>
      <c r="C9" s="62" t="s">
        <v>493</v>
      </c>
      <c r="D9">
        <v>200</v>
      </c>
      <c r="K9" s="57">
        <v>4</v>
      </c>
      <c r="N9" s="62"/>
      <c r="O9" s="23"/>
      <c r="P9" s="23"/>
      <c r="Q9" s="23"/>
    </row>
    <row r="10" spans="1:18">
      <c r="B10" s="66" t="s">
        <v>5572</v>
      </c>
      <c r="C10" s="62" t="s">
        <v>494</v>
      </c>
      <c r="K10" s="57">
        <v>5</v>
      </c>
      <c r="L10">
        <v>3</v>
      </c>
      <c r="N10" s="1" t="s">
        <v>3664</v>
      </c>
      <c r="O10" s="23" t="s">
        <v>3666</v>
      </c>
      <c r="P10" s="23" t="s">
        <v>3667</v>
      </c>
      <c r="Q10" s="23"/>
    </row>
    <row r="11" spans="1:18">
      <c r="B11" s="66" t="s">
        <v>5573</v>
      </c>
      <c r="C11" s="62" t="s">
        <v>494</v>
      </c>
      <c r="K11" s="57">
        <v>6</v>
      </c>
      <c r="N11" s="62"/>
      <c r="O11" s="23"/>
      <c r="P11" s="23"/>
      <c r="Q11" s="23"/>
    </row>
    <row r="12" spans="1:18">
      <c r="B12" s="66" t="s">
        <v>5574</v>
      </c>
      <c r="C12" s="62" t="s">
        <v>494</v>
      </c>
      <c r="K12" s="57">
        <v>7</v>
      </c>
      <c r="N12" s="62"/>
      <c r="O12" s="23"/>
      <c r="P12" s="23"/>
      <c r="Q12" s="23"/>
    </row>
    <row r="13" spans="1:18">
      <c r="B13" s="66" t="s">
        <v>5575</v>
      </c>
      <c r="C13" s="62" t="s">
        <v>494</v>
      </c>
      <c r="K13" s="57">
        <v>8</v>
      </c>
      <c r="N13" s="62"/>
      <c r="O13" s="23"/>
      <c r="P13" s="23"/>
      <c r="Q13" s="23"/>
    </row>
    <row r="14" spans="1:18">
      <c r="B14" s="66" t="s">
        <v>5576</v>
      </c>
      <c r="C14" s="62" t="s">
        <v>494</v>
      </c>
      <c r="K14" s="57">
        <v>9</v>
      </c>
      <c r="N14" s="62"/>
      <c r="O14" s="23"/>
      <c r="P14" s="23"/>
      <c r="Q14" s="23"/>
    </row>
    <row r="15" spans="1:18">
      <c r="B15" s="63" t="s">
        <v>5839</v>
      </c>
      <c r="C15" s="78" t="s">
        <v>494</v>
      </c>
      <c r="K15" s="57">
        <v>10</v>
      </c>
      <c r="L15">
        <v>8</v>
      </c>
      <c r="N15" s="62"/>
      <c r="O15" s="23"/>
      <c r="P15" s="23"/>
      <c r="Q15" s="23"/>
    </row>
    <row r="16" spans="1:18">
      <c r="B16" s="63" t="s">
        <v>6029</v>
      </c>
      <c r="C16" s="78" t="s">
        <v>520</v>
      </c>
      <c r="K16" s="57">
        <v>11</v>
      </c>
      <c r="N16" s="62"/>
      <c r="O16" s="23"/>
      <c r="P16" s="23"/>
      <c r="Q16" s="23"/>
    </row>
    <row r="17" spans="1:18">
      <c r="B17" s="66"/>
      <c r="C17" s="62"/>
      <c r="K17" s="57"/>
      <c r="N17" s="62"/>
      <c r="O17" s="23"/>
      <c r="P17" s="23"/>
      <c r="Q17" s="23"/>
    </row>
    <row r="18" spans="1:18">
      <c r="A18" s="62" t="s">
        <v>5577</v>
      </c>
      <c r="B18" s="66" t="s">
        <v>5578</v>
      </c>
      <c r="C18" s="62" t="s">
        <v>494</v>
      </c>
      <c r="E18" t="s">
        <v>476</v>
      </c>
      <c r="F18">
        <v>31</v>
      </c>
      <c r="G18">
        <v>2142</v>
      </c>
      <c r="H18" t="s">
        <v>5588</v>
      </c>
      <c r="J18">
        <v>2</v>
      </c>
      <c r="K18" s="57">
        <v>1</v>
      </c>
      <c r="L18">
        <v>52</v>
      </c>
      <c r="N18" s="62">
        <v>2141</v>
      </c>
      <c r="O18" s="66" t="s">
        <v>5569</v>
      </c>
      <c r="P18" s="23"/>
      <c r="Q18" s="23"/>
    </row>
    <row r="19" spans="1:18">
      <c r="B19" s="66" t="s">
        <v>5579</v>
      </c>
      <c r="C19" s="62" t="s">
        <v>494</v>
      </c>
      <c r="E19" t="s">
        <v>476</v>
      </c>
      <c r="K19" s="57">
        <v>2</v>
      </c>
      <c r="L19">
        <v>6</v>
      </c>
      <c r="N19" s="62"/>
      <c r="O19" s="23"/>
      <c r="P19" s="23"/>
      <c r="Q19" s="23"/>
    </row>
    <row r="20" spans="1:18">
      <c r="B20" s="66" t="s">
        <v>5580</v>
      </c>
      <c r="C20" s="62" t="s">
        <v>494</v>
      </c>
      <c r="K20" s="57">
        <v>3</v>
      </c>
      <c r="L20">
        <v>6</v>
      </c>
      <c r="N20" s="62"/>
      <c r="O20" s="23"/>
      <c r="P20" s="23"/>
      <c r="Q20" s="23"/>
    </row>
    <row r="21" spans="1:18">
      <c r="B21" s="66" t="s">
        <v>5582</v>
      </c>
      <c r="C21" s="62" t="s">
        <v>493</v>
      </c>
      <c r="D21">
        <v>1</v>
      </c>
      <c r="K21" s="57">
        <v>4</v>
      </c>
      <c r="L21">
        <v>3</v>
      </c>
      <c r="N21" s="62"/>
      <c r="O21" s="23"/>
      <c r="P21" s="23"/>
      <c r="Q21" s="23"/>
    </row>
    <row r="22" spans="1:18">
      <c r="B22" s="66" t="s">
        <v>5581</v>
      </c>
      <c r="C22" s="62" t="s">
        <v>493</v>
      </c>
      <c r="D22">
        <v>100</v>
      </c>
      <c r="K22" s="57">
        <v>5</v>
      </c>
      <c r="N22" s="62"/>
      <c r="O22" s="23"/>
      <c r="P22" s="23"/>
      <c r="Q22" s="23"/>
    </row>
    <row r="23" spans="1:18">
      <c r="B23" s="66" t="s">
        <v>5583</v>
      </c>
      <c r="C23" s="62" t="s">
        <v>493</v>
      </c>
      <c r="D23">
        <v>1</v>
      </c>
      <c r="K23" s="57">
        <v>6</v>
      </c>
      <c r="L23">
        <v>3</v>
      </c>
      <c r="N23" s="62"/>
      <c r="O23" s="23"/>
      <c r="P23" s="23"/>
      <c r="Q23" s="23"/>
    </row>
    <row r="24" spans="1:18">
      <c r="B24" s="66" t="s">
        <v>5584</v>
      </c>
      <c r="C24" s="62" t="s">
        <v>493</v>
      </c>
      <c r="D24">
        <v>1</v>
      </c>
      <c r="K24" s="57">
        <v>7</v>
      </c>
      <c r="L24">
        <v>3</v>
      </c>
      <c r="N24" s="62"/>
      <c r="O24" s="23"/>
      <c r="P24" s="23"/>
      <c r="Q24" s="23"/>
    </row>
    <row r="25" spans="1:18">
      <c r="B25" s="66" t="s">
        <v>5585</v>
      </c>
      <c r="C25" s="62" t="s">
        <v>494</v>
      </c>
      <c r="K25" s="57">
        <v>8</v>
      </c>
      <c r="L25">
        <v>9</v>
      </c>
      <c r="N25" s="62" t="s">
        <v>4702</v>
      </c>
      <c r="O25" s="62" t="s">
        <v>4703</v>
      </c>
      <c r="P25" s="62" t="s">
        <v>4705</v>
      </c>
      <c r="Q25" s="62" t="s">
        <v>4704</v>
      </c>
      <c r="R25">
        <v>2602</v>
      </c>
    </row>
    <row r="26" spans="1:18">
      <c r="B26" s="63" t="s">
        <v>5840</v>
      </c>
      <c r="C26" s="78" t="s">
        <v>494</v>
      </c>
      <c r="K26" s="57">
        <v>9</v>
      </c>
      <c r="N26" s="62"/>
      <c r="O26" s="62"/>
      <c r="P26" s="62"/>
      <c r="Q26" s="62"/>
    </row>
    <row r="27" spans="1:18">
      <c r="B27" s="63" t="s">
        <v>5966</v>
      </c>
      <c r="C27" s="78" t="s">
        <v>520</v>
      </c>
      <c r="K27" s="57">
        <v>10</v>
      </c>
      <c r="N27" s="62"/>
      <c r="O27" s="62"/>
      <c r="P27" s="62"/>
      <c r="Q27" s="62"/>
    </row>
    <row r="28" spans="1:18">
      <c r="B28" s="63" t="s">
        <v>5967</v>
      </c>
      <c r="C28" s="78" t="s">
        <v>494</v>
      </c>
      <c r="K28" s="57">
        <v>11</v>
      </c>
      <c r="L28">
        <v>91</v>
      </c>
      <c r="N28" s="62"/>
      <c r="O28" s="62"/>
      <c r="P28" s="62"/>
      <c r="Q28" s="62"/>
    </row>
    <row r="29" spans="1:18">
      <c r="B29" s="63" t="s">
        <v>5968</v>
      </c>
      <c r="C29" s="78" t="s">
        <v>494</v>
      </c>
      <c r="K29" s="57">
        <v>12</v>
      </c>
      <c r="L29">
        <v>92</v>
      </c>
      <c r="N29" s="62"/>
      <c r="O29" s="62"/>
      <c r="P29" s="62"/>
      <c r="Q29" s="62"/>
    </row>
    <row r="30" spans="1:18">
      <c r="B30" s="63" t="s">
        <v>5979</v>
      </c>
      <c r="C30" s="78" t="s">
        <v>494</v>
      </c>
      <c r="K30" s="57">
        <v>13</v>
      </c>
      <c r="L30">
        <v>3</v>
      </c>
      <c r="N30" s="62"/>
      <c r="O30" s="62"/>
      <c r="P30" s="62"/>
      <c r="Q30" s="62"/>
    </row>
    <row r="31" spans="1:18">
      <c r="B31" s="64"/>
      <c r="C31" s="64"/>
      <c r="K31" s="55"/>
      <c r="L31" s="80"/>
      <c r="M31" s="10"/>
      <c r="O31" s="66"/>
      <c r="P31" s="66"/>
    </row>
    <row r="32" spans="1:18">
      <c r="A32" s="62" t="s">
        <v>5973</v>
      </c>
      <c r="B32" s="66" t="s">
        <v>5974</v>
      </c>
      <c r="C32" s="64" t="s">
        <v>494</v>
      </c>
      <c r="E32" t="s">
        <v>476</v>
      </c>
      <c r="F32">
        <v>31</v>
      </c>
      <c r="G32">
        <v>2154</v>
      </c>
      <c r="H32" t="s">
        <v>5978</v>
      </c>
      <c r="J32">
        <v>2</v>
      </c>
      <c r="K32" s="55">
        <v>1</v>
      </c>
      <c r="L32" s="80">
        <v>52</v>
      </c>
      <c r="M32" s="10"/>
      <c r="N32" s="62">
        <v>2141</v>
      </c>
      <c r="O32" s="66" t="s">
        <v>5569</v>
      </c>
      <c r="P32" s="66"/>
    </row>
    <row r="33" spans="1:18">
      <c r="B33" s="66" t="s">
        <v>5975</v>
      </c>
      <c r="C33" s="64" t="s">
        <v>494</v>
      </c>
      <c r="E33" t="s">
        <v>476</v>
      </c>
      <c r="K33" s="55">
        <v>2</v>
      </c>
      <c r="L33" s="80">
        <v>6</v>
      </c>
      <c r="M33" s="10"/>
      <c r="O33" s="66"/>
      <c r="P33" s="66"/>
    </row>
    <row r="34" spans="1:18">
      <c r="B34" s="64" t="s">
        <v>5976</v>
      </c>
      <c r="C34" s="64" t="s">
        <v>494</v>
      </c>
      <c r="K34" s="55">
        <v>3</v>
      </c>
      <c r="L34" s="80">
        <v>6</v>
      </c>
      <c r="M34" s="10"/>
      <c r="O34" s="66"/>
      <c r="P34" s="66"/>
    </row>
    <row r="35" spans="1:18">
      <c r="B35" s="64" t="s">
        <v>5977</v>
      </c>
      <c r="C35" s="64" t="s">
        <v>494</v>
      </c>
      <c r="K35" s="55">
        <v>4</v>
      </c>
      <c r="L35" s="80">
        <v>3</v>
      </c>
      <c r="M35" s="10"/>
      <c r="N35" s="62" t="s">
        <v>1038</v>
      </c>
      <c r="O35" s="23" t="s">
        <v>1040</v>
      </c>
      <c r="P35" s="23" t="s">
        <v>1041</v>
      </c>
    </row>
    <row r="36" spans="1:18">
      <c r="B36" s="66"/>
      <c r="C36" s="62"/>
      <c r="N36" s="62"/>
      <c r="O36" s="62"/>
      <c r="P36" s="62"/>
    </row>
    <row r="37" spans="1:18">
      <c r="A37" s="70" t="s">
        <v>3210</v>
      </c>
      <c r="B37" s="70" t="s">
        <v>3211</v>
      </c>
      <c r="C37" s="70" t="s">
        <v>494</v>
      </c>
      <c r="E37" s="62" t="s">
        <v>476</v>
      </c>
      <c r="F37">
        <v>21</v>
      </c>
      <c r="G37">
        <v>2143</v>
      </c>
      <c r="H37" s="62" t="s">
        <v>5589</v>
      </c>
      <c r="I37" s="62" t="s">
        <v>5590</v>
      </c>
      <c r="J37">
        <v>2104</v>
      </c>
      <c r="K37" s="55">
        <v>1</v>
      </c>
      <c r="L37">
        <v>8</v>
      </c>
    </row>
    <row r="38" spans="1:18">
      <c r="A38" s="94"/>
      <c r="B38" s="70" t="s">
        <v>3212</v>
      </c>
      <c r="C38" s="70" t="s">
        <v>494</v>
      </c>
      <c r="E38" s="62" t="s">
        <v>476</v>
      </c>
      <c r="K38" s="55">
        <v>2</v>
      </c>
      <c r="L38">
        <v>3</v>
      </c>
      <c r="M38" s="14">
        <v>31</v>
      </c>
      <c r="N38" s="62" t="s">
        <v>3655</v>
      </c>
      <c r="O38" s="62" t="s">
        <v>3648</v>
      </c>
      <c r="P38" s="62" t="s">
        <v>3657</v>
      </c>
      <c r="Q38" s="47" t="s">
        <v>3658</v>
      </c>
      <c r="R38" s="14">
        <v>4</v>
      </c>
    </row>
    <row r="39" spans="1:18">
      <c r="A39" s="94"/>
      <c r="B39" s="70" t="s">
        <v>3213</v>
      </c>
      <c r="C39" s="70" t="s">
        <v>494</v>
      </c>
      <c r="H39" s="62"/>
      <c r="K39" s="55">
        <v>3</v>
      </c>
      <c r="L39">
        <v>6</v>
      </c>
    </row>
    <row r="40" spans="1:18">
      <c r="A40" s="94"/>
      <c r="B40" s="70" t="s">
        <v>3230</v>
      </c>
      <c r="C40" s="70" t="s">
        <v>494</v>
      </c>
      <c r="K40" s="55">
        <v>4</v>
      </c>
      <c r="L40">
        <v>3</v>
      </c>
      <c r="M40">
        <v>3</v>
      </c>
      <c r="N40" s="62" t="s">
        <v>3664</v>
      </c>
      <c r="O40" s="62" t="s">
        <v>3666</v>
      </c>
      <c r="P40" s="62" t="s">
        <v>3667</v>
      </c>
    </row>
    <row r="41" spans="1:18" s="1" customFormat="1">
      <c r="A41" s="39"/>
      <c r="B41" s="67" t="s">
        <v>3231</v>
      </c>
      <c r="C41" s="70" t="s">
        <v>494</v>
      </c>
      <c r="F41" s="14"/>
      <c r="G41" s="14"/>
      <c r="H41" s="14"/>
      <c r="I41" s="11"/>
      <c r="J41" s="14"/>
      <c r="K41" s="55">
        <v>5</v>
      </c>
      <c r="L41" s="15">
        <v>3</v>
      </c>
      <c r="M41" s="14">
        <v>1</v>
      </c>
      <c r="N41" s="62" t="s">
        <v>693</v>
      </c>
      <c r="O41" s="1" t="s">
        <v>695</v>
      </c>
      <c r="P41" s="1" t="s">
        <v>696</v>
      </c>
      <c r="Q41" s="62"/>
      <c r="R41" s="14"/>
    </row>
    <row r="42" spans="1:18" s="1" customFormat="1">
      <c r="A42" s="39"/>
      <c r="B42" s="67" t="s">
        <v>3232</v>
      </c>
      <c r="C42" s="70" t="s">
        <v>494</v>
      </c>
      <c r="F42" s="14"/>
      <c r="G42" s="14"/>
      <c r="H42" s="14"/>
      <c r="I42" s="11"/>
      <c r="J42" s="14"/>
      <c r="K42" s="55">
        <v>6</v>
      </c>
      <c r="L42" s="15">
        <v>3</v>
      </c>
      <c r="M42" s="14">
        <v>1</v>
      </c>
      <c r="N42" s="62" t="s">
        <v>379</v>
      </c>
      <c r="O42" s="62" t="s">
        <v>698</v>
      </c>
      <c r="P42" s="62" t="s">
        <v>699</v>
      </c>
      <c r="Q42" s="62" t="s">
        <v>383</v>
      </c>
      <c r="R42" s="14">
        <v>5</v>
      </c>
    </row>
    <row r="43" spans="1:18">
      <c r="A43" s="94"/>
      <c r="B43" s="70" t="s">
        <v>3217</v>
      </c>
      <c r="C43" s="70" t="s">
        <v>494</v>
      </c>
      <c r="K43" s="55">
        <v>7</v>
      </c>
      <c r="L43">
        <v>3</v>
      </c>
      <c r="M43" s="47">
        <v>1</v>
      </c>
      <c r="N43" s="62" t="s">
        <v>3218</v>
      </c>
      <c r="O43" s="62" t="s">
        <v>3219</v>
      </c>
      <c r="P43" s="62" t="s">
        <v>3220</v>
      </c>
      <c r="Q43" s="66"/>
    </row>
    <row r="44" spans="1:18">
      <c r="A44" s="94"/>
      <c r="B44" s="70" t="s">
        <v>4321</v>
      </c>
      <c r="C44" s="70" t="s">
        <v>702</v>
      </c>
      <c r="K44" s="55">
        <v>8</v>
      </c>
      <c r="M44">
        <v>1</v>
      </c>
    </row>
    <row r="45" spans="1:18">
      <c r="A45" s="94"/>
      <c r="B45" s="70" t="s">
        <v>4327</v>
      </c>
      <c r="C45" s="70" t="s">
        <v>494</v>
      </c>
      <c r="H45" s="62"/>
      <c r="K45" s="55">
        <v>9</v>
      </c>
      <c r="L45">
        <v>3</v>
      </c>
      <c r="M45">
        <v>1</v>
      </c>
      <c r="N45" s="62" t="s">
        <v>4452</v>
      </c>
      <c r="O45" s="62" t="s">
        <v>4453</v>
      </c>
      <c r="P45" s="62" t="s">
        <v>4454</v>
      </c>
    </row>
    <row r="46" spans="1:18">
      <c r="B46" s="96" t="s">
        <v>5591</v>
      </c>
      <c r="C46" s="96" t="s">
        <v>494</v>
      </c>
      <c r="K46" s="55">
        <v>10</v>
      </c>
      <c r="L46">
        <v>3</v>
      </c>
      <c r="M46">
        <v>1</v>
      </c>
      <c r="N46" s="62" t="s">
        <v>5592</v>
      </c>
      <c r="O46" s="66" t="s">
        <v>5593</v>
      </c>
      <c r="P46" s="66" t="s">
        <v>5594</v>
      </c>
    </row>
    <row r="47" spans="1:18">
      <c r="B47" s="64" t="s">
        <v>5838</v>
      </c>
      <c r="C47" s="64" t="s">
        <v>494</v>
      </c>
      <c r="K47" s="55">
        <v>11</v>
      </c>
      <c r="L47" s="80">
        <v>3</v>
      </c>
      <c r="M47" s="10">
        <v>1</v>
      </c>
      <c r="N47" t="s">
        <v>5567</v>
      </c>
      <c r="O47" s="66" t="s">
        <v>5569</v>
      </c>
      <c r="P47" s="66" t="s">
        <v>5571</v>
      </c>
    </row>
    <row r="48" spans="1:18">
      <c r="B48" s="64"/>
      <c r="C48" s="64"/>
      <c r="K48" s="55"/>
      <c r="L48" s="80"/>
      <c r="M48" s="10"/>
      <c r="O48" s="66"/>
      <c r="P48" s="66"/>
    </row>
    <row r="49" spans="1:18">
      <c r="A49" s="62" t="s">
        <v>5843</v>
      </c>
      <c r="B49" s="64" t="s">
        <v>5844</v>
      </c>
      <c r="C49" s="64" t="s">
        <v>494</v>
      </c>
      <c r="E49" s="62" t="s">
        <v>476</v>
      </c>
      <c r="F49">
        <v>21</v>
      </c>
      <c r="G49">
        <v>2151</v>
      </c>
      <c r="H49" s="62" t="s">
        <v>4443</v>
      </c>
      <c r="J49">
        <v>2104</v>
      </c>
      <c r="K49" s="55">
        <v>1</v>
      </c>
      <c r="L49" s="80">
        <v>52</v>
      </c>
      <c r="M49" s="10"/>
      <c r="N49" s="64">
        <v>2143</v>
      </c>
      <c r="O49" s="66" t="s">
        <v>3213</v>
      </c>
      <c r="P49" s="66"/>
    </row>
    <row r="50" spans="1:18">
      <c r="B50" s="64" t="s">
        <v>5845</v>
      </c>
      <c r="C50" s="64" t="s">
        <v>494</v>
      </c>
      <c r="E50" s="62" t="s">
        <v>476</v>
      </c>
      <c r="K50" s="55">
        <v>2</v>
      </c>
      <c r="L50" s="80">
        <v>6</v>
      </c>
      <c r="M50" s="10"/>
      <c r="O50" s="66"/>
      <c r="P50" s="66"/>
    </row>
    <row r="51" spans="1:18">
      <c r="B51" s="64" t="s">
        <v>5846</v>
      </c>
      <c r="C51" s="64" t="s">
        <v>494</v>
      </c>
      <c r="K51" s="55">
        <v>3</v>
      </c>
      <c r="L51" s="80">
        <v>6</v>
      </c>
      <c r="M51" s="10"/>
      <c r="O51" s="66"/>
      <c r="P51" s="66"/>
    </row>
    <row r="52" spans="1:18">
      <c r="B52" s="64" t="s">
        <v>5847</v>
      </c>
      <c r="C52" s="64" t="s">
        <v>494</v>
      </c>
      <c r="K52" s="55">
        <v>4</v>
      </c>
      <c r="L52" s="80">
        <v>3</v>
      </c>
      <c r="M52" s="10"/>
      <c r="N52" s="62" t="s">
        <v>5592</v>
      </c>
      <c r="O52" s="66" t="s">
        <v>5593</v>
      </c>
      <c r="P52" s="66" t="s">
        <v>5594</v>
      </c>
    </row>
    <row r="53" spans="1:18">
      <c r="B53" s="64" t="s">
        <v>5848</v>
      </c>
      <c r="C53" s="64" t="s">
        <v>494</v>
      </c>
      <c r="K53" s="55">
        <v>5</v>
      </c>
      <c r="L53" s="80">
        <v>3</v>
      </c>
      <c r="M53" s="10"/>
      <c r="N53" s="62" t="s">
        <v>5592</v>
      </c>
      <c r="O53" s="66" t="s">
        <v>5593</v>
      </c>
      <c r="P53" s="66" t="s">
        <v>5594</v>
      </c>
    </row>
    <row r="54" spans="1:18">
      <c r="B54" s="64" t="s">
        <v>5849</v>
      </c>
      <c r="C54" s="64" t="s">
        <v>520</v>
      </c>
      <c r="K54" s="55">
        <v>6</v>
      </c>
      <c r="L54" s="80"/>
      <c r="M54" s="10"/>
      <c r="O54" s="66"/>
      <c r="P54" s="66"/>
    </row>
    <row r="55" spans="1:18">
      <c r="B55" s="64" t="s">
        <v>5850</v>
      </c>
      <c r="C55" s="64" t="s">
        <v>494</v>
      </c>
      <c r="K55" s="55">
        <v>7</v>
      </c>
      <c r="L55" s="80">
        <v>8</v>
      </c>
      <c r="M55" s="10"/>
      <c r="O55" s="66"/>
      <c r="P55" s="66"/>
    </row>
    <row r="56" spans="1:18">
      <c r="B56" s="64" t="s">
        <v>5851</v>
      </c>
      <c r="C56" s="64" t="s">
        <v>494</v>
      </c>
      <c r="K56" s="55">
        <v>8</v>
      </c>
      <c r="L56" s="80">
        <v>7</v>
      </c>
      <c r="M56" s="10"/>
      <c r="O56" s="66"/>
      <c r="P56" s="66"/>
    </row>
    <row r="57" spans="1:18">
      <c r="B57" s="66"/>
      <c r="C57" s="62"/>
      <c r="N57" s="62"/>
      <c r="O57" s="62"/>
      <c r="P57" s="62"/>
    </row>
    <row r="58" spans="1:18">
      <c r="A58" t="s">
        <v>5592</v>
      </c>
      <c r="B58" s="66" t="s">
        <v>5593</v>
      </c>
      <c r="C58" s="62" t="s">
        <v>494</v>
      </c>
      <c r="E58" t="s">
        <v>476</v>
      </c>
      <c r="N58" s="62"/>
      <c r="O58" s="62"/>
      <c r="P58" s="62"/>
    </row>
    <row r="59" spans="1:18">
      <c r="B59" s="66" t="s">
        <v>5594</v>
      </c>
      <c r="C59" s="62" t="s">
        <v>493</v>
      </c>
      <c r="D59">
        <v>50</v>
      </c>
      <c r="N59" s="62"/>
      <c r="O59" s="62"/>
      <c r="P59" s="62"/>
    </row>
    <row r="60" spans="1:18">
      <c r="B60" s="66"/>
      <c r="C60" s="62"/>
      <c r="N60" s="62"/>
      <c r="O60" s="62"/>
      <c r="P60" s="62"/>
    </row>
    <row r="61" spans="1:18">
      <c r="A61" s="70" t="s">
        <v>3210</v>
      </c>
      <c r="B61" s="70" t="s">
        <v>3211</v>
      </c>
      <c r="C61" s="70" t="s">
        <v>494</v>
      </c>
      <c r="E61" s="62" t="s">
        <v>476</v>
      </c>
      <c r="F61">
        <v>21</v>
      </c>
      <c r="G61">
        <v>2144</v>
      </c>
      <c r="H61" s="62" t="s">
        <v>5595</v>
      </c>
      <c r="I61" s="62" t="s">
        <v>5596</v>
      </c>
      <c r="J61">
        <v>2104</v>
      </c>
      <c r="K61" s="55">
        <v>1</v>
      </c>
      <c r="L61">
        <v>8</v>
      </c>
    </row>
    <row r="62" spans="1:18">
      <c r="A62" s="94"/>
      <c r="B62" s="70" t="s">
        <v>3212</v>
      </c>
      <c r="C62" s="70" t="s">
        <v>494</v>
      </c>
      <c r="E62" s="62" t="s">
        <v>476</v>
      </c>
      <c r="K62" s="55">
        <v>2</v>
      </c>
      <c r="L62">
        <v>3</v>
      </c>
      <c r="M62" s="14">
        <v>31</v>
      </c>
      <c r="N62" s="62" t="s">
        <v>3655</v>
      </c>
      <c r="O62" s="62" t="s">
        <v>3648</v>
      </c>
      <c r="P62" s="62" t="s">
        <v>3657</v>
      </c>
      <c r="Q62" s="47" t="s">
        <v>3658</v>
      </c>
      <c r="R62" s="14">
        <v>4</v>
      </c>
    </row>
    <row r="63" spans="1:18">
      <c r="A63" s="94"/>
      <c r="B63" s="70" t="s">
        <v>3213</v>
      </c>
      <c r="C63" s="70" t="s">
        <v>494</v>
      </c>
      <c r="H63" s="62"/>
      <c r="K63" s="55">
        <v>3</v>
      </c>
      <c r="L63">
        <v>6</v>
      </c>
    </row>
    <row r="64" spans="1:18">
      <c r="A64" s="94"/>
      <c r="B64" s="70" t="s">
        <v>3230</v>
      </c>
      <c r="C64" s="70" t="s">
        <v>494</v>
      </c>
      <c r="K64" s="55">
        <v>4</v>
      </c>
      <c r="L64">
        <v>3</v>
      </c>
      <c r="M64">
        <v>3</v>
      </c>
      <c r="N64" s="62" t="s">
        <v>3664</v>
      </c>
      <c r="O64" s="62" t="s">
        <v>3666</v>
      </c>
      <c r="P64" s="62" t="s">
        <v>3667</v>
      </c>
    </row>
    <row r="65" spans="1:18" s="1" customFormat="1">
      <c r="A65" s="39"/>
      <c r="B65" s="67" t="s">
        <v>3231</v>
      </c>
      <c r="C65" s="70" t="s">
        <v>494</v>
      </c>
      <c r="F65" s="14"/>
      <c r="G65" s="14"/>
      <c r="H65" s="14"/>
      <c r="I65" s="11"/>
      <c r="J65" s="14"/>
      <c r="K65" s="55">
        <v>5</v>
      </c>
      <c r="L65" s="15">
        <v>3</v>
      </c>
      <c r="M65" s="14"/>
      <c r="N65" s="62" t="s">
        <v>693</v>
      </c>
      <c r="O65" s="1" t="s">
        <v>695</v>
      </c>
      <c r="P65" s="1" t="s">
        <v>696</v>
      </c>
      <c r="Q65" s="62"/>
      <c r="R65" s="14"/>
    </row>
    <row r="66" spans="1:18" s="1" customFormat="1">
      <c r="A66" s="39"/>
      <c r="B66" s="67" t="s">
        <v>3232</v>
      </c>
      <c r="C66" s="70" t="s">
        <v>494</v>
      </c>
      <c r="F66" s="14"/>
      <c r="G66" s="14"/>
      <c r="H66" s="14"/>
      <c r="I66" s="11"/>
      <c r="J66" s="14"/>
      <c r="K66" s="55">
        <v>6</v>
      </c>
      <c r="L66" s="15">
        <v>3</v>
      </c>
      <c r="M66" s="14">
        <v>31</v>
      </c>
      <c r="N66" s="62" t="s">
        <v>379</v>
      </c>
      <c r="O66" s="62" t="s">
        <v>698</v>
      </c>
      <c r="P66" s="62" t="s">
        <v>699</v>
      </c>
      <c r="Q66" s="62" t="s">
        <v>383</v>
      </c>
      <c r="R66" s="14">
        <v>5</v>
      </c>
    </row>
    <row r="67" spans="1:18">
      <c r="A67" s="94"/>
      <c r="B67" s="70" t="s">
        <v>3217</v>
      </c>
      <c r="C67" s="70" t="s">
        <v>494</v>
      </c>
      <c r="K67" s="55">
        <v>7</v>
      </c>
      <c r="L67">
        <v>3</v>
      </c>
      <c r="N67" s="62" t="s">
        <v>3218</v>
      </c>
      <c r="O67" s="62" t="s">
        <v>3219</v>
      </c>
      <c r="P67" s="62" t="s">
        <v>3220</v>
      </c>
      <c r="Q67" s="66"/>
    </row>
    <row r="68" spans="1:18">
      <c r="A68" s="94"/>
      <c r="B68" s="70" t="s">
        <v>4321</v>
      </c>
      <c r="C68" s="70" t="s">
        <v>702</v>
      </c>
      <c r="K68" s="55">
        <v>8</v>
      </c>
      <c r="M68">
        <v>1</v>
      </c>
    </row>
    <row r="69" spans="1:18">
      <c r="A69" s="94"/>
      <c r="B69" s="70" t="s">
        <v>4327</v>
      </c>
      <c r="C69" s="70" t="s">
        <v>494</v>
      </c>
      <c r="H69" s="62"/>
      <c r="K69" s="55">
        <v>9</v>
      </c>
      <c r="L69">
        <v>3</v>
      </c>
      <c r="M69">
        <v>1</v>
      </c>
      <c r="N69" s="62" t="s">
        <v>4452</v>
      </c>
      <c r="O69" s="62" t="s">
        <v>4453</v>
      </c>
      <c r="P69" s="62" t="s">
        <v>4454</v>
      </c>
    </row>
    <row r="70" spans="1:18">
      <c r="B70" s="96" t="s">
        <v>5591</v>
      </c>
      <c r="C70" s="96" t="s">
        <v>494</v>
      </c>
      <c r="K70" s="55">
        <v>10</v>
      </c>
      <c r="L70">
        <v>3</v>
      </c>
      <c r="M70">
        <v>1</v>
      </c>
      <c r="N70" s="62" t="s">
        <v>5592</v>
      </c>
      <c r="O70" s="66" t="s">
        <v>5593</v>
      </c>
      <c r="P70" s="66" t="s">
        <v>5594</v>
      </c>
    </row>
    <row r="71" spans="1:18">
      <c r="B71" s="64" t="s">
        <v>5838</v>
      </c>
      <c r="C71" s="64" t="s">
        <v>494</v>
      </c>
      <c r="K71" s="55">
        <v>11</v>
      </c>
      <c r="L71" s="80">
        <v>3</v>
      </c>
      <c r="M71" s="10">
        <v>1</v>
      </c>
      <c r="N71" t="s">
        <v>5567</v>
      </c>
      <c r="O71" s="66" t="s">
        <v>5569</v>
      </c>
      <c r="P71" s="66" t="s">
        <v>5571</v>
      </c>
    </row>
    <row r="72" spans="1:18">
      <c r="B72" s="66"/>
      <c r="C72" s="62"/>
      <c r="N72" s="62"/>
      <c r="O72" s="62"/>
      <c r="P72" s="62"/>
    </row>
    <row r="73" spans="1:18">
      <c r="A73" s="62" t="s">
        <v>5597</v>
      </c>
      <c r="B73" s="66" t="s">
        <v>5599</v>
      </c>
      <c r="C73" s="64" t="s">
        <v>494</v>
      </c>
      <c r="E73" t="s">
        <v>476</v>
      </c>
      <c r="F73">
        <v>21</v>
      </c>
      <c r="G73">
        <v>2145</v>
      </c>
      <c r="H73" t="s">
        <v>5612</v>
      </c>
      <c r="J73">
        <v>2104</v>
      </c>
      <c r="K73" s="55">
        <v>1</v>
      </c>
      <c r="L73">
        <v>52</v>
      </c>
      <c r="N73" s="62">
        <v>2144</v>
      </c>
      <c r="O73" s="62" t="s">
        <v>3213</v>
      </c>
      <c r="P73" s="62"/>
    </row>
    <row r="74" spans="1:18">
      <c r="B74" s="66" t="s">
        <v>5600</v>
      </c>
      <c r="C74" s="64" t="s">
        <v>494</v>
      </c>
      <c r="E74" t="s">
        <v>476</v>
      </c>
      <c r="K74" s="55">
        <v>2</v>
      </c>
      <c r="L74">
        <v>6</v>
      </c>
      <c r="N74" s="62"/>
      <c r="O74" s="62"/>
      <c r="P74" s="62"/>
    </row>
    <row r="75" spans="1:18">
      <c r="B75" s="66" t="s">
        <v>5598</v>
      </c>
      <c r="C75" s="64" t="s">
        <v>494</v>
      </c>
      <c r="K75" s="55">
        <v>3</v>
      </c>
      <c r="L75">
        <v>6</v>
      </c>
      <c r="N75" s="62"/>
      <c r="O75" s="62"/>
      <c r="P75" s="62"/>
    </row>
    <row r="76" spans="1:18">
      <c r="B76" s="66" t="s">
        <v>5618</v>
      </c>
      <c r="C76" s="64" t="s">
        <v>494</v>
      </c>
      <c r="K76" s="55">
        <v>4</v>
      </c>
      <c r="L76">
        <v>3</v>
      </c>
      <c r="M76">
        <v>2</v>
      </c>
      <c r="N76" t="s">
        <v>5567</v>
      </c>
      <c r="O76" s="66" t="s">
        <v>5569</v>
      </c>
      <c r="P76" s="66" t="s">
        <v>5571</v>
      </c>
      <c r="Q76">
        <v>2141</v>
      </c>
    </row>
    <row r="77" spans="1:18">
      <c r="B77" s="66" t="s">
        <v>5601</v>
      </c>
      <c r="C77" s="64" t="s">
        <v>494</v>
      </c>
      <c r="K77" s="55">
        <v>5</v>
      </c>
      <c r="L77">
        <v>7</v>
      </c>
      <c r="M77">
        <v>1</v>
      </c>
      <c r="N77" s="62"/>
      <c r="O77" s="62"/>
      <c r="P77" s="62"/>
    </row>
    <row r="78" spans="1:18">
      <c r="B78" s="66" t="s">
        <v>5602</v>
      </c>
      <c r="C78" s="64" t="s">
        <v>494</v>
      </c>
      <c r="K78" s="55">
        <v>6</v>
      </c>
      <c r="L78">
        <v>8</v>
      </c>
      <c r="M78">
        <v>1</v>
      </c>
      <c r="N78" s="62"/>
      <c r="O78" s="62"/>
      <c r="P78" s="62"/>
    </row>
    <row r="79" spans="1:18">
      <c r="B79" s="66" t="s">
        <v>5603</v>
      </c>
      <c r="C79" s="64" t="s">
        <v>494</v>
      </c>
      <c r="K79" s="55">
        <v>7</v>
      </c>
      <c r="L79">
        <v>7</v>
      </c>
      <c r="M79">
        <v>2</v>
      </c>
      <c r="N79" s="62"/>
      <c r="O79" s="62"/>
      <c r="P79" s="62"/>
    </row>
    <row r="80" spans="1:18">
      <c r="B80" s="66" t="s">
        <v>5604</v>
      </c>
      <c r="C80" s="64" t="s">
        <v>494</v>
      </c>
      <c r="K80" s="55">
        <v>8</v>
      </c>
      <c r="L80">
        <v>7</v>
      </c>
      <c r="M80">
        <v>2</v>
      </c>
      <c r="N80" s="62"/>
      <c r="O80" s="62"/>
      <c r="P80" s="62"/>
    </row>
    <row r="81" spans="1:16">
      <c r="B81" s="66" t="s">
        <v>5956</v>
      </c>
      <c r="C81" s="64" t="s">
        <v>494</v>
      </c>
      <c r="K81" s="55">
        <v>9</v>
      </c>
      <c r="L81">
        <v>3</v>
      </c>
      <c r="N81" s="64" t="s">
        <v>506</v>
      </c>
      <c r="O81" s="64" t="s">
        <v>514</v>
      </c>
      <c r="P81" s="62" t="s">
        <v>515</v>
      </c>
    </row>
    <row r="82" spans="1:16">
      <c r="B82" s="66" t="s">
        <v>5957</v>
      </c>
      <c r="C82" s="64" t="s">
        <v>494</v>
      </c>
      <c r="K82" s="55">
        <v>10</v>
      </c>
      <c r="L82">
        <v>3</v>
      </c>
      <c r="N82" s="62" t="s">
        <v>1038</v>
      </c>
      <c r="O82" s="23" t="s">
        <v>1040</v>
      </c>
      <c r="P82" s="23" t="s">
        <v>1041</v>
      </c>
    </row>
    <row r="83" spans="1:16">
      <c r="B83" s="66" t="s">
        <v>5606</v>
      </c>
      <c r="C83" s="64" t="s">
        <v>494</v>
      </c>
      <c r="K83" s="55">
        <v>11</v>
      </c>
      <c r="L83">
        <v>8</v>
      </c>
      <c r="N83" s="62"/>
      <c r="O83" s="62"/>
      <c r="P83" s="62"/>
    </row>
    <row r="84" spans="1:16">
      <c r="B84" s="66" t="s">
        <v>5607</v>
      </c>
      <c r="C84" s="64" t="s">
        <v>494</v>
      </c>
      <c r="K84" s="55">
        <v>12</v>
      </c>
      <c r="L84">
        <v>8</v>
      </c>
      <c r="N84" s="62"/>
      <c r="O84" s="62"/>
      <c r="P84" s="62"/>
    </row>
    <row r="85" spans="1:16">
      <c r="B85" s="66" t="s">
        <v>5608</v>
      </c>
      <c r="C85" s="64" t="s">
        <v>494</v>
      </c>
      <c r="K85" s="55">
        <v>13</v>
      </c>
      <c r="L85">
        <v>3</v>
      </c>
      <c r="N85" s="62"/>
      <c r="O85" s="62"/>
      <c r="P85" s="62"/>
    </row>
    <row r="86" spans="1:16">
      <c r="B86" s="66" t="s">
        <v>5605</v>
      </c>
      <c r="C86" s="62" t="s">
        <v>702</v>
      </c>
      <c r="K86" s="55">
        <v>14</v>
      </c>
      <c r="M86">
        <v>1</v>
      </c>
      <c r="N86" s="62"/>
      <c r="O86" s="62"/>
      <c r="P86" s="62"/>
    </row>
    <row r="87" spans="1:16">
      <c r="B87" s="66" t="s">
        <v>5609</v>
      </c>
      <c r="C87" s="64" t="s">
        <v>494</v>
      </c>
      <c r="K87" s="55">
        <v>15</v>
      </c>
      <c r="M87">
        <v>1</v>
      </c>
      <c r="N87" s="62"/>
      <c r="O87" s="62"/>
      <c r="P87" s="62"/>
    </row>
    <row r="88" spans="1:16">
      <c r="B88" s="66" t="s">
        <v>5610</v>
      </c>
      <c r="C88" s="64" t="s">
        <v>494</v>
      </c>
      <c r="K88" s="55">
        <v>16</v>
      </c>
      <c r="L88">
        <v>8</v>
      </c>
      <c r="M88">
        <v>1</v>
      </c>
      <c r="N88" s="62"/>
      <c r="O88" s="62"/>
      <c r="P88" s="62"/>
    </row>
    <row r="89" spans="1:16">
      <c r="B89" s="66" t="s">
        <v>5611</v>
      </c>
      <c r="C89" s="62" t="s">
        <v>493</v>
      </c>
      <c r="D89">
        <v>1</v>
      </c>
      <c r="K89" s="55">
        <v>17</v>
      </c>
      <c r="L89">
        <v>3</v>
      </c>
      <c r="M89">
        <v>1</v>
      </c>
      <c r="N89" s="62"/>
      <c r="O89" s="62"/>
      <c r="P89" s="62"/>
    </row>
    <row r="90" spans="1:16">
      <c r="B90" s="66" t="s">
        <v>5615</v>
      </c>
      <c r="C90" s="62" t="s">
        <v>494</v>
      </c>
      <c r="K90" s="55">
        <v>18</v>
      </c>
      <c r="M90">
        <v>2</v>
      </c>
      <c r="N90" s="62"/>
      <c r="O90" s="62"/>
      <c r="P90" s="62"/>
    </row>
    <row r="91" spans="1:16">
      <c r="B91" s="66" t="s">
        <v>5616</v>
      </c>
      <c r="C91" s="62" t="s">
        <v>494</v>
      </c>
      <c r="K91" s="55">
        <v>19</v>
      </c>
      <c r="M91">
        <v>2</v>
      </c>
      <c r="N91" s="62"/>
      <c r="O91" s="62"/>
      <c r="P91" s="62"/>
    </row>
    <row r="92" spans="1:16">
      <c r="B92" s="66" t="s">
        <v>5617</v>
      </c>
      <c r="C92" s="62" t="s">
        <v>494</v>
      </c>
      <c r="K92" s="55">
        <v>20</v>
      </c>
      <c r="L92">
        <v>3</v>
      </c>
      <c r="M92">
        <v>1</v>
      </c>
      <c r="N92" s="62" t="s">
        <v>1906</v>
      </c>
      <c r="O92" s="62" t="s">
        <v>1908</v>
      </c>
      <c r="P92" s="62" t="s">
        <v>1909</v>
      </c>
    </row>
    <row r="93" spans="1:16">
      <c r="B93" s="66"/>
      <c r="C93" s="62"/>
      <c r="K93" s="55"/>
      <c r="N93" s="62"/>
      <c r="O93" s="62"/>
      <c r="P93" s="62"/>
    </row>
    <row r="94" spans="1:16">
      <c r="A94" s="62" t="s">
        <v>5619</v>
      </c>
      <c r="B94" s="66" t="s">
        <v>5620</v>
      </c>
      <c r="C94" s="62" t="s">
        <v>494</v>
      </c>
      <c r="E94" s="62" t="s">
        <v>476</v>
      </c>
      <c r="F94">
        <v>21</v>
      </c>
      <c r="G94">
        <v>2146</v>
      </c>
      <c r="H94" s="62" t="s">
        <v>3185</v>
      </c>
      <c r="J94">
        <v>2104</v>
      </c>
      <c r="K94" s="55">
        <v>1</v>
      </c>
      <c r="L94">
        <v>52</v>
      </c>
      <c r="N94" s="62">
        <v>2144</v>
      </c>
      <c r="O94" s="62" t="s">
        <v>3213</v>
      </c>
      <c r="P94" s="62"/>
    </row>
    <row r="95" spans="1:16">
      <c r="B95" s="66" t="s">
        <v>5613</v>
      </c>
      <c r="C95" s="62" t="s">
        <v>494</v>
      </c>
      <c r="E95" s="62" t="s">
        <v>476</v>
      </c>
      <c r="K95" s="55">
        <v>2</v>
      </c>
      <c r="L95">
        <v>6</v>
      </c>
      <c r="N95" s="62"/>
      <c r="O95" s="62"/>
      <c r="P95" s="62"/>
    </row>
    <row r="96" spans="1:16">
      <c r="B96" s="66" t="s">
        <v>5614</v>
      </c>
      <c r="C96" s="62" t="s">
        <v>494</v>
      </c>
      <c r="K96" s="55">
        <v>3</v>
      </c>
      <c r="L96">
        <v>6</v>
      </c>
      <c r="N96" s="62"/>
      <c r="O96" s="62"/>
      <c r="P96" s="62"/>
    </row>
    <row r="97" spans="1:18" ht="25.5">
      <c r="B97" s="66" t="s">
        <v>5854</v>
      </c>
      <c r="C97" s="62" t="s">
        <v>494</v>
      </c>
      <c r="K97" s="55">
        <v>4</v>
      </c>
      <c r="L97">
        <v>3</v>
      </c>
      <c r="M97">
        <v>1</v>
      </c>
      <c r="N97" s="62" t="s">
        <v>5577</v>
      </c>
      <c r="O97" s="66" t="s">
        <v>5580</v>
      </c>
      <c r="P97" s="66" t="s">
        <v>5581</v>
      </c>
    </row>
    <row r="98" spans="1:18" ht="25.5">
      <c r="B98" s="66" t="s">
        <v>5621</v>
      </c>
      <c r="C98" s="62" t="s">
        <v>494</v>
      </c>
      <c r="K98" s="55">
        <v>5</v>
      </c>
      <c r="L98">
        <v>3</v>
      </c>
      <c r="M98">
        <v>1</v>
      </c>
      <c r="N98" t="s">
        <v>5597</v>
      </c>
      <c r="O98" s="66" t="s">
        <v>5598</v>
      </c>
      <c r="P98" s="66" t="s">
        <v>5617</v>
      </c>
    </row>
    <row r="99" spans="1:18">
      <c r="B99" s="66" t="s">
        <v>5634</v>
      </c>
      <c r="C99" s="62" t="s">
        <v>494</v>
      </c>
      <c r="K99" s="55">
        <v>6</v>
      </c>
      <c r="M99">
        <v>1</v>
      </c>
      <c r="N99" s="62"/>
      <c r="O99" s="62"/>
      <c r="P99" s="62"/>
    </row>
    <row r="100" spans="1:18">
      <c r="B100" s="66" t="s">
        <v>5635</v>
      </c>
      <c r="C100" s="62" t="s">
        <v>494</v>
      </c>
      <c r="K100" s="55">
        <v>7</v>
      </c>
      <c r="L100">
        <v>91</v>
      </c>
      <c r="N100" s="62"/>
      <c r="O100" s="62"/>
      <c r="P100" s="62"/>
    </row>
    <row r="101" spans="1:18">
      <c r="B101" s="66" t="s">
        <v>5636</v>
      </c>
      <c r="C101" s="62" t="s">
        <v>494</v>
      </c>
      <c r="K101" s="55">
        <v>8</v>
      </c>
      <c r="L101">
        <v>92</v>
      </c>
      <c r="N101" s="62"/>
      <c r="O101" s="62"/>
      <c r="P101" s="62"/>
    </row>
    <row r="102" spans="1:18">
      <c r="B102" s="66" t="s">
        <v>5637</v>
      </c>
      <c r="C102" s="62" t="s">
        <v>494</v>
      </c>
      <c r="K102" s="55">
        <v>9</v>
      </c>
      <c r="L102">
        <v>7</v>
      </c>
      <c r="N102" s="62"/>
      <c r="O102" s="62"/>
      <c r="P102" s="62"/>
    </row>
    <row r="103" spans="1:18">
      <c r="B103" s="66" t="s">
        <v>5638</v>
      </c>
      <c r="C103" s="62" t="s">
        <v>494</v>
      </c>
      <c r="K103" s="55">
        <v>10</v>
      </c>
      <c r="L103">
        <v>7</v>
      </c>
      <c r="N103" s="62"/>
      <c r="O103" s="62"/>
      <c r="P103" s="62"/>
    </row>
    <row r="104" spans="1:18">
      <c r="B104" s="66" t="s">
        <v>5852</v>
      </c>
      <c r="C104" s="62" t="s">
        <v>494</v>
      </c>
      <c r="K104" s="55">
        <v>11</v>
      </c>
      <c r="L104">
        <v>8</v>
      </c>
      <c r="N104" s="62"/>
      <c r="O104" s="62"/>
      <c r="P104" s="62"/>
    </row>
    <row r="105" spans="1:18">
      <c r="B105" s="66" t="s">
        <v>5853</v>
      </c>
      <c r="C105" s="62" t="s">
        <v>494</v>
      </c>
      <c r="K105" s="55">
        <v>12</v>
      </c>
      <c r="L105">
        <v>7</v>
      </c>
      <c r="N105" s="62"/>
      <c r="O105" s="62"/>
      <c r="P105" s="62"/>
    </row>
    <row r="106" spans="1:18">
      <c r="B106" s="66"/>
      <c r="C106" s="62"/>
      <c r="N106" s="62"/>
      <c r="O106" s="62"/>
      <c r="P106" s="62"/>
    </row>
    <row r="107" spans="1:18" ht="12.75" customHeight="1">
      <c r="A107" s="70" t="s">
        <v>1906</v>
      </c>
      <c r="B107" s="70" t="s">
        <v>2882</v>
      </c>
      <c r="C107" s="70" t="s">
        <v>494</v>
      </c>
      <c r="D107" s="62"/>
      <c r="E107" s="62" t="s">
        <v>476</v>
      </c>
      <c r="F107" s="62">
        <v>21</v>
      </c>
      <c r="G107" s="62">
        <v>2147</v>
      </c>
      <c r="H107" s="62" t="s">
        <v>5640</v>
      </c>
      <c r="I107" s="62" t="s">
        <v>5641</v>
      </c>
      <c r="J107" s="62">
        <v>2104</v>
      </c>
      <c r="K107" s="76">
        <v>1</v>
      </c>
      <c r="L107" s="62"/>
      <c r="M107" s="62"/>
      <c r="N107" s="62"/>
      <c r="O107" s="62"/>
      <c r="P107" s="62"/>
    </row>
    <row r="108" spans="1:18" ht="12.75" customHeight="1">
      <c r="A108" s="70"/>
      <c r="B108" s="70" t="s">
        <v>1907</v>
      </c>
      <c r="C108" s="70" t="s">
        <v>494</v>
      </c>
      <c r="D108" s="62"/>
      <c r="E108" s="62" t="s">
        <v>476</v>
      </c>
      <c r="F108" s="62"/>
      <c r="G108" s="62"/>
      <c r="H108" s="62"/>
      <c r="I108" s="62"/>
      <c r="J108" s="62"/>
      <c r="K108" s="76">
        <v>2</v>
      </c>
      <c r="L108" s="62">
        <v>6</v>
      </c>
      <c r="M108" s="62"/>
      <c r="N108" s="62"/>
      <c r="O108" s="62"/>
      <c r="P108" s="62"/>
    </row>
    <row r="109" spans="1:18" s="3" customFormat="1">
      <c r="A109" s="70"/>
      <c r="B109" s="70" t="s">
        <v>1908</v>
      </c>
      <c r="C109" s="70" t="s">
        <v>494</v>
      </c>
      <c r="D109" s="62"/>
      <c r="E109" s="62"/>
      <c r="F109" s="62"/>
      <c r="G109" s="62"/>
      <c r="H109" s="62"/>
      <c r="I109" s="62"/>
      <c r="J109" s="62"/>
      <c r="K109" s="76">
        <v>3</v>
      </c>
      <c r="L109" s="62">
        <v>6</v>
      </c>
      <c r="M109" s="62"/>
      <c r="N109" s="62"/>
      <c r="O109" s="62"/>
      <c r="P109" s="62"/>
      <c r="Q109" s="12"/>
      <c r="R109" s="12"/>
    </row>
    <row r="110" spans="1:18" s="3" customFormat="1">
      <c r="A110" s="70"/>
      <c r="B110" s="70" t="s">
        <v>1914</v>
      </c>
      <c r="C110" s="70" t="s">
        <v>493</v>
      </c>
      <c r="D110" s="62">
        <v>1</v>
      </c>
      <c r="E110" s="62"/>
      <c r="F110" s="62"/>
      <c r="G110" s="62"/>
      <c r="H110" s="62"/>
      <c r="I110" s="62"/>
      <c r="J110" s="62"/>
      <c r="K110" s="76">
        <v>4</v>
      </c>
      <c r="L110" s="62">
        <v>3</v>
      </c>
      <c r="M110" s="62"/>
      <c r="N110" s="62"/>
      <c r="O110" s="62"/>
      <c r="P110" s="62"/>
      <c r="Q110" s="12"/>
      <c r="R110" s="12"/>
    </row>
    <row r="111" spans="1:18" s="3" customFormat="1">
      <c r="A111" s="70"/>
      <c r="B111" s="70" t="s">
        <v>1915</v>
      </c>
      <c r="C111" s="70" t="s">
        <v>493</v>
      </c>
      <c r="D111" s="62">
        <v>1</v>
      </c>
      <c r="E111" s="62"/>
      <c r="F111" s="62"/>
      <c r="G111" s="62"/>
      <c r="H111" s="62"/>
      <c r="I111" s="62"/>
      <c r="J111" s="62"/>
      <c r="K111" s="76">
        <v>5</v>
      </c>
      <c r="L111" s="75">
        <v>3</v>
      </c>
      <c r="M111" s="62"/>
      <c r="N111" s="62"/>
      <c r="O111" s="62"/>
      <c r="P111" s="62"/>
      <c r="Q111" s="12"/>
      <c r="R111" s="12"/>
    </row>
    <row r="112" spans="1:18" s="3" customFormat="1">
      <c r="A112" s="70"/>
      <c r="B112" s="70" t="s">
        <v>1909</v>
      </c>
      <c r="C112" s="70" t="s">
        <v>493</v>
      </c>
      <c r="D112" s="62">
        <v>100</v>
      </c>
      <c r="E112" s="62"/>
      <c r="F112" s="62"/>
      <c r="G112" s="62"/>
      <c r="H112" s="62"/>
      <c r="I112" s="62"/>
      <c r="J112" s="62"/>
      <c r="K112" s="76">
        <v>6</v>
      </c>
      <c r="L112" s="62"/>
      <c r="M112" s="62"/>
      <c r="N112" s="62"/>
      <c r="O112" s="62"/>
      <c r="P112" s="62"/>
      <c r="Q112" s="12"/>
      <c r="R112" s="12"/>
    </row>
    <row r="113" spans="1:18" s="3" customFormat="1">
      <c r="A113" s="70"/>
      <c r="B113" s="70" t="s">
        <v>1910</v>
      </c>
      <c r="C113" s="70" t="s">
        <v>494</v>
      </c>
      <c r="D113" s="62"/>
      <c r="E113" s="62"/>
      <c r="F113" s="62"/>
      <c r="G113" s="62"/>
      <c r="H113" s="62"/>
      <c r="I113" s="62"/>
      <c r="J113" s="62"/>
      <c r="K113" s="76">
        <v>7</v>
      </c>
      <c r="L113" s="15">
        <v>3</v>
      </c>
      <c r="M113" s="1"/>
      <c r="N113" s="1" t="s">
        <v>693</v>
      </c>
      <c r="O113" s="1" t="s">
        <v>695</v>
      </c>
      <c r="P113" s="1" t="s">
        <v>696</v>
      </c>
      <c r="Q113" s="14"/>
      <c r="R113" s="14"/>
    </row>
    <row r="114" spans="1:18" s="3" customFormat="1">
      <c r="A114" s="70"/>
      <c r="B114" s="70" t="s">
        <v>1911</v>
      </c>
      <c r="C114" s="70" t="s">
        <v>494</v>
      </c>
      <c r="D114" s="62"/>
      <c r="E114" s="62"/>
      <c r="F114" s="62"/>
      <c r="G114" s="62"/>
      <c r="H114" s="62"/>
      <c r="I114" s="62"/>
      <c r="J114" s="62"/>
      <c r="K114" s="76">
        <v>8</v>
      </c>
      <c r="L114" s="1">
        <v>3</v>
      </c>
      <c r="M114" s="1">
        <v>31</v>
      </c>
      <c r="N114" s="62" t="s">
        <v>379</v>
      </c>
      <c r="O114" s="62" t="s">
        <v>698</v>
      </c>
      <c r="P114" s="1" t="s">
        <v>699</v>
      </c>
      <c r="Q114" s="62" t="s">
        <v>383</v>
      </c>
      <c r="R114" s="14">
        <f>+K113</f>
        <v>7</v>
      </c>
    </row>
    <row r="115" spans="1:18" s="3" customFormat="1">
      <c r="A115" s="70"/>
      <c r="B115" s="70" t="s">
        <v>1916</v>
      </c>
      <c r="C115" s="70" t="s">
        <v>494</v>
      </c>
      <c r="D115" s="62"/>
      <c r="E115" s="62"/>
      <c r="F115" s="62"/>
      <c r="G115" s="62"/>
      <c r="H115" s="62"/>
      <c r="I115" s="62"/>
      <c r="J115" s="62"/>
      <c r="K115" s="76">
        <v>9</v>
      </c>
      <c r="L115" s="62">
        <v>3</v>
      </c>
      <c r="M115" s="62"/>
      <c r="N115" s="62" t="s">
        <v>1917</v>
      </c>
      <c r="O115" s="62" t="s">
        <v>1919</v>
      </c>
      <c r="P115" s="62" t="s">
        <v>1921</v>
      </c>
      <c r="Q115" s="12"/>
      <c r="R115" s="12"/>
    </row>
    <row r="116" spans="1:18" s="3" customFormat="1">
      <c r="A116" s="70"/>
      <c r="B116" s="70" t="s">
        <v>1931</v>
      </c>
      <c r="C116" s="70" t="s">
        <v>520</v>
      </c>
      <c r="D116" s="62"/>
      <c r="E116" s="62"/>
      <c r="F116" s="62"/>
      <c r="G116" s="62"/>
      <c r="H116" s="62"/>
      <c r="I116" s="62"/>
      <c r="J116" s="62"/>
      <c r="K116" s="76">
        <v>10</v>
      </c>
      <c r="L116" s="62"/>
      <c r="M116" s="62"/>
      <c r="N116" s="62"/>
      <c r="O116" s="62"/>
      <c r="P116" s="62"/>
      <c r="Q116" s="12"/>
      <c r="R116" s="12"/>
    </row>
    <row r="117" spans="1:18" s="3" customFormat="1">
      <c r="A117" s="70"/>
      <c r="B117" s="70" t="s">
        <v>5639</v>
      </c>
      <c r="C117" s="70" t="s">
        <v>494</v>
      </c>
      <c r="D117" s="62"/>
      <c r="E117" s="62"/>
      <c r="F117" s="62"/>
      <c r="G117" s="62"/>
      <c r="H117" s="62"/>
      <c r="I117" s="62"/>
      <c r="J117" s="62"/>
      <c r="K117" s="76">
        <v>11</v>
      </c>
      <c r="L117">
        <v>3</v>
      </c>
      <c r="M117">
        <v>3</v>
      </c>
      <c r="N117" t="s">
        <v>5567</v>
      </c>
      <c r="O117" s="66" t="s">
        <v>5569</v>
      </c>
      <c r="P117" s="66" t="s">
        <v>5571</v>
      </c>
      <c r="Q117">
        <v>2141</v>
      </c>
      <c r="R117" s="12"/>
    </row>
    <row r="118" spans="1:18">
      <c r="B118" s="66"/>
      <c r="C118" s="62"/>
      <c r="N118" s="62"/>
      <c r="O118" s="62"/>
      <c r="P118" s="62"/>
    </row>
    <row r="119" spans="1:18" s="3" customFormat="1">
      <c r="A119" s="64" t="s">
        <v>5907</v>
      </c>
      <c r="B119" s="64" t="s">
        <v>5908</v>
      </c>
      <c r="C119" s="64" t="s">
        <v>494</v>
      </c>
      <c r="D119" s="62"/>
      <c r="E119" s="62" t="s">
        <v>476</v>
      </c>
      <c r="F119" s="62">
        <v>21</v>
      </c>
      <c r="G119" s="62">
        <v>2148</v>
      </c>
      <c r="H119" s="62" t="s">
        <v>6028</v>
      </c>
      <c r="I119" s="62" t="s">
        <v>5645</v>
      </c>
      <c r="J119" s="62">
        <v>2104</v>
      </c>
      <c r="K119" s="76">
        <v>1</v>
      </c>
      <c r="L119" s="62">
        <v>3</v>
      </c>
      <c r="M119" s="62"/>
      <c r="N119" t="s">
        <v>5567</v>
      </c>
      <c r="O119" s="64" t="s">
        <v>5569</v>
      </c>
      <c r="P119" s="62" t="s">
        <v>5571</v>
      </c>
      <c r="Q119" s="12"/>
      <c r="R119" s="12"/>
    </row>
    <row r="120" spans="1:18" s="3" customFormat="1">
      <c r="A120" s="64"/>
      <c r="B120" s="64" t="s">
        <v>5910</v>
      </c>
      <c r="C120" s="64" t="s">
        <v>494</v>
      </c>
      <c r="D120" s="62"/>
      <c r="E120" s="62" t="s">
        <v>476</v>
      </c>
      <c r="F120" s="62"/>
      <c r="G120" s="62"/>
      <c r="H120" s="62"/>
      <c r="I120" s="62"/>
      <c r="J120" s="62"/>
      <c r="K120" s="76">
        <v>2</v>
      </c>
      <c r="L120" s="62">
        <v>3</v>
      </c>
      <c r="M120" s="62"/>
      <c r="N120" s="62" t="s">
        <v>693</v>
      </c>
      <c r="O120" s="1" t="s">
        <v>695</v>
      </c>
      <c r="P120" s="1" t="s">
        <v>696</v>
      </c>
      <c r="Q120" s="12"/>
      <c r="R120" s="12"/>
    </row>
    <row r="121" spans="1:18" s="3" customFormat="1">
      <c r="A121" s="64"/>
      <c r="B121" s="64" t="s">
        <v>5911</v>
      </c>
      <c r="C121" s="64" t="s">
        <v>494</v>
      </c>
      <c r="D121" s="62"/>
      <c r="E121" s="62" t="s">
        <v>476</v>
      </c>
      <c r="F121" s="62"/>
      <c r="G121" s="62"/>
      <c r="H121" s="62"/>
      <c r="I121" s="62"/>
      <c r="J121" s="62"/>
      <c r="K121" s="76">
        <v>3</v>
      </c>
      <c r="L121" s="62">
        <v>3</v>
      </c>
      <c r="M121" s="62">
        <v>31</v>
      </c>
      <c r="N121" s="62" t="s">
        <v>379</v>
      </c>
      <c r="O121" s="62" t="s">
        <v>698</v>
      </c>
      <c r="P121" s="1" t="s">
        <v>699</v>
      </c>
      <c r="Q121" s="62" t="s">
        <v>383</v>
      </c>
      <c r="R121" s="14">
        <v>2</v>
      </c>
    </row>
    <row r="122" spans="1:18" s="3" customFormat="1">
      <c r="A122" s="64"/>
      <c r="B122" s="64" t="s">
        <v>5912</v>
      </c>
      <c r="C122" s="64" t="s">
        <v>494</v>
      </c>
      <c r="D122" s="62"/>
      <c r="E122" s="62" t="s">
        <v>476</v>
      </c>
      <c r="F122" s="62"/>
      <c r="G122" s="62"/>
      <c r="H122" s="62"/>
      <c r="I122" s="62"/>
      <c r="J122" s="62"/>
      <c r="K122" s="76">
        <v>4</v>
      </c>
      <c r="L122" s="62">
        <v>6</v>
      </c>
      <c r="M122" s="62"/>
      <c r="N122" s="62"/>
      <c r="O122" s="62"/>
      <c r="P122" s="62"/>
      <c r="Q122" s="12"/>
      <c r="R122" s="12"/>
    </row>
    <row r="123" spans="1:18" s="3" customFormat="1">
      <c r="A123" s="64"/>
      <c r="B123" s="64" t="s">
        <v>5913</v>
      </c>
      <c r="C123" s="64" t="s">
        <v>494</v>
      </c>
      <c r="D123" s="62"/>
      <c r="E123" s="62"/>
      <c r="F123" s="62"/>
      <c r="G123" s="62"/>
      <c r="H123" s="62"/>
      <c r="I123" s="62"/>
      <c r="J123" s="62"/>
      <c r="K123" s="76">
        <v>5</v>
      </c>
      <c r="L123" s="62">
        <v>6</v>
      </c>
      <c r="M123" s="62"/>
      <c r="N123" s="62"/>
      <c r="O123" s="62"/>
      <c r="P123" s="62"/>
      <c r="Q123" s="12"/>
      <c r="R123" s="12"/>
    </row>
    <row r="124" spans="1:18" s="3" customFormat="1">
      <c r="A124" s="64"/>
      <c r="B124" s="64" t="s">
        <v>5916</v>
      </c>
      <c r="C124" s="64" t="s">
        <v>493</v>
      </c>
      <c r="D124" s="62">
        <v>1</v>
      </c>
      <c r="E124" s="62"/>
      <c r="F124" s="62"/>
      <c r="G124" s="62"/>
      <c r="H124" s="62"/>
      <c r="I124" s="62"/>
      <c r="J124" s="62"/>
      <c r="K124" s="76">
        <v>6</v>
      </c>
      <c r="L124" s="62">
        <v>30</v>
      </c>
      <c r="M124" s="62"/>
      <c r="N124" s="62"/>
      <c r="O124" s="62"/>
      <c r="P124" s="62"/>
      <c r="Q124" s="12"/>
      <c r="R124" s="12"/>
    </row>
    <row r="125" spans="1:18" s="3" customFormat="1">
      <c r="A125" s="64"/>
      <c r="B125" s="64" t="s">
        <v>5919</v>
      </c>
      <c r="C125" s="64" t="s">
        <v>493</v>
      </c>
      <c r="D125" s="62">
        <v>1</v>
      </c>
      <c r="E125" s="62"/>
      <c r="F125" s="62"/>
      <c r="G125" s="62"/>
      <c r="H125" s="62"/>
      <c r="I125" s="62"/>
      <c r="J125" s="62"/>
      <c r="K125" s="76">
        <v>7</v>
      </c>
      <c r="L125" s="62">
        <v>3</v>
      </c>
      <c r="M125" s="62">
        <v>1</v>
      </c>
      <c r="N125" s="62"/>
      <c r="O125" s="62"/>
      <c r="P125" s="62"/>
      <c r="Q125" s="12"/>
      <c r="R125" s="12"/>
    </row>
    <row r="126" spans="1:18" s="3" customFormat="1">
      <c r="A126" s="64"/>
      <c r="B126" s="64" t="s">
        <v>5914</v>
      </c>
      <c r="C126" s="64" t="s">
        <v>494</v>
      </c>
      <c r="D126" s="62"/>
      <c r="E126" s="62"/>
      <c r="F126" s="62"/>
      <c r="G126" s="62"/>
      <c r="H126" s="62"/>
      <c r="I126" s="62"/>
      <c r="J126" s="62"/>
      <c r="K126" s="76">
        <v>8</v>
      </c>
      <c r="L126" s="62">
        <v>8</v>
      </c>
      <c r="M126" s="62"/>
      <c r="N126" s="62"/>
      <c r="O126" s="62"/>
      <c r="P126" s="62"/>
      <c r="Q126" s="12"/>
      <c r="R126" s="12"/>
    </row>
    <row r="127" spans="1:18" s="3" customFormat="1">
      <c r="A127" s="64"/>
      <c r="B127" s="64" t="s">
        <v>5922</v>
      </c>
      <c r="C127" s="64" t="s">
        <v>494</v>
      </c>
      <c r="D127" s="62"/>
      <c r="E127" s="62"/>
      <c r="F127" s="62"/>
      <c r="G127" s="62"/>
      <c r="H127" s="62"/>
      <c r="I127" s="62"/>
      <c r="J127" s="62"/>
      <c r="K127" s="76">
        <v>9</v>
      </c>
      <c r="L127" s="62">
        <v>3</v>
      </c>
      <c r="M127" s="62">
        <v>31</v>
      </c>
      <c r="N127" s="62" t="s">
        <v>1906</v>
      </c>
      <c r="O127" s="62" t="s">
        <v>1908</v>
      </c>
      <c r="P127" s="62" t="s">
        <v>1909</v>
      </c>
      <c r="Q127" s="62" t="s">
        <v>1911</v>
      </c>
      <c r="R127" s="14">
        <v>3</v>
      </c>
    </row>
    <row r="128" spans="1:18" s="3" customFormat="1">
      <c r="A128" s="64"/>
      <c r="B128" s="64" t="s">
        <v>5915</v>
      </c>
      <c r="C128" s="64" t="s">
        <v>494</v>
      </c>
      <c r="D128" s="62"/>
      <c r="E128" s="62"/>
      <c r="F128" s="62"/>
      <c r="G128" s="62"/>
      <c r="H128" s="62"/>
      <c r="I128" s="62"/>
      <c r="J128" s="62"/>
      <c r="K128" s="76">
        <v>10</v>
      </c>
      <c r="L128" s="62"/>
      <c r="M128" s="62"/>
      <c r="N128" s="62"/>
      <c r="O128" s="62"/>
      <c r="P128" s="62"/>
      <c r="Q128" s="12"/>
      <c r="R128" s="12"/>
    </row>
    <row r="129" spans="1:18" s="3" customFormat="1">
      <c r="A129" s="64"/>
      <c r="B129" s="64" t="s">
        <v>5918</v>
      </c>
      <c r="C129" s="64" t="s">
        <v>494</v>
      </c>
      <c r="D129" s="62"/>
      <c r="E129" s="62"/>
      <c r="F129" s="62"/>
      <c r="G129" s="62"/>
      <c r="H129" s="62"/>
      <c r="I129" s="62"/>
      <c r="J129" s="62"/>
      <c r="K129" s="76">
        <v>11</v>
      </c>
      <c r="L129" s="62"/>
      <c r="M129" s="62">
        <v>1</v>
      </c>
      <c r="N129" s="62"/>
      <c r="O129" s="62"/>
      <c r="P129" s="62"/>
      <c r="Q129" s="12"/>
      <c r="R129" s="12"/>
    </row>
    <row r="130" spans="1:18" s="3" customFormat="1">
      <c r="A130" s="64"/>
      <c r="B130" s="64" t="s">
        <v>5920</v>
      </c>
      <c r="C130" s="64" t="s">
        <v>494</v>
      </c>
      <c r="D130" s="62"/>
      <c r="E130" s="62"/>
      <c r="F130" s="62"/>
      <c r="G130" s="62"/>
      <c r="H130" s="62"/>
      <c r="I130" s="62"/>
      <c r="J130" s="62"/>
      <c r="K130" s="76">
        <v>12</v>
      </c>
      <c r="L130" s="62"/>
      <c r="M130" s="62">
        <v>1</v>
      </c>
      <c r="N130" s="62"/>
      <c r="O130" s="62"/>
      <c r="P130" s="62"/>
      <c r="Q130" s="12"/>
      <c r="R130" s="12"/>
    </row>
    <row r="131" spans="1:18" s="3" customFormat="1">
      <c r="A131" s="64"/>
      <c r="B131" s="64" t="s">
        <v>5921</v>
      </c>
      <c r="C131" s="64" t="s">
        <v>494</v>
      </c>
      <c r="D131" s="62"/>
      <c r="E131" s="62"/>
      <c r="F131" s="62"/>
      <c r="G131" s="62"/>
      <c r="H131" s="62"/>
      <c r="I131" s="62"/>
      <c r="J131" s="62"/>
      <c r="K131" s="76">
        <v>13</v>
      </c>
      <c r="L131" s="62"/>
      <c r="M131" s="62">
        <v>1</v>
      </c>
      <c r="N131" s="62"/>
      <c r="O131" s="62"/>
      <c r="P131" s="62"/>
      <c r="Q131" s="12"/>
      <c r="R131" s="12"/>
    </row>
    <row r="132" spans="1:18" s="3" customFormat="1">
      <c r="A132" s="64"/>
      <c r="B132" s="64" t="s">
        <v>5923</v>
      </c>
      <c r="C132" s="64" t="s">
        <v>494</v>
      </c>
      <c r="D132" s="62"/>
      <c r="E132" s="62"/>
      <c r="F132" s="62"/>
      <c r="G132" s="62"/>
      <c r="H132" s="62"/>
      <c r="I132" s="62"/>
      <c r="J132" s="62"/>
      <c r="K132" s="76">
        <v>14</v>
      </c>
      <c r="L132" s="62">
        <v>7</v>
      </c>
      <c r="M132" s="62"/>
      <c r="N132" s="62"/>
      <c r="O132" s="62"/>
      <c r="P132" s="62"/>
      <c r="Q132" s="12"/>
      <c r="R132" s="12"/>
    </row>
    <row r="133" spans="1:18" s="3" customFormat="1">
      <c r="A133" s="64"/>
      <c r="B133" s="64" t="s">
        <v>5924</v>
      </c>
      <c r="C133" s="64" t="s">
        <v>494</v>
      </c>
      <c r="D133" s="62"/>
      <c r="E133" s="62"/>
      <c r="F133" s="62"/>
      <c r="G133" s="62"/>
      <c r="H133" s="62"/>
      <c r="I133" s="62"/>
      <c r="J133" s="62"/>
      <c r="K133" s="76">
        <v>15</v>
      </c>
      <c r="L133" s="62">
        <v>7</v>
      </c>
      <c r="M133" s="62"/>
      <c r="N133" s="62"/>
      <c r="O133" s="62"/>
      <c r="P133" s="62"/>
      <c r="Q133" s="12"/>
      <c r="R133" s="12"/>
    </row>
    <row r="134" spans="1:18" s="3" customFormat="1">
      <c r="A134" s="64"/>
      <c r="B134" s="64" t="s">
        <v>5917</v>
      </c>
      <c r="C134" s="64" t="s">
        <v>494</v>
      </c>
      <c r="D134" s="62"/>
      <c r="E134" s="62"/>
      <c r="F134" s="62"/>
      <c r="G134" s="62"/>
      <c r="H134" s="62"/>
      <c r="I134" s="62"/>
      <c r="J134" s="62"/>
      <c r="K134" s="76">
        <v>16</v>
      </c>
      <c r="L134" s="62"/>
      <c r="M134" s="62">
        <v>1</v>
      </c>
      <c r="N134" s="62"/>
      <c r="O134" s="62"/>
      <c r="P134" s="62"/>
      <c r="Q134" s="12"/>
      <c r="R134" s="12"/>
    </row>
    <row r="135" spans="1:18" s="3" customFormat="1">
      <c r="A135" s="64"/>
      <c r="B135" s="64" t="s">
        <v>5909</v>
      </c>
      <c r="C135" s="64" t="s">
        <v>494</v>
      </c>
      <c r="D135" s="62"/>
      <c r="E135" s="62"/>
      <c r="F135" s="62"/>
      <c r="G135" s="62"/>
      <c r="H135" s="62"/>
      <c r="I135" s="62"/>
      <c r="J135" s="62"/>
      <c r="K135" s="76">
        <v>17</v>
      </c>
      <c r="L135" s="62">
        <v>3</v>
      </c>
      <c r="M135" s="62"/>
      <c r="N135" s="62" t="s">
        <v>1038</v>
      </c>
      <c r="O135" s="23" t="s">
        <v>1040</v>
      </c>
      <c r="P135" s="60" t="s">
        <v>1041</v>
      </c>
      <c r="Q135" s="23"/>
      <c r="R135" s="14">
        <v>140</v>
      </c>
    </row>
    <row r="136" spans="1:18" s="7" customFormat="1">
      <c r="A136" s="64"/>
      <c r="B136" s="64"/>
      <c r="C136" s="64"/>
      <c r="K136" s="113"/>
      <c r="O136" s="66"/>
      <c r="P136" s="66"/>
    </row>
    <row r="137" spans="1:18" s="7" customFormat="1">
      <c r="A137" s="64" t="s">
        <v>5947</v>
      </c>
      <c r="B137" s="64" t="s">
        <v>5948</v>
      </c>
      <c r="C137" s="64" t="s">
        <v>494</v>
      </c>
      <c r="E137" s="7" t="s">
        <v>476</v>
      </c>
      <c r="F137" s="7">
        <v>21</v>
      </c>
      <c r="G137" s="7">
        <v>2152</v>
      </c>
      <c r="H137" s="7" t="s">
        <v>5942</v>
      </c>
      <c r="J137" s="7">
        <v>2104</v>
      </c>
      <c r="K137" s="113">
        <v>1</v>
      </c>
      <c r="L137" s="7">
        <v>52</v>
      </c>
      <c r="N137" s="7">
        <v>2148</v>
      </c>
      <c r="O137" s="66" t="s">
        <v>5913</v>
      </c>
      <c r="P137" s="66"/>
    </row>
    <row r="138" spans="1:18" s="7" customFormat="1">
      <c r="A138" s="64"/>
      <c r="B138" s="64" t="s">
        <v>5949</v>
      </c>
      <c r="C138" s="64" t="s">
        <v>494</v>
      </c>
      <c r="E138" s="7" t="s">
        <v>476</v>
      </c>
      <c r="K138" s="113">
        <v>2</v>
      </c>
      <c r="L138" s="7">
        <v>6</v>
      </c>
      <c r="O138" s="66"/>
      <c r="P138" s="66"/>
    </row>
    <row r="139" spans="1:18" s="7" customFormat="1">
      <c r="A139" s="64"/>
      <c r="B139" s="64" t="s">
        <v>5950</v>
      </c>
      <c r="C139" s="64" t="s">
        <v>494</v>
      </c>
      <c r="K139" s="113">
        <v>3</v>
      </c>
      <c r="L139" s="7">
        <v>6</v>
      </c>
      <c r="O139" s="66"/>
      <c r="P139" s="66"/>
    </row>
    <row r="140" spans="1:18" s="7" customFormat="1">
      <c r="A140" s="64"/>
      <c r="B140" s="64" t="s">
        <v>5951</v>
      </c>
      <c r="C140" s="64" t="s">
        <v>494</v>
      </c>
      <c r="K140" s="113">
        <v>4</v>
      </c>
      <c r="L140" s="7">
        <v>3</v>
      </c>
      <c r="N140" s="62" t="s">
        <v>5943</v>
      </c>
      <c r="O140" s="60" t="s">
        <v>5944</v>
      </c>
      <c r="P140" s="60" t="s">
        <v>5945</v>
      </c>
    </row>
    <row r="141" spans="1:18" s="7" customFormat="1">
      <c r="A141" s="64"/>
      <c r="B141" s="64" t="s">
        <v>5952</v>
      </c>
      <c r="C141" s="64" t="s">
        <v>494</v>
      </c>
      <c r="K141" s="113">
        <v>5</v>
      </c>
      <c r="M141" s="7">
        <v>71</v>
      </c>
      <c r="O141" s="66"/>
      <c r="P141" s="66"/>
    </row>
    <row r="142" spans="1:18" s="7" customFormat="1">
      <c r="A142" s="64"/>
      <c r="B142" s="64" t="s">
        <v>5953</v>
      </c>
      <c r="C142" s="64" t="s">
        <v>494</v>
      </c>
      <c r="K142" s="113">
        <v>6</v>
      </c>
      <c r="M142" s="7">
        <v>72</v>
      </c>
      <c r="O142" s="66"/>
      <c r="P142" s="66"/>
    </row>
    <row r="143" spans="1:18" s="7" customFormat="1">
      <c r="A143" s="64"/>
      <c r="B143" s="64" t="s">
        <v>5954</v>
      </c>
      <c r="C143" s="64" t="s">
        <v>494</v>
      </c>
      <c r="K143" s="113">
        <v>7</v>
      </c>
      <c r="M143" s="7">
        <v>71</v>
      </c>
      <c r="O143" s="66"/>
      <c r="P143" s="66"/>
    </row>
    <row r="144" spans="1:18" s="7" customFormat="1">
      <c r="A144" s="64"/>
      <c r="B144" s="64" t="s">
        <v>5955</v>
      </c>
      <c r="C144" s="64" t="s">
        <v>494</v>
      </c>
      <c r="K144" s="113">
        <v>8</v>
      </c>
      <c r="M144" s="7">
        <v>72</v>
      </c>
      <c r="O144" s="66"/>
      <c r="P144" s="66"/>
    </row>
    <row r="145" spans="1:16" s="7" customFormat="1">
      <c r="A145" s="64"/>
      <c r="B145" s="64"/>
      <c r="C145" s="64"/>
      <c r="K145" s="113"/>
      <c r="O145" s="66"/>
      <c r="P145" s="66"/>
    </row>
    <row r="146" spans="1:16" s="7" customFormat="1">
      <c r="A146" s="64" t="s">
        <v>5702</v>
      </c>
      <c r="B146" s="64" t="s">
        <v>5703</v>
      </c>
      <c r="C146" s="64" t="s">
        <v>494</v>
      </c>
      <c r="E146" s="108" t="s">
        <v>476</v>
      </c>
      <c r="F146" s="7">
        <v>21</v>
      </c>
      <c r="G146" s="7">
        <v>2150</v>
      </c>
      <c r="H146" s="64" t="s">
        <v>5710</v>
      </c>
      <c r="J146" s="7">
        <v>2104</v>
      </c>
      <c r="K146" s="113">
        <v>1</v>
      </c>
      <c r="L146" s="7">
        <v>52</v>
      </c>
      <c r="N146" s="7">
        <v>2148</v>
      </c>
      <c r="O146" s="66" t="s">
        <v>5913</v>
      </c>
      <c r="P146" s="66"/>
    </row>
    <row r="147" spans="1:16" s="7" customFormat="1">
      <c r="A147" s="64"/>
      <c r="B147" s="64" t="s">
        <v>5704</v>
      </c>
      <c r="C147" s="64" t="s">
        <v>494</v>
      </c>
      <c r="E147" s="64" t="s">
        <v>476</v>
      </c>
      <c r="K147" s="113">
        <v>2</v>
      </c>
      <c r="L147" s="7">
        <v>6</v>
      </c>
      <c r="O147" s="66"/>
      <c r="P147" s="66"/>
    </row>
    <row r="148" spans="1:16" s="7" customFormat="1">
      <c r="A148" s="64"/>
      <c r="B148" s="64" t="s">
        <v>5705</v>
      </c>
      <c r="C148" s="64" t="s">
        <v>494</v>
      </c>
      <c r="K148" s="113">
        <v>3</v>
      </c>
      <c r="L148" s="7">
        <v>6</v>
      </c>
      <c r="O148" s="66"/>
      <c r="P148" s="66"/>
    </row>
    <row r="149" spans="1:16" s="7" customFormat="1">
      <c r="A149" s="64"/>
      <c r="B149" s="64" t="s">
        <v>5706</v>
      </c>
      <c r="C149" s="64" t="s">
        <v>494</v>
      </c>
      <c r="K149" s="113">
        <v>4</v>
      </c>
      <c r="L149" s="7">
        <v>3</v>
      </c>
      <c r="N149" s="62" t="s">
        <v>5943</v>
      </c>
      <c r="O149" s="60" t="s">
        <v>5944</v>
      </c>
      <c r="P149" s="60" t="s">
        <v>5945</v>
      </c>
    </row>
    <row r="150" spans="1:16" s="7" customFormat="1">
      <c r="A150" s="64"/>
      <c r="B150" s="64" t="s">
        <v>5707</v>
      </c>
      <c r="C150" s="64" t="s">
        <v>494</v>
      </c>
      <c r="K150" s="113">
        <v>5</v>
      </c>
      <c r="L150" s="7">
        <v>7</v>
      </c>
      <c r="N150" s="1"/>
      <c r="O150" s="60"/>
      <c r="P150" s="66"/>
    </row>
    <row r="151" spans="1:16" s="7" customFormat="1">
      <c r="A151" s="64"/>
      <c r="B151" s="64" t="s">
        <v>5938</v>
      </c>
      <c r="C151" s="64" t="s">
        <v>494</v>
      </c>
      <c r="K151" s="113">
        <v>6</v>
      </c>
      <c r="M151" s="7">
        <v>71</v>
      </c>
      <c r="O151" s="66"/>
      <c r="P151" s="66"/>
    </row>
    <row r="152" spans="1:16" s="7" customFormat="1">
      <c r="A152" s="64"/>
      <c r="B152" s="64" t="s">
        <v>5939</v>
      </c>
      <c r="C152" s="64" t="s">
        <v>494</v>
      </c>
      <c r="K152" s="113">
        <v>7</v>
      </c>
      <c r="M152" s="7">
        <v>72</v>
      </c>
      <c r="O152" s="66"/>
      <c r="P152" s="66"/>
    </row>
    <row r="153" spans="1:16" s="7" customFormat="1">
      <c r="A153" s="64"/>
      <c r="B153" s="64" t="s">
        <v>5940</v>
      </c>
      <c r="C153" s="64" t="s">
        <v>494</v>
      </c>
      <c r="K153" s="113">
        <v>8</v>
      </c>
      <c r="M153" s="7">
        <v>71</v>
      </c>
      <c r="O153" s="66"/>
      <c r="P153" s="66"/>
    </row>
    <row r="154" spans="1:16" s="7" customFormat="1">
      <c r="A154" s="64"/>
      <c r="B154" s="64" t="s">
        <v>5941</v>
      </c>
      <c r="C154" s="64" t="s">
        <v>494</v>
      </c>
      <c r="K154" s="113">
        <v>9</v>
      </c>
      <c r="M154" s="7">
        <v>72</v>
      </c>
      <c r="O154" s="66"/>
      <c r="P154" s="66"/>
    </row>
    <row r="155" spans="1:16" s="7" customFormat="1">
      <c r="A155" s="64"/>
      <c r="B155" s="64" t="s">
        <v>5708</v>
      </c>
      <c r="C155" s="64" t="s">
        <v>494</v>
      </c>
      <c r="H155" s="7" t="s">
        <v>5937</v>
      </c>
      <c r="K155" s="113">
        <v>10</v>
      </c>
      <c r="L155" s="7">
        <v>3</v>
      </c>
      <c r="O155" s="66"/>
      <c r="P155" s="66"/>
    </row>
    <row r="156" spans="1:16" s="7" customFormat="1">
      <c r="A156" s="64"/>
      <c r="B156" s="64" t="s">
        <v>5709</v>
      </c>
      <c r="C156" s="64" t="s">
        <v>520</v>
      </c>
      <c r="K156" s="113">
        <v>11</v>
      </c>
      <c r="O156" s="66"/>
      <c r="P156" s="66"/>
    </row>
    <row r="157" spans="1:16">
      <c r="B157" s="66"/>
      <c r="C157" s="62"/>
      <c r="N157" s="62"/>
      <c r="O157" s="62"/>
      <c r="P157" s="62"/>
    </row>
    <row r="158" spans="1:16">
      <c r="A158" s="62" t="s">
        <v>5646</v>
      </c>
      <c r="B158" s="66" t="s">
        <v>5647</v>
      </c>
      <c r="C158" s="62" t="s">
        <v>494</v>
      </c>
      <c r="E158" s="62" t="s">
        <v>476</v>
      </c>
      <c r="F158">
        <v>21</v>
      </c>
      <c r="G158">
        <v>2149</v>
      </c>
      <c r="H158" s="62" t="s">
        <v>5711</v>
      </c>
      <c r="J158">
        <v>2104</v>
      </c>
      <c r="K158" s="113">
        <v>1</v>
      </c>
      <c r="L158">
        <v>52</v>
      </c>
      <c r="N158" s="7">
        <v>2148</v>
      </c>
      <c r="O158" s="66" t="s">
        <v>5913</v>
      </c>
      <c r="P158" s="62"/>
    </row>
    <row r="159" spans="1:16">
      <c r="B159" s="66" t="s">
        <v>5648</v>
      </c>
      <c r="C159" s="62" t="s">
        <v>494</v>
      </c>
      <c r="K159" s="113">
        <v>2</v>
      </c>
      <c r="L159">
        <v>6</v>
      </c>
      <c r="N159" s="62"/>
      <c r="O159" s="62"/>
      <c r="P159" s="62"/>
    </row>
    <row r="160" spans="1:16">
      <c r="B160" s="66" t="s">
        <v>5653</v>
      </c>
      <c r="C160" s="62" t="s">
        <v>494</v>
      </c>
      <c r="K160" s="113">
        <v>3</v>
      </c>
      <c r="L160">
        <v>3</v>
      </c>
      <c r="N160" s="7">
        <v>2148</v>
      </c>
      <c r="O160" s="66" t="s">
        <v>5913</v>
      </c>
      <c r="P160" s="62"/>
    </row>
    <row r="161" spans="2:16">
      <c r="B161" s="66" t="s">
        <v>5649</v>
      </c>
      <c r="C161" s="62" t="s">
        <v>494</v>
      </c>
      <c r="K161" s="113">
        <v>4</v>
      </c>
      <c r="L161">
        <v>8</v>
      </c>
      <c r="N161" s="62"/>
      <c r="O161" s="62"/>
      <c r="P161" s="62"/>
    </row>
    <row r="162" spans="2:16">
      <c r="B162" s="66" t="s">
        <v>5652</v>
      </c>
      <c r="C162" s="62" t="s">
        <v>494</v>
      </c>
      <c r="K162" s="113">
        <v>5</v>
      </c>
      <c r="M162">
        <v>2</v>
      </c>
      <c r="N162" s="62"/>
      <c r="O162" s="62"/>
      <c r="P162" s="62"/>
    </row>
    <row r="163" spans="2:16">
      <c r="B163" s="66" t="s">
        <v>5932</v>
      </c>
      <c r="C163" s="62" t="s">
        <v>494</v>
      </c>
      <c r="H163" t="s">
        <v>5933</v>
      </c>
      <c r="K163" s="113">
        <v>6</v>
      </c>
      <c r="N163" s="62"/>
      <c r="O163" s="62"/>
      <c r="P163" s="62"/>
    </row>
    <row r="164" spans="2:16">
      <c r="B164" s="66" t="s">
        <v>5925</v>
      </c>
      <c r="C164" s="62" t="s">
        <v>494</v>
      </c>
      <c r="K164" s="113">
        <v>7</v>
      </c>
      <c r="N164" s="62"/>
      <c r="O164" s="62"/>
      <c r="P164" s="62"/>
    </row>
    <row r="165" spans="2:16">
      <c r="B165" s="66" t="s">
        <v>5926</v>
      </c>
      <c r="C165" s="62" t="s">
        <v>494</v>
      </c>
      <c r="K165" s="113">
        <v>8</v>
      </c>
      <c r="N165" s="62"/>
      <c r="O165" s="62"/>
      <c r="P165" s="62"/>
    </row>
    <row r="166" spans="2:16">
      <c r="B166" s="66" t="s">
        <v>5927</v>
      </c>
      <c r="C166" s="62" t="s">
        <v>494</v>
      </c>
      <c r="K166" s="113">
        <v>9</v>
      </c>
      <c r="N166" s="62"/>
      <c r="O166" s="62"/>
      <c r="P166" s="62"/>
    </row>
    <row r="167" spans="2:16">
      <c r="B167" s="66" t="s">
        <v>5928</v>
      </c>
      <c r="C167" s="62" t="s">
        <v>494</v>
      </c>
      <c r="K167" s="113">
        <v>10</v>
      </c>
      <c r="N167" s="62"/>
      <c r="O167" s="62"/>
      <c r="P167" s="62"/>
    </row>
    <row r="168" spans="2:16">
      <c r="B168" s="66" t="s">
        <v>5929</v>
      </c>
      <c r="C168" s="62" t="s">
        <v>520</v>
      </c>
      <c r="K168" s="113">
        <v>11</v>
      </c>
      <c r="N168" s="62"/>
      <c r="O168" s="62"/>
      <c r="P168" s="62"/>
    </row>
    <row r="169" spans="2:16">
      <c r="B169" s="66" t="s">
        <v>5930</v>
      </c>
      <c r="C169" s="62" t="s">
        <v>494</v>
      </c>
      <c r="K169" s="113">
        <v>12</v>
      </c>
      <c r="N169" s="62"/>
      <c r="O169" s="62"/>
      <c r="P169" s="62"/>
    </row>
    <row r="170" spans="2:16">
      <c r="B170" s="66" t="s">
        <v>5931</v>
      </c>
      <c r="C170" s="62" t="s">
        <v>494</v>
      </c>
      <c r="K170" s="113">
        <v>13</v>
      </c>
      <c r="N170" s="62"/>
      <c r="O170" s="62"/>
      <c r="P170" s="62"/>
    </row>
    <row r="171" spans="2:16">
      <c r="B171" s="66" t="s">
        <v>5650</v>
      </c>
      <c r="C171" s="62" t="s">
        <v>494</v>
      </c>
      <c r="H171" t="s">
        <v>5906</v>
      </c>
      <c r="K171" s="113">
        <v>14</v>
      </c>
      <c r="M171">
        <v>2</v>
      </c>
      <c r="N171" s="62"/>
      <c r="O171" s="62"/>
      <c r="P171" s="62"/>
    </row>
    <row r="172" spans="2:16">
      <c r="B172" s="66" t="s">
        <v>5651</v>
      </c>
      <c r="C172" s="62" t="s">
        <v>494</v>
      </c>
      <c r="K172" s="113">
        <v>15</v>
      </c>
      <c r="M172">
        <v>2</v>
      </c>
      <c r="N172" s="62"/>
      <c r="O172" s="62"/>
      <c r="P172" s="62"/>
    </row>
    <row r="173" spans="2:16">
      <c r="B173" s="66" t="s">
        <v>5654</v>
      </c>
      <c r="C173" s="62" t="s">
        <v>494</v>
      </c>
      <c r="K173" s="113">
        <v>16</v>
      </c>
      <c r="M173">
        <v>2</v>
      </c>
      <c r="N173" s="62"/>
      <c r="O173" s="62"/>
      <c r="P173" s="62"/>
    </row>
    <row r="174" spans="2:16">
      <c r="B174" s="66" t="s">
        <v>5655</v>
      </c>
      <c r="C174" s="62" t="s">
        <v>494</v>
      </c>
      <c r="K174" s="113">
        <v>17</v>
      </c>
      <c r="M174">
        <v>2</v>
      </c>
      <c r="N174" s="62"/>
      <c r="O174" s="62"/>
      <c r="P174" s="62"/>
    </row>
    <row r="175" spans="2:16">
      <c r="B175" s="66" t="s">
        <v>5656</v>
      </c>
      <c r="C175" s="62" t="s">
        <v>494</v>
      </c>
      <c r="K175" s="113">
        <v>18</v>
      </c>
      <c r="M175">
        <v>2</v>
      </c>
      <c r="N175" s="62"/>
      <c r="O175" s="62"/>
      <c r="P175" s="62"/>
    </row>
    <row r="176" spans="2:16">
      <c r="B176" s="66" t="s">
        <v>5657</v>
      </c>
      <c r="C176" s="62" t="s">
        <v>494</v>
      </c>
      <c r="K176" s="113">
        <v>19</v>
      </c>
      <c r="M176">
        <v>2</v>
      </c>
      <c r="N176" s="62"/>
      <c r="O176" s="62"/>
      <c r="P176" s="62"/>
    </row>
    <row r="177" spans="2:16">
      <c r="B177" s="66" t="s">
        <v>5658</v>
      </c>
      <c r="C177" s="62" t="s">
        <v>494</v>
      </c>
      <c r="K177" s="113">
        <v>20</v>
      </c>
      <c r="M177">
        <v>2</v>
      </c>
      <c r="N177" s="62"/>
      <c r="O177" s="62"/>
      <c r="P177" s="62"/>
    </row>
    <row r="178" spans="2:16">
      <c r="B178" s="66" t="s">
        <v>5659</v>
      </c>
      <c r="C178" s="62" t="s">
        <v>494</v>
      </c>
      <c r="K178" s="113">
        <v>21</v>
      </c>
      <c r="M178">
        <v>2</v>
      </c>
      <c r="N178" s="62"/>
      <c r="O178" s="62"/>
      <c r="P178" s="62"/>
    </row>
    <row r="179" spans="2:16">
      <c r="B179" s="66" t="s">
        <v>5660</v>
      </c>
      <c r="C179" s="62" t="s">
        <v>494</v>
      </c>
      <c r="K179" s="113">
        <v>22</v>
      </c>
      <c r="M179">
        <v>2</v>
      </c>
      <c r="N179" s="62"/>
      <c r="O179" s="62"/>
      <c r="P179" s="62"/>
    </row>
    <row r="180" spans="2:16">
      <c r="B180" s="66" t="s">
        <v>5661</v>
      </c>
      <c r="C180" s="62" t="s">
        <v>494</v>
      </c>
      <c r="K180" s="113">
        <v>23</v>
      </c>
      <c r="M180">
        <v>2</v>
      </c>
      <c r="N180" s="62"/>
      <c r="O180" s="62"/>
      <c r="P180" s="62"/>
    </row>
    <row r="181" spans="2:16">
      <c r="B181" s="66" t="s">
        <v>5662</v>
      </c>
      <c r="C181" s="62" t="s">
        <v>494</v>
      </c>
      <c r="K181" s="113">
        <v>24</v>
      </c>
      <c r="M181">
        <v>2</v>
      </c>
      <c r="N181" s="62"/>
      <c r="O181" s="62"/>
      <c r="P181" s="62"/>
    </row>
    <row r="182" spans="2:16">
      <c r="B182" s="66" t="s">
        <v>5663</v>
      </c>
      <c r="C182" s="62" t="s">
        <v>494</v>
      </c>
      <c r="K182" s="113">
        <v>25</v>
      </c>
      <c r="M182">
        <v>2</v>
      </c>
      <c r="N182" s="62"/>
      <c r="O182" s="62"/>
      <c r="P182" s="62"/>
    </row>
    <row r="183" spans="2:16">
      <c r="B183" s="66" t="s">
        <v>5664</v>
      </c>
      <c r="C183" s="62" t="s">
        <v>494</v>
      </c>
      <c r="K183" s="113">
        <v>26</v>
      </c>
      <c r="M183">
        <v>2</v>
      </c>
      <c r="N183" s="62"/>
      <c r="O183" s="62"/>
      <c r="P183" s="62"/>
    </row>
    <row r="184" spans="2:16">
      <c r="B184" s="66" t="s">
        <v>5665</v>
      </c>
      <c r="C184" s="62" t="s">
        <v>494</v>
      </c>
      <c r="K184" s="113">
        <v>27</v>
      </c>
      <c r="M184">
        <v>2</v>
      </c>
      <c r="N184" s="62"/>
      <c r="O184" s="62"/>
      <c r="P184" s="62"/>
    </row>
    <row r="185" spans="2:16">
      <c r="B185" s="66" t="s">
        <v>5666</v>
      </c>
      <c r="C185" s="62" t="s">
        <v>494</v>
      </c>
      <c r="K185" s="113">
        <v>28</v>
      </c>
      <c r="M185">
        <v>2</v>
      </c>
      <c r="N185" s="62"/>
      <c r="O185" s="62"/>
      <c r="P185" s="62"/>
    </row>
    <row r="186" spans="2:16">
      <c r="B186" s="66" t="s">
        <v>5667</v>
      </c>
      <c r="C186" s="62" t="s">
        <v>494</v>
      </c>
      <c r="K186" s="113">
        <v>29</v>
      </c>
      <c r="M186">
        <v>2</v>
      </c>
      <c r="N186" s="62"/>
      <c r="O186" s="62"/>
      <c r="P186" s="62"/>
    </row>
    <row r="187" spans="2:16">
      <c r="B187" s="66" t="s">
        <v>5668</v>
      </c>
      <c r="C187" s="62" t="s">
        <v>494</v>
      </c>
      <c r="K187" s="113">
        <v>30</v>
      </c>
      <c r="M187">
        <v>2</v>
      </c>
      <c r="N187" s="62"/>
      <c r="O187" s="62"/>
      <c r="P187" s="62"/>
    </row>
    <row r="188" spans="2:16">
      <c r="B188" s="66" t="s">
        <v>5669</v>
      </c>
      <c r="C188" s="62" t="s">
        <v>494</v>
      </c>
      <c r="K188" s="113">
        <v>31</v>
      </c>
      <c r="M188">
        <v>2</v>
      </c>
      <c r="N188" s="62"/>
      <c r="O188" s="62"/>
      <c r="P188" s="62"/>
    </row>
    <row r="189" spans="2:16">
      <c r="B189" s="66" t="s">
        <v>5670</v>
      </c>
      <c r="C189" s="62" t="s">
        <v>494</v>
      </c>
      <c r="K189" s="113">
        <v>32</v>
      </c>
      <c r="M189">
        <v>2</v>
      </c>
      <c r="N189" s="62"/>
      <c r="O189" s="62"/>
      <c r="P189" s="62"/>
    </row>
    <row r="190" spans="2:16">
      <c r="B190" s="66" t="s">
        <v>5671</v>
      </c>
      <c r="C190" s="62" t="s">
        <v>494</v>
      </c>
      <c r="K190" s="113">
        <v>33</v>
      </c>
      <c r="M190">
        <v>2</v>
      </c>
      <c r="N190" s="62"/>
      <c r="O190" s="62"/>
      <c r="P190" s="62"/>
    </row>
    <row r="191" spans="2:16">
      <c r="B191" s="66" t="s">
        <v>5672</v>
      </c>
      <c r="C191" s="62" t="s">
        <v>494</v>
      </c>
      <c r="K191" s="113">
        <v>34</v>
      </c>
      <c r="M191">
        <v>2</v>
      </c>
      <c r="N191" s="62"/>
      <c r="O191" s="62"/>
      <c r="P191" s="62"/>
    </row>
    <row r="192" spans="2:16">
      <c r="B192" s="66" t="s">
        <v>5673</v>
      </c>
      <c r="C192" s="62" t="s">
        <v>494</v>
      </c>
      <c r="K192" s="113">
        <v>35</v>
      </c>
      <c r="M192">
        <v>2</v>
      </c>
      <c r="N192" s="62"/>
      <c r="O192" s="62"/>
      <c r="P192" s="62"/>
    </row>
    <row r="193" spans="2:16">
      <c r="B193" s="66" t="s">
        <v>5674</v>
      </c>
      <c r="C193" s="62" t="s">
        <v>494</v>
      </c>
      <c r="K193" s="113">
        <v>36</v>
      </c>
      <c r="M193">
        <v>2</v>
      </c>
      <c r="N193" s="62"/>
      <c r="O193" s="62"/>
      <c r="P193" s="62"/>
    </row>
    <row r="194" spans="2:16">
      <c r="B194" s="66" t="s">
        <v>5675</v>
      </c>
      <c r="C194" s="62" t="s">
        <v>494</v>
      </c>
      <c r="K194" s="113">
        <v>37</v>
      </c>
      <c r="M194">
        <v>2</v>
      </c>
      <c r="N194" s="62"/>
      <c r="O194" s="62"/>
      <c r="P194" s="62"/>
    </row>
    <row r="195" spans="2:16">
      <c r="B195" s="66" t="s">
        <v>5676</v>
      </c>
      <c r="C195" s="62" t="s">
        <v>494</v>
      </c>
      <c r="K195" s="113">
        <v>38</v>
      </c>
      <c r="M195">
        <v>2</v>
      </c>
      <c r="N195" s="62"/>
      <c r="O195" s="62"/>
      <c r="P195" s="62"/>
    </row>
    <row r="196" spans="2:16">
      <c r="B196" s="66" t="s">
        <v>5677</v>
      </c>
      <c r="C196" s="62" t="s">
        <v>494</v>
      </c>
      <c r="K196" s="113">
        <v>39</v>
      </c>
      <c r="M196">
        <v>2</v>
      </c>
      <c r="N196" s="62"/>
      <c r="O196" s="62"/>
      <c r="P196" s="62"/>
    </row>
    <row r="197" spans="2:16">
      <c r="B197" s="66" t="s">
        <v>5678</v>
      </c>
      <c r="C197" s="62" t="s">
        <v>494</v>
      </c>
      <c r="K197" s="113">
        <v>40</v>
      </c>
      <c r="M197">
        <v>2</v>
      </c>
      <c r="N197" s="62"/>
      <c r="O197" s="62"/>
      <c r="P197" s="62"/>
    </row>
    <row r="198" spans="2:16">
      <c r="B198" s="66" t="s">
        <v>5679</v>
      </c>
      <c r="C198" s="62" t="s">
        <v>494</v>
      </c>
      <c r="K198" s="113">
        <v>41</v>
      </c>
      <c r="M198">
        <v>2</v>
      </c>
      <c r="N198" s="62"/>
      <c r="O198" s="62"/>
      <c r="P198" s="62"/>
    </row>
    <row r="199" spans="2:16">
      <c r="B199" s="66" t="s">
        <v>5680</v>
      </c>
      <c r="C199" s="62" t="s">
        <v>494</v>
      </c>
      <c r="K199" s="113">
        <v>42</v>
      </c>
      <c r="M199">
        <v>2</v>
      </c>
      <c r="N199" s="62"/>
      <c r="O199" s="62"/>
      <c r="P199" s="62"/>
    </row>
    <row r="200" spans="2:16">
      <c r="B200" s="66" t="s">
        <v>5681</v>
      </c>
      <c r="C200" s="62" t="s">
        <v>494</v>
      </c>
      <c r="K200" s="113">
        <v>43</v>
      </c>
      <c r="M200">
        <v>2</v>
      </c>
      <c r="N200" s="62"/>
      <c r="O200" s="62"/>
      <c r="P200" s="62"/>
    </row>
    <row r="201" spans="2:16">
      <c r="B201" s="66" t="s">
        <v>5682</v>
      </c>
      <c r="C201" s="62" t="s">
        <v>494</v>
      </c>
      <c r="K201" s="113">
        <v>44</v>
      </c>
      <c r="M201">
        <v>2</v>
      </c>
      <c r="N201" s="62"/>
      <c r="O201" s="62"/>
      <c r="P201" s="62"/>
    </row>
    <row r="202" spans="2:16">
      <c r="B202" s="66" t="s">
        <v>5683</v>
      </c>
      <c r="C202" s="62" t="s">
        <v>494</v>
      </c>
      <c r="K202" s="113">
        <v>45</v>
      </c>
      <c r="M202">
        <v>2</v>
      </c>
      <c r="N202" s="62"/>
      <c r="O202" s="62"/>
      <c r="P202" s="62"/>
    </row>
    <row r="203" spans="2:16">
      <c r="B203" s="66" t="s">
        <v>5684</v>
      </c>
      <c r="C203" s="62" t="s">
        <v>494</v>
      </c>
      <c r="K203" s="113">
        <v>46</v>
      </c>
      <c r="M203">
        <v>2</v>
      </c>
      <c r="N203" s="62"/>
      <c r="O203" s="62"/>
      <c r="P203" s="62"/>
    </row>
    <row r="204" spans="2:16">
      <c r="B204" s="66" t="s">
        <v>5685</v>
      </c>
      <c r="C204" s="62" t="s">
        <v>494</v>
      </c>
      <c r="K204" s="113">
        <v>47</v>
      </c>
      <c r="M204">
        <v>2</v>
      </c>
      <c r="N204" s="62"/>
      <c r="O204" s="62"/>
      <c r="P204" s="62"/>
    </row>
    <row r="205" spans="2:16">
      <c r="B205" s="66" t="s">
        <v>5686</v>
      </c>
      <c r="C205" s="62" t="s">
        <v>494</v>
      </c>
      <c r="K205" s="113">
        <v>48</v>
      </c>
      <c r="M205">
        <v>2</v>
      </c>
      <c r="N205" s="62"/>
      <c r="O205" s="62"/>
      <c r="P205" s="62"/>
    </row>
    <row r="206" spans="2:16">
      <c r="B206" s="66" t="s">
        <v>5687</v>
      </c>
      <c r="C206" s="62" t="s">
        <v>494</v>
      </c>
      <c r="K206" s="113">
        <v>49</v>
      </c>
      <c r="M206">
        <v>2</v>
      </c>
      <c r="N206" s="62"/>
      <c r="O206" s="62"/>
      <c r="P206" s="62"/>
    </row>
    <row r="207" spans="2:16">
      <c r="B207" s="66" t="s">
        <v>5688</v>
      </c>
      <c r="C207" s="62" t="s">
        <v>494</v>
      </c>
      <c r="K207" s="113">
        <v>50</v>
      </c>
      <c r="M207">
        <v>2</v>
      </c>
      <c r="N207" s="62"/>
      <c r="O207" s="62"/>
      <c r="P207" s="62"/>
    </row>
    <row r="208" spans="2:16">
      <c r="B208" s="66" t="s">
        <v>5689</v>
      </c>
      <c r="C208" s="62" t="s">
        <v>494</v>
      </c>
      <c r="K208" s="113">
        <v>51</v>
      </c>
      <c r="M208">
        <v>2</v>
      </c>
      <c r="N208" s="62"/>
      <c r="O208" s="62"/>
      <c r="P208" s="62"/>
    </row>
    <row r="209" spans="1:18">
      <c r="B209" s="66" t="s">
        <v>5690</v>
      </c>
      <c r="C209" s="62" t="s">
        <v>494</v>
      </c>
      <c r="K209" s="113">
        <v>52</v>
      </c>
      <c r="M209">
        <v>2</v>
      </c>
      <c r="N209" s="62"/>
      <c r="O209" s="62"/>
      <c r="P209" s="62"/>
    </row>
    <row r="210" spans="1:18">
      <c r="B210" s="66" t="s">
        <v>5691</v>
      </c>
      <c r="C210" s="62" t="s">
        <v>494</v>
      </c>
      <c r="K210" s="113">
        <v>53</v>
      </c>
      <c r="M210">
        <v>2</v>
      </c>
      <c r="N210" s="62"/>
      <c r="O210" s="62"/>
      <c r="P210" s="62"/>
    </row>
    <row r="211" spans="1:18">
      <c r="B211" s="66" t="s">
        <v>5692</v>
      </c>
      <c r="C211" s="62" t="s">
        <v>494</v>
      </c>
      <c r="K211" s="113">
        <v>54</v>
      </c>
      <c r="M211">
        <v>2</v>
      </c>
      <c r="N211" s="62"/>
      <c r="O211" s="62"/>
      <c r="P211" s="62"/>
    </row>
    <row r="212" spans="1:18">
      <c r="B212" s="66" t="s">
        <v>5693</v>
      </c>
      <c r="C212" s="62" t="s">
        <v>494</v>
      </c>
      <c r="K212" s="113">
        <v>55</v>
      </c>
      <c r="M212">
        <v>2</v>
      </c>
      <c r="N212" s="62"/>
      <c r="O212" s="62"/>
      <c r="P212" s="62"/>
    </row>
    <row r="213" spans="1:18">
      <c r="B213" s="66" t="s">
        <v>5694</v>
      </c>
      <c r="C213" s="62" t="s">
        <v>494</v>
      </c>
      <c r="K213" s="113">
        <v>56</v>
      </c>
      <c r="M213">
        <v>2</v>
      </c>
      <c r="N213" s="62"/>
      <c r="O213" s="62"/>
      <c r="P213" s="62"/>
    </row>
    <row r="214" spans="1:18">
      <c r="B214" s="66" t="s">
        <v>5695</v>
      </c>
      <c r="C214" s="62" t="s">
        <v>494</v>
      </c>
      <c r="K214" s="113">
        <v>57</v>
      </c>
      <c r="M214">
        <v>2</v>
      </c>
      <c r="N214" s="62"/>
      <c r="O214" s="62"/>
      <c r="P214" s="62"/>
    </row>
    <row r="215" spans="1:18">
      <c r="B215" s="66" t="s">
        <v>5696</v>
      </c>
      <c r="C215" s="62" t="s">
        <v>494</v>
      </c>
      <c r="K215" s="113">
        <v>58</v>
      </c>
      <c r="M215">
        <v>2</v>
      </c>
      <c r="N215" s="62"/>
      <c r="O215" s="62"/>
      <c r="P215" s="62"/>
    </row>
    <row r="216" spans="1:18">
      <c r="B216" s="66" t="s">
        <v>5697</v>
      </c>
      <c r="C216" s="62" t="s">
        <v>494</v>
      </c>
      <c r="K216" s="113">
        <v>59</v>
      </c>
      <c r="M216">
        <v>2</v>
      </c>
      <c r="N216" s="62"/>
      <c r="O216" s="62"/>
      <c r="P216" s="62"/>
    </row>
    <row r="217" spans="1:18">
      <c r="B217" s="66" t="s">
        <v>5698</v>
      </c>
      <c r="C217" s="62" t="s">
        <v>494</v>
      </c>
      <c r="K217" s="113">
        <v>60</v>
      </c>
      <c r="M217">
        <v>2</v>
      </c>
      <c r="N217" s="62"/>
      <c r="O217" s="62"/>
      <c r="P217" s="62"/>
    </row>
    <row r="218" spans="1:18">
      <c r="B218" s="66" t="s">
        <v>5699</v>
      </c>
      <c r="C218" s="62" t="s">
        <v>494</v>
      </c>
      <c r="K218" s="113">
        <v>61</v>
      </c>
      <c r="M218">
        <v>2</v>
      </c>
      <c r="N218" s="62"/>
      <c r="O218" s="62"/>
      <c r="P218" s="62"/>
    </row>
    <row r="219" spans="1:18">
      <c r="B219" s="66" t="s">
        <v>5700</v>
      </c>
      <c r="C219" s="62" t="s">
        <v>494</v>
      </c>
      <c r="K219" s="113">
        <v>62</v>
      </c>
      <c r="M219">
        <v>2</v>
      </c>
      <c r="N219" s="62"/>
      <c r="O219" s="62"/>
      <c r="P219" s="62"/>
    </row>
    <row r="220" spans="1:18">
      <c r="B220" s="66" t="s">
        <v>5701</v>
      </c>
      <c r="C220" s="62" t="s">
        <v>494</v>
      </c>
      <c r="K220" s="113">
        <v>63</v>
      </c>
      <c r="M220">
        <v>2</v>
      </c>
      <c r="N220" s="62"/>
      <c r="O220" s="62"/>
      <c r="P220" s="62"/>
    </row>
    <row r="221" spans="1:18">
      <c r="B221" s="66"/>
      <c r="C221" s="62"/>
      <c r="K221" s="113"/>
      <c r="N221" s="62"/>
      <c r="O221" s="62"/>
      <c r="P221" s="62"/>
    </row>
    <row r="222" spans="1:18" s="3" customFormat="1">
      <c r="A222" s="70" t="s">
        <v>5907</v>
      </c>
      <c r="B222" s="70" t="s">
        <v>5908</v>
      </c>
      <c r="C222" s="70" t="s">
        <v>494</v>
      </c>
      <c r="D222" s="70"/>
      <c r="E222" s="62" t="s">
        <v>476</v>
      </c>
      <c r="F222" s="62">
        <v>21</v>
      </c>
      <c r="G222" s="62">
        <v>2151</v>
      </c>
      <c r="H222" s="62" t="s">
        <v>5934</v>
      </c>
      <c r="I222" s="62" t="s">
        <v>5935</v>
      </c>
      <c r="J222" s="62">
        <v>2104</v>
      </c>
      <c r="K222" s="76">
        <v>1</v>
      </c>
      <c r="L222" s="62">
        <v>3</v>
      </c>
      <c r="M222" s="62"/>
      <c r="N222" s="64" t="s">
        <v>506</v>
      </c>
      <c r="O222" s="64" t="s">
        <v>514</v>
      </c>
      <c r="P222" s="1" t="s">
        <v>515</v>
      </c>
      <c r="Q222" s="12"/>
      <c r="R222" s="12"/>
    </row>
    <row r="223" spans="1:18" s="3" customFormat="1">
      <c r="A223" s="70"/>
      <c r="B223" s="70" t="s">
        <v>5910</v>
      </c>
      <c r="C223" s="70" t="s">
        <v>494</v>
      </c>
      <c r="D223" s="70"/>
      <c r="E223" s="62" t="s">
        <v>476</v>
      </c>
      <c r="F223" s="62"/>
      <c r="G223" s="62"/>
      <c r="H223" s="62"/>
      <c r="I223" s="62"/>
      <c r="J223" s="62"/>
      <c r="K223" s="76">
        <v>2</v>
      </c>
      <c r="L223" s="62">
        <v>3</v>
      </c>
      <c r="M223" s="62">
        <v>1</v>
      </c>
      <c r="N223" s="62" t="s">
        <v>693</v>
      </c>
      <c r="O223" s="1" t="s">
        <v>695</v>
      </c>
      <c r="P223" s="1" t="s">
        <v>696</v>
      </c>
      <c r="Q223" s="12"/>
      <c r="R223" s="12"/>
    </row>
    <row r="224" spans="1:18" s="3" customFormat="1">
      <c r="A224" s="70"/>
      <c r="B224" s="70" t="s">
        <v>5911</v>
      </c>
      <c r="C224" s="70" t="s">
        <v>494</v>
      </c>
      <c r="D224" s="70"/>
      <c r="E224" s="62" t="s">
        <v>476</v>
      </c>
      <c r="F224" s="62"/>
      <c r="G224" s="62"/>
      <c r="H224" s="62"/>
      <c r="I224" s="62"/>
      <c r="J224" s="62"/>
      <c r="K224" s="76">
        <v>3</v>
      </c>
      <c r="L224" s="62">
        <v>3</v>
      </c>
      <c r="M224" s="62">
        <v>31</v>
      </c>
      <c r="N224" s="62" t="s">
        <v>379</v>
      </c>
      <c r="O224" s="62" t="s">
        <v>698</v>
      </c>
      <c r="P224" s="1" t="s">
        <v>699</v>
      </c>
      <c r="Q224" s="62" t="s">
        <v>383</v>
      </c>
      <c r="R224" s="14">
        <v>3</v>
      </c>
    </row>
    <row r="225" spans="1:18" s="3" customFormat="1">
      <c r="A225" s="70"/>
      <c r="B225" s="70" t="s">
        <v>5912</v>
      </c>
      <c r="C225" s="70" t="s">
        <v>494</v>
      </c>
      <c r="D225" s="70"/>
      <c r="E225" s="62" t="s">
        <v>476</v>
      </c>
      <c r="F225" s="62"/>
      <c r="G225" s="62"/>
      <c r="H225" s="62"/>
      <c r="I225" s="62"/>
      <c r="J225" s="62"/>
      <c r="K225" s="76">
        <v>4</v>
      </c>
      <c r="L225" s="62">
        <v>6</v>
      </c>
      <c r="M225" s="62"/>
      <c r="N225" s="62"/>
      <c r="O225" s="62"/>
      <c r="P225" s="62"/>
      <c r="Q225" s="12"/>
      <c r="R225" s="12"/>
    </row>
    <row r="226" spans="1:18" s="3" customFormat="1">
      <c r="A226" s="70"/>
      <c r="B226" s="70" t="s">
        <v>5913</v>
      </c>
      <c r="C226" s="70" t="s">
        <v>494</v>
      </c>
      <c r="D226" s="70"/>
      <c r="E226" s="62"/>
      <c r="F226" s="62"/>
      <c r="G226" s="62"/>
      <c r="H226" s="62" t="s">
        <v>5936</v>
      </c>
      <c r="I226" s="62"/>
      <c r="J226" s="62"/>
      <c r="K226" s="76">
        <v>5</v>
      </c>
      <c r="L226" s="62">
        <v>6</v>
      </c>
      <c r="M226" s="62"/>
      <c r="N226" s="62"/>
      <c r="O226" s="62"/>
      <c r="P226" s="62"/>
      <c r="Q226" s="12"/>
      <c r="R226" s="12"/>
    </row>
    <row r="227" spans="1:18" s="3" customFormat="1">
      <c r="A227" s="70"/>
      <c r="B227" s="70" t="s">
        <v>5916</v>
      </c>
      <c r="C227" s="70" t="s">
        <v>493</v>
      </c>
      <c r="D227" s="70">
        <v>1</v>
      </c>
      <c r="E227" s="62"/>
      <c r="F227" s="62"/>
      <c r="G227" s="62"/>
      <c r="H227" s="62"/>
      <c r="I227" s="62"/>
      <c r="J227" s="62"/>
      <c r="K227" s="76">
        <v>6</v>
      </c>
      <c r="L227" s="62">
        <v>30</v>
      </c>
      <c r="M227" s="62"/>
      <c r="N227" s="62"/>
      <c r="O227" s="62"/>
      <c r="P227" s="62"/>
      <c r="Q227" s="12"/>
      <c r="R227" s="12"/>
    </row>
    <row r="228" spans="1:18" s="3" customFormat="1">
      <c r="A228" s="70"/>
      <c r="B228" s="70" t="s">
        <v>5919</v>
      </c>
      <c r="C228" s="70" t="s">
        <v>493</v>
      </c>
      <c r="D228" s="70">
        <v>1</v>
      </c>
      <c r="E228" s="62"/>
      <c r="F228" s="62"/>
      <c r="G228" s="62"/>
      <c r="H228" s="62"/>
      <c r="I228" s="62"/>
      <c r="J228" s="62"/>
      <c r="K228" s="76">
        <v>7</v>
      </c>
      <c r="L228" s="62">
        <v>3</v>
      </c>
      <c r="M228" s="62">
        <v>1</v>
      </c>
      <c r="N228" s="62"/>
      <c r="O228" s="62"/>
      <c r="P228" s="62"/>
      <c r="Q228" s="12"/>
      <c r="R228" s="12"/>
    </row>
    <row r="229" spans="1:18">
      <c r="B229" s="66"/>
      <c r="C229" s="62"/>
      <c r="N229" s="62"/>
      <c r="O229" s="62"/>
      <c r="P229" s="62"/>
    </row>
    <row r="230" spans="1:18">
      <c r="A230" s="70" t="s">
        <v>3210</v>
      </c>
      <c r="B230" s="70" t="s">
        <v>3211</v>
      </c>
      <c r="C230" s="70" t="s">
        <v>494</v>
      </c>
      <c r="E230" s="62" t="s">
        <v>476</v>
      </c>
      <c r="F230">
        <v>21</v>
      </c>
      <c r="G230">
        <v>2153</v>
      </c>
      <c r="H230" s="62" t="s">
        <v>5969</v>
      </c>
      <c r="I230" s="62" t="s">
        <v>5970</v>
      </c>
      <c r="J230">
        <v>2104</v>
      </c>
      <c r="K230" s="55">
        <v>1</v>
      </c>
      <c r="L230">
        <v>8</v>
      </c>
    </row>
    <row r="231" spans="1:18">
      <c r="A231" s="94"/>
      <c r="B231" s="70" t="s">
        <v>3212</v>
      </c>
      <c r="C231" s="70" t="s">
        <v>494</v>
      </c>
      <c r="E231" s="62" t="s">
        <v>476</v>
      </c>
      <c r="K231" s="55">
        <v>2</v>
      </c>
      <c r="L231">
        <v>3</v>
      </c>
      <c r="M231" s="14">
        <v>31</v>
      </c>
      <c r="N231" s="62" t="s">
        <v>3655</v>
      </c>
      <c r="O231" s="62" t="s">
        <v>3648</v>
      </c>
      <c r="P231" s="62" t="s">
        <v>3657</v>
      </c>
      <c r="Q231" s="47" t="s">
        <v>3658</v>
      </c>
      <c r="R231" s="14">
        <v>4</v>
      </c>
    </row>
    <row r="232" spans="1:18">
      <c r="A232" s="94"/>
      <c r="B232" s="70" t="s">
        <v>3213</v>
      </c>
      <c r="C232" s="70" t="s">
        <v>494</v>
      </c>
      <c r="H232" s="62"/>
      <c r="K232" s="55">
        <v>3</v>
      </c>
      <c r="L232">
        <v>6</v>
      </c>
    </row>
    <row r="233" spans="1:18">
      <c r="A233" s="94"/>
      <c r="B233" s="70" t="s">
        <v>3230</v>
      </c>
      <c r="C233" s="70" t="s">
        <v>494</v>
      </c>
      <c r="K233" s="55">
        <v>4</v>
      </c>
      <c r="L233">
        <v>3</v>
      </c>
      <c r="M233">
        <v>3</v>
      </c>
      <c r="N233" s="62" t="s">
        <v>3664</v>
      </c>
      <c r="O233" s="62" t="s">
        <v>3666</v>
      </c>
      <c r="P233" s="62" t="s">
        <v>3667</v>
      </c>
    </row>
    <row r="234" spans="1:18" s="1" customFormat="1">
      <c r="A234" s="39"/>
      <c r="B234" s="67" t="s">
        <v>3231</v>
      </c>
      <c r="C234" s="70" t="s">
        <v>494</v>
      </c>
      <c r="F234" s="14"/>
      <c r="G234" s="14"/>
      <c r="H234" s="14"/>
      <c r="I234" s="11"/>
      <c r="J234" s="14"/>
      <c r="K234" s="55">
        <v>5</v>
      </c>
      <c r="L234" s="15">
        <v>3</v>
      </c>
      <c r="M234" s="14"/>
      <c r="N234" s="62" t="s">
        <v>693</v>
      </c>
      <c r="O234" s="1" t="s">
        <v>695</v>
      </c>
      <c r="P234" s="1" t="s">
        <v>696</v>
      </c>
      <c r="Q234" s="62"/>
      <c r="R234" s="14"/>
    </row>
    <row r="235" spans="1:18" s="1" customFormat="1">
      <c r="A235" s="39"/>
      <c r="B235" s="67" t="s">
        <v>3232</v>
      </c>
      <c r="C235" s="70" t="s">
        <v>494</v>
      </c>
      <c r="F235" s="14"/>
      <c r="G235" s="14"/>
      <c r="H235" s="14"/>
      <c r="I235" s="11"/>
      <c r="J235" s="14"/>
      <c r="K235" s="55">
        <v>6</v>
      </c>
      <c r="L235" s="15">
        <v>3</v>
      </c>
      <c r="M235" s="14">
        <v>31</v>
      </c>
      <c r="N235" s="62" t="s">
        <v>379</v>
      </c>
      <c r="O235" s="62" t="s">
        <v>698</v>
      </c>
      <c r="P235" s="62" t="s">
        <v>699</v>
      </c>
      <c r="Q235" s="62" t="s">
        <v>383</v>
      </c>
      <c r="R235" s="14">
        <v>5</v>
      </c>
    </row>
    <row r="236" spans="1:18">
      <c r="A236" s="94"/>
      <c r="B236" s="70" t="s">
        <v>3217</v>
      </c>
      <c r="C236" s="70" t="s">
        <v>494</v>
      </c>
      <c r="K236" s="55">
        <v>7</v>
      </c>
      <c r="L236">
        <v>3</v>
      </c>
      <c r="N236" s="62" t="s">
        <v>3218</v>
      </c>
      <c r="O236" s="62" t="s">
        <v>3219</v>
      </c>
      <c r="P236" s="62" t="s">
        <v>3220</v>
      </c>
      <c r="Q236" s="66"/>
    </row>
    <row r="237" spans="1:18">
      <c r="A237" s="94"/>
      <c r="B237" s="70" t="s">
        <v>4321</v>
      </c>
      <c r="C237" s="70" t="s">
        <v>702</v>
      </c>
      <c r="K237" s="55">
        <v>8</v>
      </c>
      <c r="M237">
        <v>1</v>
      </c>
    </row>
    <row r="238" spans="1:18">
      <c r="A238" s="94"/>
      <c r="B238" s="70" t="s">
        <v>4327</v>
      </c>
      <c r="C238" s="70" t="s">
        <v>494</v>
      </c>
      <c r="H238" s="62"/>
      <c r="K238" s="55">
        <v>9</v>
      </c>
      <c r="L238">
        <v>3</v>
      </c>
      <c r="M238">
        <v>1</v>
      </c>
      <c r="N238" s="62" t="s">
        <v>4452</v>
      </c>
      <c r="O238" s="62" t="s">
        <v>4453</v>
      </c>
      <c r="P238" s="62" t="s">
        <v>4454</v>
      </c>
    </row>
    <row r="239" spans="1:18">
      <c r="B239" s="96" t="s">
        <v>5591</v>
      </c>
      <c r="C239" s="96" t="s">
        <v>494</v>
      </c>
      <c r="K239" s="55">
        <v>10</v>
      </c>
      <c r="L239">
        <v>3</v>
      </c>
      <c r="M239">
        <v>1</v>
      </c>
      <c r="N239" s="62" t="s">
        <v>5592</v>
      </c>
      <c r="O239" s="66" t="s">
        <v>5593</v>
      </c>
      <c r="P239" s="66" t="s">
        <v>5594</v>
      </c>
    </row>
    <row r="240" spans="1:18">
      <c r="B240" s="64" t="s">
        <v>5838</v>
      </c>
      <c r="C240" s="64" t="s">
        <v>494</v>
      </c>
      <c r="K240" s="55">
        <v>11</v>
      </c>
      <c r="L240" s="80">
        <v>3</v>
      </c>
      <c r="M240" s="10">
        <v>1</v>
      </c>
      <c r="N240" t="s">
        <v>5567</v>
      </c>
      <c r="O240" s="66" t="s">
        <v>5569</v>
      </c>
      <c r="P240" s="66" t="s">
        <v>5571</v>
      </c>
    </row>
    <row r="241" spans="2:16">
      <c r="B241" s="66"/>
      <c r="C241" s="62"/>
      <c r="N241" s="62"/>
      <c r="O241" s="62"/>
      <c r="P241" s="62"/>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Hoja9"/>
  <dimension ref="A4:F11"/>
  <sheetViews>
    <sheetView workbookViewId="0">
      <selection activeCell="A5" sqref="A5"/>
    </sheetView>
  </sheetViews>
  <sheetFormatPr baseColWidth="10" defaultRowHeight="12.75"/>
  <sheetData>
    <row r="4" spans="1:6">
      <c r="A4">
        <v>111</v>
      </c>
      <c r="B4">
        <v>2</v>
      </c>
      <c r="C4" t="s">
        <v>495</v>
      </c>
      <c r="D4" t="s">
        <v>495</v>
      </c>
      <c r="E4">
        <v>1</v>
      </c>
      <c r="F4" t="str">
        <f>"("&amp; A4 &amp; ", "&amp; B4 &amp; ", '"&amp; C4 &amp; "','"&amp; D4 &amp; "', "&amp; E4 &amp; ", 'S')"</f>
        <v>(111, 2, 'O+','O+', 1, 'S')</v>
      </c>
    </row>
    <row r="5" spans="1:6">
      <c r="A5">
        <f>+A4</f>
        <v>111</v>
      </c>
      <c r="B5">
        <f>+B4</f>
        <v>2</v>
      </c>
      <c r="C5" t="s">
        <v>496</v>
      </c>
      <c r="D5" t="s">
        <v>496</v>
      </c>
      <c r="E5">
        <f>+E4+1</f>
        <v>2</v>
      </c>
      <c r="F5" t="str">
        <f>F4 &amp; ", ("&amp; A5 &amp; ", "&amp; B5 &amp; ", '"&amp; C5 &amp; "','"&amp; D5 &amp; "', "&amp; E5 &amp; ", 'S')"</f>
        <v>(111, 2, 'O+','O+', 1, 'S'), (111, 2, 'A+','A+', 2, 'S')</v>
      </c>
    </row>
    <row r="6" spans="1:6">
      <c r="A6">
        <f t="shared" ref="A6:A11" si="0">+A5</f>
        <v>111</v>
      </c>
      <c r="B6">
        <f t="shared" ref="B6:B11" si="1">+B5</f>
        <v>2</v>
      </c>
      <c r="C6" t="s">
        <v>497</v>
      </c>
      <c r="D6" t="s">
        <v>497</v>
      </c>
      <c r="E6">
        <f t="shared" ref="E6:E11" si="2">+E5+1</f>
        <v>3</v>
      </c>
      <c r="F6" t="str">
        <f t="shared" ref="F6:F11" si="3">F5 &amp; ", ("&amp; A6 &amp; ", "&amp; B6 &amp; ", '"&amp; C6 &amp; "','"&amp; D6 &amp; "', "&amp; E6 &amp; ", 'S')"</f>
        <v>(111, 2, 'O+','O+', 1, 'S'), (111, 2, 'A+','A+', 2, 'S'), (111, 2, 'B+','B+', 3, 'S')</v>
      </c>
    </row>
    <row r="7" spans="1:6">
      <c r="A7">
        <f t="shared" si="0"/>
        <v>111</v>
      </c>
      <c r="B7">
        <f t="shared" si="1"/>
        <v>2</v>
      </c>
      <c r="C7" t="s">
        <v>498</v>
      </c>
      <c r="D7" t="s">
        <v>498</v>
      </c>
      <c r="E7">
        <f t="shared" si="2"/>
        <v>4</v>
      </c>
      <c r="F7" t="str">
        <f t="shared" si="3"/>
        <v>(111, 2, 'O+','O+', 1, 'S'), (111, 2, 'A+','A+', 2, 'S'), (111, 2, 'B+','B+', 3, 'S'), (111, 2, 'AB+','AB+', 4, 'S')</v>
      </c>
    </row>
    <row r="8" spans="1:6">
      <c r="A8">
        <f t="shared" si="0"/>
        <v>111</v>
      </c>
      <c r="B8">
        <f t="shared" si="1"/>
        <v>2</v>
      </c>
      <c r="C8" t="s">
        <v>499</v>
      </c>
      <c r="D8" t="s">
        <v>499</v>
      </c>
      <c r="E8">
        <f t="shared" si="2"/>
        <v>5</v>
      </c>
      <c r="F8" t="str">
        <f t="shared" si="3"/>
        <v>(111, 2, 'O+','O+', 1, 'S'), (111, 2, 'A+','A+', 2, 'S'), (111, 2, 'B+','B+', 3, 'S'), (111, 2, 'AB+','AB+', 4, 'S'), (111, 2, 'O-','O-', 5, 'S')</v>
      </c>
    </row>
    <row r="9" spans="1:6">
      <c r="A9">
        <f t="shared" si="0"/>
        <v>111</v>
      </c>
      <c r="B9">
        <f t="shared" si="1"/>
        <v>2</v>
      </c>
      <c r="C9" t="s">
        <v>500</v>
      </c>
      <c r="D9" t="s">
        <v>500</v>
      </c>
      <c r="E9">
        <f t="shared" si="2"/>
        <v>6</v>
      </c>
      <c r="F9" t="str">
        <f t="shared" si="3"/>
        <v>(111, 2, 'O+','O+', 1, 'S'), (111, 2, 'A+','A+', 2, 'S'), (111, 2, 'B+','B+', 3, 'S'), (111, 2, 'AB+','AB+', 4, 'S'), (111, 2, 'O-','O-', 5, 'S'), (111, 2, 'A-','A-', 6, 'S')</v>
      </c>
    </row>
    <row r="10" spans="1:6">
      <c r="A10">
        <f t="shared" si="0"/>
        <v>111</v>
      </c>
      <c r="B10">
        <f t="shared" si="1"/>
        <v>2</v>
      </c>
      <c r="C10" t="s">
        <v>501</v>
      </c>
      <c r="D10" t="s">
        <v>501</v>
      </c>
      <c r="E10">
        <f t="shared" si="2"/>
        <v>7</v>
      </c>
      <c r="F10" t="str">
        <f t="shared" si="3"/>
        <v>(111, 2, 'O+','O+', 1, 'S'), (111, 2, 'A+','A+', 2, 'S'), (111, 2, 'B+','B+', 3, 'S'), (111, 2, 'AB+','AB+', 4, 'S'), (111, 2, 'O-','O-', 5, 'S'), (111, 2, 'A-','A-', 6, 'S'), (111, 2, 'B-','B-', 7, 'S')</v>
      </c>
    </row>
    <row r="11" spans="1:6">
      <c r="A11">
        <f t="shared" si="0"/>
        <v>111</v>
      </c>
      <c r="B11">
        <f t="shared" si="1"/>
        <v>2</v>
      </c>
      <c r="C11" t="s">
        <v>502</v>
      </c>
      <c r="D11" t="s">
        <v>502</v>
      </c>
      <c r="E11">
        <f t="shared" si="2"/>
        <v>8</v>
      </c>
      <c r="F11" t="str">
        <f t="shared" si="3"/>
        <v>(111, 2, 'O+','O+', 1, 'S'), (111, 2, 'A+','A+', 2, 'S'), (111, 2, 'B+','B+', 3, 'S'), (111, 2, 'AB+','AB+', 4, 'S'), (111, 2, 'O-','O-', 5, 'S'), (111, 2, 'A-','A-', 6, 'S'), (111, 2, 'B-','B-', 7, 'S'), (111, 2, 'AB-','AB-', 8, 'S')</v>
      </c>
    </row>
  </sheetData>
  <phoneticPr fontId="3" type="noConversion"/>
  <pageMargins left="0.75" right="0.75" top="1" bottom="1" header="0" footer="0"/>
  <headerFooter alignWithMargins="0"/>
</worksheet>
</file>

<file path=xl/worksheets/sheet25.xml><?xml version="1.0" encoding="utf-8"?>
<worksheet xmlns="http://schemas.openxmlformats.org/spreadsheetml/2006/main" xmlns:r="http://schemas.openxmlformats.org/officeDocument/2006/relationships">
  <sheetPr codeName="Hoja4"/>
  <dimension ref="A8:C58"/>
  <sheetViews>
    <sheetView topLeftCell="A25" workbookViewId="0">
      <selection activeCell="D50" sqref="D50"/>
    </sheetView>
  </sheetViews>
  <sheetFormatPr baseColWidth="10" defaultRowHeight="12.75"/>
  <cols>
    <col min="1" max="1" width="12.5703125" bestFit="1" customWidth="1"/>
    <col min="2" max="2" width="18.28515625" bestFit="1" customWidth="1"/>
    <col min="3" max="3" width="7.42578125" bestFit="1" customWidth="1"/>
  </cols>
  <sheetData>
    <row r="8" spans="1:3">
      <c r="A8" t="s">
        <v>1277</v>
      </c>
      <c r="B8" t="s">
        <v>537</v>
      </c>
      <c r="C8" t="s">
        <v>494</v>
      </c>
    </row>
    <row r="9" spans="1:3">
      <c r="B9" t="s">
        <v>1274</v>
      </c>
      <c r="C9" t="s">
        <v>494</v>
      </c>
    </row>
    <row r="10" spans="1:3">
      <c r="B10" t="s">
        <v>1275</v>
      </c>
      <c r="C10" t="s">
        <v>493</v>
      </c>
    </row>
    <row r="11" spans="1:3">
      <c r="B11" t="s">
        <v>1276</v>
      </c>
      <c r="C11" t="s">
        <v>493</v>
      </c>
    </row>
    <row r="12" spans="1:3">
      <c r="B12" t="s">
        <v>1278</v>
      </c>
      <c r="C12" t="s">
        <v>493</v>
      </c>
    </row>
    <row r="13" spans="1:3">
      <c r="B13" t="s">
        <v>1279</v>
      </c>
      <c r="C13" t="s">
        <v>493</v>
      </c>
    </row>
    <row r="14" spans="1:3">
      <c r="B14" t="s">
        <v>1308</v>
      </c>
      <c r="C14" t="s">
        <v>493</v>
      </c>
    </row>
    <row r="15" spans="1:3">
      <c r="B15" t="s">
        <v>1309</v>
      </c>
      <c r="C15" t="s">
        <v>493</v>
      </c>
    </row>
    <row r="17" spans="1:3">
      <c r="A17" t="s">
        <v>1280</v>
      </c>
      <c r="B17" t="s">
        <v>541</v>
      </c>
      <c r="C17" t="s">
        <v>494</v>
      </c>
    </row>
    <row r="18" spans="1:3">
      <c r="B18" t="s">
        <v>542</v>
      </c>
      <c r="C18" t="s">
        <v>493</v>
      </c>
    </row>
    <row r="20" spans="1:3">
      <c r="A20" t="s">
        <v>1281</v>
      </c>
      <c r="B20" s="10" t="s">
        <v>248</v>
      </c>
      <c r="C20" t="s">
        <v>494</v>
      </c>
    </row>
    <row r="21" spans="1:3">
      <c r="B21" s="10" t="s">
        <v>249</v>
      </c>
      <c r="C21" t="s">
        <v>494</v>
      </c>
    </row>
    <row r="22" spans="1:3">
      <c r="B22" s="10" t="s">
        <v>257</v>
      </c>
      <c r="C22" t="s">
        <v>494</v>
      </c>
    </row>
    <row r="23" spans="1:3">
      <c r="B23" s="10" t="s">
        <v>1098</v>
      </c>
      <c r="C23" t="s">
        <v>494</v>
      </c>
    </row>
    <row r="24" spans="1:3">
      <c r="B24" s="10" t="s">
        <v>1097</v>
      </c>
      <c r="C24" t="s">
        <v>494</v>
      </c>
    </row>
    <row r="25" spans="1:3">
      <c r="B25" s="10" t="s">
        <v>250</v>
      </c>
      <c r="C25" t="s">
        <v>494</v>
      </c>
    </row>
    <row r="26" spans="1:3">
      <c r="B26" s="10" t="s">
        <v>1289</v>
      </c>
      <c r="C26" t="s">
        <v>494</v>
      </c>
    </row>
    <row r="27" spans="1:3">
      <c r="B27" s="10" t="s">
        <v>1285</v>
      </c>
      <c r="C27" t="s">
        <v>493</v>
      </c>
    </row>
    <row r="28" spans="1:3">
      <c r="B28" s="10" t="s">
        <v>1286</v>
      </c>
      <c r="C28" t="s">
        <v>493</v>
      </c>
    </row>
    <row r="29" spans="1:3">
      <c r="B29" s="10" t="s">
        <v>1287</v>
      </c>
      <c r="C29" t="s">
        <v>493</v>
      </c>
    </row>
    <row r="30" spans="1:3">
      <c r="B30" s="10" t="s">
        <v>1288</v>
      </c>
      <c r="C30" t="s">
        <v>493</v>
      </c>
    </row>
    <row r="31" spans="1:3">
      <c r="B31" s="10" t="s">
        <v>1292</v>
      </c>
      <c r="C31" t="s">
        <v>494</v>
      </c>
    </row>
    <row r="32" spans="1:3">
      <c r="B32" s="10" t="s">
        <v>1291</v>
      </c>
      <c r="C32" t="s">
        <v>494</v>
      </c>
    </row>
    <row r="33" spans="1:3">
      <c r="B33" s="10" t="s">
        <v>1290</v>
      </c>
      <c r="C33" t="s">
        <v>494</v>
      </c>
    </row>
    <row r="34" spans="1:3">
      <c r="B34" s="10" t="s">
        <v>1282</v>
      </c>
      <c r="C34" t="s">
        <v>494</v>
      </c>
    </row>
    <row r="35" spans="1:3">
      <c r="B35" s="10" t="s">
        <v>1283</v>
      </c>
      <c r="C35" t="s">
        <v>494</v>
      </c>
    </row>
    <row r="36" spans="1:3">
      <c r="B36" s="10" t="s">
        <v>1284</v>
      </c>
      <c r="C36" t="s">
        <v>494</v>
      </c>
    </row>
    <row r="37" spans="1:3">
      <c r="B37" s="10" t="s">
        <v>1116</v>
      </c>
      <c r="C37" t="s">
        <v>494</v>
      </c>
    </row>
    <row r="38" spans="1:3">
      <c r="B38" s="35" t="s">
        <v>1121</v>
      </c>
      <c r="C38" t="s">
        <v>493</v>
      </c>
    </row>
    <row r="39" spans="1:3">
      <c r="B39" s="35" t="s">
        <v>1296</v>
      </c>
      <c r="C39" t="s">
        <v>494</v>
      </c>
    </row>
    <row r="40" spans="1:3">
      <c r="B40" s="35" t="s">
        <v>1303</v>
      </c>
      <c r="C40" t="s">
        <v>494</v>
      </c>
    </row>
    <row r="41" spans="1:3">
      <c r="B41" s="35" t="s">
        <v>1117</v>
      </c>
      <c r="C41" t="s">
        <v>494</v>
      </c>
    </row>
    <row r="42" spans="1:3">
      <c r="B42" s="69" t="s">
        <v>1822</v>
      </c>
      <c r="C42" s="62" t="s">
        <v>494</v>
      </c>
    </row>
    <row r="44" spans="1:3">
      <c r="A44" t="s">
        <v>1293</v>
      </c>
      <c r="B44" t="s">
        <v>1294</v>
      </c>
      <c r="C44" t="s">
        <v>494</v>
      </c>
    </row>
    <row r="45" spans="1:3">
      <c r="B45" t="s">
        <v>1295</v>
      </c>
      <c r="C45" t="s">
        <v>493</v>
      </c>
    </row>
    <row r="47" spans="1:3">
      <c r="A47" t="s">
        <v>1038</v>
      </c>
      <c r="B47" t="s">
        <v>1040</v>
      </c>
    </row>
    <row r="48" spans="1:3">
      <c r="B48" t="s">
        <v>1041</v>
      </c>
    </row>
    <row r="50" spans="1:3">
      <c r="A50" s="1" t="s">
        <v>1261</v>
      </c>
      <c r="B50" s="39" t="s">
        <v>1262</v>
      </c>
      <c r="C50" t="s">
        <v>494</v>
      </c>
    </row>
    <row r="51" spans="1:3">
      <c r="B51" s="1" t="s">
        <v>1265</v>
      </c>
      <c r="C51" t="s">
        <v>494</v>
      </c>
    </row>
    <row r="52" spans="1:3">
      <c r="B52" s="1" t="s">
        <v>1301</v>
      </c>
      <c r="C52" t="s">
        <v>494</v>
      </c>
    </row>
    <row r="53" spans="1:3">
      <c r="B53" s="1" t="s">
        <v>1266</v>
      </c>
      <c r="C53" t="s">
        <v>493</v>
      </c>
    </row>
    <row r="54" spans="1:3">
      <c r="B54" s="39" t="s">
        <v>1271</v>
      </c>
      <c r="C54" t="s">
        <v>493</v>
      </c>
    </row>
    <row r="55" spans="1:3">
      <c r="B55" s="39" t="s">
        <v>1298</v>
      </c>
      <c r="C55" t="s">
        <v>494</v>
      </c>
    </row>
    <row r="56" spans="1:3">
      <c r="B56" s="1" t="s">
        <v>1272</v>
      </c>
      <c r="C56" t="s">
        <v>494</v>
      </c>
    </row>
    <row r="57" spans="1:3">
      <c r="B57" s="1" t="s">
        <v>1268</v>
      </c>
      <c r="C57" t="s">
        <v>494</v>
      </c>
    </row>
    <row r="58" spans="1:3">
      <c r="B58" s="1" t="s">
        <v>1302</v>
      </c>
      <c r="C58" t="s">
        <v>494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6"/>
  <dimension ref="A3:M153"/>
  <sheetViews>
    <sheetView topLeftCell="C43" workbookViewId="0">
      <selection activeCell="M133" sqref="M133"/>
    </sheetView>
  </sheetViews>
  <sheetFormatPr baseColWidth="10" defaultRowHeight="12.75"/>
  <cols>
    <col min="1" max="1" width="14.5703125" customWidth="1"/>
    <col min="2" max="3" width="21.28515625" customWidth="1"/>
    <col min="5" max="5" width="15" customWidth="1"/>
    <col min="6" max="6" width="13.28515625" customWidth="1"/>
    <col min="9" max="9" width="13.7109375" customWidth="1"/>
  </cols>
  <sheetData>
    <row r="3" spans="1:5">
      <c r="A3" s="1" t="s">
        <v>269</v>
      </c>
      <c r="B3" s="23" t="s">
        <v>270</v>
      </c>
      <c r="C3" s="23" t="s">
        <v>271</v>
      </c>
      <c r="E3" t="str">
        <f>"INSERT INTO "&amp;A3&amp;"("&amp;B3&amp;", "&amp;C3&amp;") VALUES "</f>
        <v xml:space="preserve">INSERT INTO ofer15estadocampus(ofer15id, ofer15nombre) VALUES </v>
      </c>
    </row>
    <row r="4" spans="1:5">
      <c r="B4" s="23">
        <v>0</v>
      </c>
      <c r="C4" s="23" t="s">
        <v>272</v>
      </c>
      <c r="E4" t="str">
        <f>E3&amp;"("&amp;B4&amp;","&amp;CHAR(34)&amp;C4&amp;CHAR(34)&amp;")"</f>
        <v>INSERT INTO ofer15estadocampus(ofer15id, ofer15nombre) VALUES (0,"No Ofertado")</v>
      </c>
    </row>
    <row r="5" spans="1:5">
      <c r="B5" s="23">
        <v>1</v>
      </c>
      <c r="C5" s="23" t="s">
        <v>273</v>
      </c>
      <c r="E5" t="str">
        <f>E4&amp;", ("&amp;B5&amp;","&amp;CHAR(34)&amp;C5&amp;CHAR(34)&amp;")"</f>
        <v>INSERT INTO ofer15estadocampus(ofer15id, ofer15nombre) VALUES (0,"No Ofertado"), (1,"Por revisar.")</v>
      </c>
    </row>
    <row r="6" spans="1:5">
      <c r="B6" s="23">
        <v>2</v>
      </c>
      <c r="C6" s="23" t="s">
        <v>274</v>
      </c>
      <c r="E6" t="str">
        <f t="shared" ref="E6:E18" si="0">E5&amp;", ("&amp;B6&amp;","&amp;CHAR(34)&amp;C6&amp;CHAR(34)&amp;")"</f>
        <v>INSERT INTO ofer15estadocampus(ofer15id, ofer15nombre) VALUES (0,"No Ofertado"), (1,"Por revisar."), (2,"Por Actualizar Contents")</v>
      </c>
    </row>
    <row r="7" spans="1:5">
      <c r="B7" s="23">
        <v>10</v>
      </c>
      <c r="C7" s="23" t="s">
        <v>275</v>
      </c>
      <c r="E7" t="str">
        <f t="shared" si="0"/>
        <v>INSERT INTO ofer15estadocampus(ofer15id, ofer15nombre) VALUES (0,"No Ofertado"), (1,"Por revisar."), (2,"Por Actualizar Contents"), (10,"Acreditado")</v>
      </c>
    </row>
    <row r="8" spans="1:5">
      <c r="B8" s="23">
        <v>15</v>
      </c>
      <c r="C8" s="23" t="s">
        <v>276</v>
      </c>
      <c r="E8" t="str">
        <f t="shared" si="0"/>
        <v>INSERT INTO ofer15estadocampus(ofer15id, ofer15nombre) VALUES (0,"No Ofertado"), (1,"Por revisar."), (2,"Por Actualizar Contents"), (10,"Acreditado"), (15,"Para Migrar")</v>
      </c>
    </row>
    <row r="9" spans="1:5">
      <c r="B9" s="23">
        <v>19</v>
      </c>
      <c r="C9" s="23" t="s">
        <v>277</v>
      </c>
      <c r="E9" t="str">
        <f t="shared" si="0"/>
        <v>INSERT INTO ofer15estadocampus(ofer15id, ofer15nombre) VALUES (0,"No Ofertado"), (1,"Por revisar."), (2,"Por Actualizar Contents"), (10,"Acreditado"), (15,"Para Migrar"), (19,"Para Restaurar")</v>
      </c>
    </row>
    <row r="10" spans="1:5">
      <c r="B10" s="23">
        <v>20</v>
      </c>
      <c r="C10" s="23" t="s">
        <v>278</v>
      </c>
      <c r="E10" t="str">
        <f t="shared" si="0"/>
        <v>INSERT INTO ofer15estadocampus(ofer15id, ofer15nombre) VALUES (0,"No Ofertado"), (1,"Por revisar."), (2,"Por Actualizar Contents"), (10,"Acreditado"), (15,"Para Migrar"), (19,"Para Restaurar"), (20,"Restaurado")</v>
      </c>
    </row>
    <row r="11" spans="1:5">
      <c r="B11" s="23"/>
      <c r="C11" s="23"/>
      <c r="E11" t="str">
        <f t="shared" si="0"/>
        <v>INSERT INTO ofer15estadocampus(ofer15id, ofer15nombre) VALUES (0,"No Ofertado"), (1,"Por revisar."), (2,"Por Actualizar Contents"), (10,"Acreditado"), (15,"Para Migrar"), (19,"Para Restaurar"), (20,"Restaurado"), (,"")</v>
      </c>
    </row>
    <row r="12" spans="1:5">
      <c r="B12" s="23"/>
      <c r="C12" s="23"/>
      <c r="E12" t="str">
        <f t="shared" si="0"/>
        <v>INSERT INTO ofer15estadocampus(ofer15id, ofer15nombre) VALUES (0,"No Ofertado"), (1,"Por revisar."), (2,"Por Actualizar Contents"), (10,"Acreditado"), (15,"Para Migrar"), (19,"Para Restaurar"), (20,"Restaurado"), (,""), (,"")</v>
      </c>
    </row>
    <row r="13" spans="1:5">
      <c r="B13" s="23"/>
      <c r="C13" s="23"/>
      <c r="E13" t="str">
        <f t="shared" si="0"/>
        <v>INSERT INTO ofer15estadocampus(ofer15id, ofer15nombre) VALUES (0,"No Ofertado"), (1,"Por revisar."), (2,"Por Actualizar Contents"), (10,"Acreditado"), (15,"Para Migrar"), (19,"Para Restaurar"), (20,"Restaurado"), (,""), (,""), (,"")</v>
      </c>
    </row>
    <row r="14" spans="1:5">
      <c r="B14" s="23"/>
      <c r="C14" s="23"/>
      <c r="E14" t="str">
        <f t="shared" si="0"/>
        <v>INSERT INTO ofer15estadocampus(ofer15id, ofer15nombre) VALUES (0,"No Ofertado"), (1,"Por revisar."), (2,"Por Actualizar Contents"), (10,"Acreditado"), (15,"Para Migrar"), (19,"Para Restaurar"), (20,"Restaurado"), (,""), (,""), (,""), (,"")</v>
      </c>
    </row>
    <row r="15" spans="1:5">
      <c r="B15" s="23"/>
      <c r="C15" s="23"/>
      <c r="E15" t="str">
        <f t="shared" si="0"/>
        <v>INSERT INTO ofer15estadocampus(ofer15id, ofer15nombre) VALUES (0,"No Ofertado"), (1,"Por revisar."), (2,"Por Actualizar Contents"), (10,"Acreditado"), (15,"Para Migrar"), (19,"Para Restaurar"), (20,"Restaurado"), (,""), (,""), (,""), (,""), (,"")</v>
      </c>
    </row>
    <row r="16" spans="1:5">
      <c r="B16" s="23"/>
      <c r="C16" s="23"/>
      <c r="E16" t="str">
        <f t="shared" si="0"/>
        <v>INSERT INTO ofer15estadocampus(ofer15id, ofer15nombre) VALUES (0,"No Ofertado"), (1,"Por revisar."), (2,"Por Actualizar Contents"), (10,"Acreditado"), (15,"Para Migrar"), (19,"Para Restaurar"), (20,"Restaurado"), (,""), (,""), (,""), (,""), (,""), (,"")</v>
      </c>
    </row>
    <row r="17" spans="1:13">
      <c r="B17" s="23"/>
      <c r="C17" s="23"/>
      <c r="E17" t="str">
        <f t="shared" si="0"/>
        <v>INSERT INTO ofer15estadocampus(ofer15id, ofer15nombre) VALUES (0,"No Ofertado"), (1,"Por revisar."), (2,"Por Actualizar Contents"), (10,"Acreditado"), (15,"Para Migrar"), (19,"Para Restaurar"), (20,"Restaurado"), (,""), (,""), (,""), (,""), (,""), (,""), (,"")</v>
      </c>
    </row>
    <row r="18" spans="1:13">
      <c r="B18" s="23"/>
      <c r="C18" s="23"/>
      <c r="E18" t="str">
        <f t="shared" si="0"/>
        <v>INSERT INTO ofer15estadocampus(ofer15id, ofer15nombre) VALUES (0,"No Ofertado"), (1,"Por revisar."), (2,"Por Actualizar Contents"), (10,"Acreditado"), (15,"Para Migrar"), (19,"Para Restaurar"), (20,"Restaurado"), (,""), (,""), (,""), (,""), (,""), (,""), (,""), (,"")</v>
      </c>
    </row>
    <row r="23" spans="1:13">
      <c r="A23" s="1" t="s">
        <v>2585</v>
      </c>
      <c r="B23" s="66" t="s">
        <v>2593</v>
      </c>
      <c r="C23" s="66" t="s">
        <v>2594</v>
      </c>
      <c r="D23" s="66" t="s">
        <v>2595</v>
      </c>
      <c r="E23" s="66" t="s">
        <v>2596</v>
      </c>
      <c r="F23" s="66" t="s">
        <v>2597</v>
      </c>
      <c r="G23" s="1"/>
      <c r="H23" s="39"/>
      <c r="I23" s="39"/>
      <c r="J23" s="1"/>
      <c r="K23" s="1"/>
      <c r="L23" s="1"/>
      <c r="M23" t="str">
        <f>"INSERT INTO "&amp;A23&amp;" ("&amp;B23&amp;","&amp;C23&amp;","&amp;D23&amp;","&amp;E23&amp;","&amp;F23&amp;")"</f>
        <v>INSERT INTO even29encpregresp (even29idpregunta,even29consec,even29id,even29etiqueta,even29detalle)</v>
      </c>
    </row>
    <row r="24" spans="1:13">
      <c r="B24">
        <v>49</v>
      </c>
      <c r="C24">
        <v>1</v>
      </c>
      <c r="D24" s="1">
        <v>203</v>
      </c>
      <c r="E24" s="62" t="s">
        <v>2655</v>
      </c>
      <c r="M24" t="str">
        <f>M23 &amp;" VALUES ("&amp;B24&amp;","&amp;C24&amp;","&amp;D24&amp;","""&amp;E24&amp;""","""&amp;F24&amp;""")"</f>
        <v>INSERT INTO even29encpregresp (even29idpregunta,even29consec,even29id,even29etiqueta,even29detalle) VALUES (49,1,203,"No Cumple","")</v>
      </c>
    </row>
    <row r="25" spans="1:13" ht="25.5">
      <c r="B25">
        <v>49</v>
      </c>
      <c r="C25">
        <v>2</v>
      </c>
      <c r="D25" s="1">
        <f>+D24+1</f>
        <v>204</v>
      </c>
      <c r="E25" s="23" t="s">
        <v>2656</v>
      </c>
      <c r="M25" t="str">
        <f>M24 &amp;", ("&amp;B25&amp;","&amp;C25&amp;","&amp;D25&amp;","""&amp;E25&amp;""","""&amp;F25&amp;""")"</f>
        <v>INSERT INTO even29encpregresp (even29idpregunta,even29consec,even29id,even29etiqueta,even29detalle) VALUES (49,1,203,"No Cumple",""), (49,2,204,"Insuficiente Cumplimiento","")</v>
      </c>
    </row>
    <row r="26" spans="1:13" ht="25.5">
      <c r="B26">
        <v>49</v>
      </c>
      <c r="C26">
        <v>3</v>
      </c>
      <c r="D26" s="1">
        <f t="shared" ref="D26:D34" si="1">+D25+1</f>
        <v>205</v>
      </c>
      <c r="E26" s="23" t="s">
        <v>2657</v>
      </c>
      <c r="M26" t="str">
        <f t="shared" ref="M26:M89" si="2">M25 &amp;", ("&amp;B26&amp;","&amp;C26&amp;","&amp;D26&amp;","""&amp;E26&amp;""","""&amp;F26&amp;""")"</f>
        <v>INSERT INTO even29encpregresp (even29idpregunta,even29consec,even29id,even29etiqueta,even29detalle) VALUES (49,1,203,"No Cumple",""), (49,2,204,"Insuficiente Cumplimiento",""), (49,3,205,"Deficiente Cumplimiento","")</v>
      </c>
    </row>
    <row r="27" spans="1:13">
      <c r="B27">
        <v>49</v>
      </c>
      <c r="C27">
        <v>4</v>
      </c>
      <c r="D27" s="1">
        <f t="shared" si="1"/>
        <v>206</v>
      </c>
      <c r="E27" s="23" t="s">
        <v>2658</v>
      </c>
      <c r="M27" t="str">
        <f t="shared" si="2"/>
        <v>INSERT INTO even29encpregresp (even29idpregunta,even29consec,even29id,even29etiqueta,even29detalle) VALUES (49,1,203,"No Cumple",""), (49,2,204,"Insuficiente Cumplimiento",""), (49,3,205,"Deficiente Cumplimiento",""), (49,4,206,"Cumple","")</v>
      </c>
    </row>
    <row r="28" spans="1:13" ht="25.5">
      <c r="B28">
        <v>49</v>
      </c>
      <c r="C28">
        <v>5</v>
      </c>
      <c r="D28" s="1">
        <f t="shared" si="1"/>
        <v>207</v>
      </c>
      <c r="E28" s="23" t="s">
        <v>2659</v>
      </c>
      <c r="M28" t="str">
        <f t="shared" si="2"/>
        <v>INSERT INTO even29encpregresp (even29idpregunta,even29consec,even29id,even29etiqueta,even29detalle) VALUES (49,1,203,"No Cumple",""), (49,2,204,"Insuficiente Cumplimiento",""), (49,3,205,"Deficiente Cumplimiento",""), (49,4,206,"Cumple",""), (49,5,207,"Cumple Totalmente","")</v>
      </c>
    </row>
    <row r="29" spans="1:13">
      <c r="B29">
        <f>+B24+1</f>
        <v>50</v>
      </c>
      <c r="C29">
        <f>+C24</f>
        <v>1</v>
      </c>
      <c r="D29" s="1">
        <f t="shared" si="1"/>
        <v>208</v>
      </c>
      <c r="E29" t="str">
        <f>+E24</f>
        <v>No Cumple</v>
      </c>
      <c r="M29" t="str">
        <f t="shared" si="2"/>
        <v>INSERT INTO even29encpregresp (even29idpregunta,even29consec,even29id,even29etiqueta,even29detalle) VALUES (49,1,203,"No Cumple",""), (49,2,204,"Insuficiente Cumplimiento",""), (49,3,205,"Deficiente Cumplimiento",""), (49,4,206,"Cumple",""), (49,5,207,"Cumple Totalmente",""), (50,1,208,"No Cumple","")</v>
      </c>
    </row>
    <row r="30" spans="1:13">
      <c r="B30">
        <f t="shared" ref="B30:B93" si="3">+B25+1</f>
        <v>50</v>
      </c>
      <c r="C30">
        <f t="shared" ref="C30:C93" si="4">+C25</f>
        <v>2</v>
      </c>
      <c r="D30" s="1">
        <f t="shared" si="1"/>
        <v>209</v>
      </c>
      <c r="E30" t="str">
        <f t="shared" ref="E30:E93" si="5">+E25</f>
        <v>Insuficiente Cumplimiento</v>
      </c>
      <c r="M3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v>
      </c>
    </row>
    <row r="31" spans="1:13">
      <c r="B31">
        <f t="shared" si="3"/>
        <v>50</v>
      </c>
      <c r="C31">
        <f t="shared" si="4"/>
        <v>3</v>
      </c>
      <c r="D31" s="1">
        <f t="shared" si="1"/>
        <v>210</v>
      </c>
      <c r="E31" t="str">
        <f t="shared" si="5"/>
        <v>Deficiente Cumplimiento</v>
      </c>
      <c r="M3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v>
      </c>
    </row>
    <row r="32" spans="1:13">
      <c r="B32">
        <f t="shared" si="3"/>
        <v>50</v>
      </c>
      <c r="C32">
        <f t="shared" si="4"/>
        <v>4</v>
      </c>
      <c r="D32" s="1">
        <f t="shared" si="1"/>
        <v>211</v>
      </c>
      <c r="E32" t="str">
        <f t="shared" si="5"/>
        <v>Cumple</v>
      </c>
      <c r="M3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v>
      </c>
    </row>
    <row r="33" spans="2:13">
      <c r="B33">
        <f t="shared" si="3"/>
        <v>50</v>
      </c>
      <c r="C33">
        <f t="shared" si="4"/>
        <v>5</v>
      </c>
      <c r="D33" s="1">
        <f t="shared" si="1"/>
        <v>212</v>
      </c>
      <c r="E33" t="str">
        <f t="shared" si="5"/>
        <v>Cumple Totalmente</v>
      </c>
      <c r="M3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v>
      </c>
    </row>
    <row r="34" spans="2:13">
      <c r="B34">
        <f t="shared" si="3"/>
        <v>51</v>
      </c>
      <c r="C34">
        <f t="shared" si="4"/>
        <v>1</v>
      </c>
      <c r="D34" s="1">
        <f t="shared" si="1"/>
        <v>213</v>
      </c>
      <c r="E34" t="str">
        <f t="shared" si="5"/>
        <v>No Cumple</v>
      </c>
      <c r="M3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v>
      </c>
    </row>
    <row r="35" spans="2:13">
      <c r="B35">
        <f t="shared" si="3"/>
        <v>51</v>
      </c>
      <c r="C35">
        <f t="shared" si="4"/>
        <v>2</v>
      </c>
      <c r="D35" s="1">
        <f t="shared" ref="D35:D83" si="6">+D34+1</f>
        <v>214</v>
      </c>
      <c r="E35" t="str">
        <f t="shared" si="5"/>
        <v>Insuficiente Cumplimiento</v>
      </c>
      <c r="M3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v>
      </c>
    </row>
    <row r="36" spans="2:13">
      <c r="B36">
        <f t="shared" si="3"/>
        <v>51</v>
      </c>
      <c r="C36">
        <f t="shared" si="4"/>
        <v>3</v>
      </c>
      <c r="D36" s="1">
        <f t="shared" si="6"/>
        <v>215</v>
      </c>
      <c r="E36" t="str">
        <f t="shared" si="5"/>
        <v>Deficiente Cumplimiento</v>
      </c>
      <c r="M3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v>
      </c>
    </row>
    <row r="37" spans="2:13">
      <c r="B37">
        <f t="shared" si="3"/>
        <v>51</v>
      </c>
      <c r="C37">
        <f t="shared" si="4"/>
        <v>4</v>
      </c>
      <c r="D37" s="1">
        <f t="shared" si="6"/>
        <v>216</v>
      </c>
      <c r="E37" t="str">
        <f t="shared" si="5"/>
        <v>Cumple</v>
      </c>
      <c r="M3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v>
      </c>
    </row>
    <row r="38" spans="2:13">
      <c r="B38">
        <f t="shared" si="3"/>
        <v>51</v>
      </c>
      <c r="C38">
        <f t="shared" si="4"/>
        <v>5</v>
      </c>
      <c r="D38" s="1">
        <f t="shared" si="6"/>
        <v>217</v>
      </c>
      <c r="E38" t="str">
        <f t="shared" si="5"/>
        <v>Cumple Totalmente</v>
      </c>
      <c r="M3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v>
      </c>
    </row>
    <row r="39" spans="2:13">
      <c r="B39">
        <f t="shared" si="3"/>
        <v>52</v>
      </c>
      <c r="C39">
        <f t="shared" si="4"/>
        <v>1</v>
      </c>
      <c r="D39" s="1">
        <f t="shared" si="6"/>
        <v>218</v>
      </c>
      <c r="E39" t="str">
        <f t="shared" si="5"/>
        <v>No Cumple</v>
      </c>
      <c r="M3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v>
      </c>
    </row>
    <row r="40" spans="2:13">
      <c r="B40">
        <f t="shared" si="3"/>
        <v>52</v>
      </c>
      <c r="C40">
        <f t="shared" si="4"/>
        <v>2</v>
      </c>
      <c r="D40" s="1">
        <f t="shared" si="6"/>
        <v>219</v>
      </c>
      <c r="E40" t="str">
        <f t="shared" si="5"/>
        <v>Insuficiente Cumplimiento</v>
      </c>
      <c r="M4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v>
      </c>
    </row>
    <row r="41" spans="2:13">
      <c r="B41">
        <f t="shared" si="3"/>
        <v>52</v>
      </c>
      <c r="C41">
        <f t="shared" si="4"/>
        <v>3</v>
      </c>
      <c r="D41" s="1">
        <f t="shared" si="6"/>
        <v>220</v>
      </c>
      <c r="E41" t="str">
        <f t="shared" si="5"/>
        <v>Deficiente Cumplimiento</v>
      </c>
      <c r="M4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v>
      </c>
    </row>
    <row r="42" spans="2:13">
      <c r="B42">
        <f t="shared" si="3"/>
        <v>52</v>
      </c>
      <c r="C42">
        <f t="shared" si="4"/>
        <v>4</v>
      </c>
      <c r="D42" s="1">
        <f t="shared" si="6"/>
        <v>221</v>
      </c>
      <c r="E42" t="str">
        <f t="shared" si="5"/>
        <v>Cumple</v>
      </c>
      <c r="M4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v>
      </c>
    </row>
    <row r="43" spans="2:13">
      <c r="B43">
        <f t="shared" si="3"/>
        <v>52</v>
      </c>
      <c r="C43">
        <f t="shared" si="4"/>
        <v>5</v>
      </c>
      <c r="D43" s="1">
        <f t="shared" si="6"/>
        <v>222</v>
      </c>
      <c r="E43" t="str">
        <f t="shared" si="5"/>
        <v>Cumple Totalmente</v>
      </c>
      <c r="M4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v>
      </c>
    </row>
    <row r="44" spans="2:13">
      <c r="B44">
        <f t="shared" si="3"/>
        <v>53</v>
      </c>
      <c r="C44">
        <f t="shared" si="4"/>
        <v>1</v>
      </c>
      <c r="D44" s="1">
        <f t="shared" si="6"/>
        <v>223</v>
      </c>
      <c r="E44" t="str">
        <f t="shared" si="5"/>
        <v>No Cumple</v>
      </c>
      <c r="M4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v>
      </c>
    </row>
    <row r="45" spans="2:13">
      <c r="B45">
        <f t="shared" si="3"/>
        <v>53</v>
      </c>
      <c r="C45">
        <f t="shared" si="4"/>
        <v>2</v>
      </c>
      <c r="D45" s="1">
        <f t="shared" si="6"/>
        <v>224</v>
      </c>
      <c r="E45" t="str">
        <f t="shared" si="5"/>
        <v>Insuficiente Cumplimiento</v>
      </c>
      <c r="M4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v>
      </c>
    </row>
    <row r="46" spans="2:13">
      <c r="B46">
        <f t="shared" si="3"/>
        <v>53</v>
      </c>
      <c r="C46">
        <f t="shared" si="4"/>
        <v>3</v>
      </c>
      <c r="D46" s="1">
        <f t="shared" si="6"/>
        <v>225</v>
      </c>
      <c r="E46" t="str">
        <f t="shared" si="5"/>
        <v>Deficiente Cumplimiento</v>
      </c>
      <c r="M4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v>
      </c>
    </row>
    <row r="47" spans="2:13">
      <c r="B47">
        <f t="shared" si="3"/>
        <v>53</v>
      </c>
      <c r="C47">
        <f t="shared" si="4"/>
        <v>4</v>
      </c>
      <c r="D47" s="1">
        <f t="shared" si="6"/>
        <v>226</v>
      </c>
      <c r="E47" t="str">
        <f t="shared" si="5"/>
        <v>Cumple</v>
      </c>
      <c r="M4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v>
      </c>
    </row>
    <row r="48" spans="2:13">
      <c r="B48">
        <f t="shared" si="3"/>
        <v>53</v>
      </c>
      <c r="C48">
        <f t="shared" si="4"/>
        <v>5</v>
      </c>
      <c r="D48" s="1">
        <f t="shared" si="6"/>
        <v>227</v>
      </c>
      <c r="E48" t="str">
        <f t="shared" si="5"/>
        <v>Cumple Totalmente</v>
      </c>
      <c r="M4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v>
      </c>
    </row>
    <row r="49" spans="2:13">
      <c r="B49">
        <f t="shared" si="3"/>
        <v>54</v>
      </c>
      <c r="C49">
        <f t="shared" si="4"/>
        <v>1</v>
      </c>
      <c r="D49" s="1">
        <f t="shared" si="6"/>
        <v>228</v>
      </c>
      <c r="E49" t="str">
        <f t="shared" si="5"/>
        <v>No Cumple</v>
      </c>
      <c r="M4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v>
      </c>
    </row>
    <row r="50" spans="2:13">
      <c r="B50">
        <f t="shared" si="3"/>
        <v>54</v>
      </c>
      <c r="C50">
        <f t="shared" si="4"/>
        <v>2</v>
      </c>
      <c r="D50" s="1">
        <f t="shared" si="6"/>
        <v>229</v>
      </c>
      <c r="E50" t="str">
        <f t="shared" si="5"/>
        <v>Insuficiente Cumplimiento</v>
      </c>
      <c r="M5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v>
      </c>
    </row>
    <row r="51" spans="2:13">
      <c r="B51">
        <f t="shared" si="3"/>
        <v>54</v>
      </c>
      <c r="C51">
        <f t="shared" si="4"/>
        <v>3</v>
      </c>
      <c r="D51" s="1">
        <f t="shared" si="6"/>
        <v>230</v>
      </c>
      <c r="E51" t="str">
        <f t="shared" si="5"/>
        <v>Deficiente Cumplimiento</v>
      </c>
      <c r="M5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v>
      </c>
    </row>
    <row r="52" spans="2:13">
      <c r="B52">
        <f t="shared" si="3"/>
        <v>54</v>
      </c>
      <c r="C52">
        <f t="shared" si="4"/>
        <v>4</v>
      </c>
      <c r="D52" s="1">
        <f t="shared" si="6"/>
        <v>231</v>
      </c>
      <c r="E52" t="str">
        <f t="shared" si="5"/>
        <v>Cumple</v>
      </c>
      <c r="M5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v>
      </c>
    </row>
    <row r="53" spans="2:13">
      <c r="B53">
        <f t="shared" si="3"/>
        <v>54</v>
      </c>
      <c r="C53">
        <f t="shared" si="4"/>
        <v>5</v>
      </c>
      <c r="D53" s="1">
        <f t="shared" si="6"/>
        <v>232</v>
      </c>
      <c r="E53" t="str">
        <f t="shared" si="5"/>
        <v>Cumple Totalmente</v>
      </c>
      <c r="M5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v>
      </c>
    </row>
    <row r="54" spans="2:13">
      <c r="B54">
        <f t="shared" si="3"/>
        <v>55</v>
      </c>
      <c r="C54">
        <f t="shared" si="4"/>
        <v>1</v>
      </c>
      <c r="D54" s="1">
        <f t="shared" si="6"/>
        <v>233</v>
      </c>
      <c r="E54" t="str">
        <f t="shared" si="5"/>
        <v>No Cumple</v>
      </c>
      <c r="M5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v>
      </c>
    </row>
    <row r="55" spans="2:13">
      <c r="B55">
        <f t="shared" si="3"/>
        <v>55</v>
      </c>
      <c r="C55">
        <f t="shared" si="4"/>
        <v>2</v>
      </c>
      <c r="D55" s="1">
        <f t="shared" si="6"/>
        <v>234</v>
      </c>
      <c r="E55" t="str">
        <f t="shared" si="5"/>
        <v>Insuficiente Cumplimiento</v>
      </c>
      <c r="M5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v>
      </c>
    </row>
    <row r="56" spans="2:13">
      <c r="B56">
        <f t="shared" si="3"/>
        <v>55</v>
      </c>
      <c r="C56">
        <f t="shared" si="4"/>
        <v>3</v>
      </c>
      <c r="D56" s="1">
        <f t="shared" si="6"/>
        <v>235</v>
      </c>
      <c r="E56" t="str">
        <f t="shared" si="5"/>
        <v>Deficiente Cumplimiento</v>
      </c>
      <c r="M5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v>
      </c>
    </row>
    <row r="57" spans="2:13">
      <c r="B57">
        <f t="shared" si="3"/>
        <v>55</v>
      </c>
      <c r="C57">
        <f t="shared" si="4"/>
        <v>4</v>
      </c>
      <c r="D57" s="1">
        <f t="shared" si="6"/>
        <v>236</v>
      </c>
      <c r="E57" t="str">
        <f t="shared" si="5"/>
        <v>Cumple</v>
      </c>
      <c r="M5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v>
      </c>
    </row>
    <row r="58" spans="2:13">
      <c r="B58">
        <f t="shared" si="3"/>
        <v>55</v>
      </c>
      <c r="C58">
        <f t="shared" si="4"/>
        <v>5</v>
      </c>
      <c r="D58" s="1">
        <f t="shared" si="6"/>
        <v>237</v>
      </c>
      <c r="E58" t="str">
        <f t="shared" si="5"/>
        <v>Cumple Totalmente</v>
      </c>
      <c r="M5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v>
      </c>
    </row>
    <row r="59" spans="2:13">
      <c r="B59">
        <f t="shared" si="3"/>
        <v>56</v>
      </c>
      <c r="C59">
        <f t="shared" si="4"/>
        <v>1</v>
      </c>
      <c r="D59" s="1">
        <f t="shared" si="6"/>
        <v>238</v>
      </c>
      <c r="E59" t="str">
        <f t="shared" si="5"/>
        <v>No Cumple</v>
      </c>
      <c r="M5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v>
      </c>
    </row>
    <row r="60" spans="2:13">
      <c r="B60">
        <f t="shared" si="3"/>
        <v>56</v>
      </c>
      <c r="C60">
        <f t="shared" si="4"/>
        <v>2</v>
      </c>
      <c r="D60" s="1">
        <f t="shared" si="6"/>
        <v>239</v>
      </c>
      <c r="E60" t="str">
        <f t="shared" si="5"/>
        <v>Insuficiente Cumplimiento</v>
      </c>
      <c r="M6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v>
      </c>
    </row>
    <row r="61" spans="2:13">
      <c r="B61">
        <f t="shared" si="3"/>
        <v>56</v>
      </c>
      <c r="C61">
        <f t="shared" si="4"/>
        <v>3</v>
      </c>
      <c r="D61" s="1">
        <f t="shared" si="6"/>
        <v>240</v>
      </c>
      <c r="E61" t="str">
        <f t="shared" si="5"/>
        <v>Deficiente Cumplimiento</v>
      </c>
      <c r="M6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v>
      </c>
    </row>
    <row r="62" spans="2:13">
      <c r="B62">
        <f t="shared" si="3"/>
        <v>56</v>
      </c>
      <c r="C62">
        <f t="shared" si="4"/>
        <v>4</v>
      </c>
      <c r="D62" s="1">
        <f t="shared" si="6"/>
        <v>241</v>
      </c>
      <c r="E62" t="str">
        <f t="shared" si="5"/>
        <v>Cumple</v>
      </c>
      <c r="M6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v>
      </c>
    </row>
    <row r="63" spans="2:13">
      <c r="B63">
        <f t="shared" si="3"/>
        <v>56</v>
      </c>
      <c r="C63">
        <f t="shared" si="4"/>
        <v>5</v>
      </c>
      <c r="D63" s="1">
        <f t="shared" si="6"/>
        <v>242</v>
      </c>
      <c r="E63" t="str">
        <f t="shared" si="5"/>
        <v>Cumple Totalmente</v>
      </c>
      <c r="M6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v>
      </c>
    </row>
    <row r="64" spans="2:13">
      <c r="B64">
        <f t="shared" si="3"/>
        <v>57</v>
      </c>
      <c r="C64">
        <f t="shared" si="4"/>
        <v>1</v>
      </c>
      <c r="D64" s="1">
        <f t="shared" si="6"/>
        <v>243</v>
      </c>
      <c r="E64" t="str">
        <f t="shared" si="5"/>
        <v>No Cumple</v>
      </c>
      <c r="M6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v>
      </c>
    </row>
    <row r="65" spans="2:13">
      <c r="B65">
        <f t="shared" si="3"/>
        <v>57</v>
      </c>
      <c r="C65">
        <f t="shared" si="4"/>
        <v>2</v>
      </c>
      <c r="D65" s="1">
        <f t="shared" si="6"/>
        <v>244</v>
      </c>
      <c r="E65" t="str">
        <f t="shared" si="5"/>
        <v>Insuficiente Cumplimiento</v>
      </c>
      <c r="M6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v>
      </c>
    </row>
    <row r="66" spans="2:13">
      <c r="B66">
        <f t="shared" si="3"/>
        <v>57</v>
      </c>
      <c r="C66">
        <f t="shared" si="4"/>
        <v>3</v>
      </c>
      <c r="D66" s="1">
        <f t="shared" si="6"/>
        <v>245</v>
      </c>
      <c r="E66" t="str">
        <f t="shared" si="5"/>
        <v>Deficiente Cumplimiento</v>
      </c>
      <c r="M6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v>
      </c>
    </row>
    <row r="67" spans="2:13">
      <c r="B67">
        <f t="shared" si="3"/>
        <v>57</v>
      </c>
      <c r="C67">
        <f t="shared" si="4"/>
        <v>4</v>
      </c>
      <c r="D67" s="1">
        <f t="shared" si="6"/>
        <v>246</v>
      </c>
      <c r="E67" t="str">
        <f t="shared" si="5"/>
        <v>Cumple</v>
      </c>
      <c r="M6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v>
      </c>
    </row>
    <row r="68" spans="2:13">
      <c r="B68">
        <f t="shared" si="3"/>
        <v>57</v>
      </c>
      <c r="C68">
        <f t="shared" si="4"/>
        <v>5</v>
      </c>
      <c r="D68" s="1">
        <f t="shared" si="6"/>
        <v>247</v>
      </c>
      <c r="E68" t="str">
        <f t="shared" si="5"/>
        <v>Cumple Totalmente</v>
      </c>
      <c r="M6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v>
      </c>
    </row>
    <row r="69" spans="2:13">
      <c r="B69">
        <f t="shared" si="3"/>
        <v>58</v>
      </c>
      <c r="C69">
        <f t="shared" si="4"/>
        <v>1</v>
      </c>
      <c r="D69" s="1">
        <f t="shared" si="6"/>
        <v>248</v>
      </c>
      <c r="E69" t="str">
        <f t="shared" si="5"/>
        <v>No Cumple</v>
      </c>
      <c r="M6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v>
      </c>
    </row>
    <row r="70" spans="2:13">
      <c r="B70">
        <f t="shared" si="3"/>
        <v>58</v>
      </c>
      <c r="C70">
        <f t="shared" si="4"/>
        <v>2</v>
      </c>
      <c r="D70" s="1">
        <f t="shared" si="6"/>
        <v>249</v>
      </c>
      <c r="E70" t="str">
        <f t="shared" si="5"/>
        <v>Insuficiente Cumplimiento</v>
      </c>
      <c r="M7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v>
      </c>
    </row>
    <row r="71" spans="2:13">
      <c r="B71">
        <f t="shared" si="3"/>
        <v>58</v>
      </c>
      <c r="C71">
        <f t="shared" si="4"/>
        <v>3</v>
      </c>
      <c r="D71" s="1">
        <f t="shared" si="6"/>
        <v>250</v>
      </c>
      <c r="E71" t="str">
        <f t="shared" si="5"/>
        <v>Deficiente Cumplimiento</v>
      </c>
      <c r="M7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v>
      </c>
    </row>
    <row r="72" spans="2:13">
      <c r="B72">
        <f t="shared" si="3"/>
        <v>58</v>
      </c>
      <c r="C72">
        <f t="shared" si="4"/>
        <v>4</v>
      </c>
      <c r="D72" s="1">
        <f t="shared" si="6"/>
        <v>251</v>
      </c>
      <c r="E72" t="str">
        <f t="shared" si="5"/>
        <v>Cumple</v>
      </c>
      <c r="M7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v>
      </c>
    </row>
    <row r="73" spans="2:13">
      <c r="B73">
        <f t="shared" si="3"/>
        <v>58</v>
      </c>
      <c r="C73">
        <f t="shared" si="4"/>
        <v>5</v>
      </c>
      <c r="D73" s="1">
        <f t="shared" si="6"/>
        <v>252</v>
      </c>
      <c r="E73" t="str">
        <f t="shared" si="5"/>
        <v>Cumple Totalmente</v>
      </c>
      <c r="M7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v>
      </c>
    </row>
    <row r="74" spans="2:13">
      <c r="B74">
        <f t="shared" si="3"/>
        <v>59</v>
      </c>
      <c r="C74">
        <f t="shared" si="4"/>
        <v>1</v>
      </c>
      <c r="D74" s="1">
        <f t="shared" si="6"/>
        <v>253</v>
      </c>
      <c r="E74" t="str">
        <f t="shared" si="5"/>
        <v>No Cumple</v>
      </c>
      <c r="M7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v>
      </c>
    </row>
    <row r="75" spans="2:13">
      <c r="B75">
        <f t="shared" si="3"/>
        <v>59</v>
      </c>
      <c r="C75">
        <f t="shared" si="4"/>
        <v>2</v>
      </c>
      <c r="D75" s="1">
        <f t="shared" si="6"/>
        <v>254</v>
      </c>
      <c r="E75" t="str">
        <f t="shared" si="5"/>
        <v>Insuficiente Cumplimiento</v>
      </c>
      <c r="M7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v>
      </c>
    </row>
    <row r="76" spans="2:13">
      <c r="B76">
        <f t="shared" si="3"/>
        <v>59</v>
      </c>
      <c r="C76">
        <f t="shared" si="4"/>
        <v>3</v>
      </c>
      <c r="D76" s="1">
        <f t="shared" si="6"/>
        <v>255</v>
      </c>
      <c r="E76" t="str">
        <f t="shared" si="5"/>
        <v>Deficiente Cumplimiento</v>
      </c>
      <c r="M7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v>
      </c>
    </row>
    <row r="77" spans="2:13">
      <c r="B77">
        <f t="shared" si="3"/>
        <v>59</v>
      </c>
      <c r="C77">
        <f t="shared" si="4"/>
        <v>4</v>
      </c>
      <c r="D77" s="1">
        <f t="shared" si="6"/>
        <v>256</v>
      </c>
      <c r="E77" t="str">
        <f t="shared" si="5"/>
        <v>Cumple</v>
      </c>
      <c r="M7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v>
      </c>
    </row>
    <row r="78" spans="2:13">
      <c r="B78">
        <f t="shared" si="3"/>
        <v>59</v>
      </c>
      <c r="C78">
        <f t="shared" si="4"/>
        <v>5</v>
      </c>
      <c r="D78" s="1">
        <f t="shared" si="6"/>
        <v>257</v>
      </c>
      <c r="E78" t="str">
        <f t="shared" si="5"/>
        <v>Cumple Totalmente</v>
      </c>
      <c r="M7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v>
      </c>
    </row>
    <row r="79" spans="2:13">
      <c r="B79">
        <f t="shared" si="3"/>
        <v>60</v>
      </c>
      <c r="C79">
        <f t="shared" si="4"/>
        <v>1</v>
      </c>
      <c r="D79" s="1">
        <f t="shared" si="6"/>
        <v>258</v>
      </c>
      <c r="E79" t="str">
        <f t="shared" si="5"/>
        <v>No Cumple</v>
      </c>
      <c r="M7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v>
      </c>
    </row>
    <row r="80" spans="2:13">
      <c r="B80">
        <f t="shared" si="3"/>
        <v>60</v>
      </c>
      <c r="C80">
        <f t="shared" si="4"/>
        <v>2</v>
      </c>
      <c r="D80" s="1">
        <f t="shared" si="6"/>
        <v>259</v>
      </c>
      <c r="E80" t="str">
        <f t="shared" si="5"/>
        <v>Insuficiente Cumplimiento</v>
      </c>
      <c r="M80"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v>
      </c>
    </row>
    <row r="81" spans="2:13">
      <c r="B81">
        <f t="shared" si="3"/>
        <v>60</v>
      </c>
      <c r="C81">
        <f t="shared" si="4"/>
        <v>3</v>
      </c>
      <c r="D81" s="1">
        <f t="shared" si="6"/>
        <v>260</v>
      </c>
      <c r="E81" t="str">
        <f t="shared" si="5"/>
        <v>Deficiente Cumplimiento</v>
      </c>
      <c r="M81"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v>
      </c>
    </row>
    <row r="82" spans="2:13">
      <c r="B82">
        <f t="shared" si="3"/>
        <v>60</v>
      </c>
      <c r="C82">
        <f t="shared" si="4"/>
        <v>4</v>
      </c>
      <c r="D82" s="1">
        <f t="shared" si="6"/>
        <v>261</v>
      </c>
      <c r="E82" t="str">
        <f t="shared" si="5"/>
        <v>Cumple</v>
      </c>
      <c r="M82"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v>
      </c>
    </row>
    <row r="83" spans="2:13">
      <c r="B83">
        <f t="shared" si="3"/>
        <v>60</v>
      </c>
      <c r="C83">
        <f t="shared" si="4"/>
        <v>5</v>
      </c>
      <c r="D83" s="1">
        <f t="shared" si="6"/>
        <v>262</v>
      </c>
      <c r="E83" t="str">
        <f t="shared" si="5"/>
        <v>Cumple Totalmente</v>
      </c>
      <c r="M83"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v>
      </c>
    </row>
    <row r="84" spans="2:13">
      <c r="B84">
        <f t="shared" si="3"/>
        <v>61</v>
      </c>
      <c r="C84">
        <f t="shared" si="4"/>
        <v>1</v>
      </c>
      <c r="D84" s="1">
        <f t="shared" ref="D84:D133" si="7">+D83+1</f>
        <v>263</v>
      </c>
      <c r="E84" t="str">
        <f t="shared" si="5"/>
        <v>No Cumple</v>
      </c>
      <c r="M84"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v>
      </c>
    </row>
    <row r="85" spans="2:13">
      <c r="B85">
        <f t="shared" si="3"/>
        <v>61</v>
      </c>
      <c r="C85">
        <f t="shared" si="4"/>
        <v>2</v>
      </c>
      <c r="D85" s="1">
        <f t="shared" si="7"/>
        <v>264</v>
      </c>
      <c r="E85" t="str">
        <f t="shared" si="5"/>
        <v>Insuficiente Cumplimiento</v>
      </c>
      <c r="M85"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v>
      </c>
    </row>
    <row r="86" spans="2:13">
      <c r="B86">
        <f t="shared" si="3"/>
        <v>61</v>
      </c>
      <c r="C86">
        <f t="shared" si="4"/>
        <v>3</v>
      </c>
      <c r="D86" s="1">
        <f t="shared" si="7"/>
        <v>265</v>
      </c>
      <c r="E86" t="str">
        <f t="shared" si="5"/>
        <v>Deficiente Cumplimiento</v>
      </c>
      <c r="M86"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v>
      </c>
    </row>
    <row r="87" spans="2:13">
      <c r="B87">
        <f t="shared" si="3"/>
        <v>61</v>
      </c>
      <c r="C87">
        <f t="shared" si="4"/>
        <v>4</v>
      </c>
      <c r="D87" s="1">
        <f t="shared" si="7"/>
        <v>266</v>
      </c>
      <c r="E87" t="str">
        <f t="shared" si="5"/>
        <v>Cumple</v>
      </c>
      <c r="M87"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v>
      </c>
    </row>
    <row r="88" spans="2:13">
      <c r="B88">
        <f t="shared" si="3"/>
        <v>61</v>
      </c>
      <c r="C88">
        <f t="shared" si="4"/>
        <v>5</v>
      </c>
      <c r="D88" s="1">
        <f t="shared" si="7"/>
        <v>267</v>
      </c>
      <c r="E88" t="str">
        <f t="shared" si="5"/>
        <v>Cumple Totalmente</v>
      </c>
      <c r="M88"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v>
      </c>
    </row>
    <row r="89" spans="2:13">
      <c r="B89">
        <f t="shared" si="3"/>
        <v>62</v>
      </c>
      <c r="C89">
        <f t="shared" si="4"/>
        <v>1</v>
      </c>
      <c r="D89" s="1">
        <f t="shared" si="7"/>
        <v>268</v>
      </c>
      <c r="E89" t="str">
        <f t="shared" si="5"/>
        <v>No Cumple</v>
      </c>
      <c r="M89" t="str">
        <f t="shared" si="2"/>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v>
      </c>
    </row>
    <row r="90" spans="2:13">
      <c r="B90">
        <f t="shared" si="3"/>
        <v>62</v>
      </c>
      <c r="C90">
        <f t="shared" si="4"/>
        <v>2</v>
      </c>
      <c r="D90" s="1">
        <f t="shared" si="7"/>
        <v>269</v>
      </c>
      <c r="E90" t="str">
        <f t="shared" si="5"/>
        <v>Insuficiente Cumplimiento</v>
      </c>
      <c r="M90" t="str">
        <f t="shared" ref="M90:M133" si="8">M89 &amp;", ("&amp;B90&amp;","&amp;C90&amp;","&amp;D90&amp;","""&amp;E90&amp;""","""&amp;F90&amp;""")"</f>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v>
      </c>
    </row>
    <row r="91" spans="2:13">
      <c r="B91">
        <f t="shared" si="3"/>
        <v>62</v>
      </c>
      <c r="C91">
        <f t="shared" si="4"/>
        <v>3</v>
      </c>
      <c r="D91" s="1">
        <f t="shared" si="7"/>
        <v>270</v>
      </c>
      <c r="E91" t="str">
        <f t="shared" si="5"/>
        <v>Deficiente Cumplimiento</v>
      </c>
      <c r="M91"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v>
      </c>
    </row>
    <row r="92" spans="2:13">
      <c r="B92">
        <f t="shared" si="3"/>
        <v>62</v>
      </c>
      <c r="C92">
        <f t="shared" si="4"/>
        <v>4</v>
      </c>
      <c r="D92" s="1">
        <f t="shared" si="7"/>
        <v>271</v>
      </c>
      <c r="E92" t="str">
        <f t="shared" si="5"/>
        <v>Cumple</v>
      </c>
      <c r="M92"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v>
      </c>
    </row>
    <row r="93" spans="2:13">
      <c r="B93">
        <f t="shared" si="3"/>
        <v>62</v>
      </c>
      <c r="C93">
        <f t="shared" si="4"/>
        <v>5</v>
      </c>
      <c r="D93" s="1">
        <f t="shared" si="7"/>
        <v>272</v>
      </c>
      <c r="E93" t="str">
        <f t="shared" si="5"/>
        <v>Cumple Totalmente</v>
      </c>
      <c r="M93"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v>
      </c>
    </row>
    <row r="94" spans="2:13">
      <c r="B94">
        <f t="shared" ref="B94:B133" si="9">+B89+1</f>
        <v>63</v>
      </c>
      <c r="C94">
        <f t="shared" ref="C94:C133" si="10">+C89</f>
        <v>1</v>
      </c>
      <c r="D94" s="1">
        <f t="shared" si="7"/>
        <v>273</v>
      </c>
      <c r="E94" t="str">
        <f t="shared" ref="E94:E133" si="11">+E89</f>
        <v>No Cumple</v>
      </c>
      <c r="M94"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v>
      </c>
    </row>
    <row r="95" spans="2:13">
      <c r="B95">
        <f t="shared" si="9"/>
        <v>63</v>
      </c>
      <c r="C95">
        <f t="shared" si="10"/>
        <v>2</v>
      </c>
      <c r="D95" s="1">
        <f t="shared" si="7"/>
        <v>274</v>
      </c>
      <c r="E95" t="str">
        <f t="shared" si="11"/>
        <v>Insuficiente Cumplimiento</v>
      </c>
      <c r="M95"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v>
      </c>
    </row>
    <row r="96" spans="2:13">
      <c r="B96">
        <f t="shared" si="9"/>
        <v>63</v>
      </c>
      <c r="C96">
        <f t="shared" si="10"/>
        <v>3</v>
      </c>
      <c r="D96" s="1">
        <f t="shared" si="7"/>
        <v>275</v>
      </c>
      <c r="E96" t="str">
        <f t="shared" si="11"/>
        <v>Deficiente Cumplimiento</v>
      </c>
      <c r="M96"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v>
      </c>
    </row>
    <row r="97" spans="2:13">
      <c r="B97">
        <f t="shared" si="9"/>
        <v>63</v>
      </c>
      <c r="C97">
        <f t="shared" si="10"/>
        <v>4</v>
      </c>
      <c r="D97" s="1">
        <f t="shared" si="7"/>
        <v>276</v>
      </c>
      <c r="E97" t="str">
        <f t="shared" si="11"/>
        <v>Cumple</v>
      </c>
      <c r="M97"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v>
      </c>
    </row>
    <row r="98" spans="2:13">
      <c r="B98">
        <f t="shared" si="9"/>
        <v>63</v>
      </c>
      <c r="C98">
        <f t="shared" si="10"/>
        <v>5</v>
      </c>
      <c r="D98" s="1">
        <f t="shared" si="7"/>
        <v>277</v>
      </c>
      <c r="E98" t="str">
        <f t="shared" si="11"/>
        <v>Cumple Totalmente</v>
      </c>
      <c r="M98"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v>
      </c>
    </row>
    <row r="99" spans="2:13">
      <c r="B99">
        <f t="shared" si="9"/>
        <v>64</v>
      </c>
      <c r="C99">
        <f t="shared" si="10"/>
        <v>1</v>
      </c>
      <c r="D99" s="1">
        <f t="shared" si="7"/>
        <v>278</v>
      </c>
      <c r="E99" t="str">
        <f t="shared" si="11"/>
        <v>No Cumple</v>
      </c>
      <c r="M99"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v>
      </c>
    </row>
    <row r="100" spans="2:13">
      <c r="B100">
        <f t="shared" si="9"/>
        <v>64</v>
      </c>
      <c r="C100">
        <f t="shared" si="10"/>
        <v>2</v>
      </c>
      <c r="D100" s="1">
        <f t="shared" si="7"/>
        <v>279</v>
      </c>
      <c r="E100" t="str">
        <f t="shared" si="11"/>
        <v>Insuficiente Cumplimiento</v>
      </c>
      <c r="M100"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v>
      </c>
    </row>
    <row r="101" spans="2:13">
      <c r="B101">
        <f t="shared" si="9"/>
        <v>64</v>
      </c>
      <c r="C101">
        <f t="shared" si="10"/>
        <v>3</v>
      </c>
      <c r="D101" s="1">
        <f t="shared" si="7"/>
        <v>280</v>
      </c>
      <c r="E101" t="str">
        <f t="shared" si="11"/>
        <v>Deficiente Cumplimiento</v>
      </c>
      <c r="M101"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v>
      </c>
    </row>
    <row r="102" spans="2:13">
      <c r="B102">
        <f t="shared" si="9"/>
        <v>64</v>
      </c>
      <c r="C102">
        <f t="shared" si="10"/>
        <v>4</v>
      </c>
      <c r="D102" s="1">
        <f t="shared" si="7"/>
        <v>281</v>
      </c>
      <c r="E102" t="str">
        <f t="shared" si="11"/>
        <v>Cumple</v>
      </c>
      <c r="M102"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v>
      </c>
    </row>
    <row r="103" spans="2:13">
      <c r="B103">
        <f t="shared" si="9"/>
        <v>64</v>
      </c>
      <c r="C103">
        <f t="shared" si="10"/>
        <v>5</v>
      </c>
      <c r="D103" s="1">
        <f t="shared" si="7"/>
        <v>282</v>
      </c>
      <c r="E103" t="str">
        <f t="shared" si="11"/>
        <v>Cumple Totalmente</v>
      </c>
      <c r="M103"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v>
      </c>
    </row>
    <row r="104" spans="2:13">
      <c r="B104">
        <f t="shared" si="9"/>
        <v>65</v>
      </c>
      <c r="C104">
        <f t="shared" si="10"/>
        <v>1</v>
      </c>
      <c r="D104" s="1">
        <f t="shared" si="7"/>
        <v>283</v>
      </c>
      <c r="E104" t="str">
        <f t="shared" si="11"/>
        <v>No Cumple</v>
      </c>
      <c r="M104"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v>
      </c>
    </row>
    <row r="105" spans="2:13">
      <c r="B105">
        <f t="shared" si="9"/>
        <v>65</v>
      </c>
      <c r="C105">
        <f t="shared" si="10"/>
        <v>2</v>
      </c>
      <c r="D105" s="1">
        <f t="shared" si="7"/>
        <v>284</v>
      </c>
      <c r="E105" t="str">
        <f t="shared" si="11"/>
        <v>Insuficiente Cumplimiento</v>
      </c>
      <c r="M105"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v>
      </c>
    </row>
    <row r="106" spans="2:13">
      <c r="B106">
        <f t="shared" si="9"/>
        <v>65</v>
      </c>
      <c r="C106">
        <f t="shared" si="10"/>
        <v>3</v>
      </c>
      <c r="D106" s="1">
        <f t="shared" si="7"/>
        <v>285</v>
      </c>
      <c r="E106" t="str">
        <f t="shared" si="11"/>
        <v>Deficiente Cumplimiento</v>
      </c>
      <c r="M106"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v>
      </c>
    </row>
    <row r="107" spans="2:13">
      <c r="B107">
        <f t="shared" si="9"/>
        <v>65</v>
      </c>
      <c r="C107">
        <f t="shared" si="10"/>
        <v>4</v>
      </c>
      <c r="D107" s="1">
        <f t="shared" si="7"/>
        <v>286</v>
      </c>
      <c r="E107" t="str">
        <f t="shared" si="11"/>
        <v>Cumple</v>
      </c>
      <c r="M107"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v>
      </c>
    </row>
    <row r="108" spans="2:13">
      <c r="B108">
        <f t="shared" si="9"/>
        <v>65</v>
      </c>
      <c r="C108">
        <f t="shared" si="10"/>
        <v>5</v>
      </c>
      <c r="D108" s="1">
        <f t="shared" si="7"/>
        <v>287</v>
      </c>
      <c r="E108" t="str">
        <f t="shared" si="11"/>
        <v>Cumple Totalmente</v>
      </c>
      <c r="M108"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v>
      </c>
    </row>
    <row r="109" spans="2:13">
      <c r="B109">
        <f t="shared" si="9"/>
        <v>66</v>
      </c>
      <c r="C109">
        <f t="shared" si="10"/>
        <v>1</v>
      </c>
      <c r="D109" s="1">
        <f t="shared" si="7"/>
        <v>288</v>
      </c>
      <c r="E109" t="str">
        <f t="shared" si="11"/>
        <v>No Cumple</v>
      </c>
      <c r="M109"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v>
      </c>
    </row>
    <row r="110" spans="2:13">
      <c r="B110">
        <f t="shared" si="9"/>
        <v>66</v>
      </c>
      <c r="C110">
        <f t="shared" si="10"/>
        <v>2</v>
      </c>
      <c r="D110" s="1">
        <f t="shared" si="7"/>
        <v>289</v>
      </c>
      <c r="E110" t="str">
        <f t="shared" si="11"/>
        <v>Insuficiente Cumplimiento</v>
      </c>
      <c r="M110"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v>
      </c>
    </row>
    <row r="111" spans="2:13">
      <c r="B111">
        <f t="shared" si="9"/>
        <v>66</v>
      </c>
      <c r="C111">
        <f t="shared" si="10"/>
        <v>3</v>
      </c>
      <c r="D111" s="1">
        <f t="shared" si="7"/>
        <v>290</v>
      </c>
      <c r="E111" t="str">
        <f t="shared" si="11"/>
        <v>Deficiente Cumplimiento</v>
      </c>
      <c r="M111"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v>
      </c>
    </row>
    <row r="112" spans="2:13">
      <c r="B112">
        <f t="shared" si="9"/>
        <v>66</v>
      </c>
      <c r="C112">
        <f t="shared" si="10"/>
        <v>4</v>
      </c>
      <c r="D112" s="1">
        <f t="shared" si="7"/>
        <v>291</v>
      </c>
      <c r="E112" t="str">
        <f t="shared" si="11"/>
        <v>Cumple</v>
      </c>
      <c r="M112"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v>
      </c>
    </row>
    <row r="113" spans="2:13">
      <c r="B113">
        <f t="shared" si="9"/>
        <v>66</v>
      </c>
      <c r="C113">
        <f t="shared" si="10"/>
        <v>5</v>
      </c>
      <c r="D113" s="1">
        <f t="shared" si="7"/>
        <v>292</v>
      </c>
      <c r="E113" t="str">
        <f t="shared" si="11"/>
        <v>Cumple Totalmente</v>
      </c>
      <c r="M113"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v>
      </c>
    </row>
    <row r="114" spans="2:13">
      <c r="B114">
        <f t="shared" si="9"/>
        <v>67</v>
      </c>
      <c r="C114">
        <f t="shared" si="10"/>
        <v>1</v>
      </c>
      <c r="D114" s="1">
        <f t="shared" si="7"/>
        <v>293</v>
      </c>
      <c r="E114" t="str">
        <f t="shared" si="11"/>
        <v>No Cumple</v>
      </c>
      <c r="M114"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v>
      </c>
    </row>
    <row r="115" spans="2:13">
      <c r="B115">
        <f t="shared" si="9"/>
        <v>67</v>
      </c>
      <c r="C115">
        <f t="shared" si="10"/>
        <v>2</v>
      </c>
      <c r="D115" s="1">
        <f t="shared" si="7"/>
        <v>294</v>
      </c>
      <c r="E115" t="str">
        <f t="shared" si="11"/>
        <v>Insuficiente Cumplimiento</v>
      </c>
      <c r="M115"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v>
      </c>
    </row>
    <row r="116" spans="2:13">
      <c r="B116">
        <f t="shared" si="9"/>
        <v>67</v>
      </c>
      <c r="C116">
        <f t="shared" si="10"/>
        <v>3</v>
      </c>
      <c r="D116" s="1">
        <f t="shared" si="7"/>
        <v>295</v>
      </c>
      <c r="E116" t="str">
        <f t="shared" si="11"/>
        <v>Deficiente Cumplimiento</v>
      </c>
      <c r="M116"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v>
      </c>
    </row>
    <row r="117" spans="2:13">
      <c r="B117">
        <f t="shared" si="9"/>
        <v>67</v>
      </c>
      <c r="C117">
        <f t="shared" si="10"/>
        <v>4</v>
      </c>
      <c r="D117" s="1">
        <f t="shared" si="7"/>
        <v>296</v>
      </c>
      <c r="E117" t="str">
        <f t="shared" si="11"/>
        <v>Cumple</v>
      </c>
      <c r="M117"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v>
      </c>
    </row>
    <row r="118" spans="2:13">
      <c r="B118">
        <f t="shared" si="9"/>
        <v>67</v>
      </c>
      <c r="C118">
        <f t="shared" si="10"/>
        <v>5</v>
      </c>
      <c r="D118" s="1">
        <f t="shared" si="7"/>
        <v>297</v>
      </c>
      <c r="E118" t="str">
        <f t="shared" si="11"/>
        <v>Cumple Totalmente</v>
      </c>
      <c r="M118"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v>
      </c>
    </row>
    <row r="119" spans="2:13">
      <c r="B119">
        <f t="shared" si="9"/>
        <v>68</v>
      </c>
      <c r="C119">
        <f t="shared" si="10"/>
        <v>1</v>
      </c>
      <c r="D119" s="1">
        <f t="shared" si="7"/>
        <v>298</v>
      </c>
      <c r="E119" t="str">
        <f t="shared" si="11"/>
        <v>No Cumple</v>
      </c>
      <c r="M119"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v>
      </c>
    </row>
    <row r="120" spans="2:13">
      <c r="B120">
        <f t="shared" si="9"/>
        <v>68</v>
      </c>
      <c r="C120">
        <f t="shared" si="10"/>
        <v>2</v>
      </c>
      <c r="D120" s="1">
        <f t="shared" si="7"/>
        <v>299</v>
      </c>
      <c r="E120" t="str">
        <f t="shared" si="11"/>
        <v>Insuficiente Cumplimiento</v>
      </c>
      <c r="M120"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v>
      </c>
    </row>
    <row r="121" spans="2:13">
      <c r="B121">
        <f t="shared" si="9"/>
        <v>68</v>
      </c>
      <c r="C121">
        <f t="shared" si="10"/>
        <v>3</v>
      </c>
      <c r="D121" s="1">
        <f t="shared" si="7"/>
        <v>300</v>
      </c>
      <c r="E121" t="str">
        <f t="shared" si="11"/>
        <v>Deficiente Cumplimiento</v>
      </c>
      <c r="M121"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v>
      </c>
    </row>
    <row r="122" spans="2:13">
      <c r="B122">
        <f t="shared" si="9"/>
        <v>68</v>
      </c>
      <c r="C122">
        <f t="shared" si="10"/>
        <v>4</v>
      </c>
      <c r="D122" s="1">
        <f t="shared" si="7"/>
        <v>301</v>
      </c>
      <c r="E122" t="str">
        <f t="shared" si="11"/>
        <v>Cumple</v>
      </c>
      <c r="M122"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v>
      </c>
    </row>
    <row r="123" spans="2:13">
      <c r="B123">
        <f t="shared" si="9"/>
        <v>68</v>
      </c>
      <c r="C123">
        <f t="shared" si="10"/>
        <v>5</v>
      </c>
      <c r="D123" s="1">
        <f t="shared" si="7"/>
        <v>302</v>
      </c>
      <c r="E123" t="str">
        <f t="shared" si="11"/>
        <v>Cumple Totalmente</v>
      </c>
      <c r="M123"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v>
      </c>
    </row>
    <row r="124" spans="2:13">
      <c r="B124">
        <f t="shared" si="9"/>
        <v>69</v>
      </c>
      <c r="C124">
        <f t="shared" si="10"/>
        <v>1</v>
      </c>
      <c r="D124" s="1">
        <f t="shared" si="7"/>
        <v>303</v>
      </c>
      <c r="E124" t="str">
        <f t="shared" si="11"/>
        <v>No Cumple</v>
      </c>
      <c r="M124"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v>
      </c>
    </row>
    <row r="125" spans="2:13">
      <c r="B125">
        <f t="shared" si="9"/>
        <v>69</v>
      </c>
      <c r="C125">
        <f t="shared" si="10"/>
        <v>2</v>
      </c>
      <c r="D125" s="1">
        <f t="shared" si="7"/>
        <v>304</v>
      </c>
      <c r="E125" t="str">
        <f t="shared" si="11"/>
        <v>Insuficiente Cumplimiento</v>
      </c>
      <c r="M125"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v>
      </c>
    </row>
    <row r="126" spans="2:13">
      <c r="B126">
        <f t="shared" si="9"/>
        <v>69</v>
      </c>
      <c r="C126">
        <f t="shared" si="10"/>
        <v>3</v>
      </c>
      <c r="D126" s="1">
        <f t="shared" si="7"/>
        <v>305</v>
      </c>
      <c r="E126" t="str">
        <f t="shared" si="11"/>
        <v>Deficiente Cumplimiento</v>
      </c>
      <c r="M126"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v>
      </c>
    </row>
    <row r="127" spans="2:13">
      <c r="B127">
        <f t="shared" si="9"/>
        <v>69</v>
      </c>
      <c r="C127">
        <f t="shared" si="10"/>
        <v>4</v>
      </c>
      <c r="D127" s="1">
        <f t="shared" si="7"/>
        <v>306</v>
      </c>
      <c r="E127" t="str">
        <f t="shared" si="11"/>
        <v>Cumple</v>
      </c>
      <c r="M127"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v>
      </c>
    </row>
    <row r="128" spans="2:13">
      <c r="B128">
        <f t="shared" si="9"/>
        <v>69</v>
      </c>
      <c r="C128">
        <f t="shared" si="10"/>
        <v>5</v>
      </c>
      <c r="D128" s="1">
        <f t="shared" si="7"/>
        <v>307</v>
      </c>
      <c r="E128" t="str">
        <f t="shared" si="11"/>
        <v>Cumple Totalmente</v>
      </c>
      <c r="M128"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v>
      </c>
    </row>
    <row r="129" spans="2:13">
      <c r="B129">
        <f t="shared" si="9"/>
        <v>70</v>
      </c>
      <c r="C129">
        <f t="shared" si="10"/>
        <v>1</v>
      </c>
      <c r="D129" s="1">
        <f t="shared" si="7"/>
        <v>308</v>
      </c>
      <c r="E129" t="str">
        <f t="shared" si="11"/>
        <v>No Cumple</v>
      </c>
      <c r="M129"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 (70,1,308,"No Cumple","")</v>
      </c>
    </row>
    <row r="130" spans="2:13">
      <c r="B130">
        <f t="shared" si="9"/>
        <v>70</v>
      </c>
      <c r="C130">
        <f t="shared" si="10"/>
        <v>2</v>
      </c>
      <c r="D130" s="1">
        <f t="shared" si="7"/>
        <v>309</v>
      </c>
      <c r="E130" t="str">
        <f t="shared" si="11"/>
        <v>Insuficiente Cumplimiento</v>
      </c>
      <c r="M130"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 (70,1,308,"No Cumple",""), (70,2,309,"Insuficiente Cumplimiento","")</v>
      </c>
    </row>
    <row r="131" spans="2:13">
      <c r="B131">
        <f t="shared" si="9"/>
        <v>70</v>
      </c>
      <c r="C131">
        <f t="shared" si="10"/>
        <v>3</v>
      </c>
      <c r="D131" s="1">
        <f t="shared" si="7"/>
        <v>310</v>
      </c>
      <c r="E131" t="str">
        <f t="shared" si="11"/>
        <v>Deficiente Cumplimiento</v>
      </c>
      <c r="M131"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 (70,1,308,"No Cumple",""), (70,2,309,"Insuficiente Cumplimiento",""), (70,3,310,"Deficiente Cumplimiento","")</v>
      </c>
    </row>
    <row r="132" spans="2:13">
      <c r="B132">
        <f t="shared" si="9"/>
        <v>70</v>
      </c>
      <c r="C132">
        <f t="shared" si="10"/>
        <v>4</v>
      </c>
      <c r="D132" s="1">
        <f t="shared" si="7"/>
        <v>311</v>
      </c>
      <c r="E132" t="str">
        <f t="shared" si="11"/>
        <v>Cumple</v>
      </c>
      <c r="M132"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 (70,1,308,"No Cumple",""), (70,2,309,"Insuficiente Cumplimiento",""), (70,3,310,"Deficiente Cumplimiento",""), (70,4,311,"Cumple","")</v>
      </c>
    </row>
    <row r="133" spans="2:13">
      <c r="B133">
        <f t="shared" si="9"/>
        <v>70</v>
      </c>
      <c r="C133">
        <f t="shared" si="10"/>
        <v>5</v>
      </c>
      <c r="D133" s="1">
        <f t="shared" si="7"/>
        <v>312</v>
      </c>
      <c r="E133" t="str">
        <f t="shared" si="11"/>
        <v>Cumple Totalmente</v>
      </c>
      <c r="M133" t="str">
        <f t="shared" si="8"/>
        <v>INSERT INTO even29encpregresp (even29idpregunta,even29consec,even29id,even29etiqueta,even29detalle) VALUES (49,1,203,"No Cumple",""), (49,2,204,"Insuficiente Cumplimiento",""), (49,3,205,"Deficiente Cumplimiento",""), (49,4,206,"Cumple",""), (49,5,207,"Cumple Totalmente",""), (50,1,208,"No Cumple",""), (50,2,209,"Insuficiente Cumplimiento",""), (50,3,210,"Deficiente Cumplimiento",""), (50,4,211,"Cumple",""), (50,5,212,"Cumple Totalmente",""), (51,1,213,"No Cumple",""), (51,2,214,"Insuficiente Cumplimiento",""), (51,3,215,"Deficiente Cumplimiento",""), (51,4,216,"Cumple",""), (51,5,217,"Cumple Totalmente",""), (52,1,218,"No Cumple",""), (52,2,219,"Insuficiente Cumplimiento",""), (52,3,220,"Deficiente Cumplimiento",""), (52,4,221,"Cumple",""), (52,5,222,"Cumple Totalmente",""), (53,1,223,"No Cumple",""), (53,2,224,"Insuficiente Cumplimiento",""), (53,3,225,"Deficiente Cumplimiento",""), (53,4,226,"Cumple",""), (53,5,227,"Cumple Totalmente",""), (54,1,228,"No Cumple",""), (54,2,229,"Insuficiente Cumplimiento",""), (54,3,230,"Deficiente Cumplimiento",""), (54,4,231,"Cumple",""), (54,5,232,"Cumple Totalmente",""), (55,1,233,"No Cumple",""), (55,2,234,"Insuficiente Cumplimiento",""), (55,3,235,"Deficiente Cumplimiento",""), (55,4,236,"Cumple",""), (55,5,237,"Cumple Totalmente",""), (56,1,238,"No Cumple",""), (56,2,239,"Insuficiente Cumplimiento",""), (56,3,240,"Deficiente Cumplimiento",""), (56,4,241,"Cumple",""), (56,5,242,"Cumple Totalmente",""), (57,1,243,"No Cumple",""), (57,2,244,"Insuficiente Cumplimiento",""), (57,3,245,"Deficiente Cumplimiento",""), (57,4,246,"Cumple",""), (57,5,247,"Cumple Totalmente",""), (58,1,248,"No Cumple",""), (58,2,249,"Insuficiente Cumplimiento",""), (58,3,250,"Deficiente Cumplimiento",""), (58,4,251,"Cumple",""), (58,5,252,"Cumple Totalmente",""), (59,1,253,"No Cumple",""), (59,2,254,"Insuficiente Cumplimiento",""), (59,3,255,"Deficiente Cumplimiento",""), (59,4,256,"Cumple",""), (59,5,257,"Cumple Totalmente",""), (60,1,258,"No Cumple",""), (60,2,259,"Insuficiente Cumplimiento",""), (60,3,260,"Deficiente Cumplimiento",""), (60,4,261,"Cumple",""), (60,5,262,"Cumple Totalmente",""), (61,1,263,"No Cumple",""), (61,2,264,"Insuficiente Cumplimiento",""), (61,3,265,"Deficiente Cumplimiento",""), (61,4,266,"Cumple",""), (61,5,267,"Cumple Totalmente",""), (62,1,268,"No Cumple",""), (62,2,269,"Insuficiente Cumplimiento",""), (62,3,270,"Deficiente Cumplimiento",""), (62,4,271,"Cumple",""), (62,5,272,"Cumple Totalmente",""), (63,1,273,"No Cumple",""), (63,2,274,"Insuficiente Cumplimiento",""), (63,3,275,"Deficiente Cumplimiento",""), (63,4,276,"Cumple",""), (63,5,277,"Cumple Totalmente",""), (64,1,278,"No Cumple",""), (64,2,279,"Insuficiente Cumplimiento",""), (64,3,280,"Deficiente Cumplimiento",""), (64,4,281,"Cumple",""), (64,5,282,"Cumple Totalmente",""), (65,1,283,"No Cumple",""), (65,2,284,"Insuficiente Cumplimiento",""), (65,3,285,"Deficiente Cumplimiento",""), (65,4,286,"Cumple",""), (65,5,287,"Cumple Totalmente",""), (66,1,288,"No Cumple",""), (66,2,289,"Insuficiente Cumplimiento",""), (66,3,290,"Deficiente Cumplimiento",""), (66,4,291,"Cumple",""), (66,5,292,"Cumple Totalmente",""), (67,1,293,"No Cumple",""), (67,2,294,"Insuficiente Cumplimiento",""), (67,3,295,"Deficiente Cumplimiento",""), (67,4,296,"Cumple",""), (67,5,297,"Cumple Totalmente",""), (68,1,298,"No Cumple",""), (68,2,299,"Insuficiente Cumplimiento",""), (68,3,300,"Deficiente Cumplimiento",""), (68,4,301,"Cumple",""), (68,5,302,"Cumple Totalmente",""), (69,1,303,"No Cumple",""), (69,2,304,"Insuficiente Cumplimiento",""), (69,3,305,"Deficiente Cumplimiento",""), (69,4,306,"Cumple",""), (69,5,307,"Cumple Totalmente",""), (70,1,308,"No Cumple",""), (70,2,309,"Insuficiente Cumplimiento",""), (70,3,310,"Deficiente Cumplimiento",""), (70,4,311,"Cumple",""), (70,5,312,"Cumple Totalmente","")</v>
      </c>
    </row>
    <row r="134" spans="2:13">
      <c r="D134" s="1"/>
    </row>
    <row r="135" spans="2:13">
      <c r="D135" s="1"/>
    </row>
    <row r="136" spans="2:13">
      <c r="D136" s="1"/>
    </row>
    <row r="137" spans="2:13">
      <c r="D137" s="1"/>
    </row>
    <row r="138" spans="2:13">
      <c r="D138" s="1"/>
    </row>
    <row r="139" spans="2:13">
      <c r="D139" s="1"/>
    </row>
    <row r="140" spans="2:13">
      <c r="D140" s="1"/>
    </row>
    <row r="141" spans="2:13">
      <c r="D141" s="1"/>
    </row>
    <row r="142" spans="2:13">
      <c r="D142" s="1"/>
    </row>
    <row r="143" spans="2:13">
      <c r="D143" s="1"/>
    </row>
    <row r="144" spans="2:13">
      <c r="D144" s="1"/>
    </row>
    <row r="145" spans="4:4">
      <c r="D145" s="1"/>
    </row>
    <row r="146" spans="4:4">
      <c r="D146" s="1"/>
    </row>
    <row r="147" spans="4:4">
      <c r="D147" s="1"/>
    </row>
    <row r="148" spans="4:4">
      <c r="D148" s="1"/>
    </row>
    <row r="149" spans="4:4">
      <c r="D149" s="1"/>
    </row>
    <row r="150" spans="4:4">
      <c r="D150" s="1"/>
    </row>
    <row r="151" spans="4:4">
      <c r="D151" s="1"/>
    </row>
    <row r="152" spans="4:4">
      <c r="D152" s="1"/>
    </row>
    <row r="153" spans="4:4">
      <c r="D153" s="1"/>
    </row>
  </sheetData>
  <phoneticPr fontId="3" type="noConversion"/>
  <pageMargins left="0.75" right="0.75" top="1" bottom="1" header="0" footer="0"/>
  <headerFooter alignWithMargins="0"/>
</worksheet>
</file>

<file path=xl/worksheets/sheet27.xml><?xml version="1.0" encoding="utf-8"?>
<worksheet xmlns="http://schemas.openxmlformats.org/spreadsheetml/2006/main" xmlns:r="http://schemas.openxmlformats.org/officeDocument/2006/relationships">
  <dimension ref="A1:R8"/>
  <sheetViews>
    <sheetView workbookViewId="0">
      <pane ySplit="1" topLeftCell="A2" activePane="bottomLeft" state="frozenSplit"/>
      <selection sqref="A1:XFD1"/>
      <selection pane="bottomLeft" activeCell="O25" sqref="O25"/>
    </sheetView>
  </sheetViews>
  <sheetFormatPr baseColWidth="10" defaultRowHeight="12.75"/>
  <cols>
    <col min="1" max="1" width="12" bestFit="1" customWidth="1"/>
    <col min="2" max="2" width="17.42578125" bestFit="1" customWidth="1"/>
    <col min="3" max="3" width="7.42578125" bestFit="1" customWidth="1"/>
    <col min="4" max="4" width="3" bestFit="1" customWidth="1"/>
    <col min="7" max="7" width="7.7109375" bestFit="1" customWidth="1"/>
    <col min="9" max="9" width="17.85546875" bestFit="1" customWidth="1"/>
    <col min="10" max="10" width="4.42578125" customWidth="1"/>
    <col min="11" max="11" width="2.85546875" customWidth="1"/>
    <col min="12" max="12" width="4.140625" customWidth="1"/>
  </cols>
  <sheetData>
    <row r="1" spans="1:18" s="3" customFormat="1">
      <c r="F1" s="4" t="s">
        <v>475</v>
      </c>
      <c r="G1" s="4" t="s">
        <v>474</v>
      </c>
      <c r="H1" s="4" t="s">
        <v>480</v>
      </c>
      <c r="I1" s="5" t="s">
        <v>484</v>
      </c>
      <c r="J1" s="4" t="s">
        <v>481</v>
      </c>
      <c r="K1" s="81" t="s">
        <v>485</v>
      </c>
      <c r="L1" s="8" t="s">
        <v>486</v>
      </c>
      <c r="M1" s="6" t="s">
        <v>489</v>
      </c>
      <c r="N1" s="6" t="s">
        <v>490</v>
      </c>
      <c r="O1" s="6" t="s">
        <v>491</v>
      </c>
      <c r="P1" s="6" t="s">
        <v>492</v>
      </c>
      <c r="Q1" s="6" t="s">
        <v>477</v>
      </c>
      <c r="R1" s="6" t="s">
        <v>478</v>
      </c>
    </row>
    <row r="2" spans="1:18">
      <c r="A2" s="62" t="s">
        <v>4399</v>
      </c>
      <c r="B2" t="s">
        <v>4401</v>
      </c>
      <c r="C2" s="62" t="s">
        <v>493</v>
      </c>
      <c r="D2">
        <v>50</v>
      </c>
      <c r="E2" s="62" t="s">
        <v>476</v>
      </c>
      <c r="F2">
        <v>3</v>
      </c>
      <c r="G2">
        <v>301</v>
      </c>
      <c r="H2" s="62" t="s">
        <v>3234</v>
      </c>
      <c r="I2" s="62" t="s">
        <v>4400</v>
      </c>
      <c r="J2">
        <v>301</v>
      </c>
      <c r="K2">
        <v>1</v>
      </c>
    </row>
    <row r="3" spans="1:18">
      <c r="B3" t="s">
        <v>4402</v>
      </c>
      <c r="C3" s="62" t="s">
        <v>494</v>
      </c>
      <c r="K3">
        <v>2</v>
      </c>
      <c r="L3">
        <v>3</v>
      </c>
      <c r="N3" s="62" t="s">
        <v>4409</v>
      </c>
      <c r="O3" s="62" t="s">
        <v>4411</v>
      </c>
      <c r="P3" s="62" t="s">
        <v>4410</v>
      </c>
    </row>
    <row r="4" spans="1:18">
      <c r="B4" t="s">
        <v>4403</v>
      </c>
      <c r="C4" s="62" t="s">
        <v>494</v>
      </c>
      <c r="K4">
        <v>3</v>
      </c>
      <c r="L4">
        <v>3</v>
      </c>
      <c r="N4" s="62" t="s">
        <v>4408</v>
      </c>
      <c r="O4" s="62" t="s">
        <v>4412</v>
      </c>
      <c r="P4" s="62" t="s">
        <v>4413</v>
      </c>
    </row>
    <row r="5" spans="1:18">
      <c r="B5" t="s">
        <v>4404</v>
      </c>
      <c r="C5" s="62" t="s">
        <v>493</v>
      </c>
      <c r="D5">
        <v>50</v>
      </c>
      <c r="K5">
        <v>4</v>
      </c>
    </row>
    <row r="6" spans="1:18">
      <c r="B6" t="s">
        <v>4405</v>
      </c>
      <c r="C6" s="62" t="s">
        <v>493</v>
      </c>
      <c r="D6">
        <v>50</v>
      </c>
      <c r="K6">
        <v>5</v>
      </c>
    </row>
    <row r="7" spans="1:18">
      <c r="B7" t="s">
        <v>4406</v>
      </c>
      <c r="C7" s="62" t="s">
        <v>493</v>
      </c>
      <c r="D7">
        <v>50</v>
      </c>
      <c r="K7">
        <v>6</v>
      </c>
    </row>
    <row r="8" spans="1:18">
      <c r="B8" t="s">
        <v>4407</v>
      </c>
      <c r="C8" s="62" t="s">
        <v>493</v>
      </c>
      <c r="D8">
        <v>50</v>
      </c>
      <c r="K8">
        <v>7</v>
      </c>
    </row>
  </sheetData>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dimension ref="B3:B4"/>
  <sheetViews>
    <sheetView workbookViewId="0">
      <selection activeCell="B4" sqref="B4"/>
    </sheetView>
  </sheetViews>
  <sheetFormatPr baseColWidth="10" defaultRowHeight="12.75"/>
  <sheetData>
    <row r="3" spans="2:2">
      <c r="B3" s="62" t="s">
        <v>4431</v>
      </c>
    </row>
    <row r="4" spans="2:2">
      <c r="B4" s="62" t="s">
        <v>4414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28</vt:i4>
      </vt:variant>
    </vt:vector>
  </HeadingPairs>
  <TitlesOfParts>
    <vt:vector size="28" baseType="lpstr">
      <vt:lpstr>Panel</vt:lpstr>
      <vt:lpstr>Estructura</vt:lpstr>
      <vt:lpstr>Resultado</vt:lpstr>
      <vt:lpstr>Generador</vt:lpstr>
      <vt:lpstr>Ins</vt:lpstr>
      <vt:lpstr>TAB</vt:lpstr>
      <vt:lpstr>A01</vt:lpstr>
      <vt:lpstr>A02</vt:lpstr>
      <vt:lpstr>A12</vt:lpstr>
      <vt:lpstr>A14</vt:lpstr>
      <vt:lpstr>A15</vt:lpstr>
      <vt:lpstr>A17</vt:lpstr>
      <vt:lpstr>A19</vt:lpstr>
      <vt:lpstr>A21</vt:lpstr>
      <vt:lpstr>A22</vt:lpstr>
      <vt:lpstr>A23</vt:lpstr>
      <vt:lpstr>A24</vt:lpstr>
      <vt:lpstr>A26</vt:lpstr>
      <vt:lpstr>A27</vt:lpstr>
      <vt:lpstr>A28</vt:lpstr>
      <vt:lpstr>A29</vt:lpstr>
      <vt:lpstr>A30</vt:lpstr>
      <vt:lpstr>A31</vt:lpstr>
      <vt:lpstr>Combos</vt:lpstr>
      <vt:lpstr>Movil</vt:lpstr>
      <vt:lpstr>Hoja1</vt:lpstr>
      <vt:lpstr>RyC</vt:lpstr>
      <vt:lpstr>MejoresPracticas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Mauro</dc:creator>
  <cp:lastModifiedBy>Mauro</cp:lastModifiedBy>
  <cp:lastPrinted>2012-07-08T06:05:27Z</cp:lastPrinted>
  <dcterms:created xsi:type="dcterms:W3CDTF">2009-12-22T11:23:29Z</dcterms:created>
  <dcterms:modified xsi:type="dcterms:W3CDTF">2020-04-16T15:08:52Z</dcterms:modified>
</cp:coreProperties>
</file>